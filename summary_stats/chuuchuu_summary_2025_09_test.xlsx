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\python_local\git_repo_local\Chuuchuu_python\summary_stats\"/>
    </mc:Choice>
  </mc:AlternateContent>
  <xr:revisionPtr revIDLastSave="0" documentId="13_ncr:1_{2EB4123F-2775-4F1E-B41D-2CFAE7362E25}" xr6:coauthVersionLast="47" xr6:coauthVersionMax="47" xr10:uidLastSave="{00000000-0000-0000-0000-000000000000}"/>
  <bookViews>
    <workbookView xWindow="3510" yWindow="3510" windowWidth="38700" windowHeight="15285" xr2:uid="{00000000-000D-0000-FFFF-FFFF00000000}"/>
  </bookViews>
  <sheets>
    <sheet name="Sheet2" sheetId="2" r:id="rId1"/>
    <sheet name="Sheet1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H5" i="2"/>
  <c r="F5" i="2"/>
  <c r="E5" i="2"/>
  <c r="H16" i="2"/>
  <c r="H6" i="2"/>
  <c r="H7" i="2"/>
  <c r="H8" i="2"/>
  <c r="H9" i="2"/>
  <c r="H10" i="2"/>
  <c r="H11" i="2"/>
  <c r="H12" i="2"/>
  <c r="H13" i="2"/>
  <c r="H14" i="2"/>
  <c r="H15" i="2"/>
  <c r="F6" i="2"/>
  <c r="F7" i="2"/>
  <c r="F8" i="2"/>
  <c r="F9" i="2"/>
  <c r="F10" i="2"/>
  <c r="F11" i="2"/>
  <c r="F12" i="2"/>
  <c r="F13" i="2"/>
  <c r="F14" i="2"/>
  <c r="F15" i="2"/>
  <c r="F16" i="2"/>
  <c r="E6" i="2"/>
  <c r="E7" i="2"/>
  <c r="E8" i="2"/>
  <c r="E9" i="2"/>
  <c r="E10" i="2"/>
  <c r="E11" i="2"/>
  <c r="E12" i="2"/>
  <c r="E13" i="2"/>
  <c r="E14" i="2"/>
  <c r="E15" i="2"/>
  <c r="E16" i="2"/>
  <c r="I16" i="2"/>
  <c r="I6" i="2"/>
  <c r="I7" i="2"/>
  <c r="I8" i="2"/>
  <c r="I9" i="2"/>
  <c r="I10" i="2"/>
  <c r="I11" i="2"/>
  <c r="I12" i="2"/>
  <c r="I13" i="2"/>
  <c r="I14" i="2"/>
  <c r="I15" i="2"/>
  <c r="G16" i="2"/>
  <c r="G6" i="2"/>
  <c r="G7" i="2"/>
  <c r="G8" i="2"/>
  <c r="G9" i="2"/>
  <c r="G10" i="2"/>
  <c r="G11" i="2"/>
  <c r="G12" i="2"/>
  <c r="G13" i="2"/>
  <c r="G14" i="2"/>
  <c r="G15" i="2"/>
  <c r="G5" i="2"/>
</calcChain>
</file>

<file path=xl/sharedStrings.xml><?xml version="1.0" encoding="utf-8"?>
<sst xmlns="http://schemas.openxmlformats.org/spreadsheetml/2006/main" count="1177" uniqueCount="105">
  <si>
    <t>Year</t>
  </si>
  <si>
    <t>operator</t>
  </si>
  <si>
    <t>Punctuality scope</t>
  </si>
  <si>
    <t>Route type</t>
  </si>
  <si>
    <t>Journey type</t>
  </si>
  <si>
    <t>HSR service</t>
  </si>
  <si>
    <t>Long distance</t>
  </si>
  <si>
    <t>N total train</t>
  </si>
  <si>
    <t>N cancelled train (full cancellation)</t>
  </si>
  <si>
    <t>N cancelled train (partial cancellation)</t>
  </si>
  <si>
    <t>N cancelled train (full + partial)</t>
  </si>
  <si>
    <t>N train delay (&gt; 5 min)</t>
  </si>
  <si>
    <t>N train delay (&gt; 15 min)</t>
  </si>
  <si>
    <t>N train arriving at terminus</t>
  </si>
  <si>
    <t>CFL</t>
  </si>
  <si>
    <t>national network</t>
  </si>
  <si>
    <t>IC</t>
  </si>
  <si>
    <t>international</t>
  </si>
  <si>
    <t>No</t>
  </si>
  <si>
    <t>Yes</t>
  </si>
  <si>
    <t>TGV INOUI</t>
  </si>
  <si>
    <t>unknown</t>
  </si>
  <si>
    <t>CFR</t>
  </si>
  <si>
    <t>D</t>
  </si>
  <si>
    <t>Ceske Drahy</t>
  </si>
  <si>
    <t>EC</t>
  </si>
  <si>
    <t>EN</t>
  </si>
  <si>
    <t>NJ</t>
  </si>
  <si>
    <t>RJ</t>
  </si>
  <si>
    <t>domestic</t>
  </si>
  <si>
    <t>DB</t>
  </si>
  <si>
    <t>ECE</t>
  </si>
  <si>
    <t>ICE</t>
  </si>
  <si>
    <t>IR</t>
  </si>
  <si>
    <t>RJX</t>
  </si>
  <si>
    <t>TGV</t>
  </si>
  <si>
    <t>DSB</t>
  </si>
  <si>
    <t>European Sleeper</t>
  </si>
  <si>
    <t>whole journey</t>
  </si>
  <si>
    <t>ES</t>
  </si>
  <si>
    <t>Eurostar</t>
  </si>
  <si>
    <t>EST</t>
  </si>
  <si>
    <t>Flixtrain</t>
  </si>
  <si>
    <t>FLX</t>
  </si>
  <si>
    <t>HZ</t>
  </si>
  <si>
    <t>MAV</t>
  </si>
  <si>
    <t>NS</t>
  </si>
  <si>
    <t>EUROCITY</t>
  </si>
  <si>
    <t>ICD</t>
  </si>
  <si>
    <t>NT</t>
  </si>
  <si>
    <t>S</t>
  </si>
  <si>
    <t>SPR</t>
  </si>
  <si>
    <t>ST</t>
  </si>
  <si>
    <t>OEBB</t>
  </si>
  <si>
    <t>Other CH operators</t>
  </si>
  <si>
    <t>Ouigo</t>
  </si>
  <si>
    <t>OTC</t>
  </si>
  <si>
    <t>OUIGO</t>
  </si>
  <si>
    <t>PKP</t>
  </si>
  <si>
    <t>Panorama Express</t>
  </si>
  <si>
    <t>PE</t>
  </si>
  <si>
    <t>SBB</t>
  </si>
  <si>
    <t>LYRIA</t>
  </si>
  <si>
    <t>SJ</t>
  </si>
  <si>
    <t>SNCB</t>
  </si>
  <si>
    <t>L</t>
  </si>
  <si>
    <t>P</t>
  </si>
  <si>
    <t>SNCF</t>
  </si>
  <si>
    <t>CAR</t>
  </si>
  <si>
    <t>INTERCITES</t>
  </si>
  <si>
    <t>INTERCITES DE NUIT</t>
  </si>
  <si>
    <t>TER</t>
  </si>
  <si>
    <t>SZ</t>
  </si>
  <si>
    <t>Trenitalia</t>
  </si>
  <si>
    <t>DIR</t>
  </si>
  <si>
    <t>EXP</t>
  </si>
  <si>
    <t>FA</t>
  </si>
  <si>
    <t>FB</t>
  </si>
  <si>
    <t>FR</t>
  </si>
  <si>
    <t>ICN</t>
  </si>
  <si>
    <t>MET</t>
  </si>
  <si>
    <t>NCL</t>
  </si>
  <si>
    <t>REG</t>
  </si>
  <si>
    <t>Trenitalia France</t>
  </si>
  <si>
    <t>UNKNOWN_OPERATOR</t>
  </si>
  <si>
    <t>BUS</t>
  </si>
  <si>
    <t>CAT</t>
  </si>
  <si>
    <t>DBK</t>
  </si>
  <si>
    <t>GEP</t>
  </si>
  <si>
    <t>NEX</t>
  </si>
  <si>
    <t>UEX</t>
  </si>
  <si>
    <t>UZ</t>
  </si>
  <si>
    <t>Westbahn</t>
  </si>
  <si>
    <t>WB</t>
  </si>
  <si>
    <t>ZSSK</t>
  </si>
  <si>
    <t>Row Labels</t>
  </si>
  <si>
    <t>Grand Total</t>
  </si>
  <si>
    <t>Sum of N total train</t>
  </si>
  <si>
    <t>Sum of N cancelled train (full + partial)</t>
  </si>
  <si>
    <t>Sum of N train delay (&gt; 5 min)</t>
  </si>
  <si>
    <t>% Cancellations</t>
  </si>
  <si>
    <t>% Punctuality</t>
  </si>
  <si>
    <t>% Reliability</t>
  </si>
  <si>
    <t>Trains on time</t>
  </si>
  <si>
    <t>Trains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</si>
</sst>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/>
    <xf numFmtId="9" fontId="0" fillId="0" borderId="0" xfId="1" applyFont="1"/>
    <xf numFmtId="0" fontId="2" fillId="2" borderId="2" xfId="0" applyNumberFormat="1" applyFont="1" applyFill="1" applyBorder="1"/>
    <xf numFmtId="9" fontId="2" fillId="2" borderId="2" xfId="1" applyFont="1" applyFill="1" applyBorder="1"/>
    <xf numFmtId="9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" refreshedDate="46295.738828125002" createdVersion="7" refreshedVersion="7" minRefreshableVersion="3" recordCount="190" xr:uid="{346E492B-A002-4827-8378-BED7AA339841}">
  <cacheSource type="worksheet">
    <worksheetSource ref="A1:N191" sheet="Sheet1"/>
  </cacheSource>
  <cacheFields count="14">
    <cacheField name="Year" numFmtId="0">
      <sharedItems containsSemiMixedTypes="0" containsString="0" containsNumber="1" containsInteger="1" minValue="2025" maxValue="2025"/>
    </cacheField>
    <cacheField name="operator" numFmtId="0">
      <sharedItems count="27">
        <s v="CFL"/>
        <s v="CFR"/>
        <s v="Ceske Drahy"/>
        <s v="DB"/>
        <s v="DSB"/>
        <s v="European Sleeper"/>
        <s v="Eurostar"/>
        <s v="Flixtrain"/>
        <s v="HZ"/>
        <s v="MAV"/>
        <s v="NS"/>
        <s v="OEBB"/>
        <s v="Other CH operators"/>
        <s v="Ouigo"/>
        <s v="PKP"/>
        <s v="Panorama Express"/>
        <s v="SBB"/>
        <s v="SJ"/>
        <s v="SNCB"/>
        <s v="SNCF"/>
        <s v="SZ"/>
        <s v="Trenitalia"/>
        <s v="Trenitalia France"/>
        <s v="UNKNOWN_OPERATOR"/>
        <s v="UZ"/>
        <s v="Westbahn"/>
        <s v="ZSSK"/>
      </sharedItems>
    </cacheField>
    <cacheField name="Punctuality scope" numFmtId="0">
      <sharedItems/>
    </cacheField>
    <cacheField name="Route type" numFmtId="0">
      <sharedItems containsBlank="1" count="49">
        <s v="IC"/>
        <s v="TGV INOUI"/>
        <s v="D"/>
        <s v="EC"/>
        <s v="EN"/>
        <s v="NJ"/>
        <s v="RJ"/>
        <s v="ECE"/>
        <s v="ICE"/>
        <s v="IR"/>
        <s v="RJX"/>
        <s v="TGV"/>
        <s v="ES"/>
        <s v="EST"/>
        <s v="FLX"/>
        <s v="EUROCITY"/>
        <s v="ICD"/>
        <s v="NT"/>
        <s v="S"/>
        <s v="SPR"/>
        <s v="ST"/>
        <s v="OTC"/>
        <s v="OUIGO"/>
        <s v="PE"/>
        <s v="LYRIA"/>
        <s v="L"/>
        <s v="P"/>
        <s v="CAR"/>
        <s v="INTERCITES"/>
        <s v="INTERCITES DE NUIT"/>
        <s v="TER"/>
        <s v="DIR"/>
        <s v="EXP"/>
        <s v="FA"/>
        <s v="FB"/>
        <s v="FR"/>
        <s v="ICN"/>
        <s v="MET"/>
        <s v="NCL"/>
        <s v="REG"/>
        <s v="BUS"/>
        <s v="CAT"/>
        <s v="DBK"/>
        <s v="GEP"/>
        <s v="NEX"/>
        <s v="SJ"/>
        <s v="UEX"/>
        <m/>
        <s v="WB"/>
      </sharedItems>
    </cacheField>
    <cacheField name="Journey type" numFmtId="0">
      <sharedItems/>
    </cacheField>
    <cacheField name="HSR service" numFmtId="0">
      <sharedItems/>
    </cacheField>
    <cacheField name="Long distance" numFmtId="0">
      <sharedItems count="2">
        <s v="Yes"/>
        <s v="No"/>
      </sharedItems>
    </cacheField>
    <cacheField name="N total train" numFmtId="0">
      <sharedItems containsSemiMixedTypes="0" containsString="0" containsNumber="1" containsInteger="1" minValue="1" maxValue="231649"/>
    </cacheField>
    <cacheField name="N cancelled train (full cancellation)" numFmtId="0">
      <sharedItems containsSemiMixedTypes="0" containsString="0" containsNumber="1" containsInteger="1" minValue="0" maxValue="398"/>
    </cacheField>
    <cacheField name="N cancelled train (partial cancellation)" numFmtId="0">
      <sharedItems containsSemiMixedTypes="0" containsString="0" containsNumber="1" containsInteger="1" minValue="0" maxValue="10246"/>
    </cacheField>
    <cacheField name="N cancelled train (full + partial)" numFmtId="0">
      <sharedItems containsSemiMixedTypes="0" containsString="0" containsNumber="1" containsInteger="1" minValue="0" maxValue="10356"/>
    </cacheField>
    <cacheField name="N train delay (&gt; 5 min)" numFmtId="0">
      <sharedItems containsSemiMixedTypes="0" containsString="0" containsNumber="1" containsInteger="1" minValue="0" maxValue="28483"/>
    </cacheField>
    <cacheField name="N train delay (&gt; 15 min)" numFmtId="0">
      <sharedItems containsSemiMixedTypes="0" containsString="0" containsNumber="1" containsInteger="1" minValue="0" maxValue="6730"/>
    </cacheField>
    <cacheField name="N train arriving at terminus" numFmtId="0">
      <sharedItems containsSemiMixedTypes="0" containsString="0" containsNumber="1" containsInteger="1" minValue="0" maxValue="2228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n v="2025"/>
    <x v="0"/>
    <s v="national network"/>
    <x v="0"/>
    <s v="international"/>
    <s v="No"/>
    <x v="0"/>
    <n v="1324"/>
    <n v="18"/>
    <n v="0"/>
    <n v="18"/>
    <n v="59"/>
    <n v="13"/>
    <n v="1306"/>
  </r>
  <r>
    <n v="2025"/>
    <x v="0"/>
    <s v="national network"/>
    <x v="1"/>
    <s v="international"/>
    <s v="Yes"/>
    <x v="0"/>
    <n v="75"/>
    <n v="1"/>
    <n v="0"/>
    <n v="1"/>
    <n v="17"/>
    <n v="7"/>
    <n v="74"/>
  </r>
  <r>
    <n v="2025"/>
    <x v="0"/>
    <s v="national network"/>
    <x v="1"/>
    <s v="unknown"/>
    <s v="Yes"/>
    <x v="0"/>
    <n v="7"/>
    <n v="0"/>
    <n v="0"/>
    <n v="0"/>
    <n v="0"/>
    <n v="0"/>
    <n v="0"/>
  </r>
  <r>
    <n v="2025"/>
    <x v="1"/>
    <s v="national network"/>
    <x v="2"/>
    <s v="international"/>
    <s v="No"/>
    <x v="1"/>
    <n v="60"/>
    <n v="0"/>
    <n v="0"/>
    <n v="0"/>
    <n v="0"/>
    <n v="0"/>
    <n v="60"/>
  </r>
  <r>
    <n v="2025"/>
    <x v="2"/>
    <s v="national network"/>
    <x v="3"/>
    <s v="international"/>
    <s v="No"/>
    <x v="1"/>
    <n v="908"/>
    <n v="0"/>
    <n v="0"/>
    <n v="0"/>
    <n v="235"/>
    <n v="104"/>
    <n v="908"/>
  </r>
  <r>
    <n v="2025"/>
    <x v="2"/>
    <s v="national network"/>
    <x v="4"/>
    <s v="international"/>
    <s v="No"/>
    <x v="1"/>
    <n v="177"/>
    <n v="5"/>
    <n v="7"/>
    <n v="12"/>
    <n v="83"/>
    <n v="46"/>
    <n v="169"/>
  </r>
  <r>
    <n v="2025"/>
    <x v="2"/>
    <s v="national network"/>
    <x v="4"/>
    <s v="international"/>
    <s v="No"/>
    <x v="0"/>
    <n v="59"/>
    <n v="0"/>
    <n v="0"/>
    <n v="0"/>
    <n v="52"/>
    <n v="34"/>
    <n v="59"/>
  </r>
  <r>
    <n v="2025"/>
    <x v="2"/>
    <s v="national network"/>
    <x v="0"/>
    <s v="international"/>
    <s v="No"/>
    <x v="1"/>
    <n v="240"/>
    <n v="0"/>
    <n v="0"/>
    <n v="0"/>
    <n v="0"/>
    <n v="0"/>
    <n v="240"/>
  </r>
  <r>
    <n v="2025"/>
    <x v="2"/>
    <s v="national network"/>
    <x v="0"/>
    <s v="international"/>
    <s v="No"/>
    <x v="0"/>
    <n v="60"/>
    <n v="0"/>
    <n v="0"/>
    <n v="0"/>
    <n v="10"/>
    <n v="8"/>
    <n v="60"/>
  </r>
  <r>
    <n v="2025"/>
    <x v="2"/>
    <s v="national network"/>
    <x v="5"/>
    <s v="international"/>
    <s v="No"/>
    <x v="0"/>
    <n v="60"/>
    <n v="0"/>
    <n v="0"/>
    <n v="0"/>
    <n v="51"/>
    <n v="34"/>
    <n v="60"/>
  </r>
  <r>
    <n v="2025"/>
    <x v="2"/>
    <s v="national network"/>
    <x v="6"/>
    <s v="domestic"/>
    <s v="No"/>
    <x v="1"/>
    <n v="120"/>
    <n v="0"/>
    <n v="3"/>
    <n v="3"/>
    <n v="24"/>
    <n v="5"/>
    <n v="120"/>
  </r>
  <r>
    <n v="2025"/>
    <x v="2"/>
    <s v="national network"/>
    <x v="6"/>
    <s v="international"/>
    <s v="No"/>
    <x v="1"/>
    <n v="930"/>
    <n v="0"/>
    <n v="1"/>
    <n v="1"/>
    <n v="186"/>
    <n v="81"/>
    <n v="930"/>
  </r>
  <r>
    <n v="2025"/>
    <x v="3"/>
    <s v="national network"/>
    <x v="3"/>
    <s v="domestic"/>
    <s v="No"/>
    <x v="0"/>
    <n v="1"/>
    <n v="1"/>
    <n v="0"/>
    <n v="1"/>
    <n v="0"/>
    <n v="0"/>
    <n v="0"/>
  </r>
  <r>
    <n v="2025"/>
    <x v="3"/>
    <s v="national network"/>
    <x v="3"/>
    <s v="international"/>
    <s v="No"/>
    <x v="0"/>
    <n v="1966"/>
    <n v="13"/>
    <n v="49"/>
    <n v="62"/>
    <n v="914"/>
    <n v="492"/>
    <n v="1933"/>
  </r>
  <r>
    <n v="2025"/>
    <x v="3"/>
    <s v="national network"/>
    <x v="7"/>
    <s v="international"/>
    <s v="No"/>
    <x v="0"/>
    <n v="54"/>
    <n v="0"/>
    <n v="1"/>
    <n v="1"/>
    <n v="33"/>
    <n v="15"/>
    <n v="54"/>
  </r>
  <r>
    <n v="2025"/>
    <x v="3"/>
    <s v="national network"/>
    <x v="4"/>
    <s v="international"/>
    <s v="No"/>
    <x v="1"/>
    <n v="2"/>
    <n v="1"/>
    <n v="0"/>
    <n v="1"/>
    <n v="1"/>
    <n v="1"/>
    <n v="1"/>
  </r>
  <r>
    <n v="2025"/>
    <x v="3"/>
    <s v="national network"/>
    <x v="4"/>
    <s v="international"/>
    <s v="No"/>
    <x v="0"/>
    <n v="119"/>
    <n v="0"/>
    <n v="2"/>
    <n v="2"/>
    <n v="54"/>
    <n v="34"/>
    <n v="118"/>
  </r>
  <r>
    <n v="2025"/>
    <x v="3"/>
    <s v="national network"/>
    <x v="0"/>
    <s v="domestic"/>
    <s v="No"/>
    <x v="0"/>
    <n v="4468"/>
    <n v="160"/>
    <n v="580"/>
    <n v="740"/>
    <n v="2482"/>
    <n v="1511"/>
    <n v="4120"/>
  </r>
  <r>
    <n v="2025"/>
    <x v="3"/>
    <s v="national network"/>
    <x v="0"/>
    <s v="international"/>
    <s v="No"/>
    <x v="0"/>
    <n v="1914"/>
    <n v="33"/>
    <n v="99"/>
    <n v="132"/>
    <n v="977"/>
    <n v="533"/>
    <n v="1849"/>
  </r>
  <r>
    <n v="2025"/>
    <x v="3"/>
    <s v="national network"/>
    <x v="8"/>
    <s v="domestic"/>
    <s v="Yes"/>
    <x v="0"/>
    <n v="14239"/>
    <n v="398"/>
    <n v="1420"/>
    <n v="1818"/>
    <n v="7949"/>
    <n v="4867"/>
    <n v="13257"/>
  </r>
  <r>
    <n v="2025"/>
    <x v="3"/>
    <s v="national network"/>
    <x v="8"/>
    <s v="international"/>
    <s v="Yes"/>
    <x v="0"/>
    <n v="3705"/>
    <n v="18"/>
    <n v="322"/>
    <n v="340"/>
    <n v="2233"/>
    <n v="1328"/>
    <n v="3533"/>
  </r>
  <r>
    <n v="2025"/>
    <x v="3"/>
    <s v="national network"/>
    <x v="8"/>
    <s v="unknown"/>
    <s v="Yes"/>
    <x v="0"/>
    <n v="3"/>
    <n v="0"/>
    <n v="0"/>
    <n v="0"/>
    <n v="0"/>
    <n v="0"/>
    <n v="0"/>
  </r>
  <r>
    <n v="2025"/>
    <x v="3"/>
    <s v="national network"/>
    <x v="9"/>
    <s v="international"/>
    <s v="No"/>
    <x v="0"/>
    <n v="494"/>
    <n v="13"/>
    <n v="0"/>
    <n v="13"/>
    <n v="13"/>
    <n v="2"/>
    <n v="481"/>
  </r>
  <r>
    <n v="2025"/>
    <x v="3"/>
    <s v="national network"/>
    <x v="5"/>
    <s v="domestic"/>
    <s v="No"/>
    <x v="0"/>
    <n v="29"/>
    <n v="2"/>
    <n v="3"/>
    <n v="5"/>
    <n v="11"/>
    <n v="7"/>
    <n v="25"/>
  </r>
  <r>
    <n v="2025"/>
    <x v="3"/>
    <s v="national network"/>
    <x v="5"/>
    <s v="international"/>
    <s v="No"/>
    <x v="0"/>
    <n v="780"/>
    <n v="6"/>
    <n v="32"/>
    <n v="38"/>
    <n v="438"/>
    <n v="315"/>
    <n v="769"/>
  </r>
  <r>
    <n v="2025"/>
    <x v="3"/>
    <s v="national network"/>
    <x v="6"/>
    <s v="domestic"/>
    <s v="No"/>
    <x v="0"/>
    <n v="60"/>
    <n v="2"/>
    <n v="1"/>
    <n v="3"/>
    <n v="16"/>
    <n v="8"/>
    <n v="58"/>
  </r>
  <r>
    <n v="2025"/>
    <x v="3"/>
    <s v="national network"/>
    <x v="6"/>
    <s v="international"/>
    <s v="No"/>
    <x v="0"/>
    <n v="470"/>
    <n v="3"/>
    <n v="6"/>
    <n v="9"/>
    <n v="176"/>
    <n v="66"/>
    <n v="464"/>
  </r>
  <r>
    <n v="2025"/>
    <x v="3"/>
    <s v="national network"/>
    <x v="10"/>
    <s v="international"/>
    <s v="Yes"/>
    <x v="0"/>
    <n v="356"/>
    <n v="0"/>
    <n v="6"/>
    <n v="6"/>
    <n v="204"/>
    <n v="93"/>
    <n v="355"/>
  </r>
  <r>
    <n v="2025"/>
    <x v="3"/>
    <s v="national network"/>
    <x v="11"/>
    <s v="international"/>
    <s v="Yes"/>
    <x v="0"/>
    <n v="135"/>
    <n v="3"/>
    <n v="3"/>
    <n v="6"/>
    <n v="65"/>
    <n v="35"/>
    <n v="129"/>
  </r>
  <r>
    <n v="2025"/>
    <x v="3"/>
    <s v="national network"/>
    <x v="1"/>
    <s v="international"/>
    <s v="Yes"/>
    <x v="0"/>
    <n v="4"/>
    <n v="2"/>
    <n v="0"/>
    <n v="2"/>
    <n v="0"/>
    <n v="0"/>
    <n v="2"/>
  </r>
  <r>
    <n v="2025"/>
    <x v="3"/>
    <s v="national network"/>
    <x v="1"/>
    <s v="unknown"/>
    <s v="Yes"/>
    <x v="0"/>
    <n v="1"/>
    <n v="0"/>
    <n v="0"/>
    <n v="0"/>
    <n v="0"/>
    <n v="0"/>
    <n v="0"/>
  </r>
  <r>
    <n v="2025"/>
    <x v="4"/>
    <s v="national network"/>
    <x v="3"/>
    <s v="international"/>
    <s v="No"/>
    <x v="1"/>
    <n v="363"/>
    <n v="1"/>
    <n v="1"/>
    <n v="2"/>
    <n v="159"/>
    <n v="67"/>
    <n v="361"/>
  </r>
  <r>
    <n v="2025"/>
    <x v="4"/>
    <s v="national network"/>
    <x v="0"/>
    <s v="international"/>
    <s v="No"/>
    <x v="0"/>
    <n v="461"/>
    <n v="0"/>
    <n v="0"/>
    <n v="0"/>
    <n v="50"/>
    <n v="9"/>
    <n v="461"/>
  </r>
  <r>
    <n v="2025"/>
    <x v="4"/>
    <s v="national network"/>
    <x v="5"/>
    <s v="international"/>
    <s v="No"/>
    <x v="0"/>
    <n v="19"/>
    <n v="0"/>
    <n v="0"/>
    <n v="0"/>
    <n v="2"/>
    <n v="2"/>
    <n v="19"/>
  </r>
  <r>
    <n v="2025"/>
    <x v="5"/>
    <s v="whole journey"/>
    <x v="12"/>
    <s v="international"/>
    <s v="No"/>
    <x v="0"/>
    <n v="26"/>
    <n v="0"/>
    <n v="7"/>
    <n v="7"/>
    <n v="12"/>
    <n v="9"/>
    <n v="23"/>
  </r>
  <r>
    <n v="2025"/>
    <x v="6"/>
    <s v="whole journey"/>
    <x v="13"/>
    <s v="international"/>
    <s v="Yes"/>
    <x v="0"/>
    <n v="3580"/>
    <n v="72"/>
    <n v="165"/>
    <n v="237"/>
    <n v="940"/>
    <n v="562"/>
    <n v="3497"/>
  </r>
  <r>
    <n v="2025"/>
    <x v="7"/>
    <s v="whole journey"/>
    <x v="14"/>
    <s v="domestic"/>
    <s v="No"/>
    <x v="0"/>
    <n v="470"/>
    <n v="4"/>
    <n v="25"/>
    <n v="29"/>
    <n v="308"/>
    <n v="211"/>
    <n v="464"/>
  </r>
  <r>
    <n v="2025"/>
    <x v="7"/>
    <s v="whole journey"/>
    <x v="14"/>
    <s v="international"/>
    <s v="No"/>
    <x v="0"/>
    <n v="57"/>
    <n v="0"/>
    <n v="3"/>
    <n v="3"/>
    <n v="23"/>
    <n v="9"/>
    <n v="57"/>
  </r>
  <r>
    <n v="2025"/>
    <x v="8"/>
    <s v="national network"/>
    <x v="2"/>
    <s v="international"/>
    <s v="No"/>
    <x v="1"/>
    <n v="179"/>
    <n v="0"/>
    <n v="0"/>
    <n v="0"/>
    <n v="0"/>
    <n v="0"/>
    <n v="179"/>
  </r>
  <r>
    <n v="2025"/>
    <x v="8"/>
    <s v="national network"/>
    <x v="4"/>
    <s v="domestic"/>
    <s v="No"/>
    <x v="1"/>
    <n v="23"/>
    <n v="0"/>
    <n v="0"/>
    <n v="0"/>
    <n v="0"/>
    <n v="0"/>
    <n v="23"/>
  </r>
  <r>
    <n v="2025"/>
    <x v="8"/>
    <s v="national network"/>
    <x v="4"/>
    <s v="international"/>
    <s v="No"/>
    <x v="1"/>
    <n v="242"/>
    <n v="0"/>
    <n v="1"/>
    <n v="1"/>
    <n v="26"/>
    <n v="15"/>
    <n v="241"/>
  </r>
  <r>
    <n v="2025"/>
    <x v="9"/>
    <s v="national network"/>
    <x v="2"/>
    <s v="international"/>
    <s v="No"/>
    <x v="1"/>
    <n v="120"/>
    <n v="0"/>
    <n v="0"/>
    <n v="0"/>
    <n v="0"/>
    <n v="0"/>
    <n v="120"/>
  </r>
  <r>
    <n v="2025"/>
    <x v="9"/>
    <s v="national network"/>
    <x v="3"/>
    <s v="international"/>
    <s v="No"/>
    <x v="0"/>
    <n v="524"/>
    <n v="0"/>
    <n v="0"/>
    <n v="0"/>
    <n v="74"/>
    <n v="42"/>
    <n v="524"/>
  </r>
  <r>
    <n v="2025"/>
    <x v="9"/>
    <s v="national network"/>
    <x v="4"/>
    <s v="international"/>
    <s v="No"/>
    <x v="0"/>
    <n v="119"/>
    <n v="0"/>
    <n v="0"/>
    <n v="0"/>
    <n v="19"/>
    <n v="12"/>
    <n v="119"/>
  </r>
  <r>
    <n v="2025"/>
    <x v="9"/>
    <s v="national network"/>
    <x v="0"/>
    <s v="international"/>
    <s v="No"/>
    <x v="0"/>
    <n v="209"/>
    <n v="0"/>
    <n v="0"/>
    <n v="0"/>
    <n v="2"/>
    <n v="1"/>
    <n v="209"/>
  </r>
  <r>
    <n v="2025"/>
    <x v="9"/>
    <s v="national network"/>
    <x v="5"/>
    <s v="international"/>
    <s v="No"/>
    <x v="0"/>
    <n v="2"/>
    <n v="0"/>
    <n v="0"/>
    <n v="0"/>
    <n v="0"/>
    <n v="0"/>
    <n v="2"/>
  </r>
  <r>
    <n v="2025"/>
    <x v="9"/>
    <s v="national network"/>
    <x v="10"/>
    <s v="international"/>
    <s v="Yes"/>
    <x v="0"/>
    <n v="480"/>
    <n v="0"/>
    <n v="0"/>
    <n v="0"/>
    <n v="221"/>
    <n v="130"/>
    <n v="480"/>
  </r>
  <r>
    <n v="2025"/>
    <x v="10"/>
    <s v="national network"/>
    <x v="15"/>
    <s v="international"/>
    <s v="No"/>
    <x v="0"/>
    <n v="804"/>
    <n v="18"/>
    <n v="1"/>
    <n v="19"/>
    <n v="33"/>
    <n v="7"/>
    <n v="786"/>
  </r>
  <r>
    <n v="2025"/>
    <x v="10"/>
    <s v="national network"/>
    <x v="0"/>
    <s v="domestic"/>
    <s v="No"/>
    <x v="0"/>
    <n v="36068"/>
    <n v="0"/>
    <n v="3274"/>
    <n v="3274"/>
    <n v="2407"/>
    <n v="419"/>
    <n v="33480"/>
  </r>
  <r>
    <n v="2025"/>
    <x v="10"/>
    <s v="national network"/>
    <x v="0"/>
    <s v="international"/>
    <s v="No"/>
    <x v="0"/>
    <n v="453"/>
    <n v="40"/>
    <n v="13"/>
    <n v="53"/>
    <n v="209"/>
    <n v="164"/>
    <n v="406"/>
  </r>
  <r>
    <n v="2025"/>
    <x v="10"/>
    <s v="national network"/>
    <x v="16"/>
    <s v="domestic"/>
    <s v="No"/>
    <x v="0"/>
    <n v="3095"/>
    <n v="0"/>
    <n v="532"/>
    <n v="532"/>
    <n v="281"/>
    <n v="58"/>
    <n v="2742"/>
  </r>
  <r>
    <n v="2025"/>
    <x v="10"/>
    <s v="national network"/>
    <x v="8"/>
    <s v="international"/>
    <s v="Yes"/>
    <x v="0"/>
    <n v="447"/>
    <n v="4"/>
    <n v="108"/>
    <n v="112"/>
    <n v="199"/>
    <n v="150"/>
    <n v="411"/>
  </r>
  <r>
    <n v="2025"/>
    <x v="10"/>
    <s v="national network"/>
    <x v="5"/>
    <s v="international"/>
    <s v="No"/>
    <x v="0"/>
    <n v="185"/>
    <n v="2"/>
    <n v="13"/>
    <n v="15"/>
    <n v="109"/>
    <n v="86"/>
    <n v="178"/>
  </r>
  <r>
    <n v="2025"/>
    <x v="10"/>
    <s v="national network"/>
    <x v="17"/>
    <s v="domestic"/>
    <s v="No"/>
    <x v="1"/>
    <n v="13"/>
    <n v="0"/>
    <n v="0"/>
    <n v="0"/>
    <n v="4"/>
    <n v="2"/>
    <n v="13"/>
  </r>
  <r>
    <n v="2025"/>
    <x v="10"/>
    <s v="national network"/>
    <x v="18"/>
    <s v="domestic"/>
    <s v="No"/>
    <x v="1"/>
    <n v="4137"/>
    <n v="0"/>
    <n v="141"/>
    <n v="141"/>
    <n v="139"/>
    <n v="8"/>
    <n v="4039"/>
  </r>
  <r>
    <n v="2025"/>
    <x v="10"/>
    <s v="national network"/>
    <x v="19"/>
    <s v="domestic"/>
    <s v="No"/>
    <x v="1"/>
    <n v="78163"/>
    <n v="0"/>
    <n v="3177"/>
    <n v="3177"/>
    <n v="2654"/>
    <n v="289"/>
    <n v="75830"/>
  </r>
  <r>
    <n v="2025"/>
    <x v="10"/>
    <s v="national network"/>
    <x v="19"/>
    <s v="unknown"/>
    <s v="No"/>
    <x v="1"/>
    <n v="1"/>
    <n v="1"/>
    <n v="0"/>
    <n v="1"/>
    <n v="0"/>
    <n v="0"/>
    <n v="0"/>
  </r>
  <r>
    <n v="2025"/>
    <x v="10"/>
    <s v="national network"/>
    <x v="20"/>
    <s v="domestic"/>
    <s v="No"/>
    <x v="1"/>
    <n v="37213"/>
    <n v="0"/>
    <n v="1218"/>
    <n v="1218"/>
    <n v="971"/>
    <n v="85"/>
    <n v="36286"/>
  </r>
  <r>
    <n v="2025"/>
    <x v="11"/>
    <s v="national network"/>
    <x v="2"/>
    <s v="domestic"/>
    <s v="No"/>
    <x v="0"/>
    <n v="476"/>
    <n v="3"/>
    <n v="0"/>
    <n v="3"/>
    <n v="97"/>
    <n v="28"/>
    <n v="473"/>
  </r>
  <r>
    <n v="2025"/>
    <x v="11"/>
    <s v="national network"/>
    <x v="2"/>
    <s v="international"/>
    <s v="No"/>
    <x v="0"/>
    <n v="899"/>
    <n v="0"/>
    <n v="3"/>
    <n v="3"/>
    <n v="210"/>
    <n v="71"/>
    <n v="898"/>
  </r>
  <r>
    <n v="2025"/>
    <x v="11"/>
    <s v="national network"/>
    <x v="3"/>
    <s v="domestic"/>
    <s v="No"/>
    <x v="0"/>
    <n v="97"/>
    <n v="0"/>
    <n v="1"/>
    <n v="1"/>
    <n v="19"/>
    <n v="8"/>
    <n v="97"/>
  </r>
  <r>
    <n v="2025"/>
    <x v="11"/>
    <s v="national network"/>
    <x v="3"/>
    <s v="international"/>
    <s v="No"/>
    <x v="0"/>
    <n v="1570"/>
    <n v="12"/>
    <n v="0"/>
    <n v="12"/>
    <n v="488"/>
    <n v="224"/>
    <n v="1558"/>
  </r>
  <r>
    <n v="2025"/>
    <x v="11"/>
    <s v="national network"/>
    <x v="4"/>
    <s v="international"/>
    <s v="No"/>
    <x v="1"/>
    <n v="384"/>
    <n v="0"/>
    <n v="0"/>
    <n v="0"/>
    <n v="31"/>
    <n v="16"/>
    <n v="384"/>
  </r>
  <r>
    <n v="2025"/>
    <x v="11"/>
    <s v="national network"/>
    <x v="4"/>
    <s v="international"/>
    <s v="No"/>
    <x v="0"/>
    <n v="30"/>
    <n v="0"/>
    <n v="0"/>
    <n v="0"/>
    <n v="11"/>
    <n v="8"/>
    <n v="30"/>
  </r>
  <r>
    <n v="2025"/>
    <x v="11"/>
    <s v="national network"/>
    <x v="0"/>
    <s v="domestic"/>
    <s v="No"/>
    <x v="0"/>
    <n v="1292"/>
    <n v="0"/>
    <n v="175"/>
    <n v="175"/>
    <n v="167"/>
    <n v="44"/>
    <n v="1207"/>
  </r>
  <r>
    <n v="2025"/>
    <x v="11"/>
    <s v="national network"/>
    <x v="0"/>
    <s v="international"/>
    <s v="No"/>
    <x v="0"/>
    <n v="487"/>
    <n v="0"/>
    <n v="1"/>
    <n v="1"/>
    <n v="65"/>
    <n v="46"/>
    <n v="487"/>
  </r>
  <r>
    <n v="2025"/>
    <x v="11"/>
    <s v="national network"/>
    <x v="8"/>
    <s v="domestic"/>
    <s v="Yes"/>
    <x v="0"/>
    <n v="30"/>
    <n v="0"/>
    <n v="0"/>
    <n v="0"/>
    <n v="0"/>
    <n v="0"/>
    <n v="30"/>
  </r>
  <r>
    <n v="2025"/>
    <x v="11"/>
    <s v="national network"/>
    <x v="8"/>
    <s v="international"/>
    <s v="Yes"/>
    <x v="0"/>
    <n v="666"/>
    <n v="7"/>
    <n v="3"/>
    <n v="10"/>
    <n v="220"/>
    <n v="163"/>
    <n v="657"/>
  </r>
  <r>
    <n v="2025"/>
    <x v="11"/>
    <s v="national network"/>
    <x v="9"/>
    <s v="domestic"/>
    <s v="No"/>
    <x v="0"/>
    <n v="44"/>
    <n v="0"/>
    <n v="0"/>
    <n v="0"/>
    <n v="0"/>
    <n v="0"/>
    <n v="44"/>
  </r>
  <r>
    <n v="2025"/>
    <x v="11"/>
    <s v="national network"/>
    <x v="5"/>
    <s v="domestic"/>
    <s v="No"/>
    <x v="0"/>
    <n v="60"/>
    <n v="0"/>
    <n v="1"/>
    <n v="1"/>
    <n v="3"/>
    <n v="1"/>
    <n v="60"/>
  </r>
  <r>
    <n v="2025"/>
    <x v="11"/>
    <s v="national network"/>
    <x v="5"/>
    <s v="international"/>
    <s v="No"/>
    <x v="0"/>
    <n v="835"/>
    <n v="3"/>
    <n v="2"/>
    <n v="5"/>
    <n v="267"/>
    <n v="162"/>
    <n v="830"/>
  </r>
  <r>
    <n v="2025"/>
    <x v="11"/>
    <s v="national network"/>
    <x v="6"/>
    <s v="domestic"/>
    <s v="No"/>
    <x v="0"/>
    <n v="1889"/>
    <n v="7"/>
    <n v="112"/>
    <n v="119"/>
    <n v="289"/>
    <n v="77"/>
    <n v="1813"/>
  </r>
  <r>
    <n v="2025"/>
    <x v="11"/>
    <s v="national network"/>
    <x v="6"/>
    <s v="international"/>
    <s v="No"/>
    <x v="0"/>
    <n v="569"/>
    <n v="0"/>
    <n v="5"/>
    <n v="5"/>
    <n v="220"/>
    <n v="95"/>
    <n v="568"/>
  </r>
  <r>
    <n v="2025"/>
    <x v="11"/>
    <s v="national network"/>
    <x v="10"/>
    <s v="domestic"/>
    <s v="Yes"/>
    <x v="0"/>
    <n v="899"/>
    <n v="0"/>
    <n v="27"/>
    <n v="27"/>
    <n v="384"/>
    <n v="208"/>
    <n v="888"/>
  </r>
  <r>
    <n v="2025"/>
    <x v="11"/>
    <s v="national network"/>
    <x v="10"/>
    <s v="international"/>
    <s v="Yes"/>
    <x v="0"/>
    <n v="1029"/>
    <n v="0"/>
    <n v="7"/>
    <n v="7"/>
    <n v="463"/>
    <n v="242"/>
    <n v="1025"/>
  </r>
  <r>
    <n v="2025"/>
    <x v="12"/>
    <s v="national network"/>
    <x v="9"/>
    <s v="domestic"/>
    <s v="No"/>
    <x v="1"/>
    <n v="10995"/>
    <n v="11"/>
    <n v="137"/>
    <n v="148"/>
    <n v="6"/>
    <n v="2"/>
    <n v="10871"/>
  </r>
  <r>
    <n v="2025"/>
    <x v="12"/>
    <s v="national network"/>
    <x v="9"/>
    <s v="international"/>
    <s v="No"/>
    <x v="1"/>
    <n v="27"/>
    <n v="0"/>
    <n v="0"/>
    <n v="0"/>
    <n v="0"/>
    <n v="0"/>
    <n v="27"/>
  </r>
  <r>
    <n v="2025"/>
    <x v="13"/>
    <s v="whole journey"/>
    <x v="21"/>
    <s v="international"/>
    <s v="No"/>
    <x v="1"/>
    <n v="127"/>
    <n v="0"/>
    <n v="1"/>
    <n v="1"/>
    <n v="10"/>
    <n v="6"/>
    <n v="126"/>
  </r>
  <r>
    <n v="2025"/>
    <x v="13"/>
    <s v="whole journey"/>
    <x v="22"/>
    <s v="domestic"/>
    <s v="Yes"/>
    <x v="0"/>
    <n v="1878"/>
    <n v="12"/>
    <n v="16"/>
    <n v="28"/>
    <n v="335"/>
    <n v="188"/>
    <n v="1860"/>
  </r>
  <r>
    <n v="2025"/>
    <x v="13"/>
    <s v="whole journey"/>
    <x v="22"/>
    <s v="unknown"/>
    <s v="Yes"/>
    <x v="0"/>
    <n v="59"/>
    <n v="0"/>
    <n v="0"/>
    <n v="0"/>
    <n v="0"/>
    <n v="0"/>
    <n v="0"/>
  </r>
  <r>
    <n v="2025"/>
    <x v="14"/>
    <s v="national network"/>
    <x v="3"/>
    <s v="international"/>
    <s v="No"/>
    <x v="1"/>
    <n v="884"/>
    <n v="2"/>
    <n v="0"/>
    <n v="2"/>
    <n v="243"/>
    <n v="108"/>
    <n v="882"/>
  </r>
  <r>
    <n v="2025"/>
    <x v="14"/>
    <s v="national network"/>
    <x v="4"/>
    <s v="international"/>
    <s v="No"/>
    <x v="1"/>
    <n v="240"/>
    <n v="0"/>
    <n v="14"/>
    <n v="14"/>
    <n v="73"/>
    <n v="45"/>
    <n v="240"/>
  </r>
  <r>
    <n v="2025"/>
    <x v="14"/>
    <s v="national network"/>
    <x v="0"/>
    <s v="international"/>
    <s v="No"/>
    <x v="0"/>
    <n v="60"/>
    <n v="0"/>
    <n v="0"/>
    <n v="0"/>
    <n v="22"/>
    <n v="11"/>
    <n v="60"/>
  </r>
  <r>
    <n v="2025"/>
    <x v="15"/>
    <s v="national network"/>
    <x v="23"/>
    <s v="domestic"/>
    <s v="No"/>
    <x v="1"/>
    <n v="1546"/>
    <n v="0"/>
    <n v="0"/>
    <n v="0"/>
    <n v="0"/>
    <n v="0"/>
    <n v="1546"/>
  </r>
  <r>
    <n v="2025"/>
    <x v="15"/>
    <s v="national network"/>
    <x v="23"/>
    <s v="international"/>
    <s v="No"/>
    <x v="1"/>
    <n v="180"/>
    <n v="0"/>
    <n v="0"/>
    <n v="0"/>
    <n v="0"/>
    <n v="0"/>
    <n v="180"/>
  </r>
  <r>
    <n v="2025"/>
    <x v="16"/>
    <s v="national network"/>
    <x v="3"/>
    <s v="domestic"/>
    <s v="No"/>
    <x v="0"/>
    <n v="63"/>
    <n v="1"/>
    <n v="0"/>
    <n v="1"/>
    <n v="1"/>
    <n v="0"/>
    <n v="62"/>
  </r>
  <r>
    <n v="2025"/>
    <x v="16"/>
    <s v="national network"/>
    <x v="3"/>
    <s v="international"/>
    <s v="No"/>
    <x v="0"/>
    <n v="1784"/>
    <n v="19"/>
    <n v="44"/>
    <n v="63"/>
    <n v="330"/>
    <n v="197"/>
    <n v="1738"/>
  </r>
  <r>
    <n v="2025"/>
    <x v="16"/>
    <s v="national network"/>
    <x v="7"/>
    <s v="international"/>
    <s v="No"/>
    <x v="1"/>
    <n v="272"/>
    <n v="1"/>
    <n v="1"/>
    <n v="2"/>
    <n v="151"/>
    <n v="36"/>
    <n v="270"/>
  </r>
  <r>
    <n v="2025"/>
    <x v="16"/>
    <s v="national network"/>
    <x v="4"/>
    <s v="international"/>
    <s v="No"/>
    <x v="0"/>
    <n v="59"/>
    <n v="0"/>
    <n v="0"/>
    <n v="0"/>
    <n v="3"/>
    <n v="3"/>
    <n v="59"/>
  </r>
  <r>
    <n v="2025"/>
    <x v="16"/>
    <s v="national network"/>
    <x v="0"/>
    <s v="domestic"/>
    <s v="No"/>
    <x v="0"/>
    <n v="11296"/>
    <n v="45"/>
    <n v="231"/>
    <n v="276"/>
    <n v="24"/>
    <n v="16"/>
    <n v="11062"/>
  </r>
  <r>
    <n v="2025"/>
    <x v="16"/>
    <s v="national network"/>
    <x v="0"/>
    <s v="international"/>
    <s v="No"/>
    <x v="0"/>
    <n v="1164"/>
    <n v="54"/>
    <n v="42"/>
    <n v="96"/>
    <n v="293"/>
    <n v="148"/>
    <n v="1089"/>
  </r>
  <r>
    <n v="2025"/>
    <x v="16"/>
    <s v="national network"/>
    <x v="8"/>
    <s v="domestic"/>
    <s v="Yes"/>
    <x v="0"/>
    <n v="44"/>
    <n v="1"/>
    <n v="0"/>
    <n v="1"/>
    <n v="0"/>
    <n v="0"/>
    <n v="43"/>
  </r>
  <r>
    <n v="2025"/>
    <x v="16"/>
    <s v="national network"/>
    <x v="8"/>
    <s v="international"/>
    <s v="Yes"/>
    <x v="0"/>
    <n v="1397"/>
    <n v="87"/>
    <n v="205"/>
    <n v="292"/>
    <n v="256"/>
    <n v="95"/>
    <n v="1199"/>
  </r>
  <r>
    <n v="2025"/>
    <x v="16"/>
    <s v="national network"/>
    <x v="9"/>
    <s v="domestic"/>
    <s v="No"/>
    <x v="0"/>
    <n v="12689"/>
    <n v="46"/>
    <n v="114"/>
    <n v="160"/>
    <n v="13"/>
    <n v="4"/>
    <n v="12573"/>
  </r>
  <r>
    <n v="2025"/>
    <x v="16"/>
    <s v="national network"/>
    <x v="9"/>
    <s v="international"/>
    <s v="No"/>
    <x v="0"/>
    <n v="1049"/>
    <n v="3"/>
    <n v="23"/>
    <n v="26"/>
    <n v="25"/>
    <n v="1"/>
    <n v="1028"/>
  </r>
  <r>
    <n v="2025"/>
    <x v="16"/>
    <s v="national network"/>
    <x v="24"/>
    <s v="international"/>
    <s v="Yes"/>
    <x v="0"/>
    <n v="747"/>
    <n v="3"/>
    <n v="5"/>
    <n v="8"/>
    <n v="105"/>
    <n v="69"/>
    <n v="741"/>
  </r>
  <r>
    <n v="2025"/>
    <x v="16"/>
    <s v="national network"/>
    <x v="24"/>
    <s v="unknown"/>
    <s v="Yes"/>
    <x v="0"/>
    <n v="4"/>
    <n v="0"/>
    <n v="0"/>
    <n v="0"/>
    <n v="0"/>
    <n v="0"/>
    <n v="0"/>
  </r>
  <r>
    <n v="2025"/>
    <x v="16"/>
    <s v="national network"/>
    <x v="5"/>
    <s v="international"/>
    <s v="No"/>
    <x v="0"/>
    <n v="291"/>
    <n v="2"/>
    <n v="0"/>
    <n v="2"/>
    <n v="80"/>
    <n v="47"/>
    <n v="289"/>
  </r>
  <r>
    <n v="2025"/>
    <x v="16"/>
    <s v="national network"/>
    <x v="10"/>
    <s v="international"/>
    <s v="Yes"/>
    <x v="0"/>
    <n v="360"/>
    <n v="1"/>
    <n v="17"/>
    <n v="18"/>
    <n v="72"/>
    <n v="58"/>
    <n v="352"/>
  </r>
  <r>
    <n v="2025"/>
    <x v="17"/>
    <s v="national network"/>
    <x v="4"/>
    <s v="international"/>
    <s v="No"/>
    <x v="1"/>
    <n v="168"/>
    <n v="6"/>
    <n v="3"/>
    <n v="9"/>
    <n v="66"/>
    <n v="47"/>
    <n v="160"/>
  </r>
  <r>
    <n v="2025"/>
    <x v="17"/>
    <s v="national network"/>
    <x v="5"/>
    <s v="international"/>
    <s v="No"/>
    <x v="0"/>
    <n v="19"/>
    <n v="0"/>
    <n v="0"/>
    <n v="0"/>
    <n v="3"/>
    <n v="3"/>
    <n v="19"/>
  </r>
  <r>
    <n v="2025"/>
    <x v="18"/>
    <s v="national network"/>
    <x v="15"/>
    <s v="international"/>
    <s v="No"/>
    <x v="1"/>
    <n v="833"/>
    <n v="11"/>
    <n v="18"/>
    <n v="29"/>
    <n v="158"/>
    <n v="35"/>
    <n v="816"/>
  </r>
  <r>
    <n v="2025"/>
    <x v="18"/>
    <s v="national network"/>
    <x v="0"/>
    <s v="domestic"/>
    <s v="No"/>
    <x v="0"/>
    <n v="29674"/>
    <n v="65"/>
    <n v="470"/>
    <n v="535"/>
    <n v="3562"/>
    <n v="751"/>
    <n v="29325"/>
  </r>
  <r>
    <n v="2025"/>
    <x v="18"/>
    <s v="national network"/>
    <x v="0"/>
    <s v="international"/>
    <s v="No"/>
    <x v="0"/>
    <n v="3614"/>
    <n v="17"/>
    <n v="56"/>
    <n v="73"/>
    <n v="366"/>
    <n v="79"/>
    <n v="3563"/>
  </r>
  <r>
    <n v="2025"/>
    <x v="18"/>
    <s v="national network"/>
    <x v="0"/>
    <s v="unknown"/>
    <s v="No"/>
    <x v="0"/>
    <n v="1"/>
    <n v="0"/>
    <n v="0"/>
    <n v="0"/>
    <n v="0"/>
    <n v="0"/>
    <n v="0"/>
  </r>
  <r>
    <n v="2025"/>
    <x v="18"/>
    <s v="national network"/>
    <x v="8"/>
    <s v="international"/>
    <s v="Yes"/>
    <x v="0"/>
    <n v="462"/>
    <n v="2"/>
    <n v="2"/>
    <n v="4"/>
    <n v="155"/>
    <n v="42"/>
    <n v="459"/>
  </r>
  <r>
    <n v="2025"/>
    <x v="18"/>
    <s v="national network"/>
    <x v="25"/>
    <s v="domestic"/>
    <s v="No"/>
    <x v="1"/>
    <n v="18153"/>
    <n v="34"/>
    <n v="88"/>
    <n v="122"/>
    <n v="1301"/>
    <n v="177"/>
    <n v="18058"/>
  </r>
  <r>
    <n v="2025"/>
    <x v="18"/>
    <s v="national network"/>
    <x v="25"/>
    <s v="international"/>
    <s v="No"/>
    <x v="1"/>
    <n v="5353"/>
    <n v="14"/>
    <n v="3"/>
    <n v="17"/>
    <n v="158"/>
    <n v="20"/>
    <n v="5337"/>
  </r>
  <r>
    <n v="2025"/>
    <x v="18"/>
    <s v="national network"/>
    <x v="25"/>
    <s v="unknown"/>
    <s v="No"/>
    <x v="1"/>
    <n v="6"/>
    <n v="0"/>
    <n v="0"/>
    <n v="0"/>
    <n v="0"/>
    <n v="0"/>
    <n v="0"/>
  </r>
  <r>
    <n v="2025"/>
    <x v="18"/>
    <s v="national network"/>
    <x v="5"/>
    <s v="international"/>
    <s v="No"/>
    <x v="0"/>
    <n v="52"/>
    <n v="0"/>
    <n v="0"/>
    <n v="0"/>
    <n v="22"/>
    <n v="13"/>
    <n v="52"/>
  </r>
  <r>
    <n v="2025"/>
    <x v="18"/>
    <s v="national network"/>
    <x v="26"/>
    <s v="domestic"/>
    <s v="No"/>
    <x v="1"/>
    <n v="5690"/>
    <n v="52"/>
    <n v="23"/>
    <n v="75"/>
    <n v="576"/>
    <n v="93"/>
    <n v="5616"/>
  </r>
  <r>
    <n v="2025"/>
    <x v="18"/>
    <s v="national network"/>
    <x v="26"/>
    <s v="international"/>
    <s v="No"/>
    <x v="1"/>
    <n v="297"/>
    <n v="2"/>
    <n v="0"/>
    <n v="2"/>
    <n v="13"/>
    <n v="1"/>
    <n v="295"/>
  </r>
  <r>
    <n v="2025"/>
    <x v="18"/>
    <s v="national network"/>
    <x v="18"/>
    <s v="domestic"/>
    <s v="No"/>
    <x v="1"/>
    <n v="29357"/>
    <n v="49"/>
    <n v="329"/>
    <n v="378"/>
    <n v="2242"/>
    <n v="370"/>
    <n v="29155"/>
  </r>
  <r>
    <n v="2025"/>
    <x v="18"/>
    <s v="national network"/>
    <x v="18"/>
    <s v="international"/>
    <s v="No"/>
    <x v="1"/>
    <n v="3529"/>
    <n v="14"/>
    <n v="39"/>
    <n v="53"/>
    <n v="362"/>
    <n v="42"/>
    <n v="3488"/>
  </r>
  <r>
    <n v="2025"/>
    <x v="18"/>
    <s v="national network"/>
    <x v="1"/>
    <s v="international"/>
    <s v="Yes"/>
    <x v="0"/>
    <n v="178"/>
    <n v="1"/>
    <n v="0"/>
    <n v="1"/>
    <n v="31"/>
    <n v="16"/>
    <n v="177"/>
  </r>
  <r>
    <n v="2025"/>
    <x v="18"/>
    <s v="national network"/>
    <x v="1"/>
    <s v="unknown"/>
    <s v="Yes"/>
    <x v="0"/>
    <n v="1"/>
    <n v="0"/>
    <n v="0"/>
    <n v="0"/>
    <n v="0"/>
    <n v="0"/>
    <n v="0"/>
  </r>
  <r>
    <n v="2025"/>
    <x v="19"/>
    <s v="national network"/>
    <x v="27"/>
    <s v="domestic"/>
    <s v="No"/>
    <x v="1"/>
    <n v="842"/>
    <n v="0"/>
    <n v="0"/>
    <n v="0"/>
    <n v="3"/>
    <n v="0"/>
    <n v="842"/>
  </r>
  <r>
    <n v="2025"/>
    <x v="19"/>
    <s v="national network"/>
    <x v="27"/>
    <s v="international"/>
    <s v="No"/>
    <x v="1"/>
    <n v="7"/>
    <n v="0"/>
    <n v="0"/>
    <n v="0"/>
    <n v="0"/>
    <n v="0"/>
    <n v="7"/>
  </r>
  <r>
    <n v="2025"/>
    <x v="19"/>
    <s v="national network"/>
    <x v="27"/>
    <s v="unknown"/>
    <s v="No"/>
    <x v="1"/>
    <n v="65"/>
    <n v="0"/>
    <n v="0"/>
    <n v="0"/>
    <n v="0"/>
    <n v="0"/>
    <n v="0"/>
  </r>
  <r>
    <n v="2025"/>
    <x v="19"/>
    <s v="national network"/>
    <x v="0"/>
    <s v="international"/>
    <s v="No"/>
    <x v="0"/>
    <n v="2026"/>
    <n v="28"/>
    <n v="0"/>
    <n v="28"/>
    <n v="2"/>
    <n v="1"/>
    <n v="1998"/>
  </r>
  <r>
    <n v="2025"/>
    <x v="19"/>
    <s v="national network"/>
    <x v="8"/>
    <s v="international"/>
    <s v="Yes"/>
    <x v="0"/>
    <n v="682"/>
    <n v="5"/>
    <n v="9"/>
    <n v="14"/>
    <n v="195"/>
    <n v="106"/>
    <n v="675"/>
  </r>
  <r>
    <n v="2025"/>
    <x v="19"/>
    <s v="national network"/>
    <x v="28"/>
    <s v="domestic"/>
    <s v="No"/>
    <x v="0"/>
    <n v="1984"/>
    <n v="26"/>
    <n v="25"/>
    <n v="51"/>
    <n v="400"/>
    <n v="250"/>
    <n v="1949"/>
  </r>
  <r>
    <n v="2025"/>
    <x v="19"/>
    <s v="national network"/>
    <x v="28"/>
    <s v="unknown"/>
    <s v="No"/>
    <x v="0"/>
    <n v="27"/>
    <n v="1"/>
    <n v="0"/>
    <n v="1"/>
    <n v="0"/>
    <n v="0"/>
    <n v="0"/>
  </r>
  <r>
    <n v="2025"/>
    <x v="19"/>
    <s v="national network"/>
    <x v="29"/>
    <s v="domestic"/>
    <s v="No"/>
    <x v="0"/>
    <n v="264"/>
    <n v="24"/>
    <n v="3"/>
    <n v="27"/>
    <n v="50"/>
    <n v="18"/>
    <n v="238"/>
  </r>
  <r>
    <n v="2025"/>
    <x v="19"/>
    <s v="national network"/>
    <x v="29"/>
    <s v="unknown"/>
    <s v="No"/>
    <x v="0"/>
    <n v="80"/>
    <n v="11"/>
    <n v="0"/>
    <n v="11"/>
    <n v="0"/>
    <n v="0"/>
    <n v="0"/>
  </r>
  <r>
    <n v="2025"/>
    <x v="19"/>
    <s v="national network"/>
    <x v="24"/>
    <s v="international"/>
    <s v="Yes"/>
    <x v="0"/>
    <n v="921"/>
    <n v="0"/>
    <n v="3"/>
    <n v="3"/>
    <n v="108"/>
    <n v="69"/>
    <n v="921"/>
  </r>
  <r>
    <n v="2025"/>
    <x v="19"/>
    <s v="national network"/>
    <x v="24"/>
    <s v="unknown"/>
    <s v="Yes"/>
    <x v="0"/>
    <n v="13"/>
    <n v="0"/>
    <n v="0"/>
    <n v="0"/>
    <n v="0"/>
    <n v="0"/>
    <n v="0"/>
  </r>
  <r>
    <n v="2025"/>
    <x v="19"/>
    <s v="national network"/>
    <x v="5"/>
    <s v="international"/>
    <s v="No"/>
    <x v="0"/>
    <n v="42"/>
    <n v="2"/>
    <n v="0"/>
    <n v="2"/>
    <n v="16"/>
    <n v="16"/>
    <n v="40"/>
  </r>
  <r>
    <n v="2025"/>
    <x v="19"/>
    <s v="national network"/>
    <x v="30"/>
    <s v="domestic"/>
    <s v="No"/>
    <x v="1"/>
    <n v="1"/>
    <n v="0"/>
    <n v="0"/>
    <n v="0"/>
    <n v="0"/>
    <n v="0"/>
    <n v="1"/>
  </r>
  <r>
    <n v="2025"/>
    <x v="19"/>
    <s v="national network"/>
    <x v="11"/>
    <s v="international"/>
    <s v="Yes"/>
    <x v="0"/>
    <n v="28"/>
    <n v="0"/>
    <n v="0"/>
    <n v="0"/>
    <n v="19"/>
    <n v="16"/>
    <n v="28"/>
  </r>
  <r>
    <n v="2025"/>
    <x v="19"/>
    <s v="national network"/>
    <x v="1"/>
    <s v="domestic"/>
    <s v="Yes"/>
    <x v="0"/>
    <n v="13898"/>
    <n v="37"/>
    <n v="134"/>
    <n v="171"/>
    <n v="2036"/>
    <n v="1175"/>
    <n v="13822"/>
  </r>
  <r>
    <n v="2025"/>
    <x v="19"/>
    <s v="national network"/>
    <x v="1"/>
    <s v="international"/>
    <s v="Yes"/>
    <x v="0"/>
    <n v="1366"/>
    <n v="4"/>
    <n v="11"/>
    <n v="15"/>
    <n v="272"/>
    <n v="147"/>
    <n v="1360"/>
  </r>
  <r>
    <n v="2025"/>
    <x v="19"/>
    <s v="national network"/>
    <x v="1"/>
    <s v="unknown"/>
    <s v="Yes"/>
    <x v="0"/>
    <n v="1269"/>
    <n v="6"/>
    <n v="0"/>
    <n v="6"/>
    <n v="0"/>
    <n v="0"/>
    <n v="0"/>
  </r>
  <r>
    <n v="2025"/>
    <x v="20"/>
    <s v="national network"/>
    <x v="2"/>
    <s v="international"/>
    <s v="No"/>
    <x v="1"/>
    <n v="627"/>
    <n v="0"/>
    <n v="0"/>
    <n v="0"/>
    <n v="15"/>
    <n v="4"/>
    <n v="627"/>
  </r>
  <r>
    <n v="2025"/>
    <x v="20"/>
    <s v="national network"/>
    <x v="4"/>
    <s v="international"/>
    <s v="No"/>
    <x v="1"/>
    <n v="25"/>
    <n v="0"/>
    <n v="0"/>
    <n v="0"/>
    <n v="0"/>
    <n v="0"/>
    <n v="25"/>
  </r>
  <r>
    <n v="2025"/>
    <x v="20"/>
    <s v="national network"/>
    <x v="0"/>
    <s v="international"/>
    <s v="No"/>
    <x v="1"/>
    <n v="60"/>
    <n v="0"/>
    <n v="0"/>
    <n v="0"/>
    <n v="11"/>
    <n v="10"/>
    <n v="60"/>
  </r>
  <r>
    <n v="2025"/>
    <x v="21"/>
    <s v="national network"/>
    <x v="2"/>
    <s v="international"/>
    <s v="No"/>
    <x v="1"/>
    <n v="120"/>
    <n v="0"/>
    <n v="0"/>
    <n v="0"/>
    <n v="18"/>
    <n v="8"/>
    <n v="120"/>
  </r>
  <r>
    <n v="2025"/>
    <x v="21"/>
    <s v="national network"/>
    <x v="31"/>
    <s v="domestic"/>
    <s v="No"/>
    <x v="1"/>
    <n v="1"/>
    <n v="0"/>
    <n v="0"/>
    <n v="0"/>
    <n v="1"/>
    <n v="1"/>
    <n v="1"/>
  </r>
  <r>
    <n v="2025"/>
    <x v="21"/>
    <s v="national network"/>
    <x v="3"/>
    <s v="domestic"/>
    <s v="No"/>
    <x v="1"/>
    <n v="38"/>
    <n v="0"/>
    <n v="1"/>
    <n v="1"/>
    <n v="20"/>
    <n v="10"/>
    <n v="37"/>
  </r>
  <r>
    <n v="2025"/>
    <x v="21"/>
    <s v="national network"/>
    <x v="3"/>
    <s v="international"/>
    <s v="No"/>
    <x v="1"/>
    <n v="1344"/>
    <n v="0"/>
    <n v="61"/>
    <n v="61"/>
    <n v="388"/>
    <n v="157"/>
    <n v="1288"/>
  </r>
  <r>
    <n v="2025"/>
    <x v="21"/>
    <s v="national network"/>
    <x v="7"/>
    <s v="international"/>
    <s v="No"/>
    <x v="0"/>
    <n v="3"/>
    <n v="0"/>
    <n v="3"/>
    <n v="3"/>
    <n v="0"/>
    <n v="0"/>
    <n v="0"/>
  </r>
  <r>
    <n v="2025"/>
    <x v="21"/>
    <s v="national network"/>
    <x v="4"/>
    <s v="domestic"/>
    <s v="No"/>
    <x v="1"/>
    <n v="1"/>
    <n v="0"/>
    <n v="0"/>
    <n v="0"/>
    <n v="0"/>
    <n v="0"/>
    <n v="1"/>
  </r>
  <r>
    <n v="2025"/>
    <x v="21"/>
    <s v="national network"/>
    <x v="4"/>
    <s v="international"/>
    <s v="No"/>
    <x v="1"/>
    <n v="27"/>
    <n v="0"/>
    <n v="0"/>
    <n v="0"/>
    <n v="2"/>
    <n v="2"/>
    <n v="27"/>
  </r>
  <r>
    <n v="2025"/>
    <x v="21"/>
    <s v="national network"/>
    <x v="32"/>
    <s v="domestic"/>
    <s v="No"/>
    <x v="0"/>
    <n v="62"/>
    <n v="0"/>
    <n v="22"/>
    <n v="22"/>
    <n v="19"/>
    <n v="15"/>
    <n v="45"/>
  </r>
  <r>
    <n v="2025"/>
    <x v="21"/>
    <s v="national network"/>
    <x v="32"/>
    <s v="unknown"/>
    <s v="No"/>
    <x v="0"/>
    <n v="3"/>
    <n v="1"/>
    <n v="0"/>
    <n v="1"/>
    <n v="0"/>
    <n v="0"/>
    <n v="0"/>
  </r>
  <r>
    <n v="2025"/>
    <x v="21"/>
    <s v="national network"/>
    <x v="33"/>
    <s v="domestic"/>
    <s v="No"/>
    <x v="0"/>
    <n v="527"/>
    <n v="0"/>
    <n v="19"/>
    <n v="19"/>
    <n v="248"/>
    <n v="117"/>
    <n v="511"/>
  </r>
  <r>
    <n v="2025"/>
    <x v="21"/>
    <s v="national network"/>
    <x v="34"/>
    <s v="domestic"/>
    <s v="No"/>
    <x v="0"/>
    <n v="221"/>
    <n v="0"/>
    <n v="5"/>
    <n v="5"/>
    <n v="147"/>
    <n v="81"/>
    <n v="216"/>
  </r>
  <r>
    <n v="2025"/>
    <x v="21"/>
    <s v="national network"/>
    <x v="35"/>
    <s v="domestic"/>
    <s v="Yes"/>
    <x v="0"/>
    <n v="6788"/>
    <n v="0"/>
    <n v="178"/>
    <n v="178"/>
    <n v="2786"/>
    <n v="1341"/>
    <n v="6650"/>
  </r>
  <r>
    <n v="2025"/>
    <x v="21"/>
    <s v="national network"/>
    <x v="0"/>
    <s v="domestic"/>
    <s v="No"/>
    <x v="0"/>
    <n v="3130"/>
    <n v="0"/>
    <n v="98"/>
    <n v="98"/>
    <n v="1211"/>
    <n v="604"/>
    <n v="3051"/>
  </r>
  <r>
    <n v="2025"/>
    <x v="21"/>
    <s v="national network"/>
    <x v="0"/>
    <s v="international"/>
    <s v="No"/>
    <x v="0"/>
    <n v="1"/>
    <n v="0"/>
    <n v="0"/>
    <n v="0"/>
    <n v="0"/>
    <n v="0"/>
    <n v="1"/>
  </r>
  <r>
    <n v="2025"/>
    <x v="21"/>
    <s v="national network"/>
    <x v="36"/>
    <s v="domestic"/>
    <s v="No"/>
    <x v="0"/>
    <n v="497"/>
    <n v="0"/>
    <n v="0"/>
    <n v="0"/>
    <n v="116"/>
    <n v="56"/>
    <n v="497"/>
  </r>
  <r>
    <n v="2025"/>
    <x v="21"/>
    <s v="national network"/>
    <x v="9"/>
    <s v="domestic"/>
    <s v="No"/>
    <x v="0"/>
    <n v="5"/>
    <n v="0"/>
    <n v="2"/>
    <n v="2"/>
    <n v="2"/>
    <n v="1"/>
    <n v="3"/>
  </r>
  <r>
    <n v="2025"/>
    <x v="21"/>
    <s v="national network"/>
    <x v="9"/>
    <s v="international"/>
    <s v="No"/>
    <x v="0"/>
    <n v="50"/>
    <n v="0"/>
    <n v="0"/>
    <n v="0"/>
    <n v="0"/>
    <n v="0"/>
    <n v="50"/>
  </r>
  <r>
    <n v="2025"/>
    <x v="21"/>
    <s v="national network"/>
    <x v="37"/>
    <s v="domestic"/>
    <s v="No"/>
    <x v="1"/>
    <n v="7389"/>
    <n v="0"/>
    <n v="655"/>
    <n v="655"/>
    <n v="274"/>
    <n v="39"/>
    <n v="6823"/>
  </r>
  <r>
    <n v="2025"/>
    <x v="21"/>
    <s v="national network"/>
    <x v="38"/>
    <s v="domestic"/>
    <s v="No"/>
    <x v="1"/>
    <n v="13"/>
    <n v="0"/>
    <n v="1"/>
    <n v="1"/>
    <n v="6"/>
    <n v="5"/>
    <n v="13"/>
  </r>
  <r>
    <n v="2025"/>
    <x v="21"/>
    <s v="national network"/>
    <x v="38"/>
    <s v="unknown"/>
    <s v="No"/>
    <x v="1"/>
    <n v="4"/>
    <n v="0"/>
    <n v="0"/>
    <n v="0"/>
    <n v="0"/>
    <n v="0"/>
    <n v="0"/>
  </r>
  <r>
    <n v="2025"/>
    <x v="21"/>
    <s v="national network"/>
    <x v="5"/>
    <s v="domestic"/>
    <s v="No"/>
    <x v="0"/>
    <n v="2"/>
    <n v="0"/>
    <n v="0"/>
    <n v="0"/>
    <n v="2"/>
    <n v="2"/>
    <n v="2"/>
  </r>
  <r>
    <n v="2025"/>
    <x v="21"/>
    <s v="national network"/>
    <x v="5"/>
    <s v="international"/>
    <s v="No"/>
    <x v="0"/>
    <n v="335"/>
    <n v="0"/>
    <n v="0"/>
    <n v="0"/>
    <n v="83"/>
    <n v="57"/>
    <n v="335"/>
  </r>
  <r>
    <n v="2025"/>
    <x v="21"/>
    <s v="national network"/>
    <x v="39"/>
    <s v="domestic"/>
    <s v="No"/>
    <x v="1"/>
    <n v="231649"/>
    <n v="110"/>
    <n v="10246"/>
    <n v="10356"/>
    <n v="28483"/>
    <n v="6730"/>
    <n v="222844"/>
  </r>
  <r>
    <n v="2025"/>
    <x v="21"/>
    <s v="national network"/>
    <x v="39"/>
    <s v="international"/>
    <s v="No"/>
    <x v="1"/>
    <n v="1758"/>
    <n v="36"/>
    <n v="39"/>
    <n v="75"/>
    <n v="144"/>
    <n v="43"/>
    <n v="1688"/>
  </r>
  <r>
    <n v="2025"/>
    <x v="21"/>
    <s v="national network"/>
    <x v="39"/>
    <s v="unknown"/>
    <s v="No"/>
    <x v="1"/>
    <n v="1"/>
    <n v="0"/>
    <n v="0"/>
    <n v="0"/>
    <n v="0"/>
    <n v="0"/>
    <n v="0"/>
  </r>
  <r>
    <n v="2025"/>
    <x v="21"/>
    <s v="national network"/>
    <x v="6"/>
    <s v="international"/>
    <s v="No"/>
    <x v="0"/>
    <n v="137"/>
    <n v="0"/>
    <n v="0"/>
    <n v="0"/>
    <n v="26"/>
    <n v="11"/>
    <n v="137"/>
  </r>
  <r>
    <n v="2025"/>
    <x v="21"/>
    <s v="national network"/>
    <x v="10"/>
    <s v="international"/>
    <s v="Yes"/>
    <x v="0"/>
    <n v="2"/>
    <n v="0"/>
    <n v="0"/>
    <n v="0"/>
    <n v="0"/>
    <n v="0"/>
    <n v="2"/>
  </r>
  <r>
    <n v="2025"/>
    <x v="22"/>
    <s v="whole journey"/>
    <x v="35"/>
    <s v="domestic"/>
    <s v="Yes"/>
    <x v="0"/>
    <n v="482"/>
    <n v="0"/>
    <n v="0"/>
    <n v="0"/>
    <n v="100"/>
    <n v="48"/>
    <n v="482"/>
  </r>
  <r>
    <n v="2025"/>
    <x v="22"/>
    <s v="whole journey"/>
    <x v="35"/>
    <s v="international"/>
    <s v="Yes"/>
    <x v="0"/>
    <n v="117"/>
    <n v="0"/>
    <n v="0"/>
    <n v="0"/>
    <n v="67"/>
    <n v="28"/>
    <n v="117"/>
  </r>
  <r>
    <n v="2025"/>
    <x v="23"/>
    <s v="national network"/>
    <x v="40"/>
    <s v="domestic"/>
    <s v="No"/>
    <x v="1"/>
    <n v="4248"/>
    <n v="0"/>
    <n v="54"/>
    <n v="54"/>
    <n v="35"/>
    <n v="10"/>
    <n v="4248"/>
  </r>
  <r>
    <n v="2025"/>
    <x v="23"/>
    <s v="national network"/>
    <x v="40"/>
    <s v="international"/>
    <s v="No"/>
    <x v="1"/>
    <n v="1353"/>
    <n v="0"/>
    <n v="0"/>
    <n v="0"/>
    <n v="14"/>
    <n v="6"/>
    <n v="1353"/>
  </r>
  <r>
    <n v="2025"/>
    <x v="23"/>
    <s v="national network"/>
    <x v="41"/>
    <s v="domestic"/>
    <s v="No"/>
    <x v="1"/>
    <n v="2160"/>
    <n v="0"/>
    <n v="0"/>
    <n v="0"/>
    <n v="0"/>
    <n v="0"/>
    <n v="2160"/>
  </r>
  <r>
    <n v="2025"/>
    <x v="23"/>
    <s v="national network"/>
    <x v="2"/>
    <s v="international"/>
    <s v="No"/>
    <x v="1"/>
    <n v="285"/>
    <n v="12"/>
    <n v="0"/>
    <n v="12"/>
    <n v="95"/>
    <n v="75"/>
    <n v="273"/>
  </r>
  <r>
    <n v="2025"/>
    <x v="23"/>
    <s v="national network"/>
    <x v="2"/>
    <s v="unknown"/>
    <s v="No"/>
    <x v="1"/>
    <n v="1"/>
    <n v="0"/>
    <n v="0"/>
    <n v="0"/>
    <n v="0"/>
    <n v="0"/>
    <n v="0"/>
  </r>
  <r>
    <n v="2025"/>
    <x v="23"/>
    <s v="national network"/>
    <x v="42"/>
    <s v="domestic"/>
    <s v="No"/>
    <x v="1"/>
    <n v="2"/>
    <n v="0"/>
    <n v="0"/>
    <n v="0"/>
    <n v="1"/>
    <n v="0"/>
    <n v="2"/>
  </r>
  <r>
    <n v="2025"/>
    <x v="23"/>
    <s v="national network"/>
    <x v="4"/>
    <s v="international"/>
    <s v="No"/>
    <x v="1"/>
    <n v="6"/>
    <n v="2"/>
    <n v="0"/>
    <n v="2"/>
    <n v="2"/>
    <n v="2"/>
    <n v="4"/>
  </r>
  <r>
    <n v="2025"/>
    <x v="23"/>
    <s v="national network"/>
    <x v="43"/>
    <s v="domestic"/>
    <s v="No"/>
    <x v="1"/>
    <n v="60"/>
    <n v="0"/>
    <n v="0"/>
    <n v="0"/>
    <n v="0"/>
    <n v="0"/>
    <n v="60"/>
  </r>
  <r>
    <n v="2025"/>
    <x v="23"/>
    <s v="national network"/>
    <x v="43"/>
    <s v="international"/>
    <s v="No"/>
    <x v="1"/>
    <n v="120"/>
    <n v="0"/>
    <n v="0"/>
    <n v="0"/>
    <n v="0"/>
    <n v="0"/>
    <n v="120"/>
  </r>
  <r>
    <n v="2025"/>
    <x v="23"/>
    <s v="national network"/>
    <x v="0"/>
    <s v="international"/>
    <s v="No"/>
    <x v="1"/>
    <n v="39"/>
    <n v="0"/>
    <n v="0"/>
    <n v="0"/>
    <n v="0"/>
    <n v="0"/>
    <n v="39"/>
  </r>
  <r>
    <n v="2025"/>
    <x v="23"/>
    <s v="national network"/>
    <x v="44"/>
    <s v="domestic"/>
    <s v="No"/>
    <x v="1"/>
    <n v="16"/>
    <n v="0"/>
    <n v="0"/>
    <n v="0"/>
    <n v="6"/>
    <n v="4"/>
    <n v="16"/>
  </r>
  <r>
    <n v="2025"/>
    <x v="23"/>
    <s v="national network"/>
    <x v="45"/>
    <s v="international"/>
    <s v="No"/>
    <x v="1"/>
    <n v="1"/>
    <n v="0"/>
    <n v="0"/>
    <n v="0"/>
    <n v="1"/>
    <n v="1"/>
    <n v="1"/>
  </r>
  <r>
    <n v="2025"/>
    <x v="23"/>
    <s v="national network"/>
    <x v="46"/>
    <s v="domestic"/>
    <s v="No"/>
    <x v="1"/>
    <n v="4"/>
    <n v="0"/>
    <n v="0"/>
    <n v="0"/>
    <n v="0"/>
    <n v="0"/>
    <n v="4"/>
  </r>
  <r>
    <n v="2025"/>
    <x v="23"/>
    <s v="national network"/>
    <x v="46"/>
    <s v="international"/>
    <s v="No"/>
    <x v="1"/>
    <n v="36"/>
    <n v="0"/>
    <n v="8"/>
    <n v="8"/>
    <n v="15"/>
    <n v="9"/>
    <n v="36"/>
  </r>
  <r>
    <n v="2025"/>
    <x v="23"/>
    <s v="national network"/>
    <x v="47"/>
    <s v="domestic"/>
    <s v="No"/>
    <x v="1"/>
    <n v="25"/>
    <n v="0"/>
    <n v="7"/>
    <n v="7"/>
    <n v="5"/>
    <n v="1"/>
    <n v="18"/>
  </r>
  <r>
    <n v="2025"/>
    <x v="23"/>
    <s v="national network"/>
    <x v="47"/>
    <s v="unknown"/>
    <s v="No"/>
    <x v="1"/>
    <n v="1"/>
    <n v="0"/>
    <n v="0"/>
    <n v="0"/>
    <n v="0"/>
    <n v="0"/>
    <n v="0"/>
  </r>
  <r>
    <n v="2025"/>
    <x v="24"/>
    <s v="national network"/>
    <x v="2"/>
    <s v="international"/>
    <s v="No"/>
    <x v="1"/>
    <n v="60"/>
    <n v="0"/>
    <n v="0"/>
    <n v="0"/>
    <n v="0"/>
    <n v="0"/>
    <n v="60"/>
  </r>
  <r>
    <n v="2025"/>
    <x v="24"/>
    <s v="national network"/>
    <x v="3"/>
    <s v="international"/>
    <s v="No"/>
    <x v="1"/>
    <n v="72"/>
    <n v="0"/>
    <n v="0"/>
    <n v="0"/>
    <n v="5"/>
    <n v="3"/>
    <n v="72"/>
  </r>
  <r>
    <n v="2025"/>
    <x v="25"/>
    <s v="whole journey"/>
    <x v="48"/>
    <s v="domestic"/>
    <s v="No"/>
    <x v="0"/>
    <n v="1440"/>
    <n v="0"/>
    <n v="0"/>
    <n v="0"/>
    <n v="0"/>
    <n v="0"/>
    <n v="1440"/>
  </r>
  <r>
    <n v="2025"/>
    <x v="25"/>
    <s v="whole journey"/>
    <x v="48"/>
    <s v="international"/>
    <s v="No"/>
    <x v="0"/>
    <n v="360"/>
    <n v="0"/>
    <n v="47"/>
    <n v="47"/>
    <n v="146"/>
    <n v="75"/>
    <n v="360"/>
  </r>
  <r>
    <n v="2025"/>
    <x v="26"/>
    <s v="national network"/>
    <x v="3"/>
    <s v="international"/>
    <s v="No"/>
    <x v="1"/>
    <n v="31"/>
    <n v="0"/>
    <n v="0"/>
    <n v="0"/>
    <n v="29"/>
    <n v="23"/>
    <n v="31"/>
  </r>
  <r>
    <n v="2025"/>
    <x v="26"/>
    <s v="national network"/>
    <x v="4"/>
    <s v="international"/>
    <s v="No"/>
    <x v="1"/>
    <n v="25"/>
    <n v="0"/>
    <n v="0"/>
    <n v="0"/>
    <n v="2"/>
    <n v="1"/>
    <n v="25"/>
  </r>
  <r>
    <n v="2025"/>
    <x v="26"/>
    <s v="national network"/>
    <x v="4"/>
    <s v="international"/>
    <s v="No"/>
    <x v="0"/>
    <n v="59"/>
    <n v="0"/>
    <n v="0"/>
    <n v="0"/>
    <n v="17"/>
    <n v="11"/>
    <n v="59"/>
  </r>
  <r>
    <n v="2025"/>
    <x v="26"/>
    <s v="national network"/>
    <x v="5"/>
    <s v="international"/>
    <s v="No"/>
    <x v="0"/>
    <n v="2"/>
    <n v="0"/>
    <n v="0"/>
    <n v="0"/>
    <n v="0"/>
    <n v="0"/>
    <n v="2"/>
  </r>
  <r>
    <n v="2025"/>
    <x v="26"/>
    <s v="national network"/>
    <x v="10"/>
    <s v="international"/>
    <s v="Yes"/>
    <x v="0"/>
    <n v="60"/>
    <n v="0"/>
    <n v="0"/>
    <n v="0"/>
    <n v="3"/>
    <n v="2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770ED-E372-41CE-878C-32A34951E01A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D16" firstHeaderRow="0" firstDataRow="1" firstDataCol="1" rowPageCount="2" colPageCount="1"/>
  <pivotFields count="14">
    <pivotField showAll="0"/>
    <pivotField axis="axisPage" showAll="0">
      <items count="28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showAll="0">
      <items count="50">
        <item x="40"/>
        <item x="27"/>
        <item x="41"/>
        <item x="2"/>
        <item x="42"/>
        <item x="31"/>
        <item x="3"/>
        <item x="7"/>
        <item x="4"/>
        <item x="12"/>
        <item x="13"/>
        <item x="15"/>
        <item x="32"/>
        <item x="33"/>
        <item x="34"/>
        <item x="14"/>
        <item x="35"/>
        <item x="43"/>
        <item x="0"/>
        <item x="16"/>
        <item x="8"/>
        <item x="36"/>
        <item x="28"/>
        <item x="29"/>
        <item x="9"/>
        <item x="25"/>
        <item x="24"/>
        <item x="37"/>
        <item x="38"/>
        <item x="44"/>
        <item x="5"/>
        <item x="17"/>
        <item x="21"/>
        <item x="22"/>
        <item x="26"/>
        <item x="23"/>
        <item x="39"/>
        <item x="6"/>
        <item x="10"/>
        <item x="18"/>
        <item x="45"/>
        <item x="19"/>
        <item x="20"/>
        <item x="30"/>
        <item x="11"/>
        <item x="1"/>
        <item x="46"/>
        <item x="48"/>
        <item x="47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</pivotFields>
  <rowFields count="1">
    <field x="3"/>
  </rowFields>
  <rowItems count="12">
    <i>
      <x v="6"/>
    </i>
    <i>
      <x v="7"/>
    </i>
    <i>
      <x v="8"/>
    </i>
    <i>
      <x v="18"/>
    </i>
    <i>
      <x v="20"/>
    </i>
    <i>
      <x v="24"/>
    </i>
    <i>
      <x v="30"/>
    </i>
    <i>
      <x v="37"/>
    </i>
    <i>
      <x v="38"/>
    </i>
    <i>
      <x v="44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item="3" hier="-1"/>
    <pageField fld="6" item="1" hier="-1"/>
  </pageFields>
  <dataFields count="3">
    <dataField name="Sum of N total train" fld="7" baseField="0" baseItem="0"/>
    <dataField name="Sum of N cancelled train (full + partial)" fld="10" baseField="0" baseItem="0"/>
    <dataField name="Sum of N train delay (&gt; 5 min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A5BC-33DE-40CF-9F31-D338FCE0F686}">
  <dimension ref="A1:M17"/>
  <sheetViews>
    <sheetView tabSelected="1" workbookViewId="0">
      <selection activeCell="K25" sqref="K25"/>
    </sheetView>
  </sheetViews>
  <sheetFormatPr defaultRowHeight="15" x14ac:dyDescent="0.25"/>
  <cols>
    <col min="1" max="1" width="13.140625" bestFit="1" customWidth="1"/>
    <col min="2" max="2" width="18.42578125" bestFit="1" customWidth="1"/>
    <col min="3" max="3" width="35.7109375" bestFit="1" customWidth="1"/>
    <col min="4" max="4" width="27.5703125" bestFit="1" customWidth="1"/>
    <col min="5" max="9" width="17.42578125" customWidth="1"/>
    <col min="10" max="10" width="23.5703125" bestFit="1" customWidth="1"/>
    <col min="12" max="12" width="20.42578125" bestFit="1" customWidth="1"/>
    <col min="14" max="14" width="22.42578125" customWidth="1"/>
    <col min="15" max="15" width="14.42578125" customWidth="1"/>
    <col min="16" max="16" width="17.28515625" customWidth="1"/>
  </cols>
  <sheetData>
    <row r="1" spans="1:13" x14ac:dyDescent="0.25">
      <c r="A1" s="1" t="s">
        <v>1</v>
      </c>
      <c r="B1" t="s">
        <v>30</v>
      </c>
    </row>
    <row r="2" spans="1:13" x14ac:dyDescent="0.25">
      <c r="A2" s="1" t="s">
        <v>6</v>
      </c>
      <c r="B2" t="s">
        <v>19</v>
      </c>
    </row>
    <row r="4" spans="1:13" x14ac:dyDescent="0.25">
      <c r="A4" s="1" t="s">
        <v>95</v>
      </c>
      <c r="B4" t="s">
        <v>97</v>
      </c>
      <c r="C4" t="s">
        <v>98</v>
      </c>
      <c r="D4" t="s">
        <v>99</v>
      </c>
      <c r="E4" s="4" t="s">
        <v>104</v>
      </c>
      <c r="F4" s="4" t="s">
        <v>103</v>
      </c>
      <c r="G4" s="4" t="s">
        <v>100</v>
      </c>
      <c r="H4" s="4" t="s">
        <v>101</v>
      </c>
      <c r="I4" s="4" t="s">
        <v>102</v>
      </c>
    </row>
    <row r="5" spans="1:13" x14ac:dyDescent="0.25">
      <c r="A5" s="2" t="s">
        <v>25</v>
      </c>
      <c r="B5" s="3">
        <v>1967</v>
      </c>
      <c r="C5" s="3">
        <v>63</v>
      </c>
      <c r="D5" s="3">
        <v>914</v>
      </c>
      <c r="E5">
        <f>B5-C5</f>
        <v>1904</v>
      </c>
      <c r="F5">
        <f>E5-D5</f>
        <v>990</v>
      </c>
      <c r="G5" s="5">
        <f>C5/B5</f>
        <v>3.2028469750889681E-2</v>
      </c>
      <c r="H5" s="5">
        <f>F5/E5</f>
        <v>0.51995798319327735</v>
      </c>
      <c r="I5" s="5">
        <f>1-((C5+D5)/B5)</f>
        <v>0.50330452465683784</v>
      </c>
      <c r="J5" s="8"/>
      <c r="L5" s="9"/>
      <c r="M5" s="5"/>
    </row>
    <row r="6" spans="1:13" x14ac:dyDescent="0.25">
      <c r="A6" s="2" t="s">
        <v>31</v>
      </c>
      <c r="B6" s="3">
        <v>54</v>
      </c>
      <c r="C6" s="3">
        <v>1</v>
      </c>
      <c r="D6" s="3">
        <v>33</v>
      </c>
      <c r="E6">
        <f t="shared" ref="E6:E16" si="0">B6-C6</f>
        <v>53</v>
      </c>
      <c r="F6">
        <f t="shared" ref="F6:F16" si="1">E6-D6</f>
        <v>20</v>
      </c>
      <c r="G6" s="5">
        <f>C6/B6</f>
        <v>1.8518518518518517E-2</v>
      </c>
      <c r="H6" s="5">
        <f t="shared" ref="H6:H15" si="2">F6/E6</f>
        <v>0.37735849056603776</v>
      </c>
      <c r="I6" s="5">
        <f>1-((C6+D6)/B6)</f>
        <v>0.37037037037037035</v>
      </c>
      <c r="J6" s="8"/>
      <c r="L6" s="9"/>
      <c r="M6" s="5"/>
    </row>
    <row r="7" spans="1:13" x14ac:dyDescent="0.25">
      <c r="A7" s="2" t="s">
        <v>26</v>
      </c>
      <c r="B7" s="3">
        <v>119</v>
      </c>
      <c r="C7" s="3">
        <v>2</v>
      </c>
      <c r="D7" s="3">
        <v>54</v>
      </c>
      <c r="E7">
        <f t="shared" si="0"/>
        <v>117</v>
      </c>
      <c r="F7">
        <f t="shared" si="1"/>
        <v>63</v>
      </c>
      <c r="G7" s="5">
        <f>C7/B7</f>
        <v>1.680672268907563E-2</v>
      </c>
      <c r="H7" s="5">
        <f t="shared" si="2"/>
        <v>0.53846153846153844</v>
      </c>
      <c r="I7" s="5">
        <f>1-((C7+D7)/B7)</f>
        <v>0.52941176470588236</v>
      </c>
      <c r="J7" s="8"/>
      <c r="L7" s="9"/>
      <c r="M7" s="5"/>
    </row>
    <row r="8" spans="1:13" x14ac:dyDescent="0.25">
      <c r="A8" s="2" t="s">
        <v>16</v>
      </c>
      <c r="B8" s="3">
        <v>6382</v>
      </c>
      <c r="C8" s="3">
        <v>872</v>
      </c>
      <c r="D8" s="3">
        <v>3459</v>
      </c>
      <c r="E8">
        <f t="shared" si="0"/>
        <v>5510</v>
      </c>
      <c r="F8">
        <f t="shared" si="1"/>
        <v>2051</v>
      </c>
      <c r="G8" s="5">
        <f>C8/B8</f>
        <v>0.13663428392353494</v>
      </c>
      <c r="H8" s="5">
        <f t="shared" si="2"/>
        <v>0.3722323049001815</v>
      </c>
      <c r="I8" s="5">
        <f>1-((C8+D8)/B8)</f>
        <v>0.32137261046693821</v>
      </c>
      <c r="J8" s="8"/>
      <c r="L8" s="9"/>
      <c r="M8" s="5"/>
    </row>
    <row r="9" spans="1:13" x14ac:dyDescent="0.25">
      <c r="A9" s="2" t="s">
        <v>32</v>
      </c>
      <c r="B9" s="3">
        <v>17947</v>
      </c>
      <c r="C9" s="3">
        <v>2158</v>
      </c>
      <c r="D9" s="3">
        <v>10182</v>
      </c>
      <c r="E9">
        <f t="shared" si="0"/>
        <v>15789</v>
      </c>
      <c r="F9">
        <f t="shared" si="1"/>
        <v>5607</v>
      </c>
      <c r="G9" s="5">
        <f>C9/B9</f>
        <v>0.12024293753830724</v>
      </c>
      <c r="H9" s="5">
        <f t="shared" si="2"/>
        <v>0.35512065361960859</v>
      </c>
      <c r="I9" s="5">
        <f>1-((C9+D9)/B9)</f>
        <v>0.31241990304786316</v>
      </c>
      <c r="J9" s="8"/>
      <c r="L9" s="9"/>
      <c r="M9" s="5"/>
    </row>
    <row r="10" spans="1:13" x14ac:dyDescent="0.25">
      <c r="A10" s="2" t="s">
        <v>33</v>
      </c>
      <c r="B10" s="3">
        <v>494</v>
      </c>
      <c r="C10" s="3">
        <v>13</v>
      </c>
      <c r="D10" s="3">
        <v>13</v>
      </c>
      <c r="E10">
        <f t="shared" si="0"/>
        <v>481</v>
      </c>
      <c r="F10">
        <f t="shared" si="1"/>
        <v>468</v>
      </c>
      <c r="G10" s="5">
        <f>C10/B10</f>
        <v>2.6315789473684209E-2</v>
      </c>
      <c r="H10" s="5">
        <f t="shared" si="2"/>
        <v>0.97297297297297303</v>
      </c>
      <c r="I10" s="5">
        <f>1-((C10+D10)/B10)</f>
        <v>0.94736842105263164</v>
      </c>
      <c r="J10" s="8"/>
      <c r="L10" s="9"/>
      <c r="M10" s="5"/>
    </row>
    <row r="11" spans="1:13" x14ac:dyDescent="0.25">
      <c r="A11" s="2" t="s">
        <v>27</v>
      </c>
      <c r="B11" s="3">
        <v>809</v>
      </c>
      <c r="C11" s="3">
        <v>43</v>
      </c>
      <c r="D11" s="3">
        <v>449</v>
      </c>
      <c r="E11">
        <f t="shared" si="0"/>
        <v>766</v>
      </c>
      <c r="F11">
        <f t="shared" si="1"/>
        <v>317</v>
      </c>
      <c r="G11" s="5">
        <f>C11/B11</f>
        <v>5.3152039555006178E-2</v>
      </c>
      <c r="H11" s="5">
        <f t="shared" si="2"/>
        <v>0.41383812010443866</v>
      </c>
      <c r="I11" s="5">
        <f>1-((C11+D11)/B11)</f>
        <v>0.39184177997527814</v>
      </c>
      <c r="J11" s="8"/>
      <c r="L11" s="9"/>
      <c r="M11" s="5"/>
    </row>
    <row r="12" spans="1:13" x14ac:dyDescent="0.25">
      <c r="A12" s="2" t="s">
        <v>28</v>
      </c>
      <c r="B12" s="3">
        <v>530</v>
      </c>
      <c r="C12" s="3">
        <v>12</v>
      </c>
      <c r="D12" s="3">
        <v>192</v>
      </c>
      <c r="E12">
        <f t="shared" si="0"/>
        <v>518</v>
      </c>
      <c r="F12">
        <f t="shared" si="1"/>
        <v>326</v>
      </c>
      <c r="G12" s="5">
        <f>C12/B12</f>
        <v>2.2641509433962263E-2</v>
      </c>
      <c r="H12" s="5">
        <f t="shared" si="2"/>
        <v>0.62934362934362931</v>
      </c>
      <c r="I12" s="5">
        <f>1-((C12+D12)/B12)</f>
        <v>0.61509433962264148</v>
      </c>
      <c r="J12" s="8"/>
      <c r="L12" s="9"/>
      <c r="M12" s="5"/>
    </row>
    <row r="13" spans="1:13" x14ac:dyDescent="0.25">
      <c r="A13" s="2" t="s">
        <v>34</v>
      </c>
      <c r="B13" s="3">
        <v>356</v>
      </c>
      <c r="C13" s="3">
        <v>6</v>
      </c>
      <c r="D13" s="3">
        <v>204</v>
      </c>
      <c r="E13">
        <f t="shared" si="0"/>
        <v>350</v>
      </c>
      <c r="F13">
        <f t="shared" si="1"/>
        <v>146</v>
      </c>
      <c r="G13" s="5">
        <f>C13/B13</f>
        <v>1.6853932584269662E-2</v>
      </c>
      <c r="H13" s="5">
        <f t="shared" si="2"/>
        <v>0.41714285714285715</v>
      </c>
      <c r="I13" s="5">
        <f>1-((C13+D13)/B13)</f>
        <v>0.4101123595505618</v>
      </c>
      <c r="J13" s="8"/>
      <c r="L13" s="9"/>
      <c r="M13" s="5"/>
    </row>
    <row r="14" spans="1:13" x14ac:dyDescent="0.25">
      <c r="A14" s="2" t="s">
        <v>35</v>
      </c>
      <c r="B14" s="3">
        <v>135</v>
      </c>
      <c r="C14" s="3">
        <v>6</v>
      </c>
      <c r="D14" s="3">
        <v>65</v>
      </c>
      <c r="E14">
        <f t="shared" si="0"/>
        <v>129</v>
      </c>
      <c r="F14">
        <f t="shared" si="1"/>
        <v>64</v>
      </c>
      <c r="G14" s="5">
        <f>C14/B14</f>
        <v>4.4444444444444446E-2</v>
      </c>
      <c r="H14" s="5">
        <f t="shared" si="2"/>
        <v>0.49612403100775193</v>
      </c>
      <c r="I14" s="5">
        <f>1-((C14+D14)/B14)</f>
        <v>0.47407407407407409</v>
      </c>
      <c r="J14" s="8"/>
      <c r="L14" s="9"/>
      <c r="M14" s="5"/>
    </row>
    <row r="15" spans="1:13" x14ac:dyDescent="0.25">
      <c r="A15" s="2" t="s">
        <v>20</v>
      </c>
      <c r="B15" s="3">
        <v>5</v>
      </c>
      <c r="C15" s="3">
        <v>2</v>
      </c>
      <c r="D15" s="3">
        <v>0</v>
      </c>
      <c r="E15">
        <f t="shared" si="0"/>
        <v>3</v>
      </c>
      <c r="F15">
        <f t="shared" si="1"/>
        <v>3</v>
      </c>
      <c r="G15" s="5">
        <f>C15/B15</f>
        <v>0.4</v>
      </c>
      <c r="H15" s="5">
        <f t="shared" si="2"/>
        <v>1</v>
      </c>
      <c r="I15" s="5">
        <f>1-((C15+D15)/B15)</f>
        <v>0.6</v>
      </c>
      <c r="J15" s="8"/>
      <c r="L15" s="9"/>
      <c r="M15" s="5"/>
    </row>
    <row r="16" spans="1:13" x14ac:dyDescent="0.25">
      <c r="A16" s="2" t="s">
        <v>96</v>
      </c>
      <c r="B16" s="3">
        <v>28798</v>
      </c>
      <c r="C16" s="3">
        <v>3178</v>
      </c>
      <c r="D16" s="3">
        <v>15565</v>
      </c>
      <c r="E16" s="6">
        <f t="shared" si="0"/>
        <v>25620</v>
      </c>
      <c r="F16" s="6">
        <f t="shared" si="1"/>
        <v>10055</v>
      </c>
      <c r="G16" s="7">
        <f>C16/B16</f>
        <v>0.11035488575595527</v>
      </c>
      <c r="H16" s="7">
        <f>F16/E16</f>
        <v>0.39246682279469164</v>
      </c>
      <c r="I16" s="7">
        <f>1-((C16+D16)/B16)</f>
        <v>0.34915619140218068</v>
      </c>
      <c r="J16" s="8"/>
      <c r="L16" s="9"/>
      <c r="M16" s="5"/>
    </row>
    <row r="17" spans="3:3" x14ac:dyDescent="0.25">
      <c r="C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"/>
  <sheetViews>
    <sheetView workbookViewId="0">
      <selection activeCell="H4" sqref="A1:N19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2025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1324</v>
      </c>
      <c r="I2">
        <v>18</v>
      </c>
      <c r="J2">
        <v>0</v>
      </c>
      <c r="K2">
        <v>18</v>
      </c>
      <c r="L2">
        <v>59</v>
      </c>
      <c r="M2">
        <v>13</v>
      </c>
      <c r="N2">
        <v>1306</v>
      </c>
    </row>
    <row r="3" spans="1:14" x14ac:dyDescent="0.25">
      <c r="A3">
        <v>2025</v>
      </c>
      <c r="B3" t="s">
        <v>14</v>
      </c>
      <c r="C3" t="s">
        <v>15</v>
      </c>
      <c r="D3" t="s">
        <v>20</v>
      </c>
      <c r="E3" t="s">
        <v>17</v>
      </c>
      <c r="F3" t="s">
        <v>19</v>
      </c>
      <c r="G3" t="s">
        <v>19</v>
      </c>
      <c r="H3">
        <v>75</v>
      </c>
      <c r="I3">
        <v>1</v>
      </c>
      <c r="J3">
        <v>0</v>
      </c>
      <c r="K3">
        <v>1</v>
      </c>
      <c r="L3">
        <v>17</v>
      </c>
      <c r="M3">
        <v>7</v>
      </c>
      <c r="N3">
        <v>74</v>
      </c>
    </row>
    <row r="4" spans="1:14" x14ac:dyDescent="0.25">
      <c r="A4">
        <v>2025</v>
      </c>
      <c r="B4" t="s">
        <v>14</v>
      </c>
      <c r="C4" t="s">
        <v>15</v>
      </c>
      <c r="D4" t="s">
        <v>20</v>
      </c>
      <c r="E4" t="s">
        <v>21</v>
      </c>
      <c r="F4" t="s">
        <v>19</v>
      </c>
      <c r="G4" t="s">
        <v>19</v>
      </c>
      <c r="H4">
        <v>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2025</v>
      </c>
      <c r="B5" t="s">
        <v>22</v>
      </c>
      <c r="C5" t="s">
        <v>15</v>
      </c>
      <c r="D5" t="s">
        <v>23</v>
      </c>
      <c r="E5" t="s">
        <v>17</v>
      </c>
      <c r="F5" t="s">
        <v>18</v>
      </c>
      <c r="G5" t="s">
        <v>18</v>
      </c>
      <c r="H5">
        <v>60</v>
      </c>
      <c r="I5">
        <v>0</v>
      </c>
      <c r="J5">
        <v>0</v>
      </c>
      <c r="K5">
        <v>0</v>
      </c>
      <c r="L5">
        <v>0</v>
      </c>
      <c r="M5">
        <v>0</v>
      </c>
      <c r="N5">
        <v>60</v>
      </c>
    </row>
    <row r="6" spans="1:14" x14ac:dyDescent="0.25">
      <c r="A6">
        <v>2025</v>
      </c>
      <c r="B6" t="s">
        <v>24</v>
      </c>
      <c r="C6" t="s">
        <v>15</v>
      </c>
      <c r="D6" t="s">
        <v>25</v>
      </c>
      <c r="E6" t="s">
        <v>17</v>
      </c>
      <c r="F6" t="s">
        <v>18</v>
      </c>
      <c r="G6" t="s">
        <v>18</v>
      </c>
      <c r="H6">
        <v>908</v>
      </c>
      <c r="I6">
        <v>0</v>
      </c>
      <c r="J6">
        <v>0</v>
      </c>
      <c r="K6">
        <v>0</v>
      </c>
      <c r="L6">
        <v>235</v>
      </c>
      <c r="M6">
        <v>104</v>
      </c>
      <c r="N6">
        <v>908</v>
      </c>
    </row>
    <row r="7" spans="1:14" x14ac:dyDescent="0.25">
      <c r="A7">
        <v>2025</v>
      </c>
      <c r="B7" t="s">
        <v>24</v>
      </c>
      <c r="C7" t="s">
        <v>15</v>
      </c>
      <c r="D7" t="s">
        <v>26</v>
      </c>
      <c r="E7" t="s">
        <v>17</v>
      </c>
      <c r="F7" t="s">
        <v>18</v>
      </c>
      <c r="G7" t="s">
        <v>18</v>
      </c>
      <c r="H7">
        <v>177</v>
      </c>
      <c r="I7">
        <v>5</v>
      </c>
      <c r="J7">
        <v>7</v>
      </c>
      <c r="K7">
        <v>12</v>
      </c>
      <c r="L7">
        <v>83</v>
      </c>
      <c r="M7">
        <v>46</v>
      </c>
      <c r="N7">
        <v>169</v>
      </c>
    </row>
    <row r="8" spans="1:14" x14ac:dyDescent="0.25">
      <c r="A8">
        <v>2025</v>
      </c>
      <c r="B8" t="s">
        <v>24</v>
      </c>
      <c r="C8" t="s">
        <v>15</v>
      </c>
      <c r="D8" t="s">
        <v>26</v>
      </c>
      <c r="E8" t="s">
        <v>17</v>
      </c>
      <c r="F8" t="s">
        <v>18</v>
      </c>
      <c r="G8" t="s">
        <v>19</v>
      </c>
      <c r="H8">
        <v>59</v>
      </c>
      <c r="I8">
        <v>0</v>
      </c>
      <c r="J8">
        <v>0</v>
      </c>
      <c r="K8">
        <v>0</v>
      </c>
      <c r="L8">
        <v>52</v>
      </c>
      <c r="M8">
        <v>34</v>
      </c>
      <c r="N8">
        <v>59</v>
      </c>
    </row>
    <row r="9" spans="1:14" x14ac:dyDescent="0.25">
      <c r="A9">
        <v>2025</v>
      </c>
      <c r="B9" t="s">
        <v>24</v>
      </c>
      <c r="C9" t="s">
        <v>15</v>
      </c>
      <c r="D9" t="s">
        <v>16</v>
      </c>
      <c r="E9" t="s">
        <v>17</v>
      </c>
      <c r="F9" t="s">
        <v>18</v>
      </c>
      <c r="G9" t="s">
        <v>18</v>
      </c>
      <c r="H9">
        <v>240</v>
      </c>
      <c r="I9">
        <v>0</v>
      </c>
      <c r="J9">
        <v>0</v>
      </c>
      <c r="K9">
        <v>0</v>
      </c>
      <c r="L9">
        <v>0</v>
      </c>
      <c r="M9">
        <v>0</v>
      </c>
      <c r="N9">
        <v>240</v>
      </c>
    </row>
    <row r="10" spans="1:14" x14ac:dyDescent="0.25">
      <c r="A10">
        <v>2025</v>
      </c>
      <c r="B10" t="s">
        <v>24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>
        <v>60</v>
      </c>
      <c r="I10">
        <v>0</v>
      </c>
      <c r="J10">
        <v>0</v>
      </c>
      <c r="K10">
        <v>0</v>
      </c>
      <c r="L10">
        <v>10</v>
      </c>
      <c r="M10">
        <v>8</v>
      </c>
      <c r="N10">
        <v>60</v>
      </c>
    </row>
    <row r="11" spans="1:14" x14ac:dyDescent="0.25">
      <c r="A11">
        <v>2025</v>
      </c>
      <c r="B11" t="s">
        <v>24</v>
      </c>
      <c r="C11" t="s">
        <v>15</v>
      </c>
      <c r="D11" t="s">
        <v>27</v>
      </c>
      <c r="E11" t="s">
        <v>17</v>
      </c>
      <c r="F11" t="s">
        <v>18</v>
      </c>
      <c r="G11" t="s">
        <v>19</v>
      </c>
      <c r="H11">
        <v>60</v>
      </c>
      <c r="I11">
        <v>0</v>
      </c>
      <c r="J11">
        <v>0</v>
      </c>
      <c r="K11">
        <v>0</v>
      </c>
      <c r="L11">
        <v>51</v>
      </c>
      <c r="M11">
        <v>34</v>
      </c>
      <c r="N11">
        <v>60</v>
      </c>
    </row>
    <row r="12" spans="1:14" x14ac:dyDescent="0.25">
      <c r="A12">
        <v>2025</v>
      </c>
      <c r="B12" t="s">
        <v>24</v>
      </c>
      <c r="C12" t="s">
        <v>15</v>
      </c>
      <c r="D12" t="s">
        <v>28</v>
      </c>
      <c r="E12" t="s">
        <v>29</v>
      </c>
      <c r="F12" t="s">
        <v>18</v>
      </c>
      <c r="G12" t="s">
        <v>18</v>
      </c>
      <c r="H12">
        <v>120</v>
      </c>
      <c r="I12">
        <v>0</v>
      </c>
      <c r="J12">
        <v>3</v>
      </c>
      <c r="K12">
        <v>3</v>
      </c>
      <c r="L12">
        <v>24</v>
      </c>
      <c r="M12">
        <v>5</v>
      </c>
      <c r="N12">
        <v>120</v>
      </c>
    </row>
    <row r="13" spans="1:14" x14ac:dyDescent="0.25">
      <c r="A13">
        <v>2025</v>
      </c>
      <c r="B13" t="s">
        <v>24</v>
      </c>
      <c r="C13" t="s">
        <v>15</v>
      </c>
      <c r="D13" t="s">
        <v>28</v>
      </c>
      <c r="E13" t="s">
        <v>17</v>
      </c>
      <c r="F13" t="s">
        <v>18</v>
      </c>
      <c r="G13" t="s">
        <v>18</v>
      </c>
      <c r="H13">
        <v>930</v>
      </c>
      <c r="I13">
        <v>0</v>
      </c>
      <c r="J13">
        <v>1</v>
      </c>
      <c r="K13">
        <v>1</v>
      </c>
      <c r="L13">
        <v>186</v>
      </c>
      <c r="M13">
        <v>81</v>
      </c>
      <c r="N13">
        <v>930</v>
      </c>
    </row>
    <row r="14" spans="1:14" x14ac:dyDescent="0.25">
      <c r="A14">
        <v>2025</v>
      </c>
      <c r="B14" t="s">
        <v>30</v>
      </c>
      <c r="C14" t="s">
        <v>15</v>
      </c>
      <c r="D14" t="s">
        <v>25</v>
      </c>
      <c r="E14" t="s">
        <v>29</v>
      </c>
      <c r="F14" t="s">
        <v>18</v>
      </c>
      <c r="G14" t="s">
        <v>19</v>
      </c>
      <c r="H14">
        <v>1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 x14ac:dyDescent="0.25">
      <c r="A15">
        <v>2025</v>
      </c>
      <c r="B15" t="s">
        <v>30</v>
      </c>
      <c r="C15" t="s">
        <v>15</v>
      </c>
      <c r="D15" t="s">
        <v>25</v>
      </c>
      <c r="E15" t="s">
        <v>17</v>
      </c>
      <c r="F15" t="s">
        <v>18</v>
      </c>
      <c r="G15" t="s">
        <v>19</v>
      </c>
      <c r="H15">
        <v>1966</v>
      </c>
      <c r="I15">
        <v>13</v>
      </c>
      <c r="J15">
        <v>49</v>
      </c>
      <c r="K15">
        <v>62</v>
      </c>
      <c r="L15">
        <v>914</v>
      </c>
      <c r="M15">
        <v>492</v>
      </c>
      <c r="N15">
        <v>1933</v>
      </c>
    </row>
    <row r="16" spans="1:14" x14ac:dyDescent="0.25">
      <c r="A16">
        <v>2025</v>
      </c>
      <c r="B16" t="s">
        <v>30</v>
      </c>
      <c r="C16" t="s">
        <v>15</v>
      </c>
      <c r="D16" t="s">
        <v>31</v>
      </c>
      <c r="E16" t="s">
        <v>17</v>
      </c>
      <c r="F16" t="s">
        <v>18</v>
      </c>
      <c r="G16" t="s">
        <v>19</v>
      </c>
      <c r="H16">
        <v>54</v>
      </c>
      <c r="I16">
        <v>0</v>
      </c>
      <c r="J16">
        <v>1</v>
      </c>
      <c r="K16">
        <v>1</v>
      </c>
      <c r="L16">
        <v>33</v>
      </c>
      <c r="M16">
        <v>15</v>
      </c>
      <c r="N16">
        <v>54</v>
      </c>
    </row>
    <row r="17" spans="1:14" x14ac:dyDescent="0.25">
      <c r="A17">
        <v>2025</v>
      </c>
      <c r="B17" t="s">
        <v>30</v>
      </c>
      <c r="C17" t="s">
        <v>15</v>
      </c>
      <c r="D17" t="s">
        <v>26</v>
      </c>
      <c r="E17" t="s">
        <v>17</v>
      </c>
      <c r="F17" t="s">
        <v>18</v>
      </c>
      <c r="G17" t="s">
        <v>18</v>
      </c>
      <c r="H17">
        <v>2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</row>
    <row r="18" spans="1:14" x14ac:dyDescent="0.25">
      <c r="A18">
        <v>2025</v>
      </c>
      <c r="B18" t="s">
        <v>30</v>
      </c>
      <c r="C18" t="s">
        <v>15</v>
      </c>
      <c r="D18" t="s">
        <v>26</v>
      </c>
      <c r="E18" t="s">
        <v>17</v>
      </c>
      <c r="F18" t="s">
        <v>18</v>
      </c>
      <c r="G18" t="s">
        <v>19</v>
      </c>
      <c r="H18">
        <v>119</v>
      </c>
      <c r="I18">
        <v>0</v>
      </c>
      <c r="J18">
        <v>2</v>
      </c>
      <c r="K18">
        <v>2</v>
      </c>
      <c r="L18">
        <v>54</v>
      </c>
      <c r="M18">
        <v>34</v>
      </c>
      <c r="N18">
        <v>118</v>
      </c>
    </row>
    <row r="19" spans="1:14" x14ac:dyDescent="0.25">
      <c r="A19">
        <v>2025</v>
      </c>
      <c r="B19" t="s">
        <v>30</v>
      </c>
      <c r="C19" t="s">
        <v>15</v>
      </c>
      <c r="D19" t="s">
        <v>16</v>
      </c>
      <c r="E19" t="s">
        <v>29</v>
      </c>
      <c r="F19" t="s">
        <v>18</v>
      </c>
      <c r="G19" t="s">
        <v>19</v>
      </c>
      <c r="H19">
        <v>4468</v>
      </c>
      <c r="I19">
        <v>160</v>
      </c>
      <c r="J19">
        <v>580</v>
      </c>
      <c r="K19">
        <v>740</v>
      </c>
      <c r="L19">
        <v>2482</v>
      </c>
      <c r="M19">
        <v>1511</v>
      </c>
      <c r="N19">
        <v>4120</v>
      </c>
    </row>
    <row r="20" spans="1:14" x14ac:dyDescent="0.25">
      <c r="A20">
        <v>2025</v>
      </c>
      <c r="B20" t="s">
        <v>30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>
        <v>1914</v>
      </c>
      <c r="I20">
        <v>33</v>
      </c>
      <c r="J20">
        <v>99</v>
      </c>
      <c r="K20">
        <v>132</v>
      </c>
      <c r="L20">
        <v>977</v>
      </c>
      <c r="M20">
        <v>533</v>
      </c>
      <c r="N20">
        <v>1849</v>
      </c>
    </row>
    <row r="21" spans="1:14" x14ac:dyDescent="0.25">
      <c r="A21">
        <v>2025</v>
      </c>
      <c r="B21" t="s">
        <v>30</v>
      </c>
      <c r="C21" t="s">
        <v>15</v>
      </c>
      <c r="D21" t="s">
        <v>32</v>
      </c>
      <c r="E21" t="s">
        <v>29</v>
      </c>
      <c r="F21" t="s">
        <v>19</v>
      </c>
      <c r="G21" t="s">
        <v>19</v>
      </c>
      <c r="H21">
        <v>14239</v>
      </c>
      <c r="I21">
        <v>398</v>
      </c>
      <c r="J21">
        <v>1420</v>
      </c>
      <c r="K21">
        <v>1818</v>
      </c>
      <c r="L21">
        <v>7949</v>
      </c>
      <c r="M21">
        <v>4867</v>
      </c>
      <c r="N21">
        <v>13257</v>
      </c>
    </row>
    <row r="22" spans="1:14" x14ac:dyDescent="0.25">
      <c r="A22">
        <v>2025</v>
      </c>
      <c r="B22" t="s">
        <v>30</v>
      </c>
      <c r="C22" t="s">
        <v>15</v>
      </c>
      <c r="D22" t="s">
        <v>32</v>
      </c>
      <c r="E22" t="s">
        <v>17</v>
      </c>
      <c r="F22" t="s">
        <v>19</v>
      </c>
      <c r="G22" t="s">
        <v>19</v>
      </c>
      <c r="H22">
        <v>3705</v>
      </c>
      <c r="I22">
        <v>18</v>
      </c>
      <c r="J22">
        <v>322</v>
      </c>
      <c r="K22">
        <v>340</v>
      </c>
      <c r="L22">
        <v>2233</v>
      </c>
      <c r="M22">
        <v>1328</v>
      </c>
      <c r="N22">
        <v>3533</v>
      </c>
    </row>
    <row r="23" spans="1:14" x14ac:dyDescent="0.25">
      <c r="A23">
        <v>2025</v>
      </c>
      <c r="B23" t="s">
        <v>30</v>
      </c>
      <c r="C23" t="s">
        <v>15</v>
      </c>
      <c r="D23" t="s">
        <v>32</v>
      </c>
      <c r="E23" t="s">
        <v>21</v>
      </c>
      <c r="F23" t="s">
        <v>19</v>
      </c>
      <c r="G23" t="s">
        <v>19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2025</v>
      </c>
      <c r="B24" t="s">
        <v>30</v>
      </c>
      <c r="C24" t="s">
        <v>15</v>
      </c>
      <c r="D24" t="s">
        <v>33</v>
      </c>
      <c r="E24" t="s">
        <v>17</v>
      </c>
      <c r="F24" t="s">
        <v>18</v>
      </c>
      <c r="G24" t="s">
        <v>19</v>
      </c>
      <c r="H24">
        <v>494</v>
      </c>
      <c r="I24">
        <v>13</v>
      </c>
      <c r="J24">
        <v>0</v>
      </c>
      <c r="K24">
        <v>13</v>
      </c>
      <c r="L24">
        <v>13</v>
      </c>
      <c r="M24">
        <v>2</v>
      </c>
      <c r="N24">
        <v>481</v>
      </c>
    </row>
    <row r="25" spans="1:14" x14ac:dyDescent="0.25">
      <c r="A25">
        <v>2025</v>
      </c>
      <c r="B25" t="s">
        <v>30</v>
      </c>
      <c r="C25" t="s">
        <v>15</v>
      </c>
      <c r="D25" t="s">
        <v>27</v>
      </c>
      <c r="E25" t="s">
        <v>29</v>
      </c>
      <c r="F25" t="s">
        <v>18</v>
      </c>
      <c r="G25" t="s">
        <v>19</v>
      </c>
      <c r="H25">
        <v>29</v>
      </c>
      <c r="I25">
        <v>2</v>
      </c>
      <c r="J25">
        <v>3</v>
      </c>
      <c r="K25">
        <v>5</v>
      </c>
      <c r="L25">
        <v>11</v>
      </c>
      <c r="M25">
        <v>7</v>
      </c>
      <c r="N25">
        <v>25</v>
      </c>
    </row>
    <row r="26" spans="1:14" x14ac:dyDescent="0.25">
      <c r="A26">
        <v>2025</v>
      </c>
      <c r="B26" t="s">
        <v>30</v>
      </c>
      <c r="C26" t="s">
        <v>15</v>
      </c>
      <c r="D26" t="s">
        <v>27</v>
      </c>
      <c r="E26" t="s">
        <v>17</v>
      </c>
      <c r="F26" t="s">
        <v>18</v>
      </c>
      <c r="G26" t="s">
        <v>19</v>
      </c>
      <c r="H26">
        <v>780</v>
      </c>
      <c r="I26">
        <v>6</v>
      </c>
      <c r="J26">
        <v>32</v>
      </c>
      <c r="K26">
        <v>38</v>
      </c>
      <c r="L26">
        <v>438</v>
      </c>
      <c r="M26">
        <v>315</v>
      </c>
      <c r="N26">
        <v>769</v>
      </c>
    </row>
    <row r="27" spans="1:14" x14ac:dyDescent="0.25">
      <c r="A27">
        <v>2025</v>
      </c>
      <c r="B27" t="s">
        <v>30</v>
      </c>
      <c r="C27" t="s">
        <v>15</v>
      </c>
      <c r="D27" t="s">
        <v>28</v>
      </c>
      <c r="E27" t="s">
        <v>29</v>
      </c>
      <c r="F27" t="s">
        <v>18</v>
      </c>
      <c r="G27" t="s">
        <v>19</v>
      </c>
      <c r="H27">
        <v>60</v>
      </c>
      <c r="I27">
        <v>2</v>
      </c>
      <c r="J27">
        <v>1</v>
      </c>
      <c r="K27">
        <v>3</v>
      </c>
      <c r="L27">
        <v>16</v>
      </c>
      <c r="M27">
        <v>8</v>
      </c>
      <c r="N27">
        <v>58</v>
      </c>
    </row>
    <row r="28" spans="1:14" x14ac:dyDescent="0.25">
      <c r="A28">
        <v>2025</v>
      </c>
      <c r="B28" t="s">
        <v>30</v>
      </c>
      <c r="C28" t="s">
        <v>15</v>
      </c>
      <c r="D28" t="s">
        <v>28</v>
      </c>
      <c r="E28" t="s">
        <v>17</v>
      </c>
      <c r="F28" t="s">
        <v>18</v>
      </c>
      <c r="G28" t="s">
        <v>19</v>
      </c>
      <c r="H28">
        <v>470</v>
      </c>
      <c r="I28">
        <v>3</v>
      </c>
      <c r="J28">
        <v>6</v>
      </c>
      <c r="K28">
        <v>9</v>
      </c>
      <c r="L28">
        <v>176</v>
      </c>
      <c r="M28">
        <v>66</v>
      </c>
      <c r="N28">
        <v>464</v>
      </c>
    </row>
    <row r="29" spans="1:14" x14ac:dyDescent="0.25">
      <c r="A29">
        <v>2025</v>
      </c>
      <c r="B29" t="s">
        <v>30</v>
      </c>
      <c r="C29" t="s">
        <v>15</v>
      </c>
      <c r="D29" t="s">
        <v>34</v>
      </c>
      <c r="E29" t="s">
        <v>17</v>
      </c>
      <c r="F29" t="s">
        <v>19</v>
      </c>
      <c r="G29" t="s">
        <v>19</v>
      </c>
      <c r="H29">
        <v>356</v>
      </c>
      <c r="I29">
        <v>0</v>
      </c>
      <c r="J29">
        <v>6</v>
      </c>
      <c r="K29">
        <v>6</v>
      </c>
      <c r="L29">
        <v>204</v>
      </c>
      <c r="M29">
        <v>93</v>
      </c>
      <c r="N29">
        <v>355</v>
      </c>
    </row>
    <row r="30" spans="1:14" x14ac:dyDescent="0.25">
      <c r="A30">
        <v>2025</v>
      </c>
      <c r="B30" t="s">
        <v>30</v>
      </c>
      <c r="C30" t="s">
        <v>15</v>
      </c>
      <c r="D30" t="s">
        <v>35</v>
      </c>
      <c r="E30" t="s">
        <v>17</v>
      </c>
      <c r="F30" t="s">
        <v>19</v>
      </c>
      <c r="G30" t="s">
        <v>19</v>
      </c>
      <c r="H30">
        <v>135</v>
      </c>
      <c r="I30">
        <v>3</v>
      </c>
      <c r="J30">
        <v>3</v>
      </c>
      <c r="K30">
        <v>6</v>
      </c>
      <c r="L30">
        <v>65</v>
      </c>
      <c r="M30">
        <v>35</v>
      </c>
      <c r="N30">
        <v>129</v>
      </c>
    </row>
    <row r="31" spans="1:14" x14ac:dyDescent="0.25">
      <c r="A31">
        <v>2025</v>
      </c>
      <c r="B31" t="s">
        <v>30</v>
      </c>
      <c r="C31" t="s">
        <v>15</v>
      </c>
      <c r="D31" t="s">
        <v>20</v>
      </c>
      <c r="E31" t="s">
        <v>17</v>
      </c>
      <c r="F31" t="s">
        <v>19</v>
      </c>
      <c r="G31" t="s">
        <v>19</v>
      </c>
      <c r="H31">
        <v>4</v>
      </c>
      <c r="I31">
        <v>2</v>
      </c>
      <c r="J31">
        <v>0</v>
      </c>
      <c r="K31">
        <v>2</v>
      </c>
      <c r="L31">
        <v>0</v>
      </c>
      <c r="M31">
        <v>0</v>
      </c>
      <c r="N31">
        <v>2</v>
      </c>
    </row>
    <row r="32" spans="1:14" x14ac:dyDescent="0.25">
      <c r="A32">
        <v>2025</v>
      </c>
      <c r="B32" t="s">
        <v>30</v>
      </c>
      <c r="C32" t="s">
        <v>15</v>
      </c>
      <c r="D32" t="s">
        <v>20</v>
      </c>
      <c r="E32" t="s">
        <v>21</v>
      </c>
      <c r="F32" t="s">
        <v>19</v>
      </c>
      <c r="G32" t="s">
        <v>19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2025</v>
      </c>
      <c r="B33" t="s">
        <v>36</v>
      </c>
      <c r="C33" t="s">
        <v>15</v>
      </c>
      <c r="D33" t="s">
        <v>25</v>
      </c>
      <c r="E33" t="s">
        <v>17</v>
      </c>
      <c r="F33" t="s">
        <v>18</v>
      </c>
      <c r="G33" t="s">
        <v>18</v>
      </c>
      <c r="H33">
        <v>363</v>
      </c>
      <c r="I33">
        <v>1</v>
      </c>
      <c r="J33">
        <v>1</v>
      </c>
      <c r="K33">
        <v>2</v>
      </c>
      <c r="L33">
        <v>159</v>
      </c>
      <c r="M33">
        <v>67</v>
      </c>
      <c r="N33">
        <v>361</v>
      </c>
    </row>
    <row r="34" spans="1:14" x14ac:dyDescent="0.25">
      <c r="A34">
        <v>2025</v>
      </c>
      <c r="B34" t="s">
        <v>36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>
        <v>461</v>
      </c>
      <c r="I34">
        <v>0</v>
      </c>
      <c r="J34">
        <v>0</v>
      </c>
      <c r="K34">
        <v>0</v>
      </c>
      <c r="L34">
        <v>50</v>
      </c>
      <c r="M34">
        <v>9</v>
      </c>
      <c r="N34">
        <v>461</v>
      </c>
    </row>
    <row r="35" spans="1:14" x14ac:dyDescent="0.25">
      <c r="A35">
        <v>2025</v>
      </c>
      <c r="B35" t="s">
        <v>36</v>
      </c>
      <c r="C35" t="s">
        <v>15</v>
      </c>
      <c r="D35" t="s">
        <v>27</v>
      </c>
      <c r="E35" t="s">
        <v>17</v>
      </c>
      <c r="F35" t="s">
        <v>18</v>
      </c>
      <c r="G35" t="s">
        <v>19</v>
      </c>
      <c r="H35">
        <v>19</v>
      </c>
      <c r="I35">
        <v>0</v>
      </c>
      <c r="J35">
        <v>0</v>
      </c>
      <c r="K35">
        <v>0</v>
      </c>
      <c r="L35">
        <v>2</v>
      </c>
      <c r="M35">
        <v>2</v>
      </c>
      <c r="N35">
        <v>19</v>
      </c>
    </row>
    <row r="36" spans="1:14" x14ac:dyDescent="0.25">
      <c r="A36">
        <v>2025</v>
      </c>
      <c r="B36" t="s">
        <v>37</v>
      </c>
      <c r="C36" t="s">
        <v>38</v>
      </c>
      <c r="D36" t="s">
        <v>39</v>
      </c>
      <c r="E36" t="s">
        <v>17</v>
      </c>
      <c r="F36" t="s">
        <v>18</v>
      </c>
      <c r="G36" t="s">
        <v>19</v>
      </c>
      <c r="H36">
        <v>26</v>
      </c>
      <c r="I36">
        <v>0</v>
      </c>
      <c r="J36">
        <v>7</v>
      </c>
      <c r="K36">
        <v>7</v>
      </c>
      <c r="L36">
        <v>12</v>
      </c>
      <c r="M36">
        <v>9</v>
      </c>
      <c r="N36">
        <v>23</v>
      </c>
    </row>
    <row r="37" spans="1:14" x14ac:dyDescent="0.25">
      <c r="A37">
        <v>2025</v>
      </c>
      <c r="B37" t="s">
        <v>40</v>
      </c>
      <c r="C37" t="s">
        <v>38</v>
      </c>
      <c r="D37" t="s">
        <v>41</v>
      </c>
      <c r="E37" t="s">
        <v>17</v>
      </c>
      <c r="F37" t="s">
        <v>19</v>
      </c>
      <c r="G37" t="s">
        <v>19</v>
      </c>
      <c r="H37">
        <v>3580</v>
      </c>
      <c r="I37">
        <v>72</v>
      </c>
      <c r="J37">
        <v>165</v>
      </c>
      <c r="K37">
        <v>237</v>
      </c>
      <c r="L37">
        <v>940</v>
      </c>
      <c r="M37">
        <v>562</v>
      </c>
      <c r="N37">
        <v>3497</v>
      </c>
    </row>
    <row r="38" spans="1:14" x14ac:dyDescent="0.25">
      <c r="A38">
        <v>2025</v>
      </c>
      <c r="B38" t="s">
        <v>42</v>
      </c>
      <c r="C38" t="s">
        <v>38</v>
      </c>
      <c r="D38" t="s">
        <v>43</v>
      </c>
      <c r="E38" t="s">
        <v>29</v>
      </c>
      <c r="F38" t="s">
        <v>18</v>
      </c>
      <c r="G38" t="s">
        <v>19</v>
      </c>
      <c r="H38">
        <v>470</v>
      </c>
      <c r="I38">
        <v>4</v>
      </c>
      <c r="J38">
        <v>25</v>
      </c>
      <c r="K38">
        <v>29</v>
      </c>
      <c r="L38">
        <v>308</v>
      </c>
      <c r="M38">
        <v>211</v>
      </c>
      <c r="N38">
        <v>464</v>
      </c>
    </row>
    <row r="39" spans="1:14" x14ac:dyDescent="0.25">
      <c r="A39">
        <v>2025</v>
      </c>
      <c r="B39" t="s">
        <v>42</v>
      </c>
      <c r="C39" t="s">
        <v>38</v>
      </c>
      <c r="D39" t="s">
        <v>43</v>
      </c>
      <c r="E39" t="s">
        <v>17</v>
      </c>
      <c r="F39" t="s">
        <v>18</v>
      </c>
      <c r="G39" t="s">
        <v>19</v>
      </c>
      <c r="H39">
        <v>57</v>
      </c>
      <c r="I39">
        <v>0</v>
      </c>
      <c r="J39">
        <v>3</v>
      </c>
      <c r="K39">
        <v>3</v>
      </c>
      <c r="L39">
        <v>23</v>
      </c>
      <c r="M39">
        <v>9</v>
      </c>
      <c r="N39">
        <v>57</v>
      </c>
    </row>
    <row r="40" spans="1:14" x14ac:dyDescent="0.25">
      <c r="A40">
        <v>2025</v>
      </c>
      <c r="B40" t="s">
        <v>44</v>
      </c>
      <c r="C40" t="s">
        <v>15</v>
      </c>
      <c r="D40" t="s">
        <v>23</v>
      </c>
      <c r="E40" t="s">
        <v>17</v>
      </c>
      <c r="F40" t="s">
        <v>18</v>
      </c>
      <c r="G40" t="s">
        <v>18</v>
      </c>
      <c r="H40">
        <v>179</v>
      </c>
      <c r="I40">
        <v>0</v>
      </c>
      <c r="J40">
        <v>0</v>
      </c>
      <c r="K40">
        <v>0</v>
      </c>
      <c r="L40">
        <v>0</v>
      </c>
      <c r="M40">
        <v>0</v>
      </c>
      <c r="N40">
        <v>179</v>
      </c>
    </row>
    <row r="41" spans="1:14" x14ac:dyDescent="0.25">
      <c r="A41">
        <v>2025</v>
      </c>
      <c r="B41" t="s">
        <v>44</v>
      </c>
      <c r="C41" t="s">
        <v>15</v>
      </c>
      <c r="D41" t="s">
        <v>26</v>
      </c>
      <c r="E41" t="s">
        <v>29</v>
      </c>
      <c r="F41" t="s">
        <v>18</v>
      </c>
      <c r="G41" t="s">
        <v>18</v>
      </c>
      <c r="H41">
        <v>23</v>
      </c>
      <c r="I41">
        <v>0</v>
      </c>
      <c r="J41">
        <v>0</v>
      </c>
      <c r="K41">
        <v>0</v>
      </c>
      <c r="L41">
        <v>0</v>
      </c>
      <c r="M41">
        <v>0</v>
      </c>
      <c r="N41">
        <v>23</v>
      </c>
    </row>
    <row r="42" spans="1:14" x14ac:dyDescent="0.25">
      <c r="A42">
        <v>2025</v>
      </c>
      <c r="B42" t="s">
        <v>44</v>
      </c>
      <c r="C42" t="s">
        <v>15</v>
      </c>
      <c r="D42" t="s">
        <v>26</v>
      </c>
      <c r="E42" t="s">
        <v>17</v>
      </c>
      <c r="F42" t="s">
        <v>18</v>
      </c>
      <c r="G42" t="s">
        <v>18</v>
      </c>
      <c r="H42">
        <v>242</v>
      </c>
      <c r="I42">
        <v>0</v>
      </c>
      <c r="J42">
        <v>1</v>
      </c>
      <c r="K42">
        <v>1</v>
      </c>
      <c r="L42">
        <v>26</v>
      </c>
      <c r="M42">
        <v>15</v>
      </c>
      <c r="N42">
        <v>241</v>
      </c>
    </row>
    <row r="43" spans="1:14" x14ac:dyDescent="0.25">
      <c r="A43">
        <v>2025</v>
      </c>
      <c r="B43" t="s">
        <v>45</v>
      </c>
      <c r="C43" t="s">
        <v>15</v>
      </c>
      <c r="D43" t="s">
        <v>23</v>
      </c>
      <c r="E43" t="s">
        <v>17</v>
      </c>
      <c r="F43" t="s">
        <v>18</v>
      </c>
      <c r="G43" t="s">
        <v>18</v>
      </c>
      <c r="H43">
        <v>120</v>
      </c>
      <c r="I43">
        <v>0</v>
      </c>
      <c r="J43">
        <v>0</v>
      </c>
      <c r="K43">
        <v>0</v>
      </c>
      <c r="L43">
        <v>0</v>
      </c>
      <c r="M43">
        <v>0</v>
      </c>
      <c r="N43">
        <v>120</v>
      </c>
    </row>
    <row r="44" spans="1:14" x14ac:dyDescent="0.25">
      <c r="A44">
        <v>2025</v>
      </c>
      <c r="B44" t="s">
        <v>45</v>
      </c>
      <c r="C44" t="s">
        <v>15</v>
      </c>
      <c r="D44" t="s">
        <v>25</v>
      </c>
      <c r="E44" t="s">
        <v>17</v>
      </c>
      <c r="F44" t="s">
        <v>18</v>
      </c>
      <c r="G44" t="s">
        <v>19</v>
      </c>
      <c r="H44">
        <v>524</v>
      </c>
      <c r="I44">
        <v>0</v>
      </c>
      <c r="J44">
        <v>0</v>
      </c>
      <c r="K44">
        <v>0</v>
      </c>
      <c r="L44">
        <v>74</v>
      </c>
      <c r="M44">
        <v>42</v>
      </c>
      <c r="N44">
        <v>524</v>
      </c>
    </row>
    <row r="45" spans="1:14" x14ac:dyDescent="0.25">
      <c r="A45">
        <v>2025</v>
      </c>
      <c r="B45" t="s">
        <v>45</v>
      </c>
      <c r="C45" t="s">
        <v>15</v>
      </c>
      <c r="D45" t="s">
        <v>26</v>
      </c>
      <c r="E45" t="s">
        <v>17</v>
      </c>
      <c r="F45" t="s">
        <v>18</v>
      </c>
      <c r="G45" t="s">
        <v>19</v>
      </c>
      <c r="H45">
        <v>119</v>
      </c>
      <c r="I45">
        <v>0</v>
      </c>
      <c r="J45">
        <v>0</v>
      </c>
      <c r="K45">
        <v>0</v>
      </c>
      <c r="L45">
        <v>19</v>
      </c>
      <c r="M45">
        <v>12</v>
      </c>
      <c r="N45">
        <v>119</v>
      </c>
    </row>
    <row r="46" spans="1:14" x14ac:dyDescent="0.25">
      <c r="A46">
        <v>2025</v>
      </c>
      <c r="B46" t="s">
        <v>45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>
        <v>209</v>
      </c>
      <c r="I46">
        <v>0</v>
      </c>
      <c r="J46">
        <v>0</v>
      </c>
      <c r="K46">
        <v>0</v>
      </c>
      <c r="L46">
        <v>2</v>
      </c>
      <c r="M46">
        <v>1</v>
      </c>
      <c r="N46">
        <v>209</v>
      </c>
    </row>
    <row r="47" spans="1:14" x14ac:dyDescent="0.25">
      <c r="A47">
        <v>2025</v>
      </c>
      <c r="B47" t="s">
        <v>45</v>
      </c>
      <c r="C47" t="s">
        <v>15</v>
      </c>
      <c r="D47" t="s">
        <v>27</v>
      </c>
      <c r="E47" t="s">
        <v>17</v>
      </c>
      <c r="F47" t="s">
        <v>18</v>
      </c>
      <c r="G47" t="s">
        <v>19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</row>
    <row r="48" spans="1:14" x14ac:dyDescent="0.25">
      <c r="A48">
        <v>2025</v>
      </c>
      <c r="B48" t="s">
        <v>45</v>
      </c>
      <c r="C48" t="s">
        <v>15</v>
      </c>
      <c r="D48" t="s">
        <v>34</v>
      </c>
      <c r="E48" t="s">
        <v>17</v>
      </c>
      <c r="F48" t="s">
        <v>19</v>
      </c>
      <c r="G48" t="s">
        <v>19</v>
      </c>
      <c r="H48">
        <v>480</v>
      </c>
      <c r="I48">
        <v>0</v>
      </c>
      <c r="J48">
        <v>0</v>
      </c>
      <c r="K48">
        <v>0</v>
      </c>
      <c r="L48">
        <v>221</v>
      </c>
      <c r="M48">
        <v>130</v>
      </c>
      <c r="N48">
        <v>480</v>
      </c>
    </row>
    <row r="49" spans="1:14" x14ac:dyDescent="0.25">
      <c r="A49">
        <v>2025</v>
      </c>
      <c r="B49" t="s">
        <v>46</v>
      </c>
      <c r="C49" t="s">
        <v>15</v>
      </c>
      <c r="D49" t="s">
        <v>47</v>
      </c>
      <c r="E49" t="s">
        <v>17</v>
      </c>
      <c r="F49" t="s">
        <v>18</v>
      </c>
      <c r="G49" t="s">
        <v>19</v>
      </c>
      <c r="H49">
        <v>804</v>
      </c>
      <c r="I49">
        <v>18</v>
      </c>
      <c r="J49">
        <v>1</v>
      </c>
      <c r="K49">
        <v>19</v>
      </c>
      <c r="L49">
        <v>33</v>
      </c>
      <c r="M49">
        <v>7</v>
      </c>
      <c r="N49">
        <v>786</v>
      </c>
    </row>
    <row r="50" spans="1:14" x14ac:dyDescent="0.25">
      <c r="A50">
        <v>2025</v>
      </c>
      <c r="B50" t="s">
        <v>46</v>
      </c>
      <c r="C50" t="s">
        <v>15</v>
      </c>
      <c r="D50" t="s">
        <v>16</v>
      </c>
      <c r="E50" t="s">
        <v>29</v>
      </c>
      <c r="F50" t="s">
        <v>18</v>
      </c>
      <c r="G50" t="s">
        <v>19</v>
      </c>
      <c r="H50">
        <v>36068</v>
      </c>
      <c r="I50">
        <v>0</v>
      </c>
      <c r="J50">
        <v>3274</v>
      </c>
      <c r="K50">
        <v>3274</v>
      </c>
      <c r="L50">
        <v>2407</v>
      </c>
      <c r="M50">
        <v>419</v>
      </c>
      <c r="N50">
        <v>33480</v>
      </c>
    </row>
    <row r="51" spans="1:14" x14ac:dyDescent="0.25">
      <c r="A51">
        <v>2025</v>
      </c>
      <c r="B51" t="s">
        <v>46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>
        <v>453</v>
      </c>
      <c r="I51">
        <v>40</v>
      </c>
      <c r="J51">
        <v>13</v>
      </c>
      <c r="K51">
        <v>53</v>
      </c>
      <c r="L51">
        <v>209</v>
      </c>
      <c r="M51">
        <v>164</v>
      </c>
      <c r="N51">
        <v>406</v>
      </c>
    </row>
    <row r="52" spans="1:14" x14ac:dyDescent="0.25">
      <c r="A52">
        <v>2025</v>
      </c>
      <c r="B52" t="s">
        <v>46</v>
      </c>
      <c r="C52" t="s">
        <v>15</v>
      </c>
      <c r="D52" t="s">
        <v>48</v>
      </c>
      <c r="E52" t="s">
        <v>29</v>
      </c>
      <c r="F52" t="s">
        <v>18</v>
      </c>
      <c r="G52" t="s">
        <v>19</v>
      </c>
      <c r="H52">
        <v>3095</v>
      </c>
      <c r="I52">
        <v>0</v>
      </c>
      <c r="J52">
        <v>532</v>
      </c>
      <c r="K52">
        <v>532</v>
      </c>
      <c r="L52">
        <v>281</v>
      </c>
      <c r="M52">
        <v>58</v>
      </c>
      <c r="N52">
        <v>2742</v>
      </c>
    </row>
    <row r="53" spans="1:14" x14ac:dyDescent="0.25">
      <c r="A53">
        <v>2025</v>
      </c>
      <c r="B53" t="s">
        <v>46</v>
      </c>
      <c r="C53" t="s">
        <v>15</v>
      </c>
      <c r="D53" t="s">
        <v>32</v>
      </c>
      <c r="E53" t="s">
        <v>17</v>
      </c>
      <c r="F53" t="s">
        <v>19</v>
      </c>
      <c r="G53" t="s">
        <v>19</v>
      </c>
      <c r="H53">
        <v>447</v>
      </c>
      <c r="I53">
        <v>4</v>
      </c>
      <c r="J53">
        <v>108</v>
      </c>
      <c r="K53">
        <v>112</v>
      </c>
      <c r="L53">
        <v>199</v>
      </c>
      <c r="M53">
        <v>150</v>
      </c>
      <c r="N53">
        <v>411</v>
      </c>
    </row>
    <row r="54" spans="1:14" x14ac:dyDescent="0.25">
      <c r="A54">
        <v>2025</v>
      </c>
      <c r="B54" t="s">
        <v>46</v>
      </c>
      <c r="C54" t="s">
        <v>15</v>
      </c>
      <c r="D54" t="s">
        <v>27</v>
      </c>
      <c r="E54" t="s">
        <v>17</v>
      </c>
      <c r="F54" t="s">
        <v>18</v>
      </c>
      <c r="G54" t="s">
        <v>19</v>
      </c>
      <c r="H54">
        <v>185</v>
      </c>
      <c r="I54">
        <v>2</v>
      </c>
      <c r="J54">
        <v>13</v>
      </c>
      <c r="K54">
        <v>15</v>
      </c>
      <c r="L54">
        <v>109</v>
      </c>
      <c r="M54">
        <v>86</v>
      </c>
      <c r="N54">
        <v>178</v>
      </c>
    </row>
    <row r="55" spans="1:14" x14ac:dyDescent="0.25">
      <c r="A55">
        <v>2025</v>
      </c>
      <c r="B55" t="s">
        <v>46</v>
      </c>
      <c r="C55" t="s">
        <v>15</v>
      </c>
      <c r="D55" t="s">
        <v>49</v>
      </c>
      <c r="E55" t="s">
        <v>29</v>
      </c>
      <c r="F55" t="s">
        <v>18</v>
      </c>
      <c r="G55" t="s">
        <v>18</v>
      </c>
      <c r="H55">
        <v>13</v>
      </c>
      <c r="I55">
        <v>0</v>
      </c>
      <c r="J55">
        <v>0</v>
      </c>
      <c r="K55">
        <v>0</v>
      </c>
      <c r="L55">
        <v>4</v>
      </c>
      <c r="M55">
        <v>2</v>
      </c>
      <c r="N55">
        <v>13</v>
      </c>
    </row>
    <row r="56" spans="1:14" x14ac:dyDescent="0.25">
      <c r="A56">
        <v>2025</v>
      </c>
      <c r="B56" t="s">
        <v>46</v>
      </c>
      <c r="C56" t="s">
        <v>15</v>
      </c>
      <c r="D56" t="s">
        <v>50</v>
      </c>
      <c r="E56" t="s">
        <v>29</v>
      </c>
      <c r="F56" t="s">
        <v>18</v>
      </c>
      <c r="G56" t="s">
        <v>18</v>
      </c>
      <c r="H56">
        <v>4137</v>
      </c>
      <c r="I56">
        <v>0</v>
      </c>
      <c r="J56">
        <v>141</v>
      </c>
      <c r="K56">
        <v>141</v>
      </c>
      <c r="L56">
        <v>139</v>
      </c>
      <c r="M56">
        <v>8</v>
      </c>
      <c r="N56">
        <v>4039</v>
      </c>
    </row>
    <row r="57" spans="1:14" x14ac:dyDescent="0.25">
      <c r="A57">
        <v>2025</v>
      </c>
      <c r="B57" t="s">
        <v>46</v>
      </c>
      <c r="C57" t="s">
        <v>15</v>
      </c>
      <c r="D57" t="s">
        <v>51</v>
      </c>
      <c r="E57" t="s">
        <v>29</v>
      </c>
      <c r="F57" t="s">
        <v>18</v>
      </c>
      <c r="G57" t="s">
        <v>18</v>
      </c>
      <c r="H57">
        <v>78163</v>
      </c>
      <c r="I57">
        <v>0</v>
      </c>
      <c r="J57">
        <v>3177</v>
      </c>
      <c r="K57">
        <v>3177</v>
      </c>
      <c r="L57">
        <v>2654</v>
      </c>
      <c r="M57">
        <v>289</v>
      </c>
      <c r="N57">
        <v>75830</v>
      </c>
    </row>
    <row r="58" spans="1:14" x14ac:dyDescent="0.25">
      <c r="A58">
        <v>2025</v>
      </c>
      <c r="B58" t="s">
        <v>46</v>
      </c>
      <c r="C58" t="s">
        <v>15</v>
      </c>
      <c r="D58" t="s">
        <v>51</v>
      </c>
      <c r="E58" t="s">
        <v>21</v>
      </c>
      <c r="F58" t="s">
        <v>18</v>
      </c>
      <c r="G58" t="s">
        <v>18</v>
      </c>
      <c r="H58">
        <v>1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</row>
    <row r="59" spans="1:14" x14ac:dyDescent="0.25">
      <c r="A59">
        <v>2025</v>
      </c>
      <c r="B59" t="s">
        <v>46</v>
      </c>
      <c r="C59" t="s">
        <v>15</v>
      </c>
      <c r="D59" t="s">
        <v>52</v>
      </c>
      <c r="E59" t="s">
        <v>29</v>
      </c>
      <c r="F59" t="s">
        <v>18</v>
      </c>
      <c r="G59" t="s">
        <v>18</v>
      </c>
      <c r="H59">
        <v>37213</v>
      </c>
      <c r="I59">
        <v>0</v>
      </c>
      <c r="J59">
        <v>1218</v>
      </c>
      <c r="K59">
        <v>1218</v>
      </c>
      <c r="L59">
        <v>971</v>
      </c>
      <c r="M59">
        <v>85</v>
      </c>
      <c r="N59">
        <v>36286</v>
      </c>
    </row>
    <row r="60" spans="1:14" x14ac:dyDescent="0.25">
      <c r="A60">
        <v>2025</v>
      </c>
      <c r="B60" t="s">
        <v>53</v>
      </c>
      <c r="C60" t="s">
        <v>15</v>
      </c>
      <c r="D60" t="s">
        <v>23</v>
      </c>
      <c r="E60" t="s">
        <v>29</v>
      </c>
      <c r="F60" t="s">
        <v>18</v>
      </c>
      <c r="G60" t="s">
        <v>19</v>
      </c>
      <c r="H60">
        <v>476</v>
      </c>
      <c r="I60">
        <v>3</v>
      </c>
      <c r="J60">
        <v>0</v>
      </c>
      <c r="K60">
        <v>3</v>
      </c>
      <c r="L60">
        <v>97</v>
      </c>
      <c r="M60">
        <v>28</v>
      </c>
      <c r="N60">
        <v>473</v>
      </c>
    </row>
    <row r="61" spans="1:14" x14ac:dyDescent="0.25">
      <c r="A61">
        <v>2025</v>
      </c>
      <c r="B61" t="s">
        <v>53</v>
      </c>
      <c r="C61" t="s">
        <v>15</v>
      </c>
      <c r="D61" t="s">
        <v>23</v>
      </c>
      <c r="E61" t="s">
        <v>17</v>
      </c>
      <c r="F61" t="s">
        <v>18</v>
      </c>
      <c r="G61" t="s">
        <v>19</v>
      </c>
      <c r="H61">
        <v>899</v>
      </c>
      <c r="I61">
        <v>0</v>
      </c>
      <c r="J61">
        <v>3</v>
      </c>
      <c r="K61">
        <v>3</v>
      </c>
      <c r="L61">
        <v>210</v>
      </c>
      <c r="M61">
        <v>71</v>
      </c>
      <c r="N61">
        <v>898</v>
      </c>
    </row>
    <row r="62" spans="1:14" x14ac:dyDescent="0.25">
      <c r="A62">
        <v>2025</v>
      </c>
      <c r="B62" t="s">
        <v>53</v>
      </c>
      <c r="C62" t="s">
        <v>15</v>
      </c>
      <c r="D62" t="s">
        <v>25</v>
      </c>
      <c r="E62" t="s">
        <v>29</v>
      </c>
      <c r="F62" t="s">
        <v>18</v>
      </c>
      <c r="G62" t="s">
        <v>19</v>
      </c>
      <c r="H62">
        <v>97</v>
      </c>
      <c r="I62">
        <v>0</v>
      </c>
      <c r="J62">
        <v>1</v>
      </c>
      <c r="K62">
        <v>1</v>
      </c>
      <c r="L62">
        <v>19</v>
      </c>
      <c r="M62">
        <v>8</v>
      </c>
      <c r="N62">
        <v>97</v>
      </c>
    </row>
    <row r="63" spans="1:14" x14ac:dyDescent="0.25">
      <c r="A63">
        <v>2025</v>
      </c>
      <c r="B63" t="s">
        <v>53</v>
      </c>
      <c r="C63" t="s">
        <v>15</v>
      </c>
      <c r="D63" t="s">
        <v>25</v>
      </c>
      <c r="E63" t="s">
        <v>17</v>
      </c>
      <c r="F63" t="s">
        <v>18</v>
      </c>
      <c r="G63" t="s">
        <v>19</v>
      </c>
      <c r="H63">
        <v>1570</v>
      </c>
      <c r="I63">
        <v>12</v>
      </c>
      <c r="J63">
        <v>0</v>
      </c>
      <c r="K63">
        <v>12</v>
      </c>
      <c r="L63">
        <v>488</v>
      </c>
      <c r="M63">
        <v>224</v>
      </c>
      <c r="N63">
        <v>1558</v>
      </c>
    </row>
    <row r="64" spans="1:14" x14ac:dyDescent="0.25">
      <c r="A64">
        <v>2025</v>
      </c>
      <c r="B64" t="s">
        <v>53</v>
      </c>
      <c r="C64" t="s">
        <v>15</v>
      </c>
      <c r="D64" t="s">
        <v>26</v>
      </c>
      <c r="E64" t="s">
        <v>17</v>
      </c>
      <c r="F64" t="s">
        <v>18</v>
      </c>
      <c r="G64" t="s">
        <v>18</v>
      </c>
      <c r="H64">
        <v>384</v>
      </c>
      <c r="I64">
        <v>0</v>
      </c>
      <c r="J64">
        <v>0</v>
      </c>
      <c r="K64">
        <v>0</v>
      </c>
      <c r="L64">
        <v>31</v>
      </c>
      <c r="M64">
        <v>16</v>
      </c>
      <c r="N64">
        <v>384</v>
      </c>
    </row>
    <row r="65" spans="1:14" x14ac:dyDescent="0.25">
      <c r="A65">
        <v>2025</v>
      </c>
      <c r="B65" t="s">
        <v>53</v>
      </c>
      <c r="C65" t="s">
        <v>15</v>
      </c>
      <c r="D65" t="s">
        <v>26</v>
      </c>
      <c r="E65" t="s">
        <v>17</v>
      </c>
      <c r="F65" t="s">
        <v>18</v>
      </c>
      <c r="G65" t="s">
        <v>19</v>
      </c>
      <c r="H65">
        <v>30</v>
      </c>
      <c r="I65">
        <v>0</v>
      </c>
      <c r="J65">
        <v>0</v>
      </c>
      <c r="K65">
        <v>0</v>
      </c>
      <c r="L65">
        <v>11</v>
      </c>
      <c r="M65">
        <v>8</v>
      </c>
      <c r="N65">
        <v>30</v>
      </c>
    </row>
    <row r="66" spans="1:14" x14ac:dyDescent="0.25">
      <c r="A66">
        <v>2025</v>
      </c>
      <c r="B66" t="s">
        <v>53</v>
      </c>
      <c r="C66" t="s">
        <v>15</v>
      </c>
      <c r="D66" t="s">
        <v>16</v>
      </c>
      <c r="E66" t="s">
        <v>29</v>
      </c>
      <c r="F66" t="s">
        <v>18</v>
      </c>
      <c r="G66" t="s">
        <v>19</v>
      </c>
      <c r="H66">
        <v>1292</v>
      </c>
      <c r="I66">
        <v>0</v>
      </c>
      <c r="J66">
        <v>175</v>
      </c>
      <c r="K66">
        <v>175</v>
      </c>
      <c r="L66">
        <v>167</v>
      </c>
      <c r="M66">
        <v>44</v>
      </c>
      <c r="N66">
        <v>1207</v>
      </c>
    </row>
    <row r="67" spans="1:14" x14ac:dyDescent="0.25">
      <c r="A67">
        <v>2025</v>
      </c>
      <c r="B67" t="s">
        <v>53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>
        <v>487</v>
      </c>
      <c r="I67">
        <v>0</v>
      </c>
      <c r="J67">
        <v>1</v>
      </c>
      <c r="K67">
        <v>1</v>
      </c>
      <c r="L67">
        <v>65</v>
      </c>
      <c r="M67">
        <v>46</v>
      </c>
      <c r="N67">
        <v>487</v>
      </c>
    </row>
    <row r="68" spans="1:14" x14ac:dyDescent="0.25">
      <c r="A68">
        <v>2025</v>
      </c>
      <c r="B68" t="s">
        <v>53</v>
      </c>
      <c r="C68" t="s">
        <v>15</v>
      </c>
      <c r="D68" t="s">
        <v>32</v>
      </c>
      <c r="E68" t="s">
        <v>29</v>
      </c>
      <c r="F68" t="s">
        <v>19</v>
      </c>
      <c r="G68" t="s">
        <v>19</v>
      </c>
      <c r="H68">
        <v>30</v>
      </c>
      <c r="I68">
        <v>0</v>
      </c>
      <c r="J68">
        <v>0</v>
      </c>
      <c r="K68">
        <v>0</v>
      </c>
      <c r="L68">
        <v>0</v>
      </c>
      <c r="M68">
        <v>0</v>
      </c>
      <c r="N68">
        <v>30</v>
      </c>
    </row>
    <row r="69" spans="1:14" x14ac:dyDescent="0.25">
      <c r="A69">
        <v>2025</v>
      </c>
      <c r="B69" t="s">
        <v>53</v>
      </c>
      <c r="C69" t="s">
        <v>15</v>
      </c>
      <c r="D69" t="s">
        <v>32</v>
      </c>
      <c r="E69" t="s">
        <v>17</v>
      </c>
      <c r="F69" t="s">
        <v>19</v>
      </c>
      <c r="G69" t="s">
        <v>19</v>
      </c>
      <c r="H69">
        <v>666</v>
      </c>
      <c r="I69">
        <v>7</v>
      </c>
      <c r="J69">
        <v>3</v>
      </c>
      <c r="K69">
        <v>10</v>
      </c>
      <c r="L69">
        <v>220</v>
      </c>
      <c r="M69">
        <v>163</v>
      </c>
      <c r="N69">
        <v>657</v>
      </c>
    </row>
    <row r="70" spans="1:14" x14ac:dyDescent="0.25">
      <c r="A70">
        <v>2025</v>
      </c>
      <c r="B70" t="s">
        <v>53</v>
      </c>
      <c r="C70" t="s">
        <v>15</v>
      </c>
      <c r="D70" t="s">
        <v>33</v>
      </c>
      <c r="E70" t="s">
        <v>29</v>
      </c>
      <c r="F70" t="s">
        <v>18</v>
      </c>
      <c r="G70" t="s">
        <v>19</v>
      </c>
      <c r="H70">
        <v>44</v>
      </c>
      <c r="I70">
        <v>0</v>
      </c>
      <c r="J70">
        <v>0</v>
      </c>
      <c r="K70">
        <v>0</v>
      </c>
      <c r="L70">
        <v>0</v>
      </c>
      <c r="M70">
        <v>0</v>
      </c>
      <c r="N70">
        <v>44</v>
      </c>
    </row>
    <row r="71" spans="1:14" x14ac:dyDescent="0.25">
      <c r="A71">
        <v>2025</v>
      </c>
      <c r="B71" t="s">
        <v>53</v>
      </c>
      <c r="C71" t="s">
        <v>15</v>
      </c>
      <c r="D71" t="s">
        <v>27</v>
      </c>
      <c r="E71" t="s">
        <v>29</v>
      </c>
      <c r="F71" t="s">
        <v>18</v>
      </c>
      <c r="G71" t="s">
        <v>19</v>
      </c>
      <c r="H71">
        <v>60</v>
      </c>
      <c r="I71">
        <v>0</v>
      </c>
      <c r="J71">
        <v>1</v>
      </c>
      <c r="K71">
        <v>1</v>
      </c>
      <c r="L71">
        <v>3</v>
      </c>
      <c r="M71">
        <v>1</v>
      </c>
      <c r="N71">
        <v>60</v>
      </c>
    </row>
    <row r="72" spans="1:14" x14ac:dyDescent="0.25">
      <c r="A72">
        <v>2025</v>
      </c>
      <c r="B72" t="s">
        <v>53</v>
      </c>
      <c r="C72" t="s">
        <v>15</v>
      </c>
      <c r="D72" t="s">
        <v>27</v>
      </c>
      <c r="E72" t="s">
        <v>17</v>
      </c>
      <c r="F72" t="s">
        <v>18</v>
      </c>
      <c r="G72" t="s">
        <v>19</v>
      </c>
      <c r="H72">
        <v>835</v>
      </c>
      <c r="I72">
        <v>3</v>
      </c>
      <c r="J72">
        <v>2</v>
      </c>
      <c r="K72">
        <v>5</v>
      </c>
      <c r="L72">
        <v>267</v>
      </c>
      <c r="M72">
        <v>162</v>
      </c>
      <c r="N72">
        <v>830</v>
      </c>
    </row>
    <row r="73" spans="1:14" x14ac:dyDescent="0.25">
      <c r="A73">
        <v>2025</v>
      </c>
      <c r="B73" t="s">
        <v>53</v>
      </c>
      <c r="C73" t="s">
        <v>15</v>
      </c>
      <c r="D73" t="s">
        <v>28</v>
      </c>
      <c r="E73" t="s">
        <v>29</v>
      </c>
      <c r="F73" t="s">
        <v>18</v>
      </c>
      <c r="G73" t="s">
        <v>19</v>
      </c>
      <c r="H73">
        <v>1889</v>
      </c>
      <c r="I73">
        <v>7</v>
      </c>
      <c r="J73">
        <v>112</v>
      </c>
      <c r="K73">
        <v>119</v>
      </c>
      <c r="L73">
        <v>289</v>
      </c>
      <c r="M73">
        <v>77</v>
      </c>
      <c r="N73">
        <v>1813</v>
      </c>
    </row>
    <row r="74" spans="1:14" x14ac:dyDescent="0.25">
      <c r="A74">
        <v>2025</v>
      </c>
      <c r="B74" t="s">
        <v>53</v>
      </c>
      <c r="C74" t="s">
        <v>15</v>
      </c>
      <c r="D74" t="s">
        <v>28</v>
      </c>
      <c r="E74" t="s">
        <v>17</v>
      </c>
      <c r="F74" t="s">
        <v>18</v>
      </c>
      <c r="G74" t="s">
        <v>19</v>
      </c>
      <c r="H74">
        <v>569</v>
      </c>
      <c r="I74">
        <v>0</v>
      </c>
      <c r="J74">
        <v>5</v>
      </c>
      <c r="K74">
        <v>5</v>
      </c>
      <c r="L74">
        <v>220</v>
      </c>
      <c r="M74">
        <v>95</v>
      </c>
      <c r="N74">
        <v>568</v>
      </c>
    </row>
    <row r="75" spans="1:14" x14ac:dyDescent="0.25">
      <c r="A75">
        <v>2025</v>
      </c>
      <c r="B75" t="s">
        <v>53</v>
      </c>
      <c r="C75" t="s">
        <v>15</v>
      </c>
      <c r="D75" t="s">
        <v>34</v>
      </c>
      <c r="E75" t="s">
        <v>29</v>
      </c>
      <c r="F75" t="s">
        <v>19</v>
      </c>
      <c r="G75" t="s">
        <v>19</v>
      </c>
      <c r="H75">
        <v>899</v>
      </c>
      <c r="I75">
        <v>0</v>
      </c>
      <c r="J75">
        <v>27</v>
      </c>
      <c r="K75">
        <v>27</v>
      </c>
      <c r="L75">
        <v>384</v>
      </c>
      <c r="M75">
        <v>208</v>
      </c>
      <c r="N75">
        <v>888</v>
      </c>
    </row>
    <row r="76" spans="1:14" x14ac:dyDescent="0.25">
      <c r="A76">
        <v>2025</v>
      </c>
      <c r="B76" t="s">
        <v>53</v>
      </c>
      <c r="C76" t="s">
        <v>15</v>
      </c>
      <c r="D76" t="s">
        <v>34</v>
      </c>
      <c r="E76" t="s">
        <v>17</v>
      </c>
      <c r="F76" t="s">
        <v>19</v>
      </c>
      <c r="G76" t="s">
        <v>19</v>
      </c>
      <c r="H76">
        <v>1029</v>
      </c>
      <c r="I76">
        <v>0</v>
      </c>
      <c r="J76">
        <v>7</v>
      </c>
      <c r="K76">
        <v>7</v>
      </c>
      <c r="L76">
        <v>463</v>
      </c>
      <c r="M76">
        <v>242</v>
      </c>
      <c r="N76">
        <v>1025</v>
      </c>
    </row>
    <row r="77" spans="1:14" x14ac:dyDescent="0.25">
      <c r="A77">
        <v>2025</v>
      </c>
      <c r="B77" t="s">
        <v>54</v>
      </c>
      <c r="C77" t="s">
        <v>15</v>
      </c>
      <c r="D77" t="s">
        <v>33</v>
      </c>
      <c r="E77" t="s">
        <v>29</v>
      </c>
      <c r="F77" t="s">
        <v>18</v>
      </c>
      <c r="G77" t="s">
        <v>18</v>
      </c>
      <c r="H77">
        <v>10995</v>
      </c>
      <c r="I77">
        <v>11</v>
      </c>
      <c r="J77">
        <v>137</v>
      </c>
      <c r="K77">
        <v>148</v>
      </c>
      <c r="L77">
        <v>6</v>
      </c>
      <c r="M77">
        <v>2</v>
      </c>
      <c r="N77">
        <v>10871</v>
      </c>
    </row>
    <row r="78" spans="1:14" x14ac:dyDescent="0.25">
      <c r="A78">
        <v>2025</v>
      </c>
      <c r="B78" t="s">
        <v>54</v>
      </c>
      <c r="C78" t="s">
        <v>15</v>
      </c>
      <c r="D78" t="s">
        <v>33</v>
      </c>
      <c r="E78" t="s">
        <v>17</v>
      </c>
      <c r="F78" t="s">
        <v>18</v>
      </c>
      <c r="G78" t="s">
        <v>18</v>
      </c>
      <c r="H78">
        <v>27</v>
      </c>
      <c r="I78">
        <v>0</v>
      </c>
      <c r="J78">
        <v>0</v>
      </c>
      <c r="K78">
        <v>0</v>
      </c>
      <c r="L78">
        <v>0</v>
      </c>
      <c r="M78">
        <v>0</v>
      </c>
      <c r="N78">
        <v>27</v>
      </c>
    </row>
    <row r="79" spans="1:14" x14ac:dyDescent="0.25">
      <c r="A79">
        <v>2025</v>
      </c>
      <c r="B79" t="s">
        <v>55</v>
      </c>
      <c r="C79" t="s">
        <v>38</v>
      </c>
      <c r="D79" t="s">
        <v>56</v>
      </c>
      <c r="E79" t="s">
        <v>17</v>
      </c>
      <c r="F79" t="s">
        <v>18</v>
      </c>
      <c r="G79" t="s">
        <v>18</v>
      </c>
      <c r="H79">
        <v>127</v>
      </c>
      <c r="I79">
        <v>0</v>
      </c>
      <c r="J79">
        <v>1</v>
      </c>
      <c r="K79">
        <v>1</v>
      </c>
      <c r="L79">
        <v>10</v>
      </c>
      <c r="M79">
        <v>6</v>
      </c>
      <c r="N79">
        <v>126</v>
      </c>
    </row>
    <row r="80" spans="1:14" x14ac:dyDescent="0.25">
      <c r="A80">
        <v>2025</v>
      </c>
      <c r="B80" t="s">
        <v>55</v>
      </c>
      <c r="C80" t="s">
        <v>38</v>
      </c>
      <c r="D80" t="s">
        <v>57</v>
      </c>
      <c r="E80" t="s">
        <v>29</v>
      </c>
      <c r="F80" t="s">
        <v>19</v>
      </c>
      <c r="G80" t="s">
        <v>19</v>
      </c>
      <c r="H80">
        <v>1878</v>
      </c>
      <c r="I80">
        <v>12</v>
      </c>
      <c r="J80">
        <v>16</v>
      </c>
      <c r="K80">
        <v>28</v>
      </c>
      <c r="L80">
        <v>335</v>
      </c>
      <c r="M80">
        <v>188</v>
      </c>
      <c r="N80">
        <v>1860</v>
      </c>
    </row>
    <row r="81" spans="1:14" x14ac:dyDescent="0.25">
      <c r="A81">
        <v>2025</v>
      </c>
      <c r="B81" t="s">
        <v>55</v>
      </c>
      <c r="C81" t="s">
        <v>38</v>
      </c>
      <c r="D81" t="s">
        <v>57</v>
      </c>
      <c r="E81" t="s">
        <v>21</v>
      </c>
      <c r="F81" t="s">
        <v>19</v>
      </c>
      <c r="G81" t="s">
        <v>19</v>
      </c>
      <c r="H81">
        <v>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2025</v>
      </c>
      <c r="B82" t="s">
        <v>58</v>
      </c>
      <c r="C82" t="s">
        <v>15</v>
      </c>
      <c r="D82" t="s">
        <v>25</v>
      </c>
      <c r="E82" t="s">
        <v>17</v>
      </c>
      <c r="F82" t="s">
        <v>18</v>
      </c>
      <c r="G82" t="s">
        <v>18</v>
      </c>
      <c r="H82">
        <v>884</v>
      </c>
      <c r="I82">
        <v>2</v>
      </c>
      <c r="J82">
        <v>0</v>
      </c>
      <c r="K82">
        <v>2</v>
      </c>
      <c r="L82">
        <v>243</v>
      </c>
      <c r="M82">
        <v>108</v>
      </c>
      <c r="N82">
        <v>882</v>
      </c>
    </row>
    <row r="83" spans="1:14" x14ac:dyDescent="0.25">
      <c r="A83">
        <v>2025</v>
      </c>
      <c r="B83" t="s">
        <v>58</v>
      </c>
      <c r="C83" t="s">
        <v>15</v>
      </c>
      <c r="D83" t="s">
        <v>26</v>
      </c>
      <c r="E83" t="s">
        <v>17</v>
      </c>
      <c r="F83" t="s">
        <v>18</v>
      </c>
      <c r="G83" t="s">
        <v>18</v>
      </c>
      <c r="H83">
        <v>240</v>
      </c>
      <c r="I83">
        <v>0</v>
      </c>
      <c r="J83">
        <v>14</v>
      </c>
      <c r="K83">
        <v>14</v>
      </c>
      <c r="L83">
        <v>73</v>
      </c>
      <c r="M83">
        <v>45</v>
      </c>
      <c r="N83">
        <v>240</v>
      </c>
    </row>
    <row r="84" spans="1:14" x14ac:dyDescent="0.25">
      <c r="A84">
        <v>2025</v>
      </c>
      <c r="B84" t="s">
        <v>58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>
        <v>60</v>
      </c>
      <c r="I84">
        <v>0</v>
      </c>
      <c r="J84">
        <v>0</v>
      </c>
      <c r="K84">
        <v>0</v>
      </c>
      <c r="L84">
        <v>22</v>
      </c>
      <c r="M84">
        <v>11</v>
      </c>
      <c r="N84">
        <v>60</v>
      </c>
    </row>
    <row r="85" spans="1:14" x14ac:dyDescent="0.25">
      <c r="A85">
        <v>2025</v>
      </c>
      <c r="B85" t="s">
        <v>59</v>
      </c>
      <c r="C85" t="s">
        <v>15</v>
      </c>
      <c r="D85" t="s">
        <v>60</v>
      </c>
      <c r="E85" t="s">
        <v>29</v>
      </c>
      <c r="F85" t="s">
        <v>18</v>
      </c>
      <c r="G85" t="s">
        <v>18</v>
      </c>
      <c r="H85">
        <v>1546</v>
      </c>
      <c r="I85">
        <v>0</v>
      </c>
      <c r="J85">
        <v>0</v>
      </c>
      <c r="K85">
        <v>0</v>
      </c>
      <c r="L85">
        <v>0</v>
      </c>
      <c r="M85">
        <v>0</v>
      </c>
      <c r="N85">
        <v>1546</v>
      </c>
    </row>
    <row r="86" spans="1:14" x14ac:dyDescent="0.25">
      <c r="A86">
        <v>2025</v>
      </c>
      <c r="B86" t="s">
        <v>59</v>
      </c>
      <c r="C86" t="s">
        <v>15</v>
      </c>
      <c r="D86" t="s">
        <v>60</v>
      </c>
      <c r="E86" t="s">
        <v>17</v>
      </c>
      <c r="F86" t="s">
        <v>18</v>
      </c>
      <c r="G86" t="s">
        <v>18</v>
      </c>
      <c r="H86">
        <v>180</v>
      </c>
      <c r="I86">
        <v>0</v>
      </c>
      <c r="J86">
        <v>0</v>
      </c>
      <c r="K86">
        <v>0</v>
      </c>
      <c r="L86">
        <v>0</v>
      </c>
      <c r="M86">
        <v>0</v>
      </c>
      <c r="N86">
        <v>180</v>
      </c>
    </row>
    <row r="87" spans="1:14" x14ac:dyDescent="0.25">
      <c r="A87">
        <v>2025</v>
      </c>
      <c r="B87" t="s">
        <v>61</v>
      </c>
      <c r="C87" t="s">
        <v>15</v>
      </c>
      <c r="D87" t="s">
        <v>25</v>
      </c>
      <c r="E87" t="s">
        <v>29</v>
      </c>
      <c r="F87" t="s">
        <v>18</v>
      </c>
      <c r="G87" t="s">
        <v>19</v>
      </c>
      <c r="H87">
        <v>63</v>
      </c>
      <c r="I87">
        <v>1</v>
      </c>
      <c r="J87">
        <v>0</v>
      </c>
      <c r="K87">
        <v>1</v>
      </c>
      <c r="L87">
        <v>1</v>
      </c>
      <c r="M87">
        <v>0</v>
      </c>
      <c r="N87">
        <v>62</v>
      </c>
    </row>
    <row r="88" spans="1:14" x14ac:dyDescent="0.25">
      <c r="A88">
        <v>2025</v>
      </c>
      <c r="B88" t="s">
        <v>61</v>
      </c>
      <c r="C88" t="s">
        <v>15</v>
      </c>
      <c r="D88" t="s">
        <v>25</v>
      </c>
      <c r="E88" t="s">
        <v>17</v>
      </c>
      <c r="F88" t="s">
        <v>18</v>
      </c>
      <c r="G88" t="s">
        <v>19</v>
      </c>
      <c r="H88">
        <v>1784</v>
      </c>
      <c r="I88">
        <v>19</v>
      </c>
      <c r="J88">
        <v>44</v>
      </c>
      <c r="K88">
        <v>63</v>
      </c>
      <c r="L88">
        <v>330</v>
      </c>
      <c r="M88">
        <v>197</v>
      </c>
      <c r="N88">
        <v>1738</v>
      </c>
    </row>
    <row r="89" spans="1:14" x14ac:dyDescent="0.25">
      <c r="A89">
        <v>2025</v>
      </c>
      <c r="B89" t="s">
        <v>61</v>
      </c>
      <c r="C89" t="s">
        <v>15</v>
      </c>
      <c r="D89" t="s">
        <v>31</v>
      </c>
      <c r="E89" t="s">
        <v>17</v>
      </c>
      <c r="F89" t="s">
        <v>18</v>
      </c>
      <c r="G89" t="s">
        <v>18</v>
      </c>
      <c r="H89">
        <v>272</v>
      </c>
      <c r="I89">
        <v>1</v>
      </c>
      <c r="J89">
        <v>1</v>
      </c>
      <c r="K89">
        <v>2</v>
      </c>
      <c r="L89">
        <v>151</v>
      </c>
      <c r="M89">
        <v>36</v>
      </c>
      <c r="N89">
        <v>270</v>
      </c>
    </row>
    <row r="90" spans="1:14" x14ac:dyDescent="0.25">
      <c r="A90">
        <v>2025</v>
      </c>
      <c r="B90" t="s">
        <v>61</v>
      </c>
      <c r="C90" t="s">
        <v>15</v>
      </c>
      <c r="D90" t="s">
        <v>26</v>
      </c>
      <c r="E90" t="s">
        <v>17</v>
      </c>
      <c r="F90" t="s">
        <v>18</v>
      </c>
      <c r="G90" t="s">
        <v>19</v>
      </c>
      <c r="H90">
        <v>59</v>
      </c>
      <c r="I90">
        <v>0</v>
      </c>
      <c r="J90">
        <v>0</v>
      </c>
      <c r="K90">
        <v>0</v>
      </c>
      <c r="L90">
        <v>3</v>
      </c>
      <c r="M90">
        <v>3</v>
      </c>
      <c r="N90">
        <v>59</v>
      </c>
    </row>
    <row r="91" spans="1:14" x14ac:dyDescent="0.25">
      <c r="A91">
        <v>2025</v>
      </c>
      <c r="B91" t="s">
        <v>61</v>
      </c>
      <c r="C91" t="s">
        <v>15</v>
      </c>
      <c r="D91" t="s">
        <v>16</v>
      </c>
      <c r="E91" t="s">
        <v>29</v>
      </c>
      <c r="F91" t="s">
        <v>18</v>
      </c>
      <c r="G91" t="s">
        <v>19</v>
      </c>
      <c r="H91">
        <v>11296</v>
      </c>
      <c r="I91">
        <v>45</v>
      </c>
      <c r="J91">
        <v>231</v>
      </c>
      <c r="K91">
        <v>276</v>
      </c>
      <c r="L91">
        <v>24</v>
      </c>
      <c r="M91">
        <v>16</v>
      </c>
      <c r="N91">
        <v>11062</v>
      </c>
    </row>
    <row r="92" spans="1:14" x14ac:dyDescent="0.25">
      <c r="A92">
        <v>2025</v>
      </c>
      <c r="B92" t="s">
        <v>61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>
        <v>1164</v>
      </c>
      <c r="I92">
        <v>54</v>
      </c>
      <c r="J92">
        <v>42</v>
      </c>
      <c r="K92">
        <v>96</v>
      </c>
      <c r="L92">
        <v>293</v>
      </c>
      <c r="M92">
        <v>148</v>
      </c>
      <c r="N92">
        <v>1089</v>
      </c>
    </row>
    <row r="93" spans="1:14" x14ac:dyDescent="0.25">
      <c r="A93">
        <v>2025</v>
      </c>
      <c r="B93" t="s">
        <v>61</v>
      </c>
      <c r="C93" t="s">
        <v>15</v>
      </c>
      <c r="D93" t="s">
        <v>32</v>
      </c>
      <c r="E93" t="s">
        <v>29</v>
      </c>
      <c r="F93" t="s">
        <v>19</v>
      </c>
      <c r="G93" t="s">
        <v>19</v>
      </c>
      <c r="H93">
        <v>44</v>
      </c>
      <c r="I93">
        <v>1</v>
      </c>
      <c r="J93">
        <v>0</v>
      </c>
      <c r="K93">
        <v>1</v>
      </c>
      <c r="L93">
        <v>0</v>
      </c>
      <c r="M93">
        <v>0</v>
      </c>
      <c r="N93">
        <v>43</v>
      </c>
    </row>
    <row r="94" spans="1:14" x14ac:dyDescent="0.25">
      <c r="A94">
        <v>2025</v>
      </c>
      <c r="B94" t="s">
        <v>61</v>
      </c>
      <c r="C94" t="s">
        <v>15</v>
      </c>
      <c r="D94" t="s">
        <v>32</v>
      </c>
      <c r="E94" t="s">
        <v>17</v>
      </c>
      <c r="F94" t="s">
        <v>19</v>
      </c>
      <c r="G94" t="s">
        <v>19</v>
      </c>
      <c r="H94">
        <v>1397</v>
      </c>
      <c r="I94">
        <v>87</v>
      </c>
      <c r="J94">
        <v>205</v>
      </c>
      <c r="K94">
        <v>292</v>
      </c>
      <c r="L94">
        <v>256</v>
      </c>
      <c r="M94">
        <v>95</v>
      </c>
      <c r="N94">
        <v>1199</v>
      </c>
    </row>
    <row r="95" spans="1:14" x14ac:dyDescent="0.25">
      <c r="A95">
        <v>2025</v>
      </c>
      <c r="B95" t="s">
        <v>61</v>
      </c>
      <c r="C95" t="s">
        <v>15</v>
      </c>
      <c r="D95" t="s">
        <v>33</v>
      </c>
      <c r="E95" t="s">
        <v>29</v>
      </c>
      <c r="F95" t="s">
        <v>18</v>
      </c>
      <c r="G95" t="s">
        <v>19</v>
      </c>
      <c r="H95">
        <v>12689</v>
      </c>
      <c r="I95">
        <v>46</v>
      </c>
      <c r="J95">
        <v>114</v>
      </c>
      <c r="K95">
        <v>160</v>
      </c>
      <c r="L95">
        <v>13</v>
      </c>
      <c r="M95">
        <v>4</v>
      </c>
      <c r="N95">
        <v>12573</v>
      </c>
    </row>
    <row r="96" spans="1:14" x14ac:dyDescent="0.25">
      <c r="A96">
        <v>2025</v>
      </c>
      <c r="B96" t="s">
        <v>61</v>
      </c>
      <c r="C96" t="s">
        <v>15</v>
      </c>
      <c r="D96" t="s">
        <v>33</v>
      </c>
      <c r="E96" t="s">
        <v>17</v>
      </c>
      <c r="F96" t="s">
        <v>18</v>
      </c>
      <c r="G96" t="s">
        <v>19</v>
      </c>
      <c r="H96">
        <v>1049</v>
      </c>
      <c r="I96">
        <v>3</v>
      </c>
      <c r="J96">
        <v>23</v>
      </c>
      <c r="K96">
        <v>26</v>
      </c>
      <c r="L96">
        <v>25</v>
      </c>
      <c r="M96">
        <v>1</v>
      </c>
      <c r="N96">
        <v>1028</v>
      </c>
    </row>
    <row r="97" spans="1:14" x14ac:dyDescent="0.25">
      <c r="A97">
        <v>2025</v>
      </c>
      <c r="B97" t="s">
        <v>61</v>
      </c>
      <c r="C97" t="s">
        <v>15</v>
      </c>
      <c r="D97" t="s">
        <v>62</v>
      </c>
      <c r="E97" t="s">
        <v>17</v>
      </c>
      <c r="F97" t="s">
        <v>19</v>
      </c>
      <c r="G97" t="s">
        <v>19</v>
      </c>
      <c r="H97">
        <v>747</v>
      </c>
      <c r="I97">
        <v>3</v>
      </c>
      <c r="J97">
        <v>5</v>
      </c>
      <c r="K97">
        <v>8</v>
      </c>
      <c r="L97">
        <v>105</v>
      </c>
      <c r="M97">
        <v>69</v>
      </c>
      <c r="N97">
        <v>741</v>
      </c>
    </row>
    <row r="98" spans="1:14" x14ac:dyDescent="0.25">
      <c r="A98">
        <v>2025</v>
      </c>
      <c r="B98" t="s">
        <v>61</v>
      </c>
      <c r="C98" t="s">
        <v>15</v>
      </c>
      <c r="D98" t="s">
        <v>62</v>
      </c>
      <c r="E98" t="s">
        <v>21</v>
      </c>
      <c r="F98" t="s">
        <v>19</v>
      </c>
      <c r="G98" t="s">
        <v>19</v>
      </c>
      <c r="H98">
        <v>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2025</v>
      </c>
      <c r="B99" t="s">
        <v>61</v>
      </c>
      <c r="C99" t="s">
        <v>15</v>
      </c>
      <c r="D99" t="s">
        <v>27</v>
      </c>
      <c r="E99" t="s">
        <v>17</v>
      </c>
      <c r="F99" t="s">
        <v>18</v>
      </c>
      <c r="G99" t="s">
        <v>19</v>
      </c>
      <c r="H99">
        <v>291</v>
      </c>
      <c r="I99">
        <v>2</v>
      </c>
      <c r="J99">
        <v>0</v>
      </c>
      <c r="K99">
        <v>2</v>
      </c>
      <c r="L99">
        <v>80</v>
      </c>
      <c r="M99">
        <v>47</v>
      </c>
      <c r="N99">
        <v>289</v>
      </c>
    </row>
    <row r="100" spans="1:14" x14ac:dyDescent="0.25">
      <c r="A100">
        <v>2025</v>
      </c>
      <c r="B100" t="s">
        <v>61</v>
      </c>
      <c r="C100" t="s">
        <v>15</v>
      </c>
      <c r="D100" t="s">
        <v>34</v>
      </c>
      <c r="E100" t="s">
        <v>17</v>
      </c>
      <c r="F100" t="s">
        <v>19</v>
      </c>
      <c r="G100" t="s">
        <v>19</v>
      </c>
      <c r="H100">
        <v>360</v>
      </c>
      <c r="I100">
        <v>1</v>
      </c>
      <c r="J100">
        <v>17</v>
      </c>
      <c r="K100">
        <v>18</v>
      </c>
      <c r="L100">
        <v>72</v>
      </c>
      <c r="M100">
        <v>58</v>
      </c>
      <c r="N100">
        <v>352</v>
      </c>
    </row>
    <row r="101" spans="1:14" x14ac:dyDescent="0.25">
      <c r="A101">
        <v>2025</v>
      </c>
      <c r="B101" t="s">
        <v>63</v>
      </c>
      <c r="C101" t="s">
        <v>15</v>
      </c>
      <c r="D101" t="s">
        <v>26</v>
      </c>
      <c r="E101" t="s">
        <v>17</v>
      </c>
      <c r="F101" t="s">
        <v>18</v>
      </c>
      <c r="G101" t="s">
        <v>18</v>
      </c>
      <c r="H101">
        <v>168</v>
      </c>
      <c r="I101">
        <v>6</v>
      </c>
      <c r="J101">
        <v>3</v>
      </c>
      <c r="K101">
        <v>9</v>
      </c>
      <c r="L101">
        <v>66</v>
      </c>
      <c r="M101">
        <v>47</v>
      </c>
      <c r="N101">
        <v>160</v>
      </c>
    </row>
    <row r="102" spans="1:14" x14ac:dyDescent="0.25">
      <c r="A102">
        <v>2025</v>
      </c>
      <c r="B102" t="s">
        <v>63</v>
      </c>
      <c r="C102" t="s">
        <v>15</v>
      </c>
      <c r="D102" t="s">
        <v>27</v>
      </c>
      <c r="E102" t="s">
        <v>17</v>
      </c>
      <c r="F102" t="s">
        <v>18</v>
      </c>
      <c r="G102" t="s">
        <v>19</v>
      </c>
      <c r="H102">
        <v>19</v>
      </c>
      <c r="I102">
        <v>0</v>
      </c>
      <c r="J102">
        <v>0</v>
      </c>
      <c r="K102">
        <v>0</v>
      </c>
      <c r="L102">
        <v>3</v>
      </c>
      <c r="M102">
        <v>3</v>
      </c>
      <c r="N102">
        <v>19</v>
      </c>
    </row>
    <row r="103" spans="1:14" x14ac:dyDescent="0.25">
      <c r="A103">
        <v>2025</v>
      </c>
      <c r="B103" t="s">
        <v>64</v>
      </c>
      <c r="C103" t="s">
        <v>15</v>
      </c>
      <c r="D103" t="s">
        <v>47</v>
      </c>
      <c r="E103" t="s">
        <v>17</v>
      </c>
      <c r="F103" t="s">
        <v>18</v>
      </c>
      <c r="G103" t="s">
        <v>18</v>
      </c>
      <c r="H103">
        <v>833</v>
      </c>
      <c r="I103">
        <v>11</v>
      </c>
      <c r="J103">
        <v>18</v>
      </c>
      <c r="K103">
        <v>29</v>
      </c>
      <c r="L103">
        <v>158</v>
      </c>
      <c r="M103">
        <v>35</v>
      </c>
      <c r="N103">
        <v>816</v>
      </c>
    </row>
    <row r="104" spans="1:14" x14ac:dyDescent="0.25">
      <c r="A104">
        <v>2025</v>
      </c>
      <c r="B104" t="s">
        <v>64</v>
      </c>
      <c r="C104" t="s">
        <v>15</v>
      </c>
      <c r="D104" t="s">
        <v>16</v>
      </c>
      <c r="E104" t="s">
        <v>29</v>
      </c>
      <c r="F104" t="s">
        <v>18</v>
      </c>
      <c r="G104" t="s">
        <v>19</v>
      </c>
      <c r="H104">
        <v>29674</v>
      </c>
      <c r="I104">
        <v>65</v>
      </c>
      <c r="J104">
        <v>470</v>
      </c>
      <c r="K104">
        <v>535</v>
      </c>
      <c r="L104">
        <v>3562</v>
      </c>
      <c r="M104">
        <v>751</v>
      </c>
      <c r="N104">
        <v>29325</v>
      </c>
    </row>
    <row r="105" spans="1:14" x14ac:dyDescent="0.25">
      <c r="A105">
        <v>2025</v>
      </c>
      <c r="B105" t="s">
        <v>64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>
        <v>3614</v>
      </c>
      <c r="I105">
        <v>17</v>
      </c>
      <c r="J105">
        <v>56</v>
      </c>
      <c r="K105">
        <v>73</v>
      </c>
      <c r="L105">
        <v>366</v>
      </c>
      <c r="M105">
        <v>79</v>
      </c>
      <c r="N105">
        <v>3563</v>
      </c>
    </row>
    <row r="106" spans="1:14" x14ac:dyDescent="0.25">
      <c r="A106">
        <v>2025</v>
      </c>
      <c r="B106" t="s">
        <v>64</v>
      </c>
      <c r="C106" t="s">
        <v>15</v>
      </c>
      <c r="D106" t="s">
        <v>16</v>
      </c>
      <c r="E106" t="s">
        <v>21</v>
      </c>
      <c r="F106" t="s">
        <v>18</v>
      </c>
      <c r="G106" t="s">
        <v>19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2025</v>
      </c>
      <c r="B107" t="s">
        <v>64</v>
      </c>
      <c r="C107" t="s">
        <v>15</v>
      </c>
      <c r="D107" t="s">
        <v>32</v>
      </c>
      <c r="E107" t="s">
        <v>17</v>
      </c>
      <c r="F107" t="s">
        <v>19</v>
      </c>
      <c r="G107" t="s">
        <v>19</v>
      </c>
      <c r="H107">
        <v>462</v>
      </c>
      <c r="I107">
        <v>2</v>
      </c>
      <c r="J107">
        <v>2</v>
      </c>
      <c r="K107">
        <v>4</v>
      </c>
      <c r="L107">
        <v>155</v>
      </c>
      <c r="M107">
        <v>42</v>
      </c>
      <c r="N107">
        <v>459</v>
      </c>
    </row>
    <row r="108" spans="1:14" x14ac:dyDescent="0.25">
      <c r="A108">
        <v>2025</v>
      </c>
      <c r="B108" t="s">
        <v>64</v>
      </c>
      <c r="C108" t="s">
        <v>15</v>
      </c>
      <c r="D108" t="s">
        <v>65</v>
      </c>
      <c r="E108" t="s">
        <v>29</v>
      </c>
      <c r="F108" t="s">
        <v>18</v>
      </c>
      <c r="G108" t="s">
        <v>18</v>
      </c>
      <c r="H108">
        <v>18153</v>
      </c>
      <c r="I108">
        <v>34</v>
      </c>
      <c r="J108">
        <v>88</v>
      </c>
      <c r="K108">
        <v>122</v>
      </c>
      <c r="L108">
        <v>1301</v>
      </c>
      <c r="M108">
        <v>177</v>
      </c>
      <c r="N108">
        <v>18058</v>
      </c>
    </row>
    <row r="109" spans="1:14" x14ac:dyDescent="0.25">
      <c r="A109">
        <v>2025</v>
      </c>
      <c r="B109" t="s">
        <v>64</v>
      </c>
      <c r="C109" t="s">
        <v>15</v>
      </c>
      <c r="D109" t="s">
        <v>65</v>
      </c>
      <c r="E109" t="s">
        <v>17</v>
      </c>
      <c r="F109" t="s">
        <v>18</v>
      </c>
      <c r="G109" t="s">
        <v>18</v>
      </c>
      <c r="H109">
        <v>5353</v>
      </c>
      <c r="I109">
        <v>14</v>
      </c>
      <c r="J109">
        <v>3</v>
      </c>
      <c r="K109">
        <v>17</v>
      </c>
      <c r="L109">
        <v>158</v>
      </c>
      <c r="M109">
        <v>20</v>
      </c>
      <c r="N109">
        <v>5337</v>
      </c>
    </row>
    <row r="110" spans="1:14" x14ac:dyDescent="0.25">
      <c r="A110">
        <v>2025</v>
      </c>
      <c r="B110" t="s">
        <v>64</v>
      </c>
      <c r="C110" t="s">
        <v>15</v>
      </c>
      <c r="D110" t="s">
        <v>65</v>
      </c>
      <c r="E110" t="s">
        <v>21</v>
      </c>
      <c r="F110" t="s">
        <v>18</v>
      </c>
      <c r="G110" t="s">
        <v>18</v>
      </c>
      <c r="H110">
        <v>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2025</v>
      </c>
      <c r="B111" t="s">
        <v>64</v>
      </c>
      <c r="C111" t="s">
        <v>15</v>
      </c>
      <c r="D111" t="s">
        <v>27</v>
      </c>
      <c r="E111" t="s">
        <v>17</v>
      </c>
      <c r="F111" t="s">
        <v>18</v>
      </c>
      <c r="G111" t="s">
        <v>19</v>
      </c>
      <c r="H111">
        <v>52</v>
      </c>
      <c r="I111">
        <v>0</v>
      </c>
      <c r="J111">
        <v>0</v>
      </c>
      <c r="K111">
        <v>0</v>
      </c>
      <c r="L111">
        <v>22</v>
      </c>
      <c r="M111">
        <v>13</v>
      </c>
      <c r="N111">
        <v>52</v>
      </c>
    </row>
    <row r="112" spans="1:14" x14ac:dyDescent="0.25">
      <c r="A112">
        <v>2025</v>
      </c>
      <c r="B112" t="s">
        <v>64</v>
      </c>
      <c r="C112" t="s">
        <v>15</v>
      </c>
      <c r="D112" t="s">
        <v>66</v>
      </c>
      <c r="E112" t="s">
        <v>29</v>
      </c>
      <c r="F112" t="s">
        <v>18</v>
      </c>
      <c r="G112" t="s">
        <v>18</v>
      </c>
      <c r="H112">
        <v>5690</v>
      </c>
      <c r="I112">
        <v>52</v>
      </c>
      <c r="J112">
        <v>23</v>
      </c>
      <c r="K112">
        <v>75</v>
      </c>
      <c r="L112">
        <v>576</v>
      </c>
      <c r="M112">
        <v>93</v>
      </c>
      <c r="N112">
        <v>5616</v>
      </c>
    </row>
    <row r="113" spans="1:14" x14ac:dyDescent="0.25">
      <c r="A113">
        <v>2025</v>
      </c>
      <c r="B113" t="s">
        <v>64</v>
      </c>
      <c r="C113" t="s">
        <v>15</v>
      </c>
      <c r="D113" t="s">
        <v>66</v>
      </c>
      <c r="E113" t="s">
        <v>17</v>
      </c>
      <c r="F113" t="s">
        <v>18</v>
      </c>
      <c r="G113" t="s">
        <v>18</v>
      </c>
      <c r="H113">
        <v>297</v>
      </c>
      <c r="I113">
        <v>2</v>
      </c>
      <c r="J113">
        <v>0</v>
      </c>
      <c r="K113">
        <v>2</v>
      </c>
      <c r="L113">
        <v>13</v>
      </c>
      <c r="M113">
        <v>1</v>
      </c>
      <c r="N113">
        <v>295</v>
      </c>
    </row>
    <row r="114" spans="1:14" x14ac:dyDescent="0.25">
      <c r="A114">
        <v>2025</v>
      </c>
      <c r="B114" t="s">
        <v>64</v>
      </c>
      <c r="C114" t="s">
        <v>15</v>
      </c>
      <c r="D114" t="s">
        <v>50</v>
      </c>
      <c r="E114" t="s">
        <v>29</v>
      </c>
      <c r="F114" t="s">
        <v>18</v>
      </c>
      <c r="G114" t="s">
        <v>18</v>
      </c>
      <c r="H114">
        <v>29357</v>
      </c>
      <c r="I114">
        <v>49</v>
      </c>
      <c r="J114">
        <v>329</v>
      </c>
      <c r="K114">
        <v>378</v>
      </c>
      <c r="L114">
        <v>2242</v>
      </c>
      <c r="M114">
        <v>370</v>
      </c>
      <c r="N114">
        <v>29155</v>
      </c>
    </row>
    <row r="115" spans="1:14" x14ac:dyDescent="0.25">
      <c r="A115">
        <v>2025</v>
      </c>
      <c r="B115" t="s">
        <v>64</v>
      </c>
      <c r="C115" t="s">
        <v>15</v>
      </c>
      <c r="D115" t="s">
        <v>50</v>
      </c>
      <c r="E115" t="s">
        <v>17</v>
      </c>
      <c r="F115" t="s">
        <v>18</v>
      </c>
      <c r="G115" t="s">
        <v>18</v>
      </c>
      <c r="H115">
        <v>3529</v>
      </c>
      <c r="I115">
        <v>14</v>
      </c>
      <c r="J115">
        <v>39</v>
      </c>
      <c r="K115">
        <v>53</v>
      </c>
      <c r="L115">
        <v>362</v>
      </c>
      <c r="M115">
        <v>42</v>
      </c>
      <c r="N115">
        <v>3488</v>
      </c>
    </row>
    <row r="116" spans="1:14" x14ac:dyDescent="0.25">
      <c r="A116">
        <v>2025</v>
      </c>
      <c r="B116" t="s">
        <v>64</v>
      </c>
      <c r="C116" t="s">
        <v>15</v>
      </c>
      <c r="D116" t="s">
        <v>20</v>
      </c>
      <c r="E116" t="s">
        <v>17</v>
      </c>
      <c r="F116" t="s">
        <v>19</v>
      </c>
      <c r="G116" t="s">
        <v>19</v>
      </c>
      <c r="H116">
        <v>178</v>
      </c>
      <c r="I116">
        <v>1</v>
      </c>
      <c r="J116">
        <v>0</v>
      </c>
      <c r="K116">
        <v>1</v>
      </c>
      <c r="L116">
        <v>31</v>
      </c>
      <c r="M116">
        <v>16</v>
      </c>
      <c r="N116">
        <v>177</v>
      </c>
    </row>
    <row r="117" spans="1:14" x14ac:dyDescent="0.25">
      <c r="A117">
        <v>2025</v>
      </c>
      <c r="B117" t="s">
        <v>64</v>
      </c>
      <c r="C117" t="s">
        <v>15</v>
      </c>
      <c r="D117" t="s">
        <v>20</v>
      </c>
      <c r="E117" t="s">
        <v>21</v>
      </c>
      <c r="F117" t="s">
        <v>19</v>
      </c>
      <c r="G117" t="s">
        <v>19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2025</v>
      </c>
      <c r="B118" t="s">
        <v>67</v>
      </c>
      <c r="C118" t="s">
        <v>15</v>
      </c>
      <c r="D118" t="s">
        <v>68</v>
      </c>
      <c r="E118" t="s">
        <v>29</v>
      </c>
      <c r="F118" t="s">
        <v>18</v>
      </c>
      <c r="G118" t="s">
        <v>18</v>
      </c>
      <c r="H118">
        <v>842</v>
      </c>
      <c r="I118">
        <v>0</v>
      </c>
      <c r="J118">
        <v>0</v>
      </c>
      <c r="K118">
        <v>0</v>
      </c>
      <c r="L118">
        <v>3</v>
      </c>
      <c r="M118">
        <v>0</v>
      </c>
      <c r="N118">
        <v>842</v>
      </c>
    </row>
    <row r="119" spans="1:14" x14ac:dyDescent="0.25">
      <c r="A119">
        <v>2025</v>
      </c>
      <c r="B119" t="s">
        <v>67</v>
      </c>
      <c r="C119" t="s">
        <v>15</v>
      </c>
      <c r="D119" t="s">
        <v>68</v>
      </c>
      <c r="E119" t="s">
        <v>17</v>
      </c>
      <c r="F119" t="s">
        <v>18</v>
      </c>
      <c r="G119" t="s">
        <v>18</v>
      </c>
      <c r="H119">
        <v>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7</v>
      </c>
    </row>
    <row r="120" spans="1:14" x14ac:dyDescent="0.25">
      <c r="A120">
        <v>2025</v>
      </c>
      <c r="B120" t="s">
        <v>67</v>
      </c>
      <c r="C120" t="s">
        <v>15</v>
      </c>
      <c r="D120" t="s">
        <v>68</v>
      </c>
      <c r="E120" t="s">
        <v>21</v>
      </c>
      <c r="F120" t="s">
        <v>18</v>
      </c>
      <c r="G120" t="s">
        <v>18</v>
      </c>
      <c r="H120">
        <v>65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2025</v>
      </c>
      <c r="B121" t="s">
        <v>67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>
        <v>2026</v>
      </c>
      <c r="I121">
        <v>28</v>
      </c>
      <c r="J121">
        <v>0</v>
      </c>
      <c r="K121">
        <v>28</v>
      </c>
      <c r="L121">
        <v>2</v>
      </c>
      <c r="M121">
        <v>1</v>
      </c>
      <c r="N121">
        <v>1998</v>
      </c>
    </row>
    <row r="122" spans="1:14" x14ac:dyDescent="0.25">
      <c r="A122">
        <v>2025</v>
      </c>
      <c r="B122" t="s">
        <v>67</v>
      </c>
      <c r="C122" t="s">
        <v>15</v>
      </c>
      <c r="D122" t="s">
        <v>32</v>
      </c>
      <c r="E122" t="s">
        <v>17</v>
      </c>
      <c r="F122" t="s">
        <v>19</v>
      </c>
      <c r="G122" t="s">
        <v>19</v>
      </c>
      <c r="H122">
        <v>682</v>
      </c>
      <c r="I122">
        <v>5</v>
      </c>
      <c r="J122">
        <v>9</v>
      </c>
      <c r="K122">
        <v>14</v>
      </c>
      <c r="L122">
        <v>195</v>
      </c>
      <c r="M122">
        <v>106</v>
      </c>
      <c r="N122">
        <v>675</v>
      </c>
    </row>
    <row r="123" spans="1:14" x14ac:dyDescent="0.25">
      <c r="A123">
        <v>2025</v>
      </c>
      <c r="B123" t="s">
        <v>67</v>
      </c>
      <c r="C123" t="s">
        <v>15</v>
      </c>
      <c r="D123" t="s">
        <v>69</v>
      </c>
      <c r="E123" t="s">
        <v>29</v>
      </c>
      <c r="F123" t="s">
        <v>18</v>
      </c>
      <c r="G123" t="s">
        <v>19</v>
      </c>
      <c r="H123">
        <v>1984</v>
      </c>
      <c r="I123">
        <v>26</v>
      </c>
      <c r="J123">
        <v>25</v>
      </c>
      <c r="K123">
        <v>51</v>
      </c>
      <c r="L123">
        <v>400</v>
      </c>
      <c r="M123">
        <v>250</v>
      </c>
      <c r="N123">
        <v>1949</v>
      </c>
    </row>
    <row r="124" spans="1:14" x14ac:dyDescent="0.25">
      <c r="A124">
        <v>2025</v>
      </c>
      <c r="B124" t="s">
        <v>67</v>
      </c>
      <c r="C124" t="s">
        <v>15</v>
      </c>
      <c r="D124" t="s">
        <v>69</v>
      </c>
      <c r="E124" t="s">
        <v>21</v>
      </c>
      <c r="F124" t="s">
        <v>18</v>
      </c>
      <c r="G124" t="s">
        <v>19</v>
      </c>
      <c r="H124">
        <v>27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 x14ac:dyDescent="0.25">
      <c r="A125">
        <v>2025</v>
      </c>
      <c r="B125" t="s">
        <v>67</v>
      </c>
      <c r="C125" t="s">
        <v>15</v>
      </c>
      <c r="D125" t="s">
        <v>70</v>
      </c>
      <c r="E125" t="s">
        <v>29</v>
      </c>
      <c r="F125" t="s">
        <v>18</v>
      </c>
      <c r="G125" t="s">
        <v>19</v>
      </c>
      <c r="H125">
        <v>264</v>
      </c>
      <c r="I125">
        <v>24</v>
      </c>
      <c r="J125">
        <v>3</v>
      </c>
      <c r="K125">
        <v>27</v>
      </c>
      <c r="L125">
        <v>50</v>
      </c>
      <c r="M125">
        <v>18</v>
      </c>
      <c r="N125">
        <v>238</v>
      </c>
    </row>
    <row r="126" spans="1:14" x14ac:dyDescent="0.25">
      <c r="A126">
        <v>2025</v>
      </c>
      <c r="B126" t="s">
        <v>67</v>
      </c>
      <c r="C126" t="s">
        <v>15</v>
      </c>
      <c r="D126" t="s">
        <v>70</v>
      </c>
      <c r="E126" t="s">
        <v>21</v>
      </c>
      <c r="F126" t="s">
        <v>18</v>
      </c>
      <c r="G126" t="s">
        <v>19</v>
      </c>
      <c r="H126">
        <v>80</v>
      </c>
      <c r="I126">
        <v>11</v>
      </c>
      <c r="J126">
        <v>0</v>
      </c>
      <c r="K126">
        <v>11</v>
      </c>
      <c r="L126">
        <v>0</v>
      </c>
      <c r="M126">
        <v>0</v>
      </c>
      <c r="N126">
        <v>0</v>
      </c>
    </row>
    <row r="127" spans="1:14" x14ac:dyDescent="0.25">
      <c r="A127">
        <v>2025</v>
      </c>
      <c r="B127" t="s">
        <v>67</v>
      </c>
      <c r="C127" t="s">
        <v>15</v>
      </c>
      <c r="D127" t="s">
        <v>62</v>
      </c>
      <c r="E127" t="s">
        <v>17</v>
      </c>
      <c r="F127" t="s">
        <v>19</v>
      </c>
      <c r="G127" t="s">
        <v>19</v>
      </c>
      <c r="H127">
        <v>921</v>
      </c>
      <c r="I127">
        <v>0</v>
      </c>
      <c r="J127">
        <v>3</v>
      </c>
      <c r="K127">
        <v>3</v>
      </c>
      <c r="L127">
        <v>108</v>
      </c>
      <c r="M127">
        <v>69</v>
      </c>
      <c r="N127">
        <v>921</v>
      </c>
    </row>
    <row r="128" spans="1:14" x14ac:dyDescent="0.25">
      <c r="A128">
        <v>2025</v>
      </c>
      <c r="B128" t="s">
        <v>67</v>
      </c>
      <c r="C128" t="s">
        <v>15</v>
      </c>
      <c r="D128" t="s">
        <v>62</v>
      </c>
      <c r="E128" t="s">
        <v>21</v>
      </c>
      <c r="F128" t="s">
        <v>19</v>
      </c>
      <c r="G128" t="s">
        <v>19</v>
      </c>
      <c r="H128">
        <v>13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2025</v>
      </c>
      <c r="B129" t="s">
        <v>67</v>
      </c>
      <c r="C129" t="s">
        <v>15</v>
      </c>
      <c r="D129" t="s">
        <v>27</v>
      </c>
      <c r="E129" t="s">
        <v>17</v>
      </c>
      <c r="F129" t="s">
        <v>18</v>
      </c>
      <c r="G129" t="s">
        <v>19</v>
      </c>
      <c r="H129">
        <v>42</v>
      </c>
      <c r="I129">
        <v>2</v>
      </c>
      <c r="J129">
        <v>0</v>
      </c>
      <c r="K129">
        <v>2</v>
      </c>
      <c r="L129">
        <v>16</v>
      </c>
      <c r="M129">
        <v>16</v>
      </c>
      <c r="N129">
        <v>40</v>
      </c>
    </row>
    <row r="130" spans="1:14" x14ac:dyDescent="0.25">
      <c r="A130">
        <v>2025</v>
      </c>
      <c r="B130" t="s">
        <v>67</v>
      </c>
      <c r="C130" t="s">
        <v>15</v>
      </c>
      <c r="D130" t="s">
        <v>71</v>
      </c>
      <c r="E130" t="s">
        <v>29</v>
      </c>
      <c r="F130" t="s">
        <v>18</v>
      </c>
      <c r="G130" t="s">
        <v>18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</row>
    <row r="131" spans="1:14" x14ac:dyDescent="0.25">
      <c r="A131">
        <v>2025</v>
      </c>
      <c r="B131" t="s">
        <v>67</v>
      </c>
      <c r="C131" t="s">
        <v>15</v>
      </c>
      <c r="D131" t="s">
        <v>35</v>
      </c>
      <c r="E131" t="s">
        <v>17</v>
      </c>
      <c r="F131" t="s">
        <v>19</v>
      </c>
      <c r="G131" t="s">
        <v>19</v>
      </c>
      <c r="H131">
        <v>28</v>
      </c>
      <c r="I131">
        <v>0</v>
      </c>
      <c r="J131">
        <v>0</v>
      </c>
      <c r="K131">
        <v>0</v>
      </c>
      <c r="L131">
        <v>19</v>
      </c>
      <c r="M131">
        <v>16</v>
      </c>
      <c r="N131">
        <v>28</v>
      </c>
    </row>
    <row r="132" spans="1:14" x14ac:dyDescent="0.25">
      <c r="A132">
        <v>2025</v>
      </c>
      <c r="B132" t="s">
        <v>67</v>
      </c>
      <c r="C132" t="s">
        <v>15</v>
      </c>
      <c r="D132" t="s">
        <v>20</v>
      </c>
      <c r="E132" t="s">
        <v>29</v>
      </c>
      <c r="F132" t="s">
        <v>19</v>
      </c>
      <c r="G132" t="s">
        <v>19</v>
      </c>
      <c r="H132">
        <v>13898</v>
      </c>
      <c r="I132">
        <v>37</v>
      </c>
      <c r="J132">
        <v>134</v>
      </c>
      <c r="K132">
        <v>171</v>
      </c>
      <c r="L132">
        <v>2036</v>
      </c>
      <c r="M132">
        <v>1175</v>
      </c>
      <c r="N132">
        <v>13822</v>
      </c>
    </row>
    <row r="133" spans="1:14" x14ac:dyDescent="0.25">
      <c r="A133">
        <v>2025</v>
      </c>
      <c r="B133" t="s">
        <v>67</v>
      </c>
      <c r="C133" t="s">
        <v>15</v>
      </c>
      <c r="D133" t="s">
        <v>20</v>
      </c>
      <c r="E133" t="s">
        <v>17</v>
      </c>
      <c r="F133" t="s">
        <v>19</v>
      </c>
      <c r="G133" t="s">
        <v>19</v>
      </c>
      <c r="H133">
        <v>1366</v>
      </c>
      <c r="I133">
        <v>4</v>
      </c>
      <c r="J133">
        <v>11</v>
      </c>
      <c r="K133">
        <v>15</v>
      </c>
      <c r="L133">
        <v>272</v>
      </c>
      <c r="M133">
        <v>147</v>
      </c>
      <c r="N133">
        <v>1360</v>
      </c>
    </row>
    <row r="134" spans="1:14" x14ac:dyDescent="0.25">
      <c r="A134">
        <v>2025</v>
      </c>
      <c r="B134" t="s">
        <v>67</v>
      </c>
      <c r="C134" t="s">
        <v>15</v>
      </c>
      <c r="D134" t="s">
        <v>20</v>
      </c>
      <c r="E134" t="s">
        <v>21</v>
      </c>
      <c r="F134" t="s">
        <v>19</v>
      </c>
      <c r="G134" t="s">
        <v>19</v>
      </c>
      <c r="H134">
        <v>1269</v>
      </c>
      <c r="I134">
        <v>6</v>
      </c>
      <c r="J134">
        <v>0</v>
      </c>
      <c r="K134">
        <v>6</v>
      </c>
      <c r="L134">
        <v>0</v>
      </c>
      <c r="M134">
        <v>0</v>
      </c>
      <c r="N134">
        <v>0</v>
      </c>
    </row>
    <row r="135" spans="1:14" x14ac:dyDescent="0.25">
      <c r="A135">
        <v>2025</v>
      </c>
      <c r="B135" t="s">
        <v>72</v>
      </c>
      <c r="C135" t="s">
        <v>15</v>
      </c>
      <c r="D135" t="s">
        <v>23</v>
      </c>
      <c r="E135" t="s">
        <v>17</v>
      </c>
      <c r="F135" t="s">
        <v>18</v>
      </c>
      <c r="G135" t="s">
        <v>18</v>
      </c>
      <c r="H135">
        <v>627</v>
      </c>
      <c r="I135">
        <v>0</v>
      </c>
      <c r="J135">
        <v>0</v>
      </c>
      <c r="K135">
        <v>0</v>
      </c>
      <c r="L135">
        <v>15</v>
      </c>
      <c r="M135">
        <v>4</v>
      </c>
      <c r="N135">
        <v>627</v>
      </c>
    </row>
    <row r="136" spans="1:14" x14ac:dyDescent="0.25">
      <c r="A136">
        <v>2025</v>
      </c>
      <c r="B136" t="s">
        <v>72</v>
      </c>
      <c r="C136" t="s">
        <v>15</v>
      </c>
      <c r="D136" t="s">
        <v>26</v>
      </c>
      <c r="E136" t="s">
        <v>17</v>
      </c>
      <c r="F136" t="s">
        <v>18</v>
      </c>
      <c r="G136" t="s">
        <v>18</v>
      </c>
      <c r="H136">
        <v>25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25</v>
      </c>
    </row>
    <row r="137" spans="1:14" x14ac:dyDescent="0.25">
      <c r="A137">
        <v>2025</v>
      </c>
      <c r="B137" t="s">
        <v>72</v>
      </c>
      <c r="C137" t="s">
        <v>15</v>
      </c>
      <c r="D137" t="s">
        <v>16</v>
      </c>
      <c r="E137" t="s">
        <v>17</v>
      </c>
      <c r="F137" t="s">
        <v>18</v>
      </c>
      <c r="G137" t="s">
        <v>18</v>
      </c>
      <c r="H137">
        <v>60</v>
      </c>
      <c r="I137">
        <v>0</v>
      </c>
      <c r="J137">
        <v>0</v>
      </c>
      <c r="K137">
        <v>0</v>
      </c>
      <c r="L137">
        <v>11</v>
      </c>
      <c r="M137">
        <v>10</v>
      </c>
      <c r="N137">
        <v>60</v>
      </c>
    </row>
    <row r="138" spans="1:14" x14ac:dyDescent="0.25">
      <c r="A138">
        <v>2025</v>
      </c>
      <c r="B138" t="s">
        <v>73</v>
      </c>
      <c r="C138" t="s">
        <v>15</v>
      </c>
      <c r="D138" t="s">
        <v>23</v>
      </c>
      <c r="E138" t="s">
        <v>17</v>
      </c>
      <c r="F138" t="s">
        <v>18</v>
      </c>
      <c r="G138" t="s">
        <v>18</v>
      </c>
      <c r="H138">
        <v>120</v>
      </c>
      <c r="I138">
        <v>0</v>
      </c>
      <c r="J138">
        <v>0</v>
      </c>
      <c r="K138">
        <v>0</v>
      </c>
      <c r="L138">
        <v>18</v>
      </c>
      <c r="M138">
        <v>8</v>
      </c>
      <c r="N138">
        <v>120</v>
      </c>
    </row>
    <row r="139" spans="1:14" x14ac:dyDescent="0.25">
      <c r="A139">
        <v>2025</v>
      </c>
      <c r="B139" t="s">
        <v>73</v>
      </c>
      <c r="C139" t="s">
        <v>15</v>
      </c>
      <c r="D139" t="s">
        <v>74</v>
      </c>
      <c r="E139" t="s">
        <v>29</v>
      </c>
      <c r="F139" t="s">
        <v>18</v>
      </c>
      <c r="G139" t="s">
        <v>18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</row>
    <row r="140" spans="1:14" x14ac:dyDescent="0.25">
      <c r="A140">
        <v>2025</v>
      </c>
      <c r="B140" t="s">
        <v>73</v>
      </c>
      <c r="C140" t="s">
        <v>15</v>
      </c>
      <c r="D140" t="s">
        <v>25</v>
      </c>
      <c r="E140" t="s">
        <v>29</v>
      </c>
      <c r="F140" t="s">
        <v>18</v>
      </c>
      <c r="G140" t="s">
        <v>18</v>
      </c>
      <c r="H140">
        <v>38</v>
      </c>
      <c r="I140">
        <v>0</v>
      </c>
      <c r="J140">
        <v>1</v>
      </c>
      <c r="K140">
        <v>1</v>
      </c>
      <c r="L140">
        <v>20</v>
      </c>
      <c r="M140">
        <v>10</v>
      </c>
      <c r="N140">
        <v>37</v>
      </c>
    </row>
    <row r="141" spans="1:14" x14ac:dyDescent="0.25">
      <c r="A141">
        <v>2025</v>
      </c>
      <c r="B141" t="s">
        <v>73</v>
      </c>
      <c r="C141" t="s">
        <v>15</v>
      </c>
      <c r="D141" t="s">
        <v>25</v>
      </c>
      <c r="E141" t="s">
        <v>17</v>
      </c>
      <c r="F141" t="s">
        <v>18</v>
      </c>
      <c r="G141" t="s">
        <v>18</v>
      </c>
      <c r="H141">
        <v>1344</v>
      </c>
      <c r="I141">
        <v>0</v>
      </c>
      <c r="J141">
        <v>61</v>
      </c>
      <c r="K141">
        <v>61</v>
      </c>
      <c r="L141">
        <v>388</v>
      </c>
      <c r="M141">
        <v>157</v>
      </c>
      <c r="N141">
        <v>1288</v>
      </c>
    </row>
    <row r="142" spans="1:14" x14ac:dyDescent="0.25">
      <c r="A142">
        <v>2025</v>
      </c>
      <c r="B142" t="s">
        <v>73</v>
      </c>
      <c r="C142" t="s">
        <v>15</v>
      </c>
      <c r="D142" t="s">
        <v>31</v>
      </c>
      <c r="E142" t="s">
        <v>17</v>
      </c>
      <c r="F142" t="s">
        <v>18</v>
      </c>
      <c r="G142" t="s">
        <v>19</v>
      </c>
      <c r="H142">
        <v>3</v>
      </c>
      <c r="I142">
        <v>0</v>
      </c>
      <c r="J142">
        <v>3</v>
      </c>
      <c r="K142">
        <v>3</v>
      </c>
      <c r="L142">
        <v>0</v>
      </c>
      <c r="M142">
        <v>0</v>
      </c>
      <c r="N142">
        <v>0</v>
      </c>
    </row>
    <row r="143" spans="1:14" x14ac:dyDescent="0.25">
      <c r="A143">
        <v>2025</v>
      </c>
      <c r="B143" t="s">
        <v>73</v>
      </c>
      <c r="C143" t="s">
        <v>15</v>
      </c>
      <c r="D143" t="s">
        <v>26</v>
      </c>
      <c r="E143" t="s">
        <v>29</v>
      </c>
      <c r="F143" t="s">
        <v>18</v>
      </c>
      <c r="G143" t="s">
        <v>18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</row>
    <row r="144" spans="1:14" x14ac:dyDescent="0.25">
      <c r="A144">
        <v>2025</v>
      </c>
      <c r="B144" t="s">
        <v>73</v>
      </c>
      <c r="C144" t="s">
        <v>15</v>
      </c>
      <c r="D144" t="s">
        <v>26</v>
      </c>
      <c r="E144" t="s">
        <v>17</v>
      </c>
      <c r="F144" t="s">
        <v>18</v>
      </c>
      <c r="G144" t="s">
        <v>18</v>
      </c>
      <c r="H144">
        <v>27</v>
      </c>
      <c r="I144">
        <v>0</v>
      </c>
      <c r="J144">
        <v>0</v>
      </c>
      <c r="K144">
        <v>0</v>
      </c>
      <c r="L144">
        <v>2</v>
      </c>
      <c r="M144">
        <v>2</v>
      </c>
      <c r="N144">
        <v>27</v>
      </c>
    </row>
    <row r="145" spans="1:14" x14ac:dyDescent="0.25">
      <c r="A145">
        <v>2025</v>
      </c>
      <c r="B145" t="s">
        <v>73</v>
      </c>
      <c r="C145" t="s">
        <v>15</v>
      </c>
      <c r="D145" t="s">
        <v>75</v>
      </c>
      <c r="E145" t="s">
        <v>29</v>
      </c>
      <c r="F145" t="s">
        <v>18</v>
      </c>
      <c r="G145" t="s">
        <v>19</v>
      </c>
      <c r="H145">
        <v>62</v>
      </c>
      <c r="I145">
        <v>0</v>
      </c>
      <c r="J145">
        <v>22</v>
      </c>
      <c r="K145">
        <v>22</v>
      </c>
      <c r="L145">
        <v>19</v>
      </c>
      <c r="M145">
        <v>15</v>
      </c>
      <c r="N145">
        <v>45</v>
      </c>
    </row>
    <row r="146" spans="1:14" x14ac:dyDescent="0.25">
      <c r="A146">
        <v>2025</v>
      </c>
      <c r="B146" t="s">
        <v>73</v>
      </c>
      <c r="C146" t="s">
        <v>15</v>
      </c>
      <c r="D146" t="s">
        <v>75</v>
      </c>
      <c r="E146" t="s">
        <v>21</v>
      </c>
      <c r="F146" t="s">
        <v>18</v>
      </c>
      <c r="G146" t="s">
        <v>19</v>
      </c>
      <c r="H146">
        <v>3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</row>
    <row r="147" spans="1:14" x14ac:dyDescent="0.25">
      <c r="A147">
        <v>2025</v>
      </c>
      <c r="B147" t="s">
        <v>73</v>
      </c>
      <c r="C147" t="s">
        <v>15</v>
      </c>
      <c r="D147" t="s">
        <v>76</v>
      </c>
      <c r="E147" t="s">
        <v>29</v>
      </c>
      <c r="F147" t="s">
        <v>18</v>
      </c>
      <c r="G147" t="s">
        <v>19</v>
      </c>
      <c r="H147">
        <v>527</v>
      </c>
      <c r="I147">
        <v>0</v>
      </c>
      <c r="J147">
        <v>19</v>
      </c>
      <c r="K147">
        <v>19</v>
      </c>
      <c r="L147">
        <v>248</v>
      </c>
      <c r="M147">
        <v>117</v>
      </c>
      <c r="N147">
        <v>511</v>
      </c>
    </row>
    <row r="148" spans="1:14" x14ac:dyDescent="0.25">
      <c r="A148">
        <v>2025</v>
      </c>
      <c r="B148" t="s">
        <v>73</v>
      </c>
      <c r="C148" t="s">
        <v>15</v>
      </c>
      <c r="D148" t="s">
        <v>77</v>
      </c>
      <c r="E148" t="s">
        <v>29</v>
      </c>
      <c r="F148" t="s">
        <v>18</v>
      </c>
      <c r="G148" t="s">
        <v>19</v>
      </c>
      <c r="H148">
        <v>221</v>
      </c>
      <c r="I148">
        <v>0</v>
      </c>
      <c r="J148">
        <v>5</v>
      </c>
      <c r="K148">
        <v>5</v>
      </c>
      <c r="L148">
        <v>147</v>
      </c>
      <c r="M148">
        <v>81</v>
      </c>
      <c r="N148">
        <v>216</v>
      </c>
    </row>
    <row r="149" spans="1:14" x14ac:dyDescent="0.25">
      <c r="A149">
        <v>2025</v>
      </c>
      <c r="B149" t="s">
        <v>73</v>
      </c>
      <c r="C149" t="s">
        <v>15</v>
      </c>
      <c r="D149" t="s">
        <v>78</v>
      </c>
      <c r="E149" t="s">
        <v>29</v>
      </c>
      <c r="F149" t="s">
        <v>19</v>
      </c>
      <c r="G149" t="s">
        <v>19</v>
      </c>
      <c r="H149">
        <v>6788</v>
      </c>
      <c r="I149">
        <v>0</v>
      </c>
      <c r="J149">
        <v>178</v>
      </c>
      <c r="K149">
        <v>178</v>
      </c>
      <c r="L149">
        <v>2786</v>
      </c>
      <c r="M149">
        <v>1341</v>
      </c>
      <c r="N149">
        <v>6650</v>
      </c>
    </row>
    <row r="150" spans="1:14" x14ac:dyDescent="0.25">
      <c r="A150">
        <v>2025</v>
      </c>
      <c r="B150" t="s">
        <v>73</v>
      </c>
      <c r="C150" t="s">
        <v>15</v>
      </c>
      <c r="D150" t="s">
        <v>16</v>
      </c>
      <c r="E150" t="s">
        <v>29</v>
      </c>
      <c r="F150" t="s">
        <v>18</v>
      </c>
      <c r="G150" t="s">
        <v>19</v>
      </c>
      <c r="H150">
        <v>3130</v>
      </c>
      <c r="I150">
        <v>0</v>
      </c>
      <c r="J150">
        <v>98</v>
      </c>
      <c r="K150">
        <v>98</v>
      </c>
      <c r="L150">
        <v>1211</v>
      </c>
      <c r="M150">
        <v>604</v>
      </c>
      <c r="N150">
        <v>3051</v>
      </c>
    </row>
    <row r="151" spans="1:14" x14ac:dyDescent="0.25">
      <c r="A151">
        <v>2025</v>
      </c>
      <c r="B151" t="s">
        <v>73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</row>
    <row r="152" spans="1:14" x14ac:dyDescent="0.25">
      <c r="A152">
        <v>2025</v>
      </c>
      <c r="B152" t="s">
        <v>73</v>
      </c>
      <c r="C152" t="s">
        <v>15</v>
      </c>
      <c r="D152" t="s">
        <v>79</v>
      </c>
      <c r="E152" t="s">
        <v>29</v>
      </c>
      <c r="F152" t="s">
        <v>18</v>
      </c>
      <c r="G152" t="s">
        <v>19</v>
      </c>
      <c r="H152">
        <v>497</v>
      </c>
      <c r="I152">
        <v>0</v>
      </c>
      <c r="J152">
        <v>0</v>
      </c>
      <c r="K152">
        <v>0</v>
      </c>
      <c r="L152">
        <v>116</v>
      </c>
      <c r="M152">
        <v>56</v>
      </c>
      <c r="N152">
        <v>497</v>
      </c>
    </row>
    <row r="153" spans="1:14" x14ac:dyDescent="0.25">
      <c r="A153">
        <v>2025</v>
      </c>
      <c r="B153" t="s">
        <v>73</v>
      </c>
      <c r="C153" t="s">
        <v>15</v>
      </c>
      <c r="D153" t="s">
        <v>33</v>
      </c>
      <c r="E153" t="s">
        <v>29</v>
      </c>
      <c r="F153" t="s">
        <v>18</v>
      </c>
      <c r="G153" t="s">
        <v>19</v>
      </c>
      <c r="H153">
        <v>5</v>
      </c>
      <c r="I153">
        <v>0</v>
      </c>
      <c r="J153">
        <v>2</v>
      </c>
      <c r="K153">
        <v>2</v>
      </c>
      <c r="L153">
        <v>2</v>
      </c>
      <c r="M153">
        <v>1</v>
      </c>
      <c r="N153">
        <v>3</v>
      </c>
    </row>
    <row r="154" spans="1:14" x14ac:dyDescent="0.25">
      <c r="A154">
        <v>2025</v>
      </c>
      <c r="B154" t="s">
        <v>73</v>
      </c>
      <c r="C154" t="s">
        <v>15</v>
      </c>
      <c r="D154" t="s">
        <v>33</v>
      </c>
      <c r="E154" t="s">
        <v>17</v>
      </c>
      <c r="F154" t="s">
        <v>18</v>
      </c>
      <c r="G154" t="s">
        <v>19</v>
      </c>
      <c r="H154">
        <v>50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50</v>
      </c>
    </row>
    <row r="155" spans="1:14" x14ac:dyDescent="0.25">
      <c r="A155">
        <v>2025</v>
      </c>
      <c r="B155" t="s">
        <v>73</v>
      </c>
      <c r="C155" t="s">
        <v>15</v>
      </c>
      <c r="D155" t="s">
        <v>80</v>
      </c>
      <c r="E155" t="s">
        <v>29</v>
      </c>
      <c r="F155" t="s">
        <v>18</v>
      </c>
      <c r="G155" t="s">
        <v>18</v>
      </c>
      <c r="H155">
        <v>7389</v>
      </c>
      <c r="I155">
        <v>0</v>
      </c>
      <c r="J155">
        <v>655</v>
      </c>
      <c r="K155">
        <v>655</v>
      </c>
      <c r="L155">
        <v>274</v>
      </c>
      <c r="M155">
        <v>39</v>
      </c>
      <c r="N155">
        <v>6823</v>
      </c>
    </row>
    <row r="156" spans="1:14" x14ac:dyDescent="0.25">
      <c r="A156">
        <v>2025</v>
      </c>
      <c r="B156" t="s">
        <v>73</v>
      </c>
      <c r="C156" t="s">
        <v>15</v>
      </c>
      <c r="D156" t="s">
        <v>81</v>
      </c>
      <c r="E156" t="s">
        <v>29</v>
      </c>
      <c r="F156" t="s">
        <v>18</v>
      </c>
      <c r="G156" t="s">
        <v>18</v>
      </c>
      <c r="H156">
        <v>13</v>
      </c>
      <c r="I156">
        <v>0</v>
      </c>
      <c r="J156">
        <v>1</v>
      </c>
      <c r="K156">
        <v>1</v>
      </c>
      <c r="L156">
        <v>6</v>
      </c>
      <c r="M156">
        <v>5</v>
      </c>
      <c r="N156">
        <v>13</v>
      </c>
    </row>
    <row r="157" spans="1:14" x14ac:dyDescent="0.25">
      <c r="A157">
        <v>2025</v>
      </c>
      <c r="B157" t="s">
        <v>73</v>
      </c>
      <c r="C157" t="s">
        <v>15</v>
      </c>
      <c r="D157" t="s">
        <v>81</v>
      </c>
      <c r="E157" t="s">
        <v>21</v>
      </c>
      <c r="F157" t="s">
        <v>18</v>
      </c>
      <c r="G157" t="s">
        <v>18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2025</v>
      </c>
      <c r="B158" t="s">
        <v>73</v>
      </c>
      <c r="C158" t="s">
        <v>15</v>
      </c>
      <c r="D158" t="s">
        <v>27</v>
      </c>
      <c r="E158" t="s">
        <v>29</v>
      </c>
      <c r="F158" t="s">
        <v>18</v>
      </c>
      <c r="G158" t="s">
        <v>19</v>
      </c>
      <c r="H158">
        <v>2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2</v>
      </c>
    </row>
    <row r="159" spans="1:14" x14ac:dyDescent="0.25">
      <c r="A159">
        <v>2025</v>
      </c>
      <c r="B159" t="s">
        <v>73</v>
      </c>
      <c r="C159" t="s">
        <v>15</v>
      </c>
      <c r="D159" t="s">
        <v>27</v>
      </c>
      <c r="E159" t="s">
        <v>17</v>
      </c>
      <c r="F159" t="s">
        <v>18</v>
      </c>
      <c r="G159" t="s">
        <v>19</v>
      </c>
      <c r="H159">
        <v>335</v>
      </c>
      <c r="I159">
        <v>0</v>
      </c>
      <c r="J159">
        <v>0</v>
      </c>
      <c r="K159">
        <v>0</v>
      </c>
      <c r="L159">
        <v>83</v>
      </c>
      <c r="M159">
        <v>57</v>
      </c>
      <c r="N159">
        <v>335</v>
      </c>
    </row>
    <row r="160" spans="1:14" x14ac:dyDescent="0.25">
      <c r="A160">
        <v>2025</v>
      </c>
      <c r="B160" t="s">
        <v>73</v>
      </c>
      <c r="C160" t="s">
        <v>15</v>
      </c>
      <c r="D160" t="s">
        <v>82</v>
      </c>
      <c r="E160" t="s">
        <v>29</v>
      </c>
      <c r="F160" t="s">
        <v>18</v>
      </c>
      <c r="G160" t="s">
        <v>18</v>
      </c>
      <c r="H160">
        <v>231649</v>
      </c>
      <c r="I160">
        <v>110</v>
      </c>
      <c r="J160">
        <v>10246</v>
      </c>
      <c r="K160">
        <v>10356</v>
      </c>
      <c r="L160">
        <v>28483</v>
      </c>
      <c r="M160">
        <v>6730</v>
      </c>
      <c r="N160">
        <v>222844</v>
      </c>
    </row>
    <row r="161" spans="1:14" x14ac:dyDescent="0.25">
      <c r="A161">
        <v>2025</v>
      </c>
      <c r="B161" t="s">
        <v>73</v>
      </c>
      <c r="C161" t="s">
        <v>15</v>
      </c>
      <c r="D161" t="s">
        <v>82</v>
      </c>
      <c r="E161" t="s">
        <v>17</v>
      </c>
      <c r="F161" t="s">
        <v>18</v>
      </c>
      <c r="G161" t="s">
        <v>18</v>
      </c>
      <c r="H161">
        <v>1758</v>
      </c>
      <c r="I161">
        <v>36</v>
      </c>
      <c r="J161">
        <v>39</v>
      </c>
      <c r="K161">
        <v>75</v>
      </c>
      <c r="L161">
        <v>144</v>
      </c>
      <c r="M161">
        <v>43</v>
      </c>
      <c r="N161">
        <v>1688</v>
      </c>
    </row>
    <row r="162" spans="1:14" x14ac:dyDescent="0.25">
      <c r="A162">
        <v>2025</v>
      </c>
      <c r="B162" t="s">
        <v>73</v>
      </c>
      <c r="C162" t="s">
        <v>15</v>
      </c>
      <c r="D162" t="s">
        <v>82</v>
      </c>
      <c r="E162" t="s">
        <v>21</v>
      </c>
      <c r="F162" t="s">
        <v>18</v>
      </c>
      <c r="G162" t="s">
        <v>18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2025</v>
      </c>
      <c r="B163" t="s">
        <v>73</v>
      </c>
      <c r="C163" t="s">
        <v>15</v>
      </c>
      <c r="D163" t="s">
        <v>28</v>
      </c>
      <c r="E163" t="s">
        <v>17</v>
      </c>
      <c r="F163" t="s">
        <v>18</v>
      </c>
      <c r="G163" t="s">
        <v>19</v>
      </c>
      <c r="H163">
        <v>137</v>
      </c>
      <c r="I163">
        <v>0</v>
      </c>
      <c r="J163">
        <v>0</v>
      </c>
      <c r="K163">
        <v>0</v>
      </c>
      <c r="L163">
        <v>26</v>
      </c>
      <c r="M163">
        <v>11</v>
      </c>
      <c r="N163">
        <v>137</v>
      </c>
    </row>
    <row r="164" spans="1:14" x14ac:dyDescent="0.25">
      <c r="A164">
        <v>2025</v>
      </c>
      <c r="B164" t="s">
        <v>73</v>
      </c>
      <c r="C164" t="s">
        <v>15</v>
      </c>
      <c r="D164" t="s">
        <v>34</v>
      </c>
      <c r="E164" t="s">
        <v>17</v>
      </c>
      <c r="F164" t="s">
        <v>19</v>
      </c>
      <c r="G164" t="s">
        <v>19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</v>
      </c>
    </row>
    <row r="165" spans="1:14" x14ac:dyDescent="0.25">
      <c r="A165">
        <v>2025</v>
      </c>
      <c r="B165" t="s">
        <v>83</v>
      </c>
      <c r="C165" t="s">
        <v>38</v>
      </c>
      <c r="D165" t="s">
        <v>78</v>
      </c>
      <c r="E165" t="s">
        <v>29</v>
      </c>
      <c r="F165" t="s">
        <v>19</v>
      </c>
      <c r="G165" t="s">
        <v>19</v>
      </c>
      <c r="H165">
        <v>482</v>
      </c>
      <c r="I165">
        <v>0</v>
      </c>
      <c r="J165">
        <v>0</v>
      </c>
      <c r="K165">
        <v>0</v>
      </c>
      <c r="L165">
        <v>100</v>
      </c>
      <c r="M165">
        <v>48</v>
      </c>
      <c r="N165">
        <v>482</v>
      </c>
    </row>
    <row r="166" spans="1:14" x14ac:dyDescent="0.25">
      <c r="A166">
        <v>2025</v>
      </c>
      <c r="B166" t="s">
        <v>83</v>
      </c>
      <c r="C166" t="s">
        <v>38</v>
      </c>
      <c r="D166" t="s">
        <v>78</v>
      </c>
      <c r="E166" t="s">
        <v>17</v>
      </c>
      <c r="F166" t="s">
        <v>19</v>
      </c>
      <c r="G166" t="s">
        <v>19</v>
      </c>
      <c r="H166">
        <v>117</v>
      </c>
      <c r="I166">
        <v>0</v>
      </c>
      <c r="J166">
        <v>0</v>
      </c>
      <c r="K166">
        <v>0</v>
      </c>
      <c r="L166">
        <v>67</v>
      </c>
      <c r="M166">
        <v>28</v>
      </c>
      <c r="N166">
        <v>117</v>
      </c>
    </row>
    <row r="167" spans="1:14" x14ac:dyDescent="0.25">
      <c r="A167">
        <v>2025</v>
      </c>
      <c r="B167" t="s">
        <v>84</v>
      </c>
      <c r="C167" t="s">
        <v>15</v>
      </c>
      <c r="D167" t="s">
        <v>85</v>
      </c>
      <c r="E167" t="s">
        <v>29</v>
      </c>
      <c r="F167" t="s">
        <v>18</v>
      </c>
      <c r="G167" t="s">
        <v>18</v>
      </c>
      <c r="H167">
        <v>4248</v>
      </c>
      <c r="I167">
        <v>0</v>
      </c>
      <c r="J167">
        <v>54</v>
      </c>
      <c r="K167">
        <v>54</v>
      </c>
      <c r="L167">
        <v>35</v>
      </c>
      <c r="M167">
        <v>10</v>
      </c>
      <c r="N167">
        <v>4248</v>
      </c>
    </row>
    <row r="168" spans="1:14" x14ac:dyDescent="0.25">
      <c r="A168">
        <v>2025</v>
      </c>
      <c r="B168" t="s">
        <v>84</v>
      </c>
      <c r="C168" t="s">
        <v>15</v>
      </c>
      <c r="D168" t="s">
        <v>85</v>
      </c>
      <c r="E168" t="s">
        <v>17</v>
      </c>
      <c r="F168" t="s">
        <v>18</v>
      </c>
      <c r="G168" t="s">
        <v>18</v>
      </c>
      <c r="H168">
        <v>1353</v>
      </c>
      <c r="I168">
        <v>0</v>
      </c>
      <c r="J168">
        <v>0</v>
      </c>
      <c r="K168">
        <v>0</v>
      </c>
      <c r="L168">
        <v>14</v>
      </c>
      <c r="M168">
        <v>6</v>
      </c>
      <c r="N168">
        <v>1353</v>
      </c>
    </row>
    <row r="169" spans="1:14" x14ac:dyDescent="0.25">
      <c r="A169">
        <v>2025</v>
      </c>
      <c r="B169" t="s">
        <v>84</v>
      </c>
      <c r="C169" t="s">
        <v>15</v>
      </c>
      <c r="D169" t="s">
        <v>86</v>
      </c>
      <c r="E169" t="s">
        <v>29</v>
      </c>
      <c r="F169" t="s">
        <v>18</v>
      </c>
      <c r="G169" t="s">
        <v>18</v>
      </c>
      <c r="H169">
        <v>2160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2160</v>
      </c>
    </row>
    <row r="170" spans="1:14" x14ac:dyDescent="0.25">
      <c r="A170">
        <v>2025</v>
      </c>
      <c r="B170" t="s">
        <v>84</v>
      </c>
      <c r="C170" t="s">
        <v>15</v>
      </c>
      <c r="D170" t="s">
        <v>23</v>
      </c>
      <c r="E170" t="s">
        <v>17</v>
      </c>
      <c r="F170" t="s">
        <v>18</v>
      </c>
      <c r="G170" t="s">
        <v>18</v>
      </c>
      <c r="H170">
        <v>285</v>
      </c>
      <c r="I170">
        <v>12</v>
      </c>
      <c r="J170">
        <v>0</v>
      </c>
      <c r="K170">
        <v>12</v>
      </c>
      <c r="L170">
        <v>95</v>
      </c>
      <c r="M170">
        <v>75</v>
      </c>
      <c r="N170">
        <v>273</v>
      </c>
    </row>
    <row r="171" spans="1:14" x14ac:dyDescent="0.25">
      <c r="A171">
        <v>2025</v>
      </c>
      <c r="B171" t="s">
        <v>84</v>
      </c>
      <c r="C171" t="s">
        <v>15</v>
      </c>
      <c r="D171" t="s">
        <v>23</v>
      </c>
      <c r="E171" t="s">
        <v>21</v>
      </c>
      <c r="F171" t="s">
        <v>18</v>
      </c>
      <c r="G171" t="s">
        <v>18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2025</v>
      </c>
      <c r="B172" t="s">
        <v>84</v>
      </c>
      <c r="C172" t="s">
        <v>15</v>
      </c>
      <c r="D172" t="s">
        <v>87</v>
      </c>
      <c r="E172" t="s">
        <v>29</v>
      </c>
      <c r="F172" t="s">
        <v>18</v>
      </c>
      <c r="G172" t="s">
        <v>18</v>
      </c>
      <c r="H172">
        <v>2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2</v>
      </c>
    </row>
    <row r="173" spans="1:14" x14ac:dyDescent="0.25">
      <c r="A173">
        <v>2025</v>
      </c>
      <c r="B173" t="s">
        <v>84</v>
      </c>
      <c r="C173" t="s">
        <v>15</v>
      </c>
      <c r="D173" t="s">
        <v>26</v>
      </c>
      <c r="E173" t="s">
        <v>17</v>
      </c>
      <c r="F173" t="s">
        <v>18</v>
      </c>
      <c r="G173" t="s">
        <v>18</v>
      </c>
      <c r="H173">
        <v>6</v>
      </c>
      <c r="I173">
        <v>2</v>
      </c>
      <c r="J173">
        <v>0</v>
      </c>
      <c r="K173">
        <v>2</v>
      </c>
      <c r="L173">
        <v>2</v>
      </c>
      <c r="M173">
        <v>2</v>
      </c>
      <c r="N173">
        <v>4</v>
      </c>
    </row>
    <row r="174" spans="1:14" x14ac:dyDescent="0.25">
      <c r="A174">
        <v>2025</v>
      </c>
      <c r="B174" t="s">
        <v>84</v>
      </c>
      <c r="C174" t="s">
        <v>15</v>
      </c>
      <c r="D174" t="s">
        <v>88</v>
      </c>
      <c r="E174" t="s">
        <v>29</v>
      </c>
      <c r="F174" t="s">
        <v>18</v>
      </c>
      <c r="G174" t="s">
        <v>18</v>
      </c>
      <c r="H174">
        <v>60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60</v>
      </c>
    </row>
    <row r="175" spans="1:14" x14ac:dyDescent="0.25">
      <c r="A175">
        <v>2025</v>
      </c>
      <c r="B175" t="s">
        <v>84</v>
      </c>
      <c r="C175" t="s">
        <v>15</v>
      </c>
      <c r="D175" t="s">
        <v>88</v>
      </c>
      <c r="E175" t="s">
        <v>17</v>
      </c>
      <c r="F175" t="s">
        <v>18</v>
      </c>
      <c r="G175" t="s">
        <v>18</v>
      </c>
      <c r="H175">
        <v>120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120</v>
      </c>
    </row>
    <row r="176" spans="1:14" x14ac:dyDescent="0.25">
      <c r="A176">
        <v>2025</v>
      </c>
      <c r="B176" t="s">
        <v>84</v>
      </c>
      <c r="C176" t="s">
        <v>15</v>
      </c>
      <c r="D176" t="s">
        <v>16</v>
      </c>
      <c r="E176" t="s">
        <v>17</v>
      </c>
      <c r="F176" t="s">
        <v>18</v>
      </c>
      <c r="G176" t="s">
        <v>18</v>
      </c>
      <c r="H176">
        <v>39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39</v>
      </c>
    </row>
    <row r="177" spans="1:14" x14ac:dyDescent="0.25">
      <c r="A177">
        <v>2025</v>
      </c>
      <c r="B177" t="s">
        <v>84</v>
      </c>
      <c r="C177" t="s">
        <v>15</v>
      </c>
      <c r="D177" t="s">
        <v>89</v>
      </c>
      <c r="E177" t="s">
        <v>29</v>
      </c>
      <c r="F177" t="s">
        <v>18</v>
      </c>
      <c r="G177" t="s">
        <v>18</v>
      </c>
      <c r="H177">
        <v>16</v>
      </c>
      <c r="I177">
        <v>0</v>
      </c>
      <c r="J177">
        <v>0</v>
      </c>
      <c r="K177">
        <v>0</v>
      </c>
      <c r="L177">
        <v>6</v>
      </c>
      <c r="M177">
        <v>4</v>
      </c>
      <c r="N177">
        <v>16</v>
      </c>
    </row>
    <row r="178" spans="1:14" x14ac:dyDescent="0.25">
      <c r="A178">
        <v>2025</v>
      </c>
      <c r="B178" t="s">
        <v>84</v>
      </c>
      <c r="C178" t="s">
        <v>15</v>
      </c>
      <c r="D178" t="s">
        <v>63</v>
      </c>
      <c r="E178" t="s">
        <v>17</v>
      </c>
      <c r="F178" t="s">
        <v>18</v>
      </c>
      <c r="G178" t="s">
        <v>18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</row>
    <row r="179" spans="1:14" x14ac:dyDescent="0.25">
      <c r="A179">
        <v>2025</v>
      </c>
      <c r="B179" t="s">
        <v>84</v>
      </c>
      <c r="C179" t="s">
        <v>15</v>
      </c>
      <c r="D179" t="s">
        <v>90</v>
      </c>
      <c r="E179" t="s">
        <v>29</v>
      </c>
      <c r="F179" t="s">
        <v>18</v>
      </c>
      <c r="G179" t="s">
        <v>18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</v>
      </c>
    </row>
    <row r="180" spans="1:14" x14ac:dyDescent="0.25">
      <c r="A180">
        <v>2025</v>
      </c>
      <c r="B180" t="s">
        <v>84</v>
      </c>
      <c r="C180" t="s">
        <v>15</v>
      </c>
      <c r="D180" t="s">
        <v>90</v>
      </c>
      <c r="E180" t="s">
        <v>17</v>
      </c>
      <c r="F180" t="s">
        <v>18</v>
      </c>
      <c r="G180" t="s">
        <v>18</v>
      </c>
      <c r="H180">
        <v>36</v>
      </c>
      <c r="I180">
        <v>0</v>
      </c>
      <c r="J180">
        <v>8</v>
      </c>
      <c r="K180">
        <v>8</v>
      </c>
      <c r="L180">
        <v>15</v>
      </c>
      <c r="M180">
        <v>9</v>
      </c>
      <c r="N180">
        <v>36</v>
      </c>
    </row>
    <row r="181" spans="1:14" x14ac:dyDescent="0.25">
      <c r="A181">
        <v>2025</v>
      </c>
      <c r="B181" t="s">
        <v>84</v>
      </c>
      <c r="C181" t="s">
        <v>15</v>
      </c>
      <c r="E181" t="s">
        <v>29</v>
      </c>
      <c r="F181" t="s">
        <v>18</v>
      </c>
      <c r="G181" t="s">
        <v>18</v>
      </c>
      <c r="H181">
        <v>25</v>
      </c>
      <c r="I181">
        <v>0</v>
      </c>
      <c r="J181">
        <v>7</v>
      </c>
      <c r="K181">
        <v>7</v>
      </c>
      <c r="L181">
        <v>5</v>
      </c>
      <c r="M181">
        <v>1</v>
      </c>
      <c r="N181">
        <v>18</v>
      </c>
    </row>
    <row r="182" spans="1:14" x14ac:dyDescent="0.25">
      <c r="A182">
        <v>2025</v>
      </c>
      <c r="B182" t="s">
        <v>84</v>
      </c>
      <c r="C182" t="s">
        <v>15</v>
      </c>
      <c r="E182" t="s">
        <v>21</v>
      </c>
      <c r="F182" t="s">
        <v>18</v>
      </c>
      <c r="G182" t="s">
        <v>18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2025</v>
      </c>
      <c r="B183" t="s">
        <v>91</v>
      </c>
      <c r="C183" t="s">
        <v>15</v>
      </c>
      <c r="D183" t="s">
        <v>23</v>
      </c>
      <c r="E183" t="s">
        <v>17</v>
      </c>
      <c r="F183" t="s">
        <v>18</v>
      </c>
      <c r="G183" t="s">
        <v>18</v>
      </c>
      <c r="H183">
        <v>60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60</v>
      </c>
    </row>
    <row r="184" spans="1:14" x14ac:dyDescent="0.25">
      <c r="A184">
        <v>2025</v>
      </c>
      <c r="B184" t="s">
        <v>91</v>
      </c>
      <c r="C184" t="s">
        <v>15</v>
      </c>
      <c r="D184" t="s">
        <v>25</v>
      </c>
      <c r="E184" t="s">
        <v>17</v>
      </c>
      <c r="F184" t="s">
        <v>18</v>
      </c>
      <c r="G184" t="s">
        <v>18</v>
      </c>
      <c r="H184">
        <v>72</v>
      </c>
      <c r="I184">
        <v>0</v>
      </c>
      <c r="J184">
        <v>0</v>
      </c>
      <c r="K184">
        <v>0</v>
      </c>
      <c r="L184">
        <v>5</v>
      </c>
      <c r="M184">
        <v>3</v>
      </c>
      <c r="N184">
        <v>72</v>
      </c>
    </row>
    <row r="185" spans="1:14" x14ac:dyDescent="0.25">
      <c r="A185">
        <v>2025</v>
      </c>
      <c r="B185" t="s">
        <v>92</v>
      </c>
      <c r="C185" t="s">
        <v>38</v>
      </c>
      <c r="D185" t="s">
        <v>93</v>
      </c>
      <c r="E185" t="s">
        <v>29</v>
      </c>
      <c r="F185" t="s">
        <v>18</v>
      </c>
      <c r="G185" t="s">
        <v>19</v>
      </c>
      <c r="H185">
        <v>1440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1440</v>
      </c>
    </row>
    <row r="186" spans="1:14" x14ac:dyDescent="0.25">
      <c r="A186">
        <v>2025</v>
      </c>
      <c r="B186" t="s">
        <v>92</v>
      </c>
      <c r="C186" t="s">
        <v>38</v>
      </c>
      <c r="D186" t="s">
        <v>93</v>
      </c>
      <c r="E186" t="s">
        <v>17</v>
      </c>
      <c r="F186" t="s">
        <v>18</v>
      </c>
      <c r="G186" t="s">
        <v>19</v>
      </c>
      <c r="H186">
        <v>360</v>
      </c>
      <c r="I186">
        <v>0</v>
      </c>
      <c r="J186">
        <v>47</v>
      </c>
      <c r="K186">
        <v>47</v>
      </c>
      <c r="L186">
        <v>146</v>
      </c>
      <c r="M186">
        <v>75</v>
      </c>
      <c r="N186">
        <v>360</v>
      </c>
    </row>
    <row r="187" spans="1:14" x14ac:dyDescent="0.25">
      <c r="A187">
        <v>2025</v>
      </c>
      <c r="B187" t="s">
        <v>94</v>
      </c>
      <c r="C187" t="s">
        <v>15</v>
      </c>
      <c r="D187" t="s">
        <v>25</v>
      </c>
      <c r="E187" t="s">
        <v>17</v>
      </c>
      <c r="F187" t="s">
        <v>18</v>
      </c>
      <c r="G187" t="s">
        <v>18</v>
      </c>
      <c r="H187">
        <v>31</v>
      </c>
      <c r="I187">
        <v>0</v>
      </c>
      <c r="J187">
        <v>0</v>
      </c>
      <c r="K187">
        <v>0</v>
      </c>
      <c r="L187">
        <v>29</v>
      </c>
      <c r="M187">
        <v>23</v>
      </c>
      <c r="N187">
        <v>31</v>
      </c>
    </row>
    <row r="188" spans="1:14" x14ac:dyDescent="0.25">
      <c r="A188">
        <v>2025</v>
      </c>
      <c r="B188" t="s">
        <v>94</v>
      </c>
      <c r="C188" t="s">
        <v>15</v>
      </c>
      <c r="D188" t="s">
        <v>26</v>
      </c>
      <c r="E188" t="s">
        <v>17</v>
      </c>
      <c r="F188" t="s">
        <v>18</v>
      </c>
      <c r="G188" t="s">
        <v>18</v>
      </c>
      <c r="H188">
        <v>25</v>
      </c>
      <c r="I188">
        <v>0</v>
      </c>
      <c r="J188">
        <v>0</v>
      </c>
      <c r="K188">
        <v>0</v>
      </c>
      <c r="L188">
        <v>2</v>
      </c>
      <c r="M188">
        <v>1</v>
      </c>
      <c r="N188">
        <v>25</v>
      </c>
    </row>
    <row r="189" spans="1:14" x14ac:dyDescent="0.25">
      <c r="A189">
        <v>2025</v>
      </c>
      <c r="B189" t="s">
        <v>94</v>
      </c>
      <c r="C189" t="s">
        <v>15</v>
      </c>
      <c r="D189" t="s">
        <v>26</v>
      </c>
      <c r="E189" t="s">
        <v>17</v>
      </c>
      <c r="F189" t="s">
        <v>18</v>
      </c>
      <c r="G189" t="s">
        <v>19</v>
      </c>
      <c r="H189">
        <v>59</v>
      </c>
      <c r="I189">
        <v>0</v>
      </c>
      <c r="J189">
        <v>0</v>
      </c>
      <c r="K189">
        <v>0</v>
      </c>
      <c r="L189">
        <v>17</v>
      </c>
      <c r="M189">
        <v>11</v>
      </c>
      <c r="N189">
        <v>59</v>
      </c>
    </row>
    <row r="190" spans="1:14" x14ac:dyDescent="0.25">
      <c r="A190">
        <v>2025</v>
      </c>
      <c r="B190" t="s">
        <v>94</v>
      </c>
      <c r="C190" t="s">
        <v>15</v>
      </c>
      <c r="D190" t="s">
        <v>27</v>
      </c>
      <c r="E190" t="s">
        <v>17</v>
      </c>
      <c r="F190" t="s">
        <v>18</v>
      </c>
      <c r="G190" t="s">
        <v>19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</v>
      </c>
    </row>
    <row r="191" spans="1:14" x14ac:dyDescent="0.25">
      <c r="A191">
        <v>2025</v>
      </c>
      <c r="B191" t="s">
        <v>94</v>
      </c>
      <c r="C191" t="s">
        <v>15</v>
      </c>
      <c r="D191" t="s">
        <v>34</v>
      </c>
      <c r="E191" t="s">
        <v>17</v>
      </c>
      <c r="F191" t="s">
        <v>19</v>
      </c>
      <c r="G191" t="s">
        <v>19</v>
      </c>
      <c r="H191">
        <v>60</v>
      </c>
      <c r="I191">
        <v>0</v>
      </c>
      <c r="J191">
        <v>0</v>
      </c>
      <c r="K191">
        <v>0</v>
      </c>
      <c r="L191">
        <v>3</v>
      </c>
      <c r="M191">
        <v>2</v>
      </c>
      <c r="N191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</cp:lastModifiedBy>
  <dcterms:created xsi:type="dcterms:W3CDTF">2026-09-30T15:28:10Z</dcterms:created>
  <dcterms:modified xsi:type="dcterms:W3CDTF">2026-09-30T16:03:33Z</dcterms:modified>
</cp:coreProperties>
</file>