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TE\python_local\git_repo_local\Chuuchuu_python\summary_stats\"/>
    </mc:Choice>
  </mc:AlternateContent>
  <xr:revisionPtr revIDLastSave="0" documentId="13_ncr:1_{422C85BD-FFE3-4E1F-9C00-38D4499B956E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Official data" sheetId="9" r:id="rId1"/>
    <sheet name="Pivot table" sheetId="11" r:id="rId2"/>
    <sheet name="Summary" sheetId="1" r:id="rId3"/>
    <sheet name="Comp_chuuchuu" sheetId="15" r:id="rId4"/>
    <sheet name="SNCF" sheetId="2" r:id="rId5"/>
    <sheet name="DB" sheetId="3" r:id="rId6"/>
    <sheet name="NS" sheetId="4" r:id="rId7"/>
    <sheet name="OEBB" sheetId="5" r:id="rId8"/>
    <sheet name="SBB" sheetId="6" r:id="rId9"/>
    <sheet name="SNCB" sheetId="7" r:id="rId10"/>
    <sheet name="Trenitalia" sheetId="8" r:id="rId11"/>
  </sheets>
  <definedNames>
    <definedName name="_xlchart.v1.0" hidden="1">Comp_chuuchuu!$J$39:$J$56</definedName>
    <definedName name="_xlchart.v1.1" hidden="1">Comp_chuuchuu!$K$39:$K$56</definedName>
  </definedNames>
  <calcPr calcId="191029"/>
  <pivotCaches>
    <pivotCache cacheId="0" r:id="rId12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39" i="15" l="1" a="1"/>
  <c r="B39" i="15" s="1"/>
  <c r="N33" i="15"/>
  <c r="M33" i="15"/>
  <c r="L32" i="15"/>
  <c r="L31" i="15"/>
  <c r="L27" i="15"/>
  <c r="L24" i="15"/>
  <c r="M13" i="15"/>
  <c r="N13" i="15"/>
  <c r="N3" i="15"/>
  <c r="M3" i="15"/>
  <c r="N36" i="15"/>
  <c r="M36" i="15"/>
  <c r="L36" i="15"/>
  <c r="L29" i="15"/>
  <c r="N30" i="15"/>
  <c r="M30" i="15"/>
  <c r="L26" i="15"/>
  <c r="L25" i="15"/>
  <c r="M28" i="15"/>
  <c r="N28" i="15"/>
  <c r="L23" i="15"/>
  <c r="L22" i="15"/>
  <c r="N21" i="15"/>
  <c r="M21" i="15"/>
  <c r="L20" i="15"/>
  <c r="L19" i="15"/>
  <c r="N18" i="15"/>
  <c r="M18" i="15"/>
  <c r="L17" i="15"/>
  <c r="L12" i="15"/>
  <c r="N11" i="15"/>
  <c r="M11" i="15"/>
  <c r="L9" i="15"/>
  <c r="L10" i="15"/>
  <c r="N8" i="15"/>
  <c r="M8" i="15"/>
  <c r="L4" i="15"/>
  <c r="L5" i="15"/>
  <c r="L6" i="15"/>
  <c r="L7" i="15"/>
  <c r="L2" i="15"/>
  <c r="N16" i="15"/>
  <c r="M16" i="15"/>
  <c r="L15" i="15"/>
  <c r="L14" i="15"/>
  <c r="D2" i="9" a="1"/>
  <c r="D2" i="9" s="1"/>
  <c r="A2" i="9" a="1"/>
  <c r="A2" i="9" s="1"/>
  <c r="K7" i="11"/>
  <c r="K19" i="11"/>
  <c r="K8" i="11"/>
  <c r="K20" i="11"/>
  <c r="K9" i="11"/>
  <c r="K21" i="11"/>
  <c r="K10" i="11"/>
  <c r="K22" i="11"/>
  <c r="K11" i="11"/>
  <c r="K23" i="11"/>
  <c r="K12" i="11"/>
  <c r="K24" i="11"/>
  <c r="K13" i="11"/>
  <c r="K25" i="11"/>
  <c r="K14" i="11"/>
  <c r="K26" i="11"/>
  <c r="K15" i="11"/>
  <c r="K27" i="11"/>
  <c r="K16" i="11"/>
  <c r="K28" i="11"/>
  <c r="K17" i="11"/>
  <c r="K29" i="11"/>
  <c r="K18" i="11"/>
  <c r="K6" i="11"/>
  <c r="L7" i="11"/>
  <c r="Q8" i="11"/>
  <c r="O10" i="11"/>
  <c r="M12" i="11"/>
  <c r="R13" i="11"/>
  <c r="P15" i="11"/>
  <c r="N17" i="11"/>
  <c r="L19" i="11"/>
  <c r="Q20" i="11"/>
  <c r="M24" i="11"/>
  <c r="R25" i="11"/>
  <c r="P27" i="11"/>
  <c r="N29" i="11"/>
  <c r="O22" i="11"/>
  <c r="M7" i="11"/>
  <c r="R8" i="11"/>
  <c r="P10" i="11"/>
  <c r="N12" i="11"/>
  <c r="L14" i="11"/>
  <c r="Q15" i="11"/>
  <c r="O17" i="11"/>
  <c r="M19" i="11"/>
  <c r="R20" i="11"/>
  <c r="N24" i="11"/>
  <c r="L26" i="11"/>
  <c r="Q27" i="11"/>
  <c r="O29" i="11"/>
  <c r="P22" i="11"/>
  <c r="N7" i="11"/>
  <c r="L9" i="11"/>
  <c r="Q10" i="11"/>
  <c r="O12" i="11"/>
  <c r="M14" i="11"/>
  <c r="R15" i="11"/>
  <c r="P17" i="11"/>
  <c r="N19" i="11"/>
  <c r="Q22" i="11"/>
  <c r="O24" i="11"/>
  <c r="M26" i="11"/>
  <c r="R27" i="11"/>
  <c r="P29" i="11"/>
  <c r="L21" i="11"/>
  <c r="O7" i="11"/>
  <c r="M9" i="11"/>
  <c r="R10" i="11"/>
  <c r="P12" i="11"/>
  <c r="N14" i="11"/>
  <c r="L16" i="11"/>
  <c r="Q17" i="11"/>
  <c r="O19" i="11"/>
  <c r="M21" i="11"/>
  <c r="P24" i="11"/>
  <c r="N26" i="11"/>
  <c r="L28" i="11"/>
  <c r="Q29" i="11"/>
  <c r="R22" i="11"/>
  <c r="O8" i="11"/>
  <c r="Q18" i="11"/>
  <c r="P25" i="11"/>
  <c r="N10" i="11"/>
  <c r="O15" i="11"/>
  <c r="R18" i="11"/>
  <c r="L24" i="11"/>
  <c r="M29" i="11"/>
  <c r="P7" i="11"/>
  <c r="N9" i="11"/>
  <c r="L11" i="11"/>
  <c r="Q12" i="11"/>
  <c r="O14" i="11"/>
  <c r="M16" i="11"/>
  <c r="R17" i="11"/>
  <c r="P19" i="11"/>
  <c r="N21" i="11"/>
  <c r="O26" i="11"/>
  <c r="M28" i="11"/>
  <c r="R29" i="11"/>
  <c r="L23" i="11"/>
  <c r="Q24" i="11"/>
  <c r="Q7" i="11"/>
  <c r="O9" i="11"/>
  <c r="M11" i="11"/>
  <c r="R12" i="11"/>
  <c r="P14" i="11"/>
  <c r="N16" i="11"/>
  <c r="L18" i="11"/>
  <c r="Q19" i="11"/>
  <c r="O21" i="11"/>
  <c r="M23" i="11"/>
  <c r="R24" i="11"/>
  <c r="P26" i="11"/>
  <c r="N28" i="11"/>
  <c r="R7" i="11"/>
  <c r="P9" i="11"/>
  <c r="N11" i="11"/>
  <c r="L13" i="11"/>
  <c r="Q14" i="11"/>
  <c r="O16" i="11"/>
  <c r="M18" i="11"/>
  <c r="R19" i="11"/>
  <c r="P21" i="11"/>
  <c r="N23" i="11"/>
  <c r="Q26" i="11"/>
  <c r="O28" i="11"/>
  <c r="L8" i="11"/>
  <c r="L25" i="11"/>
  <c r="Q9" i="11"/>
  <c r="O11" i="11"/>
  <c r="M13" i="11"/>
  <c r="R14" i="11"/>
  <c r="P16" i="11"/>
  <c r="N18" i="11"/>
  <c r="L20" i="11"/>
  <c r="Q21" i="11"/>
  <c r="M25" i="11"/>
  <c r="R26" i="11"/>
  <c r="P28" i="11"/>
  <c r="O23" i="11"/>
  <c r="M8" i="11"/>
  <c r="R9" i="11"/>
  <c r="P11" i="11"/>
  <c r="N13" i="11"/>
  <c r="L15" i="11"/>
  <c r="Q16" i="11"/>
  <c r="O18" i="11"/>
  <c r="M20" i="11"/>
  <c r="R21" i="11"/>
  <c r="N25" i="11"/>
  <c r="P23" i="11"/>
  <c r="L27" i="11"/>
  <c r="Q28" i="11"/>
  <c r="N8" i="11"/>
  <c r="L10" i="11"/>
  <c r="Q11" i="11"/>
  <c r="O13" i="11"/>
  <c r="M15" i="11"/>
  <c r="R16" i="11"/>
  <c r="P18" i="11"/>
  <c r="N20" i="11"/>
  <c r="Q23" i="11"/>
  <c r="O25" i="11"/>
  <c r="M27" i="11"/>
  <c r="L22" i="11"/>
  <c r="R28" i="11"/>
  <c r="M10" i="11"/>
  <c r="R11" i="11"/>
  <c r="P13" i="11"/>
  <c r="N15" i="11"/>
  <c r="L17" i="11"/>
  <c r="O20" i="11"/>
  <c r="R23" i="11"/>
  <c r="N27" i="11"/>
  <c r="L29" i="11"/>
  <c r="M22" i="11"/>
  <c r="P8" i="11"/>
  <c r="L12" i="11"/>
  <c r="Q13" i="11"/>
  <c r="M17" i="11"/>
  <c r="P20" i="11"/>
  <c r="N22" i="11"/>
  <c r="Q25" i="11"/>
  <c r="O27" i="11"/>
  <c r="Q6" i="11"/>
  <c r="R6" i="11"/>
  <c r="M6" i="11"/>
  <c r="N6" i="11"/>
  <c r="O6" i="11"/>
  <c r="P6" i="11"/>
  <c r="L6" i="1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<sst xmlns="http://schemas.openxmlformats.org/spreadsheetml/2006/main" count="39311" uniqueCount="257">
  <si>
    <t>Year</t>
  </si>
  <si>
    <t>Month</t>
  </si>
  <si>
    <t>operator</t>
  </si>
  <si>
    <t>Punctuality scope</t>
  </si>
  <si>
    <t>Route type</t>
  </si>
  <si>
    <t>Journey type</t>
  </si>
  <si>
    <t>HSR service</t>
  </si>
  <si>
    <t>Long distance</t>
  </si>
  <si>
    <t>Night train</t>
  </si>
  <si>
    <t>N total train</t>
  </si>
  <si>
    <t>N cancelled train (full cancellation)</t>
  </si>
  <si>
    <t>N cancelled train (partial cancellation)</t>
  </si>
  <si>
    <t>N cancelled train (full + partial)</t>
  </si>
  <si>
    <t>N train delay (&gt; 3 min)</t>
  </si>
  <si>
    <t>N train delay (&gt; 5 min)</t>
  </si>
  <si>
    <t>N train delay (&gt; 6 min)</t>
  </si>
  <si>
    <t>N train delay (&gt; 10 min)</t>
  </si>
  <si>
    <t>N train delay (&gt; 15 min)</t>
  </si>
  <si>
    <t>N train delay (&gt; 30 min)</t>
  </si>
  <si>
    <t>N train delay (&gt; 60 min)</t>
  </si>
  <si>
    <t>N train arriving at terminus</t>
  </si>
  <si>
    <t>CFL</t>
  </si>
  <si>
    <t>national network</t>
  </si>
  <si>
    <t>IC</t>
  </si>
  <si>
    <t>international</t>
  </si>
  <si>
    <t>No</t>
  </si>
  <si>
    <t>Yes</t>
  </si>
  <si>
    <t>TGV INOUI</t>
  </si>
  <si>
    <t>domestic</t>
  </si>
  <si>
    <t>unknown</t>
  </si>
  <si>
    <t>CFR</t>
  </si>
  <si>
    <t>D</t>
  </si>
  <si>
    <t>EC</t>
  </si>
  <si>
    <t>Ceske Drahy</t>
  </si>
  <si>
    <t>EN</t>
  </si>
  <si>
    <t>NJ</t>
  </si>
  <si>
    <t>RJ</t>
  </si>
  <si>
    <t>DB</t>
  </si>
  <si>
    <t>ECE</t>
  </si>
  <si>
    <t>ICE</t>
  </si>
  <si>
    <t>IR</t>
  </si>
  <si>
    <t>RJX</t>
  </si>
  <si>
    <t>TGV</t>
  </si>
  <si>
    <t>DSB</t>
  </si>
  <si>
    <t>European Sleeper</t>
  </si>
  <si>
    <t>whole journey</t>
  </si>
  <si>
    <t>ES</t>
  </si>
  <si>
    <t>Eurostar</t>
  </si>
  <si>
    <t>EST</t>
  </si>
  <si>
    <t>Flixtrain</t>
  </si>
  <si>
    <t>FLX</t>
  </si>
  <si>
    <t>HZ</t>
  </si>
  <si>
    <t>MAV</t>
  </si>
  <si>
    <t>NS</t>
  </si>
  <si>
    <t>EUROCITY</t>
  </si>
  <si>
    <t>EUROCITY DIRECT</t>
  </si>
  <si>
    <t>ICD</t>
  </si>
  <si>
    <t>NT</t>
  </si>
  <si>
    <t>S</t>
  </si>
  <si>
    <t>SPR</t>
  </si>
  <si>
    <t>ST</t>
  </si>
  <si>
    <t>OEBB</t>
  </si>
  <si>
    <t>Other CH operators</t>
  </si>
  <si>
    <t>Ouigo</t>
  </si>
  <si>
    <t>OTC</t>
  </si>
  <si>
    <t>OUIGO</t>
  </si>
  <si>
    <t>PKP</t>
  </si>
  <si>
    <t>Panorama Express</t>
  </si>
  <si>
    <t>PE</t>
  </si>
  <si>
    <t>SBB</t>
  </si>
  <si>
    <t>LYRIA</t>
  </si>
  <si>
    <t>SJ</t>
  </si>
  <si>
    <t>SNCB</t>
  </si>
  <si>
    <t>L</t>
  </si>
  <si>
    <t>P</t>
  </si>
  <si>
    <t>SNCF</t>
  </si>
  <si>
    <t>EXP</t>
  </si>
  <si>
    <t>INTERCITES</t>
  </si>
  <si>
    <t>INTERCITES DE NUIT</t>
  </si>
  <si>
    <t>SZ</t>
  </si>
  <si>
    <t>Trenitalia</t>
  </si>
  <si>
    <t>FA</t>
  </si>
  <si>
    <t>FB</t>
  </si>
  <si>
    <t>FR</t>
  </si>
  <si>
    <t>ICN</t>
  </si>
  <si>
    <t>MET</t>
  </si>
  <si>
    <t>NCL</t>
  </si>
  <si>
    <t>REG</t>
  </si>
  <si>
    <t>Trenitalia France</t>
  </si>
  <si>
    <t>UNKNOWN_OPERATOR</t>
  </si>
  <si>
    <t>AS</t>
  </si>
  <si>
    <t>BUS</t>
  </si>
  <si>
    <t>CAT</t>
  </si>
  <si>
    <t>DZ</t>
  </si>
  <si>
    <t>EX</t>
  </si>
  <si>
    <t>GEP</t>
  </si>
  <si>
    <t>NZ</t>
  </si>
  <si>
    <t>UEX</t>
  </si>
  <si>
    <t>UZ</t>
  </si>
  <si>
    <t>Westbahn</t>
  </si>
  <si>
    <t>WB</t>
  </si>
  <si>
    <t>ZSSK</t>
  </si>
  <si>
    <t>DIR</t>
  </si>
  <si>
    <t>MSM</t>
  </si>
  <si>
    <t>INT</t>
  </si>
  <si>
    <t>DBK</t>
  </si>
  <si>
    <t>OUIGO TRAIN CLASSIC</t>
  </si>
  <si>
    <t>NEX</t>
  </si>
  <si>
    <t>ARZ</t>
  </si>
  <si>
    <t>CAR</t>
  </si>
  <si>
    <t>TER</t>
  </si>
  <si>
    <t>OUI</t>
  </si>
  <si>
    <t>OGO</t>
  </si>
  <si>
    <t>LYR</t>
  </si>
  <si>
    <t>CTE</t>
  </si>
  <si>
    <t>NAV</t>
  </si>
  <si>
    <t>TT</t>
  </si>
  <si>
    <t>TRAIN TER</t>
  </si>
  <si>
    <t>CAR TER</t>
  </si>
  <si>
    <t>NAVETTE</t>
  </si>
  <si>
    <t>TRAMTRAIN</t>
  </si>
  <si>
    <t>BTE</t>
  </si>
  <si>
    <t>Joint service</t>
  </si>
  <si>
    <t>DB_SNCF</t>
  </si>
  <si>
    <t>SBB_SNCF</t>
  </si>
  <si>
    <t>SNCB_SNCF</t>
  </si>
  <si>
    <t>Ceske Drahy_DB</t>
  </si>
  <si>
    <t>Ceske Drahy_DB_MAV</t>
  </si>
  <si>
    <t>Ceske Drahy_DB_MAV_ZSSK</t>
  </si>
  <si>
    <t>Ceske Drahy_DB_OEBB</t>
  </si>
  <si>
    <t>Ceske Drahy_DB_OEBB_PKP</t>
  </si>
  <si>
    <t>Ceske Drahy_DB_PKP</t>
  </si>
  <si>
    <t>Ceske Drahy_DB_SBB</t>
  </si>
  <si>
    <t>Ceske Drahy_MAV</t>
  </si>
  <si>
    <t>Ceske Drahy_MAV_ZSSK</t>
  </si>
  <si>
    <t>DB_DSB</t>
  </si>
  <si>
    <t>DB_DSB_SJ</t>
  </si>
  <si>
    <t>DB_HZ</t>
  </si>
  <si>
    <t>DB_HZ_OEBB</t>
  </si>
  <si>
    <t>DB_HZ_OEBB_SZ</t>
  </si>
  <si>
    <t>DB_HZ_OEBB_Trenitalia</t>
  </si>
  <si>
    <t>DB_MAV</t>
  </si>
  <si>
    <t>DB_MAV_OEBB</t>
  </si>
  <si>
    <t>DB_NS</t>
  </si>
  <si>
    <t>DB_OEBB</t>
  </si>
  <si>
    <t>DB_OEBB_SBB</t>
  </si>
  <si>
    <t>DB_OEBB_SZ</t>
  </si>
  <si>
    <t>DB_OEBB_Trenitalia</t>
  </si>
  <si>
    <t>DB_PKP</t>
  </si>
  <si>
    <t>DB_SBB</t>
  </si>
  <si>
    <t>DB_SBB_Trenitalia</t>
  </si>
  <si>
    <t>DB_SNCB</t>
  </si>
  <si>
    <t>HZ_OEBB_SZ</t>
  </si>
  <si>
    <t>DB_HZ_OEBB_SZ_Trenitalia</t>
  </si>
  <si>
    <t>DB_OEBB_SBB_Trenitalia</t>
  </si>
  <si>
    <t>HZ_OEBB</t>
  </si>
  <si>
    <t>HZ_OEBB_SZ_Trenitalia</t>
  </si>
  <si>
    <t>OEBB_Trenitalia</t>
  </si>
  <si>
    <t>NS_SNCB</t>
  </si>
  <si>
    <t>CFR_MAV_OEBB</t>
  </si>
  <si>
    <t>Ceske Drahy_MAV_OEBB</t>
  </si>
  <si>
    <t>Ceske Drahy_OEBB</t>
  </si>
  <si>
    <t>Ceske Drahy_OEBB_PKP</t>
  </si>
  <si>
    <t>MAV_OEBB</t>
  </si>
  <si>
    <t>MAV_OEBB_SZ</t>
  </si>
  <si>
    <t>MAV_OEBB_UZ</t>
  </si>
  <si>
    <t>OEBB_SBB</t>
  </si>
  <si>
    <t>OEBB_SBB_ZSSK</t>
  </si>
  <si>
    <t>OEBB_SZ</t>
  </si>
  <si>
    <t>OEBB_SZ_Trenitalia</t>
  </si>
  <si>
    <t>OEBB_ZSSK</t>
  </si>
  <si>
    <t>HZ_OEBB_SZ_ZSSK</t>
  </si>
  <si>
    <t>OEBB_PKP</t>
  </si>
  <si>
    <t>SBB_Trenitalia</t>
  </si>
  <si>
    <t>SZ_Trenitalia</t>
  </si>
  <si>
    <t>Operator</t>
  </si>
  <si>
    <t>To include in ranking?</t>
  </si>
  <si>
    <t>No (partial data)</t>
  </si>
  <si>
    <t>No (night train)</t>
  </si>
  <si>
    <t>No (out of scope)</t>
  </si>
  <si>
    <t>NAN</t>
  </si>
  <si>
    <t>Services</t>
  </si>
  <si>
    <t>Measurement</t>
  </si>
  <si>
    <t>Train or passenger punctuality</t>
  </si>
  <si>
    <t>Account cancellations</t>
  </si>
  <si>
    <t>Account joint services</t>
  </si>
  <si>
    <t>LD</t>
  </si>
  <si>
    <t>At all stops</t>
  </si>
  <si>
    <t>Train punctuality</t>
  </si>
  <si>
    <t>Punctuality</t>
  </si>
  <si>
    <t>Threshold (min)</t>
  </si>
  <si>
    <t>All collaborations on DE network</t>
  </si>
  <si>
    <t>Same metric with Chuuchuu</t>
  </si>
  <si>
    <t>Our own calculations or reliability</t>
  </si>
  <si>
    <t>%pp diff</t>
  </si>
  <si>
    <t>Row Labels</t>
  </si>
  <si>
    <t>Grand Total</t>
  </si>
  <si>
    <t>Sum of N total train</t>
  </si>
  <si>
    <t>Sum of N cancelled train (full + partial)</t>
  </si>
  <si>
    <t>Sum of N train delay (&gt; 3 min)</t>
  </si>
  <si>
    <t>Sum of N train delay (&gt; 5 min)</t>
  </si>
  <si>
    <t>Sum of N train delay (&gt; 6 min)</t>
  </si>
  <si>
    <t>Sum of N train delay (&gt; 10 min)</t>
  </si>
  <si>
    <t>Sum of N train delay (&gt; 15 min)</t>
  </si>
  <si>
    <t>Sum of N train delay (&gt; 30 min)</t>
  </si>
  <si>
    <t>Sum of N train delay (&gt; 60 min)</t>
  </si>
  <si>
    <t>(Multiple Items)</t>
  </si>
  <si>
    <t>Reliability 3min</t>
  </si>
  <si>
    <t>Reliability 5min</t>
  </si>
  <si>
    <t>Reliability 6min</t>
  </si>
  <si>
    <t>Reliability 10min</t>
  </si>
  <si>
    <t>Reliability 15min</t>
  </si>
  <si>
    <t>Reliability 30min</t>
  </si>
  <si>
    <t>Reliability 60min</t>
  </si>
  <si>
    <t>Cancellations</t>
  </si>
  <si>
    <t>Cancellation rate</t>
  </si>
  <si>
    <t>Continental routes</t>
  </si>
  <si>
    <t>London routes</t>
  </si>
  <si>
    <t>To ask</t>
  </si>
  <si>
    <t>Routes Belgium</t>
  </si>
  <si>
    <t>All network</t>
  </si>
  <si>
    <t>Arriving at St pancras?</t>
  </si>
  <si>
    <t>Likely yes?</t>
  </si>
  <si>
    <t>All network (except St Pancras)</t>
  </si>
  <si>
    <t>Terminus</t>
  </si>
  <si>
    <t>All</t>
  </si>
  <si>
    <t>47 different points on networks</t>
  </si>
  <si>
    <t>Pax punctuality</t>
  </si>
  <si>
    <t>Yes (except ICE trains)</t>
  </si>
  <si>
    <t>5min30</t>
  </si>
  <si>
    <t>done</t>
  </si>
  <si>
    <t>no official data</t>
  </si>
  <si>
    <t>done (but they do pax pctlity)</t>
  </si>
  <si>
    <t>HSR</t>
  </si>
  <si>
    <t>/</t>
  </si>
  <si>
    <t>Not sure (here = no)</t>
  </si>
  <si>
    <t>Not sure (here = yes)</t>
  </si>
  <si>
    <t>Tain punctuality</t>
  </si>
  <si>
    <t>Yes (short notice cancellations)</t>
  </si>
  <si>
    <t>Likely</t>
  </si>
  <si>
    <t>Terminus + Bxl</t>
  </si>
  <si>
    <t>?</t>
  </si>
  <si>
    <t>TGV Inoui</t>
  </si>
  <si>
    <t>All LD</t>
  </si>
  <si>
    <t>Penser a verifier données Intercités ART</t>
  </si>
  <si>
    <t>Intercités</t>
  </si>
  <si>
    <t>Frecce</t>
  </si>
  <si>
    <t>Terminus?</t>
  </si>
  <si>
    <t>No?</t>
  </si>
  <si>
    <t>Sum of N train arriving at terminus</t>
  </si>
  <si>
    <t>Chuuchuu/official</t>
  </si>
  <si>
    <t>Official</t>
  </si>
  <si>
    <t>Chuuchuu</t>
  </si>
  <si>
    <t>SNCF - ART</t>
  </si>
  <si>
    <t>Composite</t>
  </si>
  <si>
    <t>Paris-Lyon</t>
  </si>
  <si>
    <t>Ouigo - 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</si>
</sst>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color rgb="FF434343"/>
      <name val="Roboto"/>
    </font>
    <font>
      <i/>
      <sz val="8"/>
      <color theme="1" tint="0.499984740745262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00B050"/>
      </left>
      <right style="medium">
        <color rgb="FF00B050"/>
      </right>
      <top style="medium">
        <color rgb="FF00B050"/>
      </top>
      <bottom/>
      <diagonal/>
    </border>
    <border>
      <left style="medium">
        <color rgb="FF00B050"/>
      </left>
      <right style="medium">
        <color rgb="FF00B050"/>
      </right>
      <top/>
      <bottom/>
      <diagonal/>
    </border>
    <border>
      <left style="medium">
        <color rgb="FF00B050"/>
      </left>
      <right style="medium">
        <color rgb="FF00B050"/>
      </right>
      <top/>
      <bottom style="medium">
        <color rgb="FF00B050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26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  <xf numFmtId="9" fontId="0" fillId="0" borderId="0" xfId="1" applyFont="1"/>
    <xf numFmtId="10" fontId="0" fillId="0" borderId="0" xfId="1" applyNumberFormat="1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5" fillId="0" borderId="0" xfId="0" applyFont="1" applyAlignment="1">
      <alignment horizontal="right"/>
    </xf>
    <xf numFmtId="0" fontId="0" fillId="0" borderId="0" xfId="0" applyAlignment="1">
      <alignment horizontal="right"/>
    </xf>
    <xf numFmtId="9" fontId="0" fillId="0" borderId="3" xfId="1" applyFont="1" applyBorder="1"/>
    <xf numFmtId="9" fontId="0" fillId="0" borderId="4" xfId="1" applyFont="1" applyBorder="1"/>
    <xf numFmtId="0" fontId="3" fillId="2" borderId="0" xfId="0" applyFont="1" applyFill="1"/>
    <xf numFmtId="0" fontId="3" fillId="2" borderId="2" xfId="0" applyFont="1" applyFill="1" applyBorder="1"/>
    <xf numFmtId="10" fontId="4" fillId="0" borderId="0" xfId="0" applyNumberFormat="1" applyFont="1"/>
    <xf numFmtId="0" fontId="0" fillId="0" borderId="0" xfId="0" applyFill="1" applyAlignment="1">
      <alignment horizontal="left"/>
    </xf>
    <xf numFmtId="0" fontId="0" fillId="0" borderId="0" xfId="0" applyNumberFormat="1" applyFill="1"/>
    <xf numFmtId="10" fontId="0" fillId="0" borderId="0" xfId="1" applyNumberFormat="1" applyFont="1" applyFill="1"/>
    <xf numFmtId="9" fontId="0" fillId="0" borderId="0" xfId="1" applyFont="1" applyFill="1"/>
    <xf numFmtId="9" fontId="0" fillId="0" borderId="3" xfId="1" applyFont="1" applyFill="1" applyBorder="1"/>
    <xf numFmtId="0" fontId="0" fillId="0" borderId="0" xfId="0" applyFill="1"/>
    <xf numFmtId="0" fontId="2" fillId="0" borderId="0" xfId="0" applyFont="1"/>
    <xf numFmtId="10" fontId="2" fillId="0" borderId="0" xfId="1" applyNumberFormat="1" applyFont="1"/>
    <xf numFmtId="10" fontId="6" fillId="3" borderId="0" xfId="1" applyNumberFormat="1" applyFont="1" applyFill="1"/>
    <xf numFmtId="0" fontId="7" fillId="0" borderId="0" xfId="0" applyFont="1"/>
  </cellXfs>
  <cellStyles count="2">
    <cellStyle name="Normal" xfId="0" builtinId="0"/>
    <cellStyle name="Percent" xfId="1" builtinId="5"/>
  </cellStyles>
  <dxfs count="19"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 tint="0.399975585192419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medium">
          <color rgb="FF00B050"/>
        </left>
        <right style="medium">
          <color rgb="FF00B050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1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Chuuchuu vs official data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B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15875">
                <a:solidFill>
                  <a:schemeClr val="accent1"/>
                </a:solidFill>
              </a:ln>
              <a:effectLst/>
            </c:spPr>
          </c:marker>
          <c:dPt>
            <c:idx val="8"/>
            <c:marker>
              <c:symbol val="circle"/>
              <c:size val="5"/>
              <c:spPr>
                <a:solidFill>
                  <a:schemeClr val="accent2"/>
                </a:solidFill>
                <a:ln w="1587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5-1B5C-41F5-B37D-045CF888BEE3}"/>
              </c:ext>
            </c:extLst>
          </c:dPt>
          <c:dPt>
            <c:idx val="9"/>
            <c:marker>
              <c:symbol val="circle"/>
              <c:size val="5"/>
              <c:spPr>
                <a:solidFill>
                  <a:schemeClr val="accent2"/>
                </a:solidFill>
                <a:ln w="1587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6-1B5C-41F5-B37D-045CF888BEE3}"/>
              </c:ext>
            </c:extLst>
          </c:dPt>
          <c:dPt>
            <c:idx val="15"/>
            <c:marker>
              <c:symbol val="circle"/>
              <c:size val="5"/>
              <c:spPr>
                <a:solidFill>
                  <a:schemeClr val="accent1"/>
                </a:solidFill>
                <a:ln w="1587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9-1B5C-41F5-B37D-045CF888BEE3}"/>
              </c:ext>
            </c:extLst>
          </c:dPt>
          <c:dPt>
            <c:idx val="16"/>
            <c:marker>
              <c:symbol val="circle"/>
              <c:size val="5"/>
              <c:spPr>
                <a:solidFill>
                  <a:schemeClr val="accent2"/>
                </a:solidFill>
                <a:ln w="1587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8-1B5C-41F5-B37D-045CF888BEE3}"/>
              </c:ext>
            </c:extLst>
          </c:dPt>
          <c:dPt>
            <c:idx val="17"/>
            <c:marker>
              <c:symbol val="circle"/>
              <c:size val="5"/>
              <c:spPr>
                <a:solidFill>
                  <a:schemeClr val="accent2"/>
                </a:solidFill>
                <a:ln w="1587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7-1B5C-41F5-B37D-045CF888BEE3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4F60B75B-1D42-4F35-AE81-726B38A902E4}" type="CELLRANGE">
                      <a:rPr lang="en-US"/>
                      <a:pPr/>
                      <a:t>[CELLRANGE]</a:t>
                    </a:fld>
                    <a:endParaRPr lang="en-B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1B5C-41F5-B37D-045CF888BEE3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CBAB5312-E0A5-45F5-ADF1-E9B914203963}" type="CELLRANGE">
                      <a:rPr lang="en-US"/>
                      <a:pPr/>
                      <a:t>[CELLRANGE]</a:t>
                    </a:fld>
                    <a:endParaRPr lang="en-B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1B5C-41F5-B37D-045CF888BEE3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1B0FB8C1-0CD3-4099-A2C8-C2B45E9FF2E5}" type="CELLRANGE">
                      <a:rPr lang="en-US"/>
                      <a:pPr/>
                      <a:t>[CELLRANGE]</a:t>
                    </a:fld>
                    <a:endParaRPr lang="en-B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1B5C-41F5-B37D-045CF888BEE3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807952BD-0EEF-471F-A7EB-C010BFA1E2F0}" type="CELLRANGE">
                      <a:rPr lang="en-US"/>
                      <a:pPr/>
                      <a:t>[CELLRANGE]</a:t>
                    </a:fld>
                    <a:endParaRPr lang="en-B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1B5C-41F5-B37D-045CF888BEE3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1D2A568D-5ED2-49BD-9DAB-39B21A7349DC}" type="CELLRANGE">
                      <a:rPr lang="en-US"/>
                      <a:pPr/>
                      <a:t>[CELLRANGE]</a:t>
                    </a:fld>
                    <a:endParaRPr lang="en-B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1B5C-41F5-B37D-045CF888BEE3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96A20E5E-5563-4093-A787-8A5944AB5C69}" type="CELLRANGE">
                      <a:rPr lang="en-US"/>
                      <a:pPr/>
                      <a:t>[CELLRANGE]</a:t>
                    </a:fld>
                    <a:endParaRPr lang="en-B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1B5C-41F5-B37D-045CF888BEE3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7B43A104-6DB7-4F2D-AD26-6090416E5F91}" type="CELLRANGE">
                      <a:rPr lang="en-US"/>
                      <a:pPr/>
                      <a:t>[CELLRANGE]</a:t>
                    </a:fld>
                    <a:endParaRPr lang="en-B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1B5C-41F5-B37D-045CF888BEE3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30520D21-8BBE-4FD3-8090-6EF92D46A158}" type="CELLRANGE">
                      <a:rPr lang="en-US"/>
                      <a:pPr/>
                      <a:t>[CELLRANGE]</a:t>
                    </a:fld>
                    <a:endParaRPr lang="en-B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1B5C-41F5-B37D-045CF888BEE3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69DA8806-8B75-47FE-BE24-708FE0F9669A}" type="CELLRANGE">
                      <a:rPr lang="en-US"/>
                      <a:pPr/>
                      <a:t>[CELLRANGE]</a:t>
                    </a:fld>
                    <a:endParaRPr lang="en-B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1B5C-41F5-B37D-045CF888BEE3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09A52FB0-36A3-4AFF-912D-FC20E75EDD67}" type="CELLRANGE">
                      <a:rPr lang="en-US"/>
                      <a:pPr/>
                      <a:t>[CELLRANGE]</a:t>
                    </a:fld>
                    <a:endParaRPr lang="en-B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1B5C-41F5-B37D-045CF888BEE3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30F82BB8-062A-4FF3-93CD-446B15409B59}" type="CELLRANGE">
                      <a:rPr lang="en-US"/>
                      <a:pPr/>
                      <a:t>[CELLRANGE]</a:t>
                    </a:fld>
                    <a:endParaRPr lang="en-B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2-1B5C-41F5-B37D-045CF888BEE3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25834F8E-7665-425C-B30C-E10618A56E45}" type="CELLRANGE">
                      <a:rPr lang="en-US"/>
                      <a:pPr/>
                      <a:t>[CELLRANGE]</a:t>
                    </a:fld>
                    <a:endParaRPr lang="en-B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3-1B5C-41F5-B37D-045CF888BEE3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F521A495-3995-43C7-A8BE-FDFDC357DF6E}" type="CELLRANGE">
                      <a:rPr lang="en-US"/>
                      <a:pPr/>
                      <a:t>[CELLRANGE]</a:t>
                    </a:fld>
                    <a:endParaRPr lang="en-B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4-1B5C-41F5-B37D-045CF888BEE3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F38FA678-DD16-473C-8FD2-2B7CAA4EE0EF}" type="CELLRANGE">
                      <a:rPr lang="en-US"/>
                      <a:pPr/>
                      <a:t>[CELLRANGE]</a:t>
                    </a:fld>
                    <a:endParaRPr lang="en-B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5-1B5C-41F5-B37D-045CF888BEE3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CB84BC0D-23DD-4BE2-B025-4010463EA2E3}" type="CELLRANGE">
                      <a:rPr lang="en-US"/>
                      <a:pPr/>
                      <a:t>[CELLRANGE]</a:t>
                    </a:fld>
                    <a:endParaRPr lang="en-B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6-1B5C-41F5-B37D-045CF888BEE3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7EE005DD-A843-40DE-BF42-28DF725EF602}" type="CELLRANGE">
                      <a:rPr lang="en-US"/>
                      <a:pPr/>
                      <a:t>[CELLRANGE]</a:t>
                    </a:fld>
                    <a:endParaRPr lang="en-B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1B5C-41F5-B37D-045CF888BEE3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0FE48391-29D8-4DAD-A303-4B5BC71BAB80}" type="CELLRANGE">
                      <a:rPr lang="en-US"/>
                      <a:pPr/>
                      <a:t>[CELLRANGE]</a:t>
                    </a:fld>
                    <a:endParaRPr lang="en-B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1B5C-41F5-B37D-045CF888BEE3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B1523EB7-6C9E-40A5-8832-6F6AD1FFE52F}" type="CELLRANGE">
                      <a:rPr lang="en-US"/>
                      <a:pPr/>
                      <a:t>[CELLRANGE]</a:t>
                    </a:fld>
                    <a:endParaRPr lang="en-B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7-1B5C-41F5-B37D-045CF888BEE3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fld id="{FB5C8C4A-79A5-4E1F-A8D4-A30CD85FA594}" type="CELLRANGE">
                      <a:rPr lang="en-US"/>
                      <a:pPr/>
                      <a:t>[CELLRANGE]</a:t>
                    </a:fld>
                    <a:endParaRPr lang="en-B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8-1B5C-41F5-B37D-045CF888BEE3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A656AC0C-8F03-40C1-818C-8F080E56BA1D}" type="CELLRANGE">
                      <a:rPr lang="en-US"/>
                      <a:pPr/>
                      <a:t>[CELLRANGE]</a:t>
                    </a:fld>
                    <a:endParaRPr lang="en-B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9-1B5C-41F5-B37D-045CF888BEE3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fld id="{49A9C4CF-26E1-4188-A4C5-F4E9955FFEA6}" type="CELLRANGE">
                      <a:rPr lang="en-US"/>
                      <a:pPr/>
                      <a:t>[CELLRANGE]</a:t>
                    </a:fld>
                    <a:endParaRPr lang="en-B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A-1B5C-41F5-B37D-045CF888BEE3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fld id="{2176DEE9-82A7-4EDA-9472-4AC33239BE01}" type="CELLRANGE">
                      <a:rPr lang="en-US"/>
                      <a:pPr/>
                      <a:t>[CELLRANGE]</a:t>
                    </a:fld>
                    <a:endParaRPr lang="en-B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B-1B5C-41F5-B37D-045CF888BEE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BE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3.558309775172637E-2"/>
                  <c:y val="-4.2144308878780748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BE"/>
                </a:p>
              </c:txPr>
            </c:trendlineLbl>
          </c:trendline>
          <c:xVal>
            <c:numRef>
              <c:f>Comp_chuuchuu!$J$39:$J$60</c:f>
              <c:numCache>
                <c:formatCode>General</c:formatCode>
                <c:ptCount val="22"/>
                <c:pt idx="0">
                  <c:v>0.60099999999999998</c:v>
                </c:pt>
                <c:pt idx="1">
                  <c:v>0.8</c:v>
                </c:pt>
                <c:pt idx="2">
                  <c:v>0.73099999999999998</c:v>
                </c:pt>
                <c:pt idx="3">
                  <c:v>0.83299999999999996</c:v>
                </c:pt>
                <c:pt idx="4">
                  <c:v>0.78100000000000003</c:v>
                </c:pt>
                <c:pt idx="5">
                  <c:v>0.85499999999999998</c:v>
                </c:pt>
                <c:pt idx="6">
                  <c:v>0.95299999999999996</c:v>
                </c:pt>
                <c:pt idx="7">
                  <c:v>0.81599999999999995</c:v>
                </c:pt>
                <c:pt idx="8">
                  <c:v>0.72499999999999998</c:v>
                </c:pt>
                <c:pt idx="9">
                  <c:v>0.72499999999999998</c:v>
                </c:pt>
                <c:pt idx="10">
                  <c:v>0.92730000000000001</c:v>
                </c:pt>
                <c:pt idx="11">
                  <c:v>0.91720000000000002</c:v>
                </c:pt>
                <c:pt idx="12">
                  <c:v>0.8982</c:v>
                </c:pt>
                <c:pt idx="13">
                  <c:v>0.76700000000000002</c:v>
                </c:pt>
                <c:pt idx="14">
                  <c:v>0.76700000000000002</c:v>
                </c:pt>
                <c:pt idx="15">
                  <c:v>0.86599999999999999</c:v>
                </c:pt>
                <c:pt idx="16">
                  <c:v>0.72</c:v>
                </c:pt>
                <c:pt idx="17">
                  <c:v>0.72</c:v>
                </c:pt>
                <c:pt idx="18">
                  <c:v>0.84599999999999997</c:v>
                </c:pt>
                <c:pt idx="19">
                  <c:v>0.753</c:v>
                </c:pt>
                <c:pt idx="20">
                  <c:v>0.83499999999999996</c:v>
                </c:pt>
                <c:pt idx="21">
                  <c:v>0.83499999999999996</c:v>
                </c:pt>
              </c:numCache>
            </c:numRef>
          </c:xVal>
          <c:yVal>
            <c:numRef>
              <c:f>Comp_chuuchuu!$K$39:$K$60</c:f>
              <c:numCache>
                <c:formatCode>General</c:formatCode>
                <c:ptCount val="22"/>
                <c:pt idx="0">
                  <c:v>0.58819999999999995</c:v>
                </c:pt>
                <c:pt idx="1">
                  <c:v>0.77200000000000002</c:v>
                </c:pt>
                <c:pt idx="2">
                  <c:v>0.74399999999999999</c:v>
                </c:pt>
                <c:pt idx="3">
                  <c:v>0.82399999999999995</c:v>
                </c:pt>
                <c:pt idx="4">
                  <c:v>0.78100000000000003</c:v>
                </c:pt>
                <c:pt idx="5">
                  <c:v>0.86499999999999999</c:v>
                </c:pt>
                <c:pt idx="6">
                  <c:v>0.93600000000000005</c:v>
                </c:pt>
                <c:pt idx="7">
                  <c:v>0.80200000000000005</c:v>
                </c:pt>
                <c:pt idx="8">
                  <c:v>0.79700000000000004</c:v>
                </c:pt>
                <c:pt idx="9">
                  <c:v>0.78700000000000003</c:v>
                </c:pt>
                <c:pt idx="10">
                  <c:v>0.95299999999999996</c:v>
                </c:pt>
                <c:pt idx="11">
                  <c:v>0.90600000000000003</c:v>
                </c:pt>
                <c:pt idx="12">
                  <c:v>0.88900000000000001</c:v>
                </c:pt>
                <c:pt idx="13">
                  <c:v>0.745</c:v>
                </c:pt>
                <c:pt idx="14">
                  <c:v>0.73899999999999999</c:v>
                </c:pt>
                <c:pt idx="15">
                  <c:v>0.85599999999999998</c:v>
                </c:pt>
                <c:pt idx="16">
                  <c:v>0.68400000000000005</c:v>
                </c:pt>
                <c:pt idx="17">
                  <c:v>0.67</c:v>
                </c:pt>
                <c:pt idx="18">
                  <c:v>0.81</c:v>
                </c:pt>
                <c:pt idx="19">
                  <c:v>0.755</c:v>
                </c:pt>
                <c:pt idx="20">
                  <c:v>0.83099999999999996</c:v>
                </c:pt>
                <c:pt idx="21">
                  <c:v>0.83099999999999996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Comp_chuuchuu!$B$39:$B$60</c15:f>
                <c15:dlblRangeCache>
                  <c:ptCount val="22"/>
                  <c:pt idx="0">
                    <c:v>DB</c:v>
                  </c:pt>
                  <c:pt idx="1">
                    <c:v>Eurostar</c:v>
                  </c:pt>
                  <c:pt idx="2">
                    <c:v>Eurostar</c:v>
                  </c:pt>
                  <c:pt idx="3">
                    <c:v>Eurostar</c:v>
                  </c:pt>
                  <c:pt idx="4">
                    <c:v>Eurostar</c:v>
                  </c:pt>
                  <c:pt idx="5">
                    <c:v>NS</c:v>
                  </c:pt>
                  <c:pt idx="6">
                    <c:v>NS</c:v>
                  </c:pt>
                  <c:pt idx="7">
                    <c:v>OEBB</c:v>
                  </c:pt>
                  <c:pt idx="8">
                    <c:v>Ouigo - ART</c:v>
                  </c:pt>
                  <c:pt idx="9">
                    <c:v>Ouigo - ART</c:v>
                  </c:pt>
                  <c:pt idx="10">
                    <c:v>SBB</c:v>
                  </c:pt>
                  <c:pt idx="11">
                    <c:v>SNCB</c:v>
                  </c:pt>
                  <c:pt idx="12">
                    <c:v>SNCB</c:v>
                  </c:pt>
                  <c:pt idx="13">
                    <c:v>SNCF - ART</c:v>
                  </c:pt>
                  <c:pt idx="14">
                    <c:v>SNCF - ART</c:v>
                  </c:pt>
                  <c:pt idx="15">
                    <c:v>SNCF</c:v>
                  </c:pt>
                  <c:pt idx="16">
                    <c:v>SNCF - ART</c:v>
                  </c:pt>
                  <c:pt idx="17">
                    <c:v>SNCF - ART</c:v>
                  </c:pt>
                  <c:pt idx="18">
                    <c:v>SNCF</c:v>
                  </c:pt>
                  <c:pt idx="19">
                    <c:v>Trenitalia</c:v>
                  </c:pt>
                  <c:pt idx="20">
                    <c:v>Trenitalia France</c:v>
                  </c:pt>
                  <c:pt idx="21">
                    <c:v>Trenitalia France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0-1B5C-41F5-B37D-045CF888BEE3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1705075776"/>
        <c:axId val="1705078272"/>
      </c:scatterChart>
      <c:valAx>
        <c:axId val="1705075776"/>
        <c:scaling>
          <c:orientation val="minMax"/>
          <c:max val="1"/>
          <c:min val="0.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Official data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B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BE"/>
          </a:p>
        </c:txPr>
        <c:crossAx val="1705078272"/>
        <c:crosses val="autoZero"/>
        <c:crossBetween val="midCat"/>
      </c:valAx>
      <c:valAx>
        <c:axId val="1705078272"/>
        <c:scaling>
          <c:orientation val="minMax"/>
          <c:max val="1"/>
          <c:min val="0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Chuuchuu calculation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B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BE"/>
          </a:p>
        </c:txPr>
        <c:crossAx val="17050757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BE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142875</xdr:colOff>
      <xdr:row>68</xdr:row>
      <xdr:rowOff>33335</xdr:rowOff>
    </xdr:from>
    <xdr:to>
      <xdr:col>9</xdr:col>
      <xdr:colOff>581025</xdr:colOff>
      <xdr:row>106</xdr:row>
      <xdr:rowOff>85724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889AFD9B-519E-4C59-89A7-326A92E5CF2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E" refreshedDate="46300.549268981478" createdVersion="7" refreshedVersion="7" minRefreshableVersion="3" recordCount="2362" xr:uid="{B0D7E6ED-D2C2-4B0B-81AA-74C36FCC840A}">
  <cacheSource type="worksheet">
    <worksheetSource ref="A1:U2363" sheet="Summary"/>
  </cacheSource>
  <cacheFields count="21">
    <cacheField name="Year" numFmtId="0">
      <sharedItems containsSemiMixedTypes="0" containsString="0" containsNumber="1" containsInteger="1" minValue="2025" maxValue="2025"/>
    </cacheField>
    <cacheField name="Month" numFmtId="0">
      <sharedItems containsSemiMixedTypes="0" containsString="0" containsNumber="1" containsInteger="1" minValue="1" maxValue="12"/>
    </cacheField>
    <cacheField name="operator" numFmtId="0">
      <sharedItems count="27">
        <s v="CFL"/>
        <s v="CFR"/>
        <s v="Ceske Drahy"/>
        <s v="DB"/>
        <s v="DSB"/>
        <s v="European Sleeper"/>
        <s v="Eurostar"/>
        <s v="Flixtrain"/>
        <s v="HZ"/>
        <s v="MAV"/>
        <s v="NS"/>
        <s v="OEBB"/>
        <s v="Other CH operators"/>
        <s v="Ouigo"/>
        <s v="PKP"/>
        <s v="Panorama Express"/>
        <s v="SBB"/>
        <s v="SJ"/>
        <s v="SNCB"/>
        <s v="SNCF"/>
        <s v="SZ"/>
        <s v="Trenitalia"/>
        <s v="Trenitalia France"/>
        <s v="UNKNOWN_OPERATOR"/>
        <s v="UZ"/>
        <s v="Westbahn"/>
        <s v="ZSSK"/>
      </sharedItems>
    </cacheField>
    <cacheField name="Punctuality scope" numFmtId="0">
      <sharedItems/>
    </cacheField>
    <cacheField name="Route type" numFmtId="0">
      <sharedItems containsBlank="1" count="69">
        <s v="IC"/>
        <s v="TGV INOUI"/>
        <s v="D"/>
        <s v="EC"/>
        <s v="EN"/>
        <s v="NJ"/>
        <s v="RJ"/>
        <s v="ECE"/>
        <s v="ICE"/>
        <s v="IR"/>
        <s v="RJX"/>
        <s v="TGV"/>
        <s v="ES"/>
        <s v="EST"/>
        <s v="FLX"/>
        <s v="EUROCITY"/>
        <s v="EUROCITY DIRECT"/>
        <s v="ICD"/>
        <s v="NT"/>
        <s v="S"/>
        <s v="SPR"/>
        <s v="ST"/>
        <s v="OTC"/>
        <s v="OUIGO"/>
        <s v="PE"/>
        <s v="LYRIA"/>
        <s v="L"/>
        <s v="P"/>
        <s v="EXP"/>
        <s v="INTERCITES"/>
        <s v="INTERCITES DE NUIT"/>
        <s v="FA"/>
        <s v="FB"/>
        <s v="FR"/>
        <s v="ICN"/>
        <s v="MET"/>
        <s v="NCL"/>
        <s v="REG"/>
        <s v="AS"/>
        <s v="BUS"/>
        <s v="CAT"/>
        <s v="DZ"/>
        <s v="EX"/>
        <s v="GEP"/>
        <s v="NZ"/>
        <s v="UEX"/>
        <m/>
        <s v="WB"/>
        <s v="DIR"/>
        <s v="MSM"/>
        <s v="INT"/>
        <s v="DBK"/>
        <s v="OUIGO TRAIN CLASSIC"/>
        <s v="NEX"/>
        <s v="ARZ"/>
        <s v="CAR"/>
        <s v="TER"/>
        <s v="SJ"/>
        <s v="OUI"/>
        <s v="OGO"/>
        <s v="LYR"/>
        <s v="CTE"/>
        <s v="NAV"/>
        <s v="TT"/>
        <s v="TRAIN TER"/>
        <s v="CAR TER"/>
        <s v="NAVETTE"/>
        <s v="TRAMTRAIN"/>
        <s v="BTE"/>
      </sharedItems>
    </cacheField>
    <cacheField name="Journey type" numFmtId="0">
      <sharedItems count="3">
        <s v="international"/>
        <s v="domestic"/>
        <s v="unknown"/>
      </sharedItems>
    </cacheField>
    <cacheField name="HSR service" numFmtId="0">
      <sharedItems/>
    </cacheField>
    <cacheField name="Long distance" numFmtId="0">
      <sharedItems count="2">
        <s v="Yes"/>
        <s v="No"/>
      </sharedItems>
    </cacheField>
    <cacheField name="Night train" numFmtId="0">
      <sharedItems/>
    </cacheField>
    <cacheField name="N total train" numFmtId="0">
      <sharedItems containsSemiMixedTypes="0" containsString="0" containsNumber="1" containsInteger="1" minValue="1" maxValue="236502"/>
    </cacheField>
    <cacheField name="N cancelled train (full cancellation)" numFmtId="0">
      <sharedItems containsSemiMixedTypes="0" containsString="0" containsNumber="1" containsInteger="1" minValue="0" maxValue="4814"/>
    </cacheField>
    <cacheField name="N cancelled train (partial cancellation)" numFmtId="0">
      <sharedItems containsSemiMixedTypes="0" containsString="0" containsNumber="1" containsInteger="1" minValue="0" maxValue="11523"/>
    </cacheField>
    <cacheField name="N cancelled train (full + partial)" numFmtId="0">
      <sharedItems containsSemiMixedTypes="0" containsString="0" containsNumber="1" containsInteger="1" minValue="0" maxValue="11644"/>
    </cacheField>
    <cacheField name="N train delay (&gt; 3 min)" numFmtId="0">
      <sharedItems containsSemiMixedTypes="0" containsString="0" containsNumber="1" containsInteger="1" minValue="0" maxValue="51802"/>
    </cacheField>
    <cacheField name="N train delay (&gt; 5 min)" numFmtId="0">
      <sharedItems containsSemiMixedTypes="0" containsString="0" containsNumber="1" containsInteger="1" minValue="0" maxValue="29773"/>
    </cacheField>
    <cacheField name="N train delay (&gt; 6 min)" numFmtId="0">
      <sharedItems containsSemiMixedTypes="0" containsString="0" containsNumber="1" containsInteger="1" minValue="0" maxValue="23444"/>
    </cacheField>
    <cacheField name="N train delay (&gt; 10 min)" numFmtId="0">
      <sharedItems containsSemiMixedTypes="0" containsString="0" containsNumber="1" containsInteger="1" minValue="0" maxValue="11714"/>
    </cacheField>
    <cacheField name="N train delay (&gt; 15 min)" numFmtId="0">
      <sharedItems containsSemiMixedTypes="0" containsString="0" containsNumber="1" containsInteger="1" minValue="0" maxValue="7067"/>
    </cacheField>
    <cacheField name="N train delay (&gt; 30 min)" numFmtId="0">
      <sharedItems containsSemiMixedTypes="0" containsString="0" containsNumber="1" containsInteger="1" minValue="0" maxValue="3460"/>
    </cacheField>
    <cacheField name="N train delay (&gt; 60 min)" numFmtId="0">
      <sharedItems containsSemiMixedTypes="0" containsString="0" containsNumber="1" containsInteger="1" minValue="0" maxValue="1212"/>
    </cacheField>
    <cacheField name="N train arriving at terminus" numFmtId="0">
      <sharedItems containsSemiMixedTypes="0" containsString="0" containsNumber="1" containsInteger="1" minValue="0" maxValue="22963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362">
  <r>
    <n v="2025"/>
    <n v="1"/>
    <x v="0"/>
    <s v="national network"/>
    <x v="0"/>
    <x v="0"/>
    <s v="No"/>
    <x v="0"/>
    <s v="No"/>
    <n v="1182"/>
    <n v="10"/>
    <n v="0"/>
    <n v="10"/>
    <n v="198"/>
    <n v="105"/>
    <n v="84"/>
    <n v="54"/>
    <n v="36"/>
    <n v="10"/>
    <n v="0"/>
    <n v="1172"/>
  </r>
  <r>
    <n v="2025"/>
    <n v="1"/>
    <x v="0"/>
    <s v="national network"/>
    <x v="1"/>
    <x v="1"/>
    <s v="Yes"/>
    <x v="0"/>
    <s v="No"/>
    <n v="1"/>
    <n v="0"/>
    <n v="1"/>
    <n v="1"/>
    <n v="0"/>
    <n v="0"/>
    <n v="0"/>
    <n v="0"/>
    <n v="0"/>
    <n v="0"/>
    <n v="0"/>
    <n v="1"/>
  </r>
  <r>
    <n v="2025"/>
    <n v="1"/>
    <x v="0"/>
    <s v="national network"/>
    <x v="1"/>
    <x v="0"/>
    <s v="Yes"/>
    <x v="0"/>
    <s v="No"/>
    <n v="64"/>
    <n v="2"/>
    <n v="0"/>
    <n v="2"/>
    <n v="35"/>
    <n v="14"/>
    <n v="14"/>
    <n v="12"/>
    <n v="6"/>
    <n v="1"/>
    <n v="0"/>
    <n v="62"/>
  </r>
  <r>
    <n v="2025"/>
    <n v="1"/>
    <x v="0"/>
    <s v="national network"/>
    <x v="1"/>
    <x v="2"/>
    <s v="Yes"/>
    <x v="0"/>
    <s v="No"/>
    <n v="3"/>
    <n v="0"/>
    <n v="0"/>
    <n v="0"/>
    <n v="0"/>
    <n v="0"/>
    <n v="0"/>
    <n v="0"/>
    <n v="0"/>
    <n v="0"/>
    <n v="0"/>
    <n v="0"/>
  </r>
  <r>
    <n v="2025"/>
    <n v="1"/>
    <x v="1"/>
    <s v="national network"/>
    <x v="2"/>
    <x v="0"/>
    <s v="No"/>
    <x v="1"/>
    <s v="No"/>
    <n v="26"/>
    <n v="0"/>
    <n v="0"/>
    <n v="0"/>
    <n v="1"/>
    <n v="1"/>
    <n v="1"/>
    <n v="0"/>
    <n v="0"/>
    <n v="0"/>
    <n v="0"/>
    <n v="26"/>
  </r>
  <r>
    <n v="2025"/>
    <n v="1"/>
    <x v="1"/>
    <s v="national network"/>
    <x v="3"/>
    <x v="0"/>
    <s v="No"/>
    <x v="1"/>
    <s v="No"/>
    <n v="22"/>
    <n v="0"/>
    <n v="0"/>
    <n v="0"/>
    <n v="0"/>
    <n v="0"/>
    <n v="0"/>
    <n v="0"/>
    <n v="0"/>
    <n v="0"/>
    <n v="0"/>
    <n v="7"/>
  </r>
  <r>
    <n v="2025"/>
    <n v="1"/>
    <x v="1"/>
    <s v="national network"/>
    <x v="3"/>
    <x v="0"/>
    <s v="No"/>
    <x v="0"/>
    <s v="No"/>
    <n v="7"/>
    <n v="0"/>
    <n v="0"/>
    <n v="0"/>
    <n v="0"/>
    <n v="0"/>
    <n v="0"/>
    <n v="0"/>
    <n v="0"/>
    <n v="0"/>
    <n v="0"/>
    <n v="7"/>
  </r>
  <r>
    <n v="2025"/>
    <n v="1"/>
    <x v="2"/>
    <s v="national network"/>
    <x v="3"/>
    <x v="1"/>
    <s v="No"/>
    <x v="1"/>
    <s v="No"/>
    <n v="3"/>
    <n v="0"/>
    <n v="0"/>
    <n v="0"/>
    <n v="0"/>
    <n v="0"/>
    <n v="0"/>
    <n v="0"/>
    <n v="0"/>
    <n v="0"/>
    <n v="0"/>
    <n v="3"/>
  </r>
  <r>
    <n v="2025"/>
    <n v="1"/>
    <x v="2"/>
    <s v="national network"/>
    <x v="3"/>
    <x v="0"/>
    <s v="No"/>
    <x v="1"/>
    <s v="No"/>
    <n v="810"/>
    <n v="0"/>
    <n v="0"/>
    <n v="0"/>
    <n v="108"/>
    <n v="88"/>
    <n v="87"/>
    <n v="58"/>
    <n v="37"/>
    <n v="12"/>
    <n v="4"/>
    <n v="781"/>
  </r>
  <r>
    <n v="2025"/>
    <n v="1"/>
    <x v="2"/>
    <s v="national network"/>
    <x v="3"/>
    <x v="2"/>
    <s v="No"/>
    <x v="1"/>
    <s v="No"/>
    <n v="3"/>
    <n v="0"/>
    <n v="0"/>
    <n v="0"/>
    <n v="0"/>
    <n v="0"/>
    <n v="0"/>
    <n v="0"/>
    <n v="0"/>
    <n v="0"/>
    <n v="0"/>
    <n v="0"/>
  </r>
  <r>
    <n v="2025"/>
    <n v="1"/>
    <x v="2"/>
    <s v="national network"/>
    <x v="4"/>
    <x v="1"/>
    <s v="No"/>
    <x v="0"/>
    <s v="Yes"/>
    <n v="5"/>
    <n v="0"/>
    <n v="0"/>
    <n v="0"/>
    <n v="1"/>
    <n v="1"/>
    <n v="1"/>
    <n v="1"/>
    <n v="1"/>
    <n v="1"/>
    <n v="0"/>
    <n v="5"/>
  </r>
  <r>
    <n v="2025"/>
    <n v="1"/>
    <x v="2"/>
    <s v="national network"/>
    <x v="4"/>
    <x v="0"/>
    <s v="No"/>
    <x v="0"/>
    <s v="Yes"/>
    <n v="201"/>
    <n v="0"/>
    <n v="1"/>
    <n v="1"/>
    <n v="40"/>
    <n v="36"/>
    <n v="34"/>
    <n v="23"/>
    <n v="14"/>
    <n v="10"/>
    <n v="4"/>
    <n v="163"/>
  </r>
  <r>
    <n v="2025"/>
    <n v="1"/>
    <x v="2"/>
    <s v="national network"/>
    <x v="0"/>
    <x v="0"/>
    <s v="No"/>
    <x v="1"/>
    <s v="No"/>
    <n v="206"/>
    <n v="0"/>
    <n v="0"/>
    <n v="0"/>
    <n v="5"/>
    <n v="5"/>
    <n v="5"/>
    <n v="5"/>
    <n v="5"/>
    <n v="5"/>
    <n v="0"/>
    <n v="198"/>
  </r>
  <r>
    <n v="2025"/>
    <n v="1"/>
    <x v="2"/>
    <s v="national network"/>
    <x v="0"/>
    <x v="0"/>
    <s v="No"/>
    <x v="0"/>
    <s v="No"/>
    <n v="34"/>
    <n v="0"/>
    <n v="0"/>
    <n v="0"/>
    <n v="3"/>
    <n v="3"/>
    <n v="3"/>
    <n v="2"/>
    <n v="2"/>
    <n v="2"/>
    <n v="0"/>
    <n v="34"/>
  </r>
  <r>
    <n v="2025"/>
    <n v="1"/>
    <x v="2"/>
    <s v="national network"/>
    <x v="5"/>
    <x v="0"/>
    <s v="No"/>
    <x v="0"/>
    <s v="Yes"/>
    <n v="59"/>
    <n v="0"/>
    <n v="1"/>
    <n v="1"/>
    <n v="20"/>
    <n v="17"/>
    <n v="15"/>
    <n v="11"/>
    <n v="6"/>
    <n v="3"/>
    <n v="3"/>
    <n v="57"/>
  </r>
  <r>
    <n v="2025"/>
    <n v="1"/>
    <x v="2"/>
    <s v="national network"/>
    <x v="6"/>
    <x v="1"/>
    <s v="No"/>
    <x v="0"/>
    <s v="No"/>
    <n v="6"/>
    <n v="0"/>
    <n v="0"/>
    <n v="0"/>
    <n v="0"/>
    <n v="0"/>
    <n v="0"/>
    <n v="0"/>
    <n v="0"/>
    <n v="0"/>
    <n v="0"/>
    <n v="0"/>
  </r>
  <r>
    <n v="2025"/>
    <n v="1"/>
    <x v="2"/>
    <s v="national network"/>
    <x v="6"/>
    <x v="0"/>
    <s v="No"/>
    <x v="0"/>
    <s v="No"/>
    <n v="470"/>
    <n v="1"/>
    <n v="0"/>
    <n v="1"/>
    <n v="53"/>
    <n v="45"/>
    <n v="43"/>
    <n v="30"/>
    <n v="17"/>
    <n v="7"/>
    <n v="0"/>
    <n v="469"/>
  </r>
  <r>
    <n v="2025"/>
    <n v="1"/>
    <x v="3"/>
    <s v="national network"/>
    <x v="3"/>
    <x v="1"/>
    <s v="No"/>
    <x v="0"/>
    <s v="No"/>
    <n v="5"/>
    <n v="0"/>
    <n v="1"/>
    <n v="1"/>
    <n v="1"/>
    <n v="1"/>
    <n v="1"/>
    <n v="0"/>
    <n v="0"/>
    <n v="0"/>
    <n v="0"/>
    <n v="5"/>
  </r>
  <r>
    <n v="2025"/>
    <n v="1"/>
    <x v="3"/>
    <s v="national network"/>
    <x v="3"/>
    <x v="0"/>
    <s v="No"/>
    <x v="0"/>
    <s v="No"/>
    <n v="1737"/>
    <n v="13"/>
    <n v="61"/>
    <n v="74"/>
    <n v="949"/>
    <n v="807"/>
    <n v="759"/>
    <n v="593"/>
    <n v="474"/>
    <n v="215"/>
    <n v="62"/>
    <n v="1701"/>
  </r>
  <r>
    <n v="2025"/>
    <n v="1"/>
    <x v="3"/>
    <s v="national network"/>
    <x v="3"/>
    <x v="2"/>
    <s v="No"/>
    <x v="0"/>
    <s v="No"/>
    <n v="1"/>
    <n v="0"/>
    <n v="0"/>
    <n v="0"/>
    <n v="0"/>
    <n v="0"/>
    <n v="0"/>
    <n v="0"/>
    <n v="0"/>
    <n v="0"/>
    <n v="0"/>
    <n v="0"/>
  </r>
  <r>
    <n v="2025"/>
    <n v="1"/>
    <x v="3"/>
    <s v="national network"/>
    <x v="7"/>
    <x v="1"/>
    <s v="No"/>
    <x v="0"/>
    <s v="No"/>
    <n v="1"/>
    <n v="0"/>
    <n v="0"/>
    <n v="0"/>
    <n v="1"/>
    <n v="0"/>
    <n v="0"/>
    <n v="0"/>
    <n v="0"/>
    <n v="0"/>
    <n v="0"/>
    <n v="1"/>
  </r>
  <r>
    <n v="2025"/>
    <n v="1"/>
    <x v="3"/>
    <s v="national network"/>
    <x v="7"/>
    <x v="0"/>
    <s v="No"/>
    <x v="1"/>
    <s v="No"/>
    <n v="32"/>
    <n v="0"/>
    <n v="0"/>
    <n v="0"/>
    <n v="17"/>
    <n v="13"/>
    <n v="8"/>
    <n v="3"/>
    <n v="3"/>
    <n v="2"/>
    <n v="1"/>
    <n v="32"/>
  </r>
  <r>
    <n v="2025"/>
    <n v="1"/>
    <x v="3"/>
    <s v="national network"/>
    <x v="7"/>
    <x v="0"/>
    <s v="No"/>
    <x v="0"/>
    <s v="No"/>
    <n v="156"/>
    <n v="2"/>
    <n v="0"/>
    <n v="2"/>
    <n v="93"/>
    <n v="79"/>
    <n v="70"/>
    <n v="42"/>
    <n v="27"/>
    <n v="16"/>
    <n v="5"/>
    <n v="154"/>
  </r>
  <r>
    <n v="2025"/>
    <n v="1"/>
    <x v="3"/>
    <s v="national network"/>
    <x v="4"/>
    <x v="1"/>
    <s v="No"/>
    <x v="0"/>
    <s v="Yes"/>
    <n v="10"/>
    <n v="1"/>
    <n v="0"/>
    <n v="1"/>
    <n v="4"/>
    <n v="4"/>
    <n v="4"/>
    <n v="4"/>
    <n v="3"/>
    <n v="0"/>
    <n v="0"/>
    <n v="9"/>
  </r>
  <r>
    <n v="2025"/>
    <n v="1"/>
    <x v="3"/>
    <s v="national network"/>
    <x v="4"/>
    <x v="0"/>
    <s v="No"/>
    <x v="0"/>
    <s v="Yes"/>
    <n v="299"/>
    <n v="4"/>
    <n v="6"/>
    <n v="10"/>
    <n v="105"/>
    <n v="83"/>
    <n v="72"/>
    <n v="55"/>
    <n v="45"/>
    <n v="28"/>
    <n v="16"/>
    <n v="289"/>
  </r>
  <r>
    <n v="2025"/>
    <n v="1"/>
    <x v="3"/>
    <s v="national network"/>
    <x v="0"/>
    <x v="1"/>
    <s v="No"/>
    <x v="0"/>
    <s v="No"/>
    <n v="4237"/>
    <n v="83"/>
    <n v="256"/>
    <n v="339"/>
    <n v="1909"/>
    <n v="1542"/>
    <n v="1392"/>
    <n v="1005"/>
    <n v="722"/>
    <n v="321"/>
    <n v="93"/>
    <n v="4076"/>
  </r>
  <r>
    <n v="2025"/>
    <n v="1"/>
    <x v="3"/>
    <s v="national network"/>
    <x v="0"/>
    <x v="0"/>
    <s v="No"/>
    <x v="0"/>
    <s v="No"/>
    <n v="1685"/>
    <n v="28"/>
    <n v="73"/>
    <n v="101"/>
    <n v="657"/>
    <n v="517"/>
    <n v="470"/>
    <n v="366"/>
    <n v="269"/>
    <n v="115"/>
    <n v="34"/>
    <n v="1634"/>
  </r>
  <r>
    <n v="2025"/>
    <n v="1"/>
    <x v="3"/>
    <s v="national network"/>
    <x v="8"/>
    <x v="1"/>
    <s v="Yes"/>
    <x v="0"/>
    <s v="No"/>
    <n v="13830"/>
    <n v="301"/>
    <n v="799"/>
    <n v="1100"/>
    <n v="6989"/>
    <n v="5978"/>
    <n v="5567"/>
    <n v="4333"/>
    <n v="3297"/>
    <n v="1662"/>
    <n v="429"/>
    <n v="13210"/>
  </r>
  <r>
    <n v="2025"/>
    <n v="1"/>
    <x v="3"/>
    <s v="national network"/>
    <x v="8"/>
    <x v="0"/>
    <s v="Yes"/>
    <x v="0"/>
    <s v="No"/>
    <n v="3421"/>
    <n v="36"/>
    <n v="167"/>
    <n v="203"/>
    <n v="1959"/>
    <n v="1609"/>
    <n v="1494"/>
    <n v="1166"/>
    <n v="911"/>
    <n v="474"/>
    <n v="123"/>
    <n v="3326"/>
  </r>
  <r>
    <n v="2025"/>
    <n v="1"/>
    <x v="3"/>
    <s v="national network"/>
    <x v="8"/>
    <x v="2"/>
    <s v="Yes"/>
    <x v="0"/>
    <s v="No"/>
    <n v="16"/>
    <n v="0"/>
    <n v="0"/>
    <n v="0"/>
    <n v="0"/>
    <n v="0"/>
    <n v="0"/>
    <n v="0"/>
    <n v="0"/>
    <n v="0"/>
    <n v="0"/>
    <n v="0"/>
  </r>
  <r>
    <n v="2025"/>
    <n v="1"/>
    <x v="3"/>
    <s v="national network"/>
    <x v="9"/>
    <x v="0"/>
    <s v="No"/>
    <x v="0"/>
    <s v="No"/>
    <n v="373"/>
    <n v="4"/>
    <n v="0"/>
    <n v="4"/>
    <n v="23"/>
    <n v="9"/>
    <n v="9"/>
    <n v="4"/>
    <n v="0"/>
    <n v="0"/>
    <n v="0"/>
    <n v="369"/>
  </r>
  <r>
    <n v="2025"/>
    <n v="1"/>
    <x v="3"/>
    <s v="national network"/>
    <x v="5"/>
    <x v="1"/>
    <s v="No"/>
    <x v="0"/>
    <s v="Yes"/>
    <n v="18"/>
    <n v="0"/>
    <n v="1"/>
    <n v="1"/>
    <n v="2"/>
    <n v="2"/>
    <n v="2"/>
    <n v="2"/>
    <n v="2"/>
    <n v="2"/>
    <n v="0"/>
    <n v="17"/>
  </r>
  <r>
    <n v="2025"/>
    <n v="1"/>
    <x v="3"/>
    <s v="national network"/>
    <x v="5"/>
    <x v="0"/>
    <s v="No"/>
    <x v="0"/>
    <s v="Yes"/>
    <n v="577"/>
    <n v="10"/>
    <n v="32"/>
    <n v="42"/>
    <n v="254"/>
    <n v="223"/>
    <n v="214"/>
    <n v="185"/>
    <n v="158"/>
    <n v="114"/>
    <n v="53"/>
    <n v="564"/>
  </r>
  <r>
    <n v="2025"/>
    <n v="1"/>
    <x v="3"/>
    <s v="national network"/>
    <x v="6"/>
    <x v="0"/>
    <s v="No"/>
    <x v="0"/>
    <s v="No"/>
    <n v="602"/>
    <n v="7"/>
    <n v="19"/>
    <n v="26"/>
    <n v="234"/>
    <n v="181"/>
    <n v="163"/>
    <n v="118"/>
    <n v="94"/>
    <n v="40"/>
    <n v="11"/>
    <n v="585"/>
  </r>
  <r>
    <n v="2025"/>
    <n v="1"/>
    <x v="3"/>
    <s v="national network"/>
    <x v="10"/>
    <x v="0"/>
    <s v="Yes"/>
    <x v="0"/>
    <s v="No"/>
    <n v="364"/>
    <n v="8"/>
    <n v="8"/>
    <n v="16"/>
    <n v="204"/>
    <n v="170"/>
    <n v="148"/>
    <n v="105"/>
    <n v="80"/>
    <n v="34"/>
    <n v="6"/>
    <n v="352"/>
  </r>
  <r>
    <n v="2025"/>
    <n v="1"/>
    <x v="3"/>
    <s v="national network"/>
    <x v="11"/>
    <x v="0"/>
    <s v="Yes"/>
    <x v="0"/>
    <s v="No"/>
    <n v="258"/>
    <n v="0"/>
    <n v="0"/>
    <n v="0"/>
    <n v="132"/>
    <n v="96"/>
    <n v="84"/>
    <n v="52"/>
    <n v="27"/>
    <n v="12"/>
    <n v="3"/>
    <n v="258"/>
  </r>
  <r>
    <n v="2025"/>
    <n v="1"/>
    <x v="3"/>
    <s v="national network"/>
    <x v="1"/>
    <x v="0"/>
    <s v="Yes"/>
    <x v="0"/>
    <s v="No"/>
    <n v="9"/>
    <n v="0"/>
    <n v="0"/>
    <n v="0"/>
    <n v="3"/>
    <n v="2"/>
    <n v="2"/>
    <n v="0"/>
    <n v="0"/>
    <n v="0"/>
    <n v="0"/>
    <n v="9"/>
  </r>
  <r>
    <n v="2025"/>
    <n v="1"/>
    <x v="4"/>
    <s v="national network"/>
    <x v="3"/>
    <x v="1"/>
    <s v="No"/>
    <x v="1"/>
    <s v="No"/>
    <n v="1"/>
    <n v="0"/>
    <n v="0"/>
    <n v="0"/>
    <n v="0"/>
    <n v="0"/>
    <n v="0"/>
    <n v="0"/>
    <n v="0"/>
    <n v="0"/>
    <n v="0"/>
    <n v="1"/>
  </r>
  <r>
    <n v="2025"/>
    <n v="1"/>
    <x v="4"/>
    <s v="national network"/>
    <x v="3"/>
    <x v="0"/>
    <s v="No"/>
    <x v="1"/>
    <s v="No"/>
    <n v="247"/>
    <n v="2"/>
    <n v="1"/>
    <n v="3"/>
    <n v="94"/>
    <n v="82"/>
    <n v="78"/>
    <n v="58"/>
    <n v="44"/>
    <n v="15"/>
    <n v="4"/>
    <n v="244"/>
  </r>
  <r>
    <n v="2025"/>
    <n v="1"/>
    <x v="4"/>
    <s v="national network"/>
    <x v="4"/>
    <x v="0"/>
    <s v="No"/>
    <x v="0"/>
    <s v="Yes"/>
    <n v="46"/>
    <n v="1"/>
    <n v="0"/>
    <n v="1"/>
    <n v="15"/>
    <n v="14"/>
    <n v="14"/>
    <n v="14"/>
    <n v="13"/>
    <n v="11"/>
    <n v="5"/>
    <n v="45"/>
  </r>
  <r>
    <n v="2025"/>
    <n v="1"/>
    <x v="4"/>
    <s v="national network"/>
    <x v="0"/>
    <x v="0"/>
    <s v="No"/>
    <x v="0"/>
    <s v="No"/>
    <n v="302"/>
    <n v="1"/>
    <n v="0"/>
    <n v="1"/>
    <n v="35"/>
    <n v="20"/>
    <n v="18"/>
    <n v="7"/>
    <n v="6"/>
    <n v="0"/>
    <n v="0"/>
    <n v="301"/>
  </r>
  <r>
    <n v="2025"/>
    <n v="1"/>
    <x v="5"/>
    <s v="whole journey"/>
    <x v="12"/>
    <x v="1"/>
    <s v="No"/>
    <x v="0"/>
    <s v="Yes"/>
    <n v="1"/>
    <n v="0"/>
    <n v="0"/>
    <n v="0"/>
    <n v="0"/>
    <n v="0"/>
    <n v="0"/>
    <n v="0"/>
    <n v="0"/>
    <n v="0"/>
    <n v="0"/>
    <n v="1"/>
  </r>
  <r>
    <n v="2025"/>
    <n v="1"/>
    <x v="5"/>
    <s v="whole journey"/>
    <x v="12"/>
    <x v="0"/>
    <s v="No"/>
    <x v="0"/>
    <s v="Yes"/>
    <n v="20"/>
    <n v="0"/>
    <n v="0"/>
    <n v="0"/>
    <n v="7"/>
    <n v="6"/>
    <n v="6"/>
    <n v="5"/>
    <n v="4"/>
    <n v="2"/>
    <n v="0"/>
    <n v="20"/>
  </r>
  <r>
    <n v="2025"/>
    <n v="1"/>
    <x v="6"/>
    <s v="whole journey"/>
    <x v="13"/>
    <x v="1"/>
    <s v="Yes"/>
    <x v="0"/>
    <s v="No"/>
    <n v="1"/>
    <n v="0"/>
    <n v="1"/>
    <n v="1"/>
    <n v="0"/>
    <n v="0"/>
    <n v="0"/>
    <n v="0"/>
    <n v="0"/>
    <n v="0"/>
    <n v="0"/>
    <n v="0"/>
  </r>
  <r>
    <n v="2025"/>
    <n v="1"/>
    <x v="6"/>
    <s v="whole journey"/>
    <x v="13"/>
    <x v="0"/>
    <s v="Yes"/>
    <x v="0"/>
    <s v="No"/>
    <n v="2960"/>
    <n v="45"/>
    <n v="261"/>
    <n v="306"/>
    <n v="857"/>
    <n v="846"/>
    <n v="841"/>
    <n v="660"/>
    <n v="509"/>
    <n v="198"/>
    <n v="56"/>
    <n v="2884"/>
  </r>
  <r>
    <n v="2025"/>
    <n v="1"/>
    <x v="6"/>
    <s v="whole journey"/>
    <x v="13"/>
    <x v="2"/>
    <s v="Yes"/>
    <x v="0"/>
    <s v="No"/>
    <n v="1"/>
    <n v="0"/>
    <n v="0"/>
    <n v="0"/>
    <n v="0"/>
    <n v="0"/>
    <n v="0"/>
    <n v="0"/>
    <n v="0"/>
    <n v="0"/>
    <n v="0"/>
    <n v="0"/>
  </r>
  <r>
    <n v="2025"/>
    <n v="1"/>
    <x v="7"/>
    <s v="whole journey"/>
    <x v="14"/>
    <x v="1"/>
    <s v="No"/>
    <x v="0"/>
    <s v="No"/>
    <n v="361"/>
    <n v="10"/>
    <n v="21"/>
    <n v="31"/>
    <n v="194"/>
    <n v="168"/>
    <n v="159"/>
    <n v="126"/>
    <n v="93"/>
    <n v="53"/>
    <n v="19"/>
    <n v="349"/>
  </r>
  <r>
    <n v="2025"/>
    <n v="1"/>
    <x v="7"/>
    <s v="whole journey"/>
    <x v="14"/>
    <x v="0"/>
    <s v="No"/>
    <x v="0"/>
    <s v="No"/>
    <n v="23"/>
    <n v="0"/>
    <n v="1"/>
    <n v="1"/>
    <n v="8"/>
    <n v="8"/>
    <n v="8"/>
    <n v="5"/>
    <n v="3"/>
    <n v="1"/>
    <n v="1"/>
    <n v="23"/>
  </r>
  <r>
    <n v="2025"/>
    <n v="1"/>
    <x v="7"/>
    <s v="whole journey"/>
    <x v="14"/>
    <x v="2"/>
    <s v="No"/>
    <x v="0"/>
    <s v="No"/>
    <n v="2"/>
    <n v="0"/>
    <n v="0"/>
    <n v="0"/>
    <n v="0"/>
    <n v="0"/>
    <n v="0"/>
    <n v="0"/>
    <n v="0"/>
    <n v="0"/>
    <n v="0"/>
    <n v="0"/>
  </r>
  <r>
    <n v="2025"/>
    <n v="1"/>
    <x v="8"/>
    <s v="national network"/>
    <x v="2"/>
    <x v="0"/>
    <s v="No"/>
    <x v="1"/>
    <s v="No"/>
    <n v="81"/>
    <n v="0"/>
    <n v="0"/>
    <n v="0"/>
    <n v="1"/>
    <n v="1"/>
    <n v="1"/>
    <n v="1"/>
    <n v="1"/>
    <n v="1"/>
    <n v="1"/>
    <n v="81"/>
  </r>
  <r>
    <n v="2025"/>
    <n v="1"/>
    <x v="8"/>
    <s v="national network"/>
    <x v="3"/>
    <x v="0"/>
    <s v="No"/>
    <x v="1"/>
    <s v="No"/>
    <n v="56"/>
    <n v="0"/>
    <n v="0"/>
    <n v="0"/>
    <n v="0"/>
    <n v="0"/>
    <n v="0"/>
    <n v="0"/>
    <n v="0"/>
    <n v="0"/>
    <n v="0"/>
    <n v="35"/>
  </r>
  <r>
    <n v="2025"/>
    <n v="1"/>
    <x v="8"/>
    <s v="national network"/>
    <x v="4"/>
    <x v="1"/>
    <s v="No"/>
    <x v="0"/>
    <s v="Yes"/>
    <n v="9"/>
    <n v="0"/>
    <n v="0"/>
    <n v="0"/>
    <n v="0"/>
    <n v="0"/>
    <n v="0"/>
    <n v="0"/>
    <n v="0"/>
    <n v="0"/>
    <n v="0"/>
    <n v="1"/>
  </r>
  <r>
    <n v="2025"/>
    <n v="1"/>
    <x v="8"/>
    <s v="national network"/>
    <x v="4"/>
    <x v="0"/>
    <s v="No"/>
    <x v="0"/>
    <s v="Yes"/>
    <n v="83"/>
    <n v="1"/>
    <n v="1"/>
    <n v="2"/>
    <n v="5"/>
    <n v="3"/>
    <n v="3"/>
    <n v="3"/>
    <n v="2"/>
    <n v="2"/>
    <n v="1"/>
    <n v="68"/>
  </r>
  <r>
    <n v="2025"/>
    <n v="1"/>
    <x v="9"/>
    <s v="national network"/>
    <x v="2"/>
    <x v="0"/>
    <s v="No"/>
    <x v="1"/>
    <s v="No"/>
    <n v="45"/>
    <n v="0"/>
    <n v="0"/>
    <n v="0"/>
    <n v="2"/>
    <n v="2"/>
    <n v="2"/>
    <n v="1"/>
    <n v="1"/>
    <n v="1"/>
    <n v="0"/>
    <n v="45"/>
  </r>
  <r>
    <n v="2025"/>
    <n v="1"/>
    <x v="9"/>
    <s v="national network"/>
    <x v="3"/>
    <x v="0"/>
    <s v="No"/>
    <x v="0"/>
    <s v="No"/>
    <n v="443"/>
    <n v="0"/>
    <n v="0"/>
    <n v="0"/>
    <n v="60"/>
    <n v="53"/>
    <n v="49"/>
    <n v="36"/>
    <n v="25"/>
    <n v="11"/>
    <n v="1"/>
    <n v="401"/>
  </r>
  <r>
    <n v="2025"/>
    <n v="1"/>
    <x v="9"/>
    <s v="national network"/>
    <x v="4"/>
    <x v="1"/>
    <s v="No"/>
    <x v="0"/>
    <s v="Yes"/>
    <n v="2"/>
    <n v="0"/>
    <n v="0"/>
    <n v="0"/>
    <n v="0"/>
    <n v="0"/>
    <n v="0"/>
    <n v="0"/>
    <n v="0"/>
    <n v="0"/>
    <n v="0"/>
    <n v="2"/>
  </r>
  <r>
    <n v="2025"/>
    <n v="1"/>
    <x v="9"/>
    <s v="national network"/>
    <x v="4"/>
    <x v="0"/>
    <s v="No"/>
    <x v="0"/>
    <s v="Yes"/>
    <n v="195"/>
    <n v="0"/>
    <n v="0"/>
    <n v="0"/>
    <n v="4"/>
    <n v="4"/>
    <n v="4"/>
    <n v="4"/>
    <n v="3"/>
    <n v="3"/>
    <n v="2"/>
    <n v="166"/>
  </r>
  <r>
    <n v="2025"/>
    <n v="1"/>
    <x v="9"/>
    <s v="national network"/>
    <x v="0"/>
    <x v="0"/>
    <s v="No"/>
    <x v="0"/>
    <s v="No"/>
    <n v="159"/>
    <n v="0"/>
    <n v="0"/>
    <n v="0"/>
    <n v="1"/>
    <n v="0"/>
    <n v="0"/>
    <n v="0"/>
    <n v="0"/>
    <n v="0"/>
    <n v="0"/>
    <n v="148"/>
  </r>
  <r>
    <n v="2025"/>
    <n v="1"/>
    <x v="9"/>
    <s v="national network"/>
    <x v="5"/>
    <x v="0"/>
    <s v="No"/>
    <x v="0"/>
    <s v="Yes"/>
    <n v="6"/>
    <n v="0"/>
    <n v="0"/>
    <n v="0"/>
    <n v="0"/>
    <n v="0"/>
    <n v="0"/>
    <n v="0"/>
    <n v="0"/>
    <n v="0"/>
    <n v="0"/>
    <n v="0"/>
  </r>
  <r>
    <n v="2025"/>
    <n v="1"/>
    <x v="9"/>
    <s v="national network"/>
    <x v="10"/>
    <x v="0"/>
    <s v="Yes"/>
    <x v="0"/>
    <s v="No"/>
    <n v="469"/>
    <n v="1"/>
    <n v="0"/>
    <n v="1"/>
    <n v="13"/>
    <n v="10"/>
    <n v="10"/>
    <n v="5"/>
    <n v="4"/>
    <n v="3"/>
    <n v="1"/>
    <n v="451"/>
  </r>
  <r>
    <n v="2025"/>
    <n v="1"/>
    <x v="10"/>
    <s v="national network"/>
    <x v="15"/>
    <x v="0"/>
    <s v="No"/>
    <x v="0"/>
    <s v="No"/>
    <n v="375"/>
    <n v="2"/>
    <n v="3"/>
    <n v="5"/>
    <n v="72"/>
    <n v="41"/>
    <n v="34"/>
    <n v="19"/>
    <n v="9"/>
    <n v="2"/>
    <n v="0"/>
    <n v="373"/>
  </r>
  <r>
    <n v="2025"/>
    <n v="1"/>
    <x v="10"/>
    <s v="national network"/>
    <x v="16"/>
    <x v="0"/>
    <s v="No"/>
    <x v="0"/>
    <s v="No"/>
    <n v="332"/>
    <n v="2"/>
    <n v="2"/>
    <n v="4"/>
    <n v="42"/>
    <n v="26"/>
    <n v="24"/>
    <n v="16"/>
    <n v="11"/>
    <n v="4"/>
    <n v="0"/>
    <n v="330"/>
  </r>
  <r>
    <n v="2025"/>
    <n v="1"/>
    <x v="10"/>
    <s v="national network"/>
    <x v="0"/>
    <x v="1"/>
    <s v="No"/>
    <x v="0"/>
    <s v="No"/>
    <n v="36369"/>
    <n v="0"/>
    <n v="4032"/>
    <n v="4032"/>
    <n v="4646"/>
    <n v="2464"/>
    <n v="1951"/>
    <n v="953"/>
    <n v="416"/>
    <n v="42"/>
    <n v="4"/>
    <n v="33189"/>
  </r>
  <r>
    <n v="2025"/>
    <n v="1"/>
    <x v="10"/>
    <s v="national network"/>
    <x v="0"/>
    <x v="0"/>
    <s v="No"/>
    <x v="0"/>
    <s v="No"/>
    <n v="421"/>
    <n v="36"/>
    <n v="6"/>
    <n v="42"/>
    <n v="171"/>
    <n v="159"/>
    <n v="153"/>
    <n v="143"/>
    <n v="110"/>
    <n v="57"/>
    <n v="13"/>
    <n v="380"/>
  </r>
  <r>
    <n v="2025"/>
    <n v="1"/>
    <x v="10"/>
    <s v="national network"/>
    <x v="0"/>
    <x v="2"/>
    <s v="No"/>
    <x v="0"/>
    <s v="No"/>
    <n v="1"/>
    <n v="0"/>
    <n v="0"/>
    <n v="0"/>
    <n v="0"/>
    <n v="0"/>
    <n v="0"/>
    <n v="0"/>
    <n v="0"/>
    <n v="0"/>
    <n v="0"/>
    <n v="0"/>
  </r>
  <r>
    <n v="2025"/>
    <n v="1"/>
    <x v="10"/>
    <s v="national network"/>
    <x v="17"/>
    <x v="1"/>
    <s v="No"/>
    <x v="0"/>
    <s v="No"/>
    <n v="3640"/>
    <n v="0"/>
    <n v="931"/>
    <n v="931"/>
    <n v="508"/>
    <n v="328"/>
    <n v="276"/>
    <n v="169"/>
    <n v="74"/>
    <n v="9"/>
    <n v="1"/>
    <n v="2943"/>
  </r>
  <r>
    <n v="2025"/>
    <n v="1"/>
    <x v="10"/>
    <s v="national network"/>
    <x v="8"/>
    <x v="1"/>
    <s v="Yes"/>
    <x v="0"/>
    <s v="No"/>
    <n v="1"/>
    <n v="0"/>
    <n v="0"/>
    <n v="0"/>
    <n v="0"/>
    <n v="0"/>
    <n v="0"/>
    <n v="0"/>
    <n v="0"/>
    <n v="0"/>
    <n v="0"/>
    <n v="1"/>
  </r>
  <r>
    <n v="2025"/>
    <n v="1"/>
    <x v="10"/>
    <s v="national network"/>
    <x v="8"/>
    <x v="0"/>
    <s v="Yes"/>
    <x v="0"/>
    <s v="No"/>
    <n v="447"/>
    <n v="0"/>
    <n v="7"/>
    <n v="7"/>
    <n v="169"/>
    <n v="153"/>
    <n v="149"/>
    <n v="138"/>
    <n v="110"/>
    <n v="46"/>
    <n v="8"/>
    <n v="444"/>
  </r>
  <r>
    <n v="2025"/>
    <n v="1"/>
    <x v="10"/>
    <s v="national network"/>
    <x v="5"/>
    <x v="1"/>
    <s v="No"/>
    <x v="0"/>
    <s v="Yes"/>
    <n v="2"/>
    <n v="0"/>
    <n v="0"/>
    <n v="0"/>
    <n v="0"/>
    <n v="0"/>
    <n v="0"/>
    <n v="0"/>
    <n v="0"/>
    <n v="0"/>
    <n v="0"/>
    <n v="2"/>
  </r>
  <r>
    <n v="2025"/>
    <n v="1"/>
    <x v="10"/>
    <s v="national network"/>
    <x v="5"/>
    <x v="0"/>
    <s v="No"/>
    <x v="0"/>
    <s v="Yes"/>
    <n v="179"/>
    <n v="4"/>
    <n v="1"/>
    <n v="5"/>
    <n v="88"/>
    <n v="81"/>
    <n v="78"/>
    <n v="70"/>
    <n v="61"/>
    <n v="46"/>
    <n v="25"/>
    <n v="175"/>
  </r>
  <r>
    <n v="2025"/>
    <n v="1"/>
    <x v="10"/>
    <s v="national network"/>
    <x v="18"/>
    <x v="1"/>
    <s v="No"/>
    <x v="0"/>
    <s v="Yes"/>
    <n v="8"/>
    <n v="0"/>
    <n v="0"/>
    <n v="0"/>
    <n v="6"/>
    <n v="4"/>
    <n v="3"/>
    <n v="3"/>
    <n v="2"/>
    <n v="0"/>
    <n v="0"/>
    <n v="8"/>
  </r>
  <r>
    <n v="2025"/>
    <n v="1"/>
    <x v="10"/>
    <s v="national network"/>
    <x v="19"/>
    <x v="1"/>
    <s v="No"/>
    <x v="1"/>
    <s v="No"/>
    <n v="4191"/>
    <n v="0"/>
    <n v="50"/>
    <n v="50"/>
    <n v="338"/>
    <n v="173"/>
    <n v="131"/>
    <n v="57"/>
    <n v="27"/>
    <n v="1"/>
    <n v="0"/>
    <n v="4145"/>
  </r>
  <r>
    <n v="2025"/>
    <n v="1"/>
    <x v="10"/>
    <s v="national network"/>
    <x v="19"/>
    <x v="0"/>
    <s v="No"/>
    <x v="1"/>
    <s v="No"/>
    <n v="6"/>
    <n v="5"/>
    <n v="1"/>
    <n v="6"/>
    <n v="0"/>
    <n v="0"/>
    <n v="0"/>
    <n v="0"/>
    <n v="0"/>
    <n v="0"/>
    <n v="0"/>
    <n v="0"/>
  </r>
  <r>
    <n v="2025"/>
    <n v="1"/>
    <x v="10"/>
    <s v="national network"/>
    <x v="20"/>
    <x v="1"/>
    <s v="No"/>
    <x v="1"/>
    <s v="No"/>
    <n v="77886"/>
    <n v="0"/>
    <n v="3998"/>
    <n v="3998"/>
    <n v="5630"/>
    <n v="2665"/>
    <n v="1981"/>
    <n v="817"/>
    <n v="317"/>
    <n v="23"/>
    <n v="0"/>
    <n v="74806"/>
  </r>
  <r>
    <n v="2025"/>
    <n v="1"/>
    <x v="10"/>
    <s v="national network"/>
    <x v="21"/>
    <x v="1"/>
    <s v="No"/>
    <x v="1"/>
    <s v="No"/>
    <n v="40640"/>
    <n v="0"/>
    <n v="1124"/>
    <n v="1124"/>
    <n v="3027"/>
    <n v="1109"/>
    <n v="757"/>
    <n v="276"/>
    <n v="118"/>
    <n v="8"/>
    <n v="0"/>
    <n v="39793"/>
  </r>
  <r>
    <n v="2025"/>
    <n v="1"/>
    <x v="10"/>
    <s v="national network"/>
    <x v="21"/>
    <x v="0"/>
    <s v="No"/>
    <x v="1"/>
    <s v="No"/>
    <n v="18"/>
    <n v="18"/>
    <n v="0"/>
    <n v="18"/>
    <n v="0"/>
    <n v="0"/>
    <n v="0"/>
    <n v="0"/>
    <n v="0"/>
    <n v="0"/>
    <n v="0"/>
    <n v="0"/>
  </r>
  <r>
    <n v="2025"/>
    <n v="1"/>
    <x v="11"/>
    <s v="national network"/>
    <x v="2"/>
    <x v="1"/>
    <s v="No"/>
    <x v="0"/>
    <s v="No"/>
    <n v="475"/>
    <n v="0"/>
    <n v="2"/>
    <n v="2"/>
    <n v="89"/>
    <n v="53"/>
    <n v="47"/>
    <n v="23"/>
    <n v="21"/>
    <n v="5"/>
    <n v="3"/>
    <n v="473"/>
  </r>
  <r>
    <n v="2025"/>
    <n v="1"/>
    <x v="11"/>
    <s v="national network"/>
    <x v="2"/>
    <x v="0"/>
    <s v="No"/>
    <x v="0"/>
    <s v="No"/>
    <n v="396"/>
    <n v="0"/>
    <n v="0"/>
    <n v="0"/>
    <n v="68"/>
    <n v="44"/>
    <n v="30"/>
    <n v="16"/>
    <n v="12"/>
    <n v="7"/>
    <n v="1"/>
    <n v="396"/>
  </r>
  <r>
    <n v="2025"/>
    <n v="1"/>
    <x v="11"/>
    <s v="national network"/>
    <x v="3"/>
    <x v="1"/>
    <s v="No"/>
    <x v="0"/>
    <s v="No"/>
    <n v="5"/>
    <n v="0"/>
    <n v="0"/>
    <n v="0"/>
    <n v="3"/>
    <n v="3"/>
    <n v="2"/>
    <n v="2"/>
    <n v="1"/>
    <n v="0"/>
    <n v="0"/>
    <n v="5"/>
  </r>
  <r>
    <n v="2025"/>
    <n v="1"/>
    <x v="11"/>
    <s v="national network"/>
    <x v="3"/>
    <x v="0"/>
    <s v="No"/>
    <x v="0"/>
    <s v="No"/>
    <n v="1303"/>
    <n v="2"/>
    <n v="8"/>
    <n v="10"/>
    <n v="429"/>
    <n v="333"/>
    <n v="296"/>
    <n v="217"/>
    <n v="155"/>
    <n v="54"/>
    <n v="17"/>
    <n v="1241"/>
  </r>
  <r>
    <n v="2025"/>
    <n v="1"/>
    <x v="11"/>
    <s v="national network"/>
    <x v="7"/>
    <x v="0"/>
    <s v="No"/>
    <x v="0"/>
    <s v="No"/>
    <n v="47"/>
    <n v="0"/>
    <n v="0"/>
    <n v="0"/>
    <n v="15"/>
    <n v="9"/>
    <n v="9"/>
    <n v="2"/>
    <n v="1"/>
    <n v="0"/>
    <n v="0"/>
    <n v="47"/>
  </r>
  <r>
    <n v="2025"/>
    <n v="1"/>
    <x v="11"/>
    <s v="national network"/>
    <x v="4"/>
    <x v="1"/>
    <s v="No"/>
    <x v="0"/>
    <s v="Yes"/>
    <n v="17"/>
    <n v="0"/>
    <n v="0"/>
    <n v="0"/>
    <n v="1"/>
    <n v="1"/>
    <n v="1"/>
    <n v="1"/>
    <n v="1"/>
    <n v="0"/>
    <n v="0"/>
    <n v="17"/>
  </r>
  <r>
    <n v="2025"/>
    <n v="1"/>
    <x v="11"/>
    <s v="national network"/>
    <x v="4"/>
    <x v="0"/>
    <s v="No"/>
    <x v="0"/>
    <s v="Yes"/>
    <n v="281"/>
    <n v="2"/>
    <n v="0"/>
    <n v="2"/>
    <n v="60"/>
    <n v="48"/>
    <n v="46"/>
    <n v="38"/>
    <n v="28"/>
    <n v="18"/>
    <n v="11"/>
    <n v="262"/>
  </r>
  <r>
    <n v="2025"/>
    <n v="1"/>
    <x v="11"/>
    <s v="national network"/>
    <x v="0"/>
    <x v="1"/>
    <s v="No"/>
    <x v="0"/>
    <s v="No"/>
    <n v="1702"/>
    <n v="1"/>
    <n v="3"/>
    <n v="4"/>
    <n v="246"/>
    <n v="162"/>
    <n v="133"/>
    <n v="82"/>
    <n v="61"/>
    <n v="33"/>
    <n v="14"/>
    <n v="1699"/>
  </r>
  <r>
    <n v="2025"/>
    <n v="1"/>
    <x v="11"/>
    <s v="national network"/>
    <x v="0"/>
    <x v="0"/>
    <s v="No"/>
    <x v="0"/>
    <s v="No"/>
    <n v="472"/>
    <n v="3"/>
    <n v="0"/>
    <n v="3"/>
    <n v="101"/>
    <n v="78"/>
    <n v="69"/>
    <n v="59"/>
    <n v="51"/>
    <n v="23"/>
    <n v="12"/>
    <n v="451"/>
  </r>
  <r>
    <n v="2025"/>
    <n v="1"/>
    <x v="11"/>
    <s v="national network"/>
    <x v="0"/>
    <x v="2"/>
    <s v="No"/>
    <x v="0"/>
    <s v="No"/>
    <n v="1"/>
    <n v="0"/>
    <n v="0"/>
    <n v="0"/>
    <n v="0"/>
    <n v="0"/>
    <n v="0"/>
    <n v="0"/>
    <n v="0"/>
    <n v="0"/>
    <n v="0"/>
    <n v="0"/>
  </r>
  <r>
    <n v="2025"/>
    <n v="1"/>
    <x v="11"/>
    <s v="national network"/>
    <x v="8"/>
    <x v="1"/>
    <s v="Yes"/>
    <x v="0"/>
    <s v="No"/>
    <n v="28"/>
    <n v="0"/>
    <n v="0"/>
    <n v="0"/>
    <n v="4"/>
    <n v="3"/>
    <n v="3"/>
    <n v="3"/>
    <n v="3"/>
    <n v="1"/>
    <n v="0"/>
    <n v="28"/>
  </r>
  <r>
    <n v="2025"/>
    <n v="1"/>
    <x v="11"/>
    <s v="national network"/>
    <x v="8"/>
    <x v="0"/>
    <s v="Yes"/>
    <x v="0"/>
    <s v="No"/>
    <n v="757"/>
    <n v="13"/>
    <n v="21"/>
    <n v="34"/>
    <n v="242"/>
    <n v="191"/>
    <n v="178"/>
    <n v="134"/>
    <n v="106"/>
    <n v="56"/>
    <n v="14"/>
    <n v="723"/>
  </r>
  <r>
    <n v="2025"/>
    <n v="1"/>
    <x v="11"/>
    <s v="national network"/>
    <x v="5"/>
    <x v="1"/>
    <s v="No"/>
    <x v="0"/>
    <s v="Yes"/>
    <n v="96"/>
    <n v="0"/>
    <n v="0"/>
    <n v="0"/>
    <n v="8"/>
    <n v="5"/>
    <n v="5"/>
    <n v="5"/>
    <n v="3"/>
    <n v="0"/>
    <n v="0"/>
    <n v="96"/>
  </r>
  <r>
    <n v="2025"/>
    <n v="1"/>
    <x v="11"/>
    <s v="national network"/>
    <x v="5"/>
    <x v="0"/>
    <s v="No"/>
    <x v="0"/>
    <s v="Yes"/>
    <n v="649"/>
    <n v="6"/>
    <n v="0"/>
    <n v="6"/>
    <n v="206"/>
    <n v="165"/>
    <n v="159"/>
    <n v="138"/>
    <n v="125"/>
    <n v="82"/>
    <n v="38"/>
    <n v="640"/>
  </r>
  <r>
    <n v="2025"/>
    <n v="1"/>
    <x v="11"/>
    <s v="national network"/>
    <x v="6"/>
    <x v="1"/>
    <s v="No"/>
    <x v="0"/>
    <s v="No"/>
    <n v="2083"/>
    <n v="6"/>
    <n v="53"/>
    <n v="59"/>
    <n v="297"/>
    <n v="187"/>
    <n v="157"/>
    <n v="94"/>
    <n v="63"/>
    <n v="26"/>
    <n v="5"/>
    <n v="2047"/>
  </r>
  <r>
    <n v="2025"/>
    <n v="1"/>
    <x v="11"/>
    <s v="national network"/>
    <x v="6"/>
    <x v="0"/>
    <s v="No"/>
    <x v="0"/>
    <s v="No"/>
    <n v="1081"/>
    <n v="6"/>
    <n v="9"/>
    <n v="15"/>
    <n v="315"/>
    <n v="263"/>
    <n v="245"/>
    <n v="178"/>
    <n v="130"/>
    <n v="57"/>
    <n v="13"/>
    <n v="1075"/>
  </r>
  <r>
    <n v="2025"/>
    <n v="1"/>
    <x v="11"/>
    <s v="national network"/>
    <x v="6"/>
    <x v="2"/>
    <s v="No"/>
    <x v="0"/>
    <s v="No"/>
    <n v="1"/>
    <n v="0"/>
    <n v="0"/>
    <n v="0"/>
    <n v="0"/>
    <n v="0"/>
    <n v="0"/>
    <n v="0"/>
    <n v="0"/>
    <n v="0"/>
    <n v="0"/>
    <n v="0"/>
  </r>
  <r>
    <n v="2025"/>
    <n v="1"/>
    <x v="11"/>
    <s v="national network"/>
    <x v="10"/>
    <x v="1"/>
    <s v="Yes"/>
    <x v="0"/>
    <s v="No"/>
    <n v="906"/>
    <n v="3"/>
    <n v="52"/>
    <n v="55"/>
    <n v="249"/>
    <n v="209"/>
    <n v="191"/>
    <n v="142"/>
    <n v="120"/>
    <n v="47"/>
    <n v="16"/>
    <n v="875"/>
  </r>
  <r>
    <n v="2025"/>
    <n v="1"/>
    <x v="11"/>
    <s v="national network"/>
    <x v="10"/>
    <x v="0"/>
    <s v="Yes"/>
    <x v="0"/>
    <s v="No"/>
    <n v="976"/>
    <n v="3"/>
    <n v="10"/>
    <n v="13"/>
    <n v="264"/>
    <n v="202"/>
    <n v="188"/>
    <n v="144"/>
    <n v="104"/>
    <n v="46"/>
    <n v="16"/>
    <n v="969"/>
  </r>
  <r>
    <n v="2025"/>
    <n v="1"/>
    <x v="12"/>
    <s v="national network"/>
    <x v="9"/>
    <x v="1"/>
    <s v="No"/>
    <x v="1"/>
    <s v="No"/>
    <n v="7599"/>
    <n v="4"/>
    <n v="36"/>
    <n v="40"/>
    <n v="4"/>
    <n v="2"/>
    <n v="2"/>
    <n v="1"/>
    <n v="1"/>
    <n v="0"/>
    <n v="0"/>
    <n v="7563"/>
  </r>
  <r>
    <n v="2025"/>
    <n v="1"/>
    <x v="12"/>
    <s v="national network"/>
    <x v="9"/>
    <x v="0"/>
    <s v="No"/>
    <x v="1"/>
    <s v="No"/>
    <n v="23"/>
    <n v="2"/>
    <n v="0"/>
    <n v="2"/>
    <n v="1"/>
    <n v="0"/>
    <n v="0"/>
    <n v="0"/>
    <n v="0"/>
    <n v="0"/>
    <n v="0"/>
    <n v="17"/>
  </r>
  <r>
    <n v="2025"/>
    <n v="1"/>
    <x v="13"/>
    <s v="whole journey"/>
    <x v="22"/>
    <x v="1"/>
    <s v="No"/>
    <x v="1"/>
    <s v="No"/>
    <n v="2"/>
    <n v="0"/>
    <n v="0"/>
    <n v="0"/>
    <n v="1"/>
    <n v="0"/>
    <n v="0"/>
    <n v="0"/>
    <n v="0"/>
    <n v="0"/>
    <n v="0"/>
    <n v="2"/>
  </r>
  <r>
    <n v="2025"/>
    <n v="1"/>
    <x v="13"/>
    <s v="whole journey"/>
    <x v="22"/>
    <x v="0"/>
    <s v="No"/>
    <x v="1"/>
    <s v="No"/>
    <n v="70"/>
    <n v="0"/>
    <n v="0"/>
    <n v="0"/>
    <n v="14"/>
    <n v="9"/>
    <n v="9"/>
    <n v="9"/>
    <n v="6"/>
    <n v="1"/>
    <n v="0"/>
    <n v="70"/>
  </r>
  <r>
    <n v="2025"/>
    <n v="1"/>
    <x v="13"/>
    <s v="whole journey"/>
    <x v="23"/>
    <x v="1"/>
    <s v="Yes"/>
    <x v="0"/>
    <s v="No"/>
    <n v="1331"/>
    <n v="7"/>
    <n v="13"/>
    <n v="20"/>
    <n v="278"/>
    <n v="251"/>
    <n v="251"/>
    <n v="184"/>
    <n v="150"/>
    <n v="91"/>
    <n v="49"/>
    <n v="1319"/>
  </r>
  <r>
    <n v="2025"/>
    <n v="1"/>
    <x v="13"/>
    <s v="whole journey"/>
    <x v="23"/>
    <x v="2"/>
    <s v="Yes"/>
    <x v="0"/>
    <s v="No"/>
    <n v="39"/>
    <n v="0"/>
    <n v="0"/>
    <n v="0"/>
    <n v="0"/>
    <n v="0"/>
    <n v="0"/>
    <n v="0"/>
    <n v="0"/>
    <n v="0"/>
    <n v="0"/>
    <n v="0"/>
  </r>
  <r>
    <n v="2025"/>
    <n v="1"/>
    <x v="14"/>
    <s v="national network"/>
    <x v="3"/>
    <x v="1"/>
    <s v="No"/>
    <x v="1"/>
    <s v="No"/>
    <n v="2"/>
    <n v="0"/>
    <n v="0"/>
    <n v="0"/>
    <n v="1"/>
    <n v="0"/>
    <n v="0"/>
    <n v="0"/>
    <n v="0"/>
    <n v="0"/>
    <n v="0"/>
    <n v="2"/>
  </r>
  <r>
    <n v="2025"/>
    <n v="1"/>
    <x v="14"/>
    <s v="national network"/>
    <x v="3"/>
    <x v="0"/>
    <s v="No"/>
    <x v="1"/>
    <s v="No"/>
    <n v="780"/>
    <n v="0"/>
    <n v="0"/>
    <n v="0"/>
    <n v="170"/>
    <n v="147"/>
    <n v="134"/>
    <n v="94"/>
    <n v="60"/>
    <n v="26"/>
    <n v="13"/>
    <n v="765"/>
  </r>
  <r>
    <n v="2025"/>
    <n v="1"/>
    <x v="14"/>
    <s v="national network"/>
    <x v="4"/>
    <x v="1"/>
    <s v="No"/>
    <x v="0"/>
    <s v="Yes"/>
    <n v="5"/>
    <n v="0"/>
    <n v="0"/>
    <n v="0"/>
    <n v="0"/>
    <n v="0"/>
    <n v="0"/>
    <n v="0"/>
    <n v="0"/>
    <n v="0"/>
    <n v="0"/>
    <n v="5"/>
  </r>
  <r>
    <n v="2025"/>
    <n v="1"/>
    <x v="14"/>
    <s v="national network"/>
    <x v="4"/>
    <x v="0"/>
    <s v="No"/>
    <x v="0"/>
    <s v="Yes"/>
    <n v="71"/>
    <n v="0"/>
    <n v="0"/>
    <n v="0"/>
    <n v="7"/>
    <n v="6"/>
    <n v="5"/>
    <n v="2"/>
    <n v="1"/>
    <n v="0"/>
    <n v="0"/>
    <n v="60"/>
  </r>
  <r>
    <n v="2025"/>
    <n v="1"/>
    <x v="14"/>
    <s v="national network"/>
    <x v="0"/>
    <x v="1"/>
    <s v="No"/>
    <x v="1"/>
    <s v="No"/>
    <n v="16"/>
    <n v="0"/>
    <n v="0"/>
    <n v="0"/>
    <n v="0"/>
    <n v="0"/>
    <n v="0"/>
    <n v="0"/>
    <n v="0"/>
    <n v="0"/>
    <n v="0"/>
    <n v="16"/>
  </r>
  <r>
    <n v="2025"/>
    <n v="1"/>
    <x v="14"/>
    <s v="national network"/>
    <x v="0"/>
    <x v="0"/>
    <s v="No"/>
    <x v="1"/>
    <s v="No"/>
    <n v="100"/>
    <n v="0"/>
    <n v="0"/>
    <n v="0"/>
    <n v="6"/>
    <n v="3"/>
    <n v="3"/>
    <n v="0"/>
    <n v="0"/>
    <n v="0"/>
    <n v="0"/>
    <n v="72"/>
  </r>
  <r>
    <n v="2025"/>
    <n v="1"/>
    <x v="14"/>
    <s v="national network"/>
    <x v="0"/>
    <x v="0"/>
    <s v="No"/>
    <x v="0"/>
    <s v="No"/>
    <n v="33"/>
    <n v="0"/>
    <n v="0"/>
    <n v="0"/>
    <n v="4"/>
    <n v="3"/>
    <n v="2"/>
    <n v="2"/>
    <n v="1"/>
    <n v="0"/>
    <n v="0"/>
    <n v="33"/>
  </r>
  <r>
    <n v="2025"/>
    <n v="1"/>
    <x v="14"/>
    <s v="national network"/>
    <x v="0"/>
    <x v="2"/>
    <s v="No"/>
    <x v="1"/>
    <s v="No"/>
    <n v="9"/>
    <n v="0"/>
    <n v="0"/>
    <n v="0"/>
    <n v="0"/>
    <n v="0"/>
    <n v="0"/>
    <n v="0"/>
    <n v="0"/>
    <n v="0"/>
    <n v="0"/>
    <n v="0"/>
  </r>
  <r>
    <n v="2025"/>
    <n v="1"/>
    <x v="15"/>
    <s v="national network"/>
    <x v="24"/>
    <x v="1"/>
    <s v="No"/>
    <x v="1"/>
    <s v="No"/>
    <n v="670"/>
    <n v="0"/>
    <n v="0"/>
    <n v="0"/>
    <n v="0"/>
    <n v="0"/>
    <n v="0"/>
    <n v="0"/>
    <n v="0"/>
    <n v="0"/>
    <n v="0"/>
    <n v="670"/>
  </r>
  <r>
    <n v="2025"/>
    <n v="1"/>
    <x v="15"/>
    <s v="national network"/>
    <x v="24"/>
    <x v="0"/>
    <s v="No"/>
    <x v="1"/>
    <s v="No"/>
    <n v="36"/>
    <n v="0"/>
    <n v="0"/>
    <n v="0"/>
    <n v="0"/>
    <n v="0"/>
    <n v="0"/>
    <n v="0"/>
    <n v="0"/>
    <n v="0"/>
    <n v="0"/>
    <n v="36"/>
  </r>
  <r>
    <n v="2025"/>
    <n v="1"/>
    <x v="16"/>
    <s v="national network"/>
    <x v="3"/>
    <x v="1"/>
    <s v="No"/>
    <x v="0"/>
    <s v="No"/>
    <n v="47"/>
    <n v="0"/>
    <n v="0"/>
    <n v="0"/>
    <n v="1"/>
    <n v="0"/>
    <n v="0"/>
    <n v="0"/>
    <n v="0"/>
    <n v="0"/>
    <n v="0"/>
    <n v="47"/>
  </r>
  <r>
    <n v="2025"/>
    <n v="1"/>
    <x v="16"/>
    <s v="national network"/>
    <x v="3"/>
    <x v="0"/>
    <s v="No"/>
    <x v="0"/>
    <s v="No"/>
    <n v="1559"/>
    <n v="12"/>
    <n v="45"/>
    <n v="57"/>
    <n v="182"/>
    <n v="136"/>
    <n v="117"/>
    <n v="77"/>
    <n v="48"/>
    <n v="18"/>
    <n v="6"/>
    <n v="1517"/>
  </r>
  <r>
    <n v="2025"/>
    <n v="1"/>
    <x v="16"/>
    <s v="national network"/>
    <x v="3"/>
    <x v="2"/>
    <s v="No"/>
    <x v="0"/>
    <s v="No"/>
    <n v="1"/>
    <n v="0"/>
    <n v="0"/>
    <n v="0"/>
    <n v="0"/>
    <n v="0"/>
    <n v="0"/>
    <n v="0"/>
    <n v="0"/>
    <n v="0"/>
    <n v="0"/>
    <n v="0"/>
  </r>
  <r>
    <n v="2025"/>
    <n v="1"/>
    <x v="16"/>
    <s v="national network"/>
    <x v="7"/>
    <x v="1"/>
    <s v="No"/>
    <x v="0"/>
    <s v="No"/>
    <n v="1"/>
    <n v="0"/>
    <n v="0"/>
    <n v="0"/>
    <n v="0"/>
    <n v="0"/>
    <n v="0"/>
    <n v="0"/>
    <n v="0"/>
    <n v="0"/>
    <n v="0"/>
    <n v="1"/>
  </r>
  <r>
    <n v="2025"/>
    <n v="1"/>
    <x v="16"/>
    <s v="national network"/>
    <x v="7"/>
    <x v="0"/>
    <s v="No"/>
    <x v="1"/>
    <s v="No"/>
    <n v="283"/>
    <n v="1"/>
    <n v="1"/>
    <n v="2"/>
    <n v="165"/>
    <n v="133"/>
    <n v="119"/>
    <n v="84"/>
    <n v="36"/>
    <n v="12"/>
    <n v="6"/>
    <n v="282"/>
  </r>
  <r>
    <n v="2025"/>
    <n v="1"/>
    <x v="16"/>
    <s v="national network"/>
    <x v="7"/>
    <x v="0"/>
    <s v="No"/>
    <x v="0"/>
    <s v="No"/>
    <n v="1"/>
    <n v="0"/>
    <n v="0"/>
    <n v="0"/>
    <n v="0"/>
    <n v="0"/>
    <n v="0"/>
    <n v="0"/>
    <n v="0"/>
    <n v="0"/>
    <n v="0"/>
    <n v="1"/>
  </r>
  <r>
    <n v="2025"/>
    <n v="1"/>
    <x v="16"/>
    <s v="national network"/>
    <x v="4"/>
    <x v="1"/>
    <s v="No"/>
    <x v="0"/>
    <s v="Yes"/>
    <n v="2"/>
    <n v="0"/>
    <n v="0"/>
    <n v="0"/>
    <n v="0"/>
    <n v="0"/>
    <n v="0"/>
    <n v="0"/>
    <n v="0"/>
    <n v="0"/>
    <n v="0"/>
    <n v="2"/>
  </r>
  <r>
    <n v="2025"/>
    <n v="1"/>
    <x v="16"/>
    <s v="national network"/>
    <x v="4"/>
    <x v="0"/>
    <s v="No"/>
    <x v="0"/>
    <s v="Yes"/>
    <n v="171"/>
    <n v="0"/>
    <n v="0"/>
    <n v="0"/>
    <n v="23"/>
    <n v="14"/>
    <n v="13"/>
    <n v="13"/>
    <n v="11"/>
    <n v="10"/>
    <n v="5"/>
    <n v="157"/>
  </r>
  <r>
    <n v="2025"/>
    <n v="1"/>
    <x v="16"/>
    <s v="national network"/>
    <x v="4"/>
    <x v="2"/>
    <s v="No"/>
    <x v="0"/>
    <s v="Yes"/>
    <n v="2"/>
    <n v="0"/>
    <n v="0"/>
    <n v="0"/>
    <n v="0"/>
    <n v="0"/>
    <n v="0"/>
    <n v="0"/>
    <n v="0"/>
    <n v="0"/>
    <n v="0"/>
    <n v="0"/>
  </r>
  <r>
    <n v="2025"/>
    <n v="1"/>
    <x v="16"/>
    <s v="national network"/>
    <x v="0"/>
    <x v="1"/>
    <s v="No"/>
    <x v="0"/>
    <s v="No"/>
    <n v="11323"/>
    <n v="25"/>
    <n v="89"/>
    <n v="114"/>
    <n v="49"/>
    <n v="42"/>
    <n v="38"/>
    <n v="25"/>
    <n v="13"/>
    <n v="2"/>
    <n v="0"/>
    <n v="11210"/>
  </r>
  <r>
    <n v="2025"/>
    <n v="1"/>
    <x v="16"/>
    <s v="national network"/>
    <x v="0"/>
    <x v="0"/>
    <s v="No"/>
    <x v="0"/>
    <s v="No"/>
    <n v="1105"/>
    <n v="11"/>
    <n v="12"/>
    <n v="23"/>
    <n v="151"/>
    <n v="111"/>
    <n v="94"/>
    <n v="70"/>
    <n v="56"/>
    <n v="15"/>
    <n v="9"/>
    <n v="1085"/>
  </r>
  <r>
    <n v="2025"/>
    <n v="1"/>
    <x v="16"/>
    <s v="national network"/>
    <x v="0"/>
    <x v="2"/>
    <s v="No"/>
    <x v="0"/>
    <s v="No"/>
    <n v="4"/>
    <n v="0"/>
    <n v="0"/>
    <n v="0"/>
    <n v="0"/>
    <n v="0"/>
    <n v="0"/>
    <n v="0"/>
    <n v="0"/>
    <n v="0"/>
    <n v="0"/>
    <n v="0"/>
  </r>
  <r>
    <n v="2025"/>
    <n v="1"/>
    <x v="16"/>
    <s v="national network"/>
    <x v="8"/>
    <x v="1"/>
    <s v="Yes"/>
    <x v="0"/>
    <s v="No"/>
    <n v="31"/>
    <n v="0"/>
    <n v="0"/>
    <n v="0"/>
    <n v="3"/>
    <n v="1"/>
    <n v="1"/>
    <n v="1"/>
    <n v="0"/>
    <n v="0"/>
    <n v="0"/>
    <n v="31"/>
  </r>
  <r>
    <n v="2025"/>
    <n v="1"/>
    <x v="16"/>
    <s v="national network"/>
    <x v="8"/>
    <x v="0"/>
    <s v="Yes"/>
    <x v="0"/>
    <s v="No"/>
    <n v="1193"/>
    <n v="51"/>
    <n v="90"/>
    <n v="141"/>
    <n v="211"/>
    <n v="150"/>
    <n v="126"/>
    <n v="76"/>
    <n v="44"/>
    <n v="11"/>
    <n v="2"/>
    <n v="1082"/>
  </r>
  <r>
    <n v="2025"/>
    <n v="1"/>
    <x v="16"/>
    <s v="national network"/>
    <x v="8"/>
    <x v="2"/>
    <s v="Yes"/>
    <x v="0"/>
    <s v="No"/>
    <n v="1"/>
    <n v="1"/>
    <n v="0"/>
    <n v="1"/>
    <n v="0"/>
    <n v="0"/>
    <n v="0"/>
    <n v="0"/>
    <n v="0"/>
    <n v="0"/>
    <n v="0"/>
    <n v="0"/>
  </r>
  <r>
    <n v="2025"/>
    <n v="1"/>
    <x v="16"/>
    <s v="national network"/>
    <x v="9"/>
    <x v="1"/>
    <s v="No"/>
    <x v="0"/>
    <s v="No"/>
    <n v="12672"/>
    <n v="31"/>
    <n v="103"/>
    <n v="134"/>
    <n v="24"/>
    <n v="20"/>
    <n v="19"/>
    <n v="13"/>
    <n v="5"/>
    <n v="0"/>
    <n v="0"/>
    <n v="12459"/>
  </r>
  <r>
    <n v="2025"/>
    <n v="1"/>
    <x v="16"/>
    <s v="national network"/>
    <x v="9"/>
    <x v="0"/>
    <s v="No"/>
    <x v="0"/>
    <s v="No"/>
    <n v="972"/>
    <n v="3"/>
    <n v="16"/>
    <n v="19"/>
    <n v="39"/>
    <n v="16"/>
    <n v="12"/>
    <n v="8"/>
    <n v="1"/>
    <n v="0"/>
    <n v="0"/>
    <n v="936"/>
  </r>
  <r>
    <n v="2025"/>
    <n v="1"/>
    <x v="16"/>
    <s v="national network"/>
    <x v="25"/>
    <x v="1"/>
    <s v="Yes"/>
    <x v="0"/>
    <s v="No"/>
    <n v="2"/>
    <n v="0"/>
    <n v="0"/>
    <n v="0"/>
    <n v="0"/>
    <n v="0"/>
    <n v="0"/>
    <n v="0"/>
    <n v="0"/>
    <n v="0"/>
    <n v="0"/>
    <n v="2"/>
  </r>
  <r>
    <n v="2025"/>
    <n v="1"/>
    <x v="16"/>
    <s v="national network"/>
    <x v="25"/>
    <x v="0"/>
    <s v="Yes"/>
    <x v="0"/>
    <s v="No"/>
    <n v="791"/>
    <n v="10"/>
    <n v="14"/>
    <n v="24"/>
    <n v="161"/>
    <n v="127"/>
    <n v="123"/>
    <n v="101"/>
    <n v="81"/>
    <n v="42"/>
    <n v="15"/>
    <n v="776"/>
  </r>
  <r>
    <n v="2025"/>
    <n v="1"/>
    <x v="16"/>
    <s v="national network"/>
    <x v="25"/>
    <x v="2"/>
    <s v="Yes"/>
    <x v="0"/>
    <s v="No"/>
    <n v="6"/>
    <n v="0"/>
    <n v="0"/>
    <n v="0"/>
    <n v="0"/>
    <n v="0"/>
    <n v="0"/>
    <n v="0"/>
    <n v="0"/>
    <n v="0"/>
    <n v="0"/>
    <n v="0"/>
  </r>
  <r>
    <n v="2025"/>
    <n v="1"/>
    <x v="16"/>
    <s v="national network"/>
    <x v="5"/>
    <x v="1"/>
    <s v="No"/>
    <x v="0"/>
    <s v="Yes"/>
    <n v="23"/>
    <n v="0"/>
    <n v="0"/>
    <n v="0"/>
    <n v="6"/>
    <n v="6"/>
    <n v="6"/>
    <n v="4"/>
    <n v="4"/>
    <n v="4"/>
    <n v="2"/>
    <n v="23"/>
  </r>
  <r>
    <n v="2025"/>
    <n v="1"/>
    <x v="16"/>
    <s v="national network"/>
    <x v="5"/>
    <x v="0"/>
    <s v="No"/>
    <x v="0"/>
    <s v="Yes"/>
    <n v="274"/>
    <n v="2"/>
    <n v="0"/>
    <n v="2"/>
    <n v="65"/>
    <n v="47"/>
    <n v="38"/>
    <n v="30"/>
    <n v="25"/>
    <n v="22"/>
    <n v="14"/>
    <n v="272"/>
  </r>
  <r>
    <n v="2025"/>
    <n v="1"/>
    <x v="16"/>
    <s v="national network"/>
    <x v="5"/>
    <x v="2"/>
    <s v="No"/>
    <x v="0"/>
    <s v="Yes"/>
    <n v="3"/>
    <n v="0"/>
    <n v="0"/>
    <n v="0"/>
    <n v="0"/>
    <n v="0"/>
    <n v="0"/>
    <n v="0"/>
    <n v="0"/>
    <n v="0"/>
    <n v="0"/>
    <n v="0"/>
  </r>
  <r>
    <n v="2025"/>
    <n v="1"/>
    <x v="16"/>
    <s v="national network"/>
    <x v="10"/>
    <x v="0"/>
    <s v="Yes"/>
    <x v="0"/>
    <s v="No"/>
    <n v="357"/>
    <n v="0"/>
    <n v="0"/>
    <n v="0"/>
    <n v="19"/>
    <n v="15"/>
    <n v="15"/>
    <n v="12"/>
    <n v="11"/>
    <n v="3"/>
    <n v="0"/>
    <n v="336"/>
  </r>
  <r>
    <n v="2025"/>
    <n v="1"/>
    <x v="17"/>
    <s v="national network"/>
    <x v="4"/>
    <x v="1"/>
    <s v="No"/>
    <x v="0"/>
    <s v="Yes"/>
    <n v="1"/>
    <n v="0"/>
    <n v="0"/>
    <n v="0"/>
    <n v="0"/>
    <n v="0"/>
    <n v="0"/>
    <n v="0"/>
    <n v="0"/>
    <n v="0"/>
    <n v="0"/>
    <n v="0"/>
  </r>
  <r>
    <n v="2025"/>
    <n v="1"/>
    <x v="17"/>
    <s v="national network"/>
    <x v="4"/>
    <x v="0"/>
    <s v="No"/>
    <x v="0"/>
    <s v="Yes"/>
    <n v="46"/>
    <n v="1"/>
    <n v="0"/>
    <n v="1"/>
    <n v="12"/>
    <n v="12"/>
    <n v="12"/>
    <n v="12"/>
    <n v="12"/>
    <n v="9"/>
    <n v="5"/>
    <n v="45"/>
  </r>
  <r>
    <n v="2025"/>
    <n v="1"/>
    <x v="17"/>
    <s v="national network"/>
    <x v="0"/>
    <x v="0"/>
    <s v="No"/>
    <x v="0"/>
    <s v="No"/>
    <n v="2"/>
    <n v="0"/>
    <n v="0"/>
    <n v="0"/>
    <n v="0"/>
    <n v="0"/>
    <n v="0"/>
    <n v="0"/>
    <n v="0"/>
    <n v="0"/>
    <n v="0"/>
    <n v="2"/>
  </r>
  <r>
    <n v="2025"/>
    <n v="1"/>
    <x v="18"/>
    <s v="national network"/>
    <x v="15"/>
    <x v="0"/>
    <s v="No"/>
    <x v="1"/>
    <s v="No"/>
    <n v="375"/>
    <n v="4"/>
    <n v="8"/>
    <n v="12"/>
    <n v="85"/>
    <n v="60"/>
    <n v="50"/>
    <n v="25"/>
    <n v="14"/>
    <n v="1"/>
    <n v="0"/>
    <n v="364"/>
  </r>
  <r>
    <n v="2025"/>
    <n v="1"/>
    <x v="18"/>
    <s v="national network"/>
    <x v="16"/>
    <x v="0"/>
    <s v="No"/>
    <x v="1"/>
    <s v="No"/>
    <n v="381"/>
    <n v="15"/>
    <n v="2"/>
    <n v="17"/>
    <n v="96"/>
    <n v="61"/>
    <n v="48"/>
    <n v="25"/>
    <n v="12"/>
    <n v="3"/>
    <n v="0"/>
    <n v="366"/>
  </r>
  <r>
    <n v="2025"/>
    <n v="1"/>
    <x v="18"/>
    <s v="national network"/>
    <x v="0"/>
    <x v="1"/>
    <s v="No"/>
    <x v="0"/>
    <s v="No"/>
    <n v="28401"/>
    <n v="97"/>
    <n v="494"/>
    <n v="591"/>
    <n v="5699"/>
    <n v="3421"/>
    <n v="2732"/>
    <n v="1258"/>
    <n v="651"/>
    <n v="117"/>
    <n v="7"/>
    <n v="27977"/>
  </r>
  <r>
    <n v="2025"/>
    <n v="1"/>
    <x v="18"/>
    <s v="national network"/>
    <x v="0"/>
    <x v="0"/>
    <s v="No"/>
    <x v="0"/>
    <s v="No"/>
    <n v="3237"/>
    <n v="16"/>
    <n v="47"/>
    <n v="63"/>
    <n v="536"/>
    <n v="313"/>
    <n v="263"/>
    <n v="133"/>
    <n v="80"/>
    <n v="19"/>
    <n v="2"/>
    <n v="3179"/>
  </r>
  <r>
    <n v="2025"/>
    <n v="1"/>
    <x v="18"/>
    <s v="national network"/>
    <x v="0"/>
    <x v="2"/>
    <s v="No"/>
    <x v="0"/>
    <s v="No"/>
    <n v="2"/>
    <n v="0"/>
    <n v="0"/>
    <n v="0"/>
    <n v="0"/>
    <n v="0"/>
    <n v="0"/>
    <n v="0"/>
    <n v="0"/>
    <n v="0"/>
    <n v="0"/>
    <n v="0"/>
  </r>
  <r>
    <n v="2025"/>
    <n v="1"/>
    <x v="18"/>
    <s v="national network"/>
    <x v="8"/>
    <x v="0"/>
    <s v="Yes"/>
    <x v="0"/>
    <s v="No"/>
    <n v="427"/>
    <n v="8"/>
    <n v="15"/>
    <n v="23"/>
    <n v="154"/>
    <n v="123"/>
    <n v="110"/>
    <n v="76"/>
    <n v="47"/>
    <n v="19"/>
    <n v="3"/>
    <n v="413"/>
  </r>
  <r>
    <n v="2025"/>
    <n v="1"/>
    <x v="18"/>
    <s v="national network"/>
    <x v="26"/>
    <x v="1"/>
    <s v="No"/>
    <x v="1"/>
    <s v="No"/>
    <n v="17849"/>
    <n v="39"/>
    <n v="114"/>
    <n v="153"/>
    <n v="3093"/>
    <n v="1671"/>
    <n v="1299"/>
    <n v="509"/>
    <n v="238"/>
    <n v="39"/>
    <n v="3"/>
    <n v="17754"/>
  </r>
  <r>
    <n v="2025"/>
    <n v="1"/>
    <x v="18"/>
    <s v="national network"/>
    <x v="26"/>
    <x v="0"/>
    <s v="No"/>
    <x v="1"/>
    <s v="No"/>
    <n v="5286"/>
    <n v="14"/>
    <n v="25"/>
    <n v="39"/>
    <n v="384"/>
    <n v="195"/>
    <n v="153"/>
    <n v="46"/>
    <n v="23"/>
    <n v="6"/>
    <n v="0"/>
    <n v="5272"/>
  </r>
  <r>
    <n v="2025"/>
    <n v="1"/>
    <x v="18"/>
    <s v="national network"/>
    <x v="5"/>
    <x v="1"/>
    <s v="No"/>
    <x v="0"/>
    <s v="Yes"/>
    <n v="3"/>
    <n v="0"/>
    <n v="0"/>
    <n v="0"/>
    <n v="1"/>
    <n v="1"/>
    <n v="1"/>
    <n v="1"/>
    <n v="1"/>
    <n v="0"/>
    <n v="0"/>
    <n v="3"/>
  </r>
  <r>
    <n v="2025"/>
    <n v="1"/>
    <x v="18"/>
    <s v="national network"/>
    <x v="5"/>
    <x v="0"/>
    <s v="No"/>
    <x v="0"/>
    <s v="Yes"/>
    <n v="47"/>
    <n v="6"/>
    <n v="0"/>
    <n v="6"/>
    <n v="12"/>
    <n v="8"/>
    <n v="8"/>
    <n v="6"/>
    <n v="4"/>
    <n v="1"/>
    <n v="0"/>
    <n v="39"/>
  </r>
  <r>
    <n v="2025"/>
    <n v="1"/>
    <x v="18"/>
    <s v="national network"/>
    <x v="27"/>
    <x v="1"/>
    <s v="No"/>
    <x v="1"/>
    <s v="No"/>
    <n v="5107"/>
    <n v="52"/>
    <n v="24"/>
    <n v="76"/>
    <n v="1146"/>
    <n v="652"/>
    <n v="509"/>
    <n v="237"/>
    <n v="127"/>
    <n v="28"/>
    <n v="2"/>
    <n v="5038"/>
  </r>
  <r>
    <n v="2025"/>
    <n v="1"/>
    <x v="18"/>
    <s v="national network"/>
    <x v="27"/>
    <x v="0"/>
    <s v="No"/>
    <x v="1"/>
    <s v="No"/>
    <n v="265"/>
    <n v="4"/>
    <n v="3"/>
    <n v="7"/>
    <n v="29"/>
    <n v="14"/>
    <n v="10"/>
    <n v="5"/>
    <n v="4"/>
    <n v="0"/>
    <n v="0"/>
    <n v="260"/>
  </r>
  <r>
    <n v="2025"/>
    <n v="1"/>
    <x v="18"/>
    <s v="national network"/>
    <x v="19"/>
    <x v="1"/>
    <s v="No"/>
    <x v="1"/>
    <s v="No"/>
    <n v="28054"/>
    <n v="66"/>
    <n v="308"/>
    <n v="374"/>
    <n v="3840"/>
    <n v="2091"/>
    <n v="1620"/>
    <n v="689"/>
    <n v="330"/>
    <n v="71"/>
    <n v="8"/>
    <n v="27838"/>
  </r>
  <r>
    <n v="2025"/>
    <n v="1"/>
    <x v="18"/>
    <s v="national network"/>
    <x v="19"/>
    <x v="0"/>
    <s v="No"/>
    <x v="1"/>
    <s v="No"/>
    <n v="2979"/>
    <n v="29"/>
    <n v="71"/>
    <n v="100"/>
    <n v="546"/>
    <n v="322"/>
    <n v="259"/>
    <n v="104"/>
    <n v="44"/>
    <n v="11"/>
    <n v="0"/>
    <n v="2906"/>
  </r>
  <r>
    <n v="2025"/>
    <n v="1"/>
    <x v="18"/>
    <s v="national network"/>
    <x v="1"/>
    <x v="0"/>
    <s v="Yes"/>
    <x v="0"/>
    <s v="No"/>
    <n v="109"/>
    <n v="1"/>
    <n v="0"/>
    <n v="1"/>
    <n v="74"/>
    <n v="34"/>
    <n v="34"/>
    <n v="29"/>
    <n v="14"/>
    <n v="5"/>
    <n v="0"/>
    <n v="108"/>
  </r>
  <r>
    <n v="2025"/>
    <n v="1"/>
    <x v="18"/>
    <s v="national network"/>
    <x v="1"/>
    <x v="2"/>
    <s v="Yes"/>
    <x v="0"/>
    <s v="No"/>
    <n v="1"/>
    <n v="0"/>
    <n v="0"/>
    <n v="0"/>
    <n v="0"/>
    <n v="0"/>
    <n v="0"/>
    <n v="0"/>
    <n v="0"/>
    <n v="0"/>
    <n v="0"/>
    <n v="0"/>
  </r>
  <r>
    <n v="2025"/>
    <n v="1"/>
    <x v="19"/>
    <s v="national network"/>
    <x v="28"/>
    <x v="1"/>
    <s v="No"/>
    <x v="0"/>
    <s v="No"/>
    <n v="2"/>
    <n v="0"/>
    <n v="0"/>
    <n v="0"/>
    <n v="0"/>
    <n v="0"/>
    <n v="0"/>
    <n v="0"/>
    <n v="0"/>
    <n v="0"/>
    <n v="0"/>
    <n v="2"/>
  </r>
  <r>
    <n v="2025"/>
    <n v="1"/>
    <x v="19"/>
    <s v="national network"/>
    <x v="0"/>
    <x v="0"/>
    <s v="No"/>
    <x v="0"/>
    <s v="No"/>
    <n v="1827"/>
    <n v="4"/>
    <n v="35"/>
    <n v="39"/>
    <n v="156"/>
    <n v="97"/>
    <n v="75"/>
    <n v="36"/>
    <n v="15"/>
    <n v="1"/>
    <n v="0"/>
    <n v="1823"/>
  </r>
  <r>
    <n v="2025"/>
    <n v="1"/>
    <x v="19"/>
    <s v="national network"/>
    <x v="8"/>
    <x v="1"/>
    <s v="Yes"/>
    <x v="0"/>
    <s v="No"/>
    <n v="1"/>
    <n v="0"/>
    <n v="0"/>
    <n v="0"/>
    <n v="1"/>
    <n v="1"/>
    <n v="1"/>
    <n v="0"/>
    <n v="0"/>
    <n v="0"/>
    <n v="0"/>
    <n v="1"/>
  </r>
  <r>
    <n v="2025"/>
    <n v="1"/>
    <x v="19"/>
    <s v="national network"/>
    <x v="8"/>
    <x v="0"/>
    <s v="Yes"/>
    <x v="0"/>
    <s v="No"/>
    <n v="600"/>
    <n v="17"/>
    <n v="2"/>
    <n v="19"/>
    <n v="169"/>
    <n v="108"/>
    <n v="107"/>
    <n v="83"/>
    <n v="65"/>
    <n v="33"/>
    <n v="8"/>
    <n v="582"/>
  </r>
  <r>
    <n v="2025"/>
    <n v="1"/>
    <x v="19"/>
    <s v="national network"/>
    <x v="8"/>
    <x v="2"/>
    <s v="Yes"/>
    <x v="0"/>
    <s v="No"/>
    <n v="2"/>
    <n v="0"/>
    <n v="0"/>
    <n v="0"/>
    <n v="0"/>
    <n v="0"/>
    <n v="0"/>
    <n v="0"/>
    <n v="0"/>
    <n v="0"/>
    <n v="0"/>
    <n v="0"/>
  </r>
  <r>
    <n v="2025"/>
    <n v="1"/>
    <x v="19"/>
    <s v="national network"/>
    <x v="29"/>
    <x v="1"/>
    <s v="No"/>
    <x v="0"/>
    <s v="No"/>
    <n v="1687"/>
    <n v="22"/>
    <n v="38"/>
    <n v="60"/>
    <n v="543"/>
    <n v="367"/>
    <n v="367"/>
    <n v="279"/>
    <n v="221"/>
    <n v="144"/>
    <n v="63"/>
    <n v="1652"/>
  </r>
  <r>
    <n v="2025"/>
    <n v="1"/>
    <x v="19"/>
    <s v="national network"/>
    <x v="29"/>
    <x v="2"/>
    <s v="No"/>
    <x v="0"/>
    <s v="No"/>
    <n v="26"/>
    <n v="3"/>
    <n v="0"/>
    <n v="3"/>
    <n v="0"/>
    <n v="0"/>
    <n v="0"/>
    <n v="0"/>
    <n v="0"/>
    <n v="0"/>
    <n v="0"/>
    <n v="0"/>
  </r>
  <r>
    <n v="2025"/>
    <n v="1"/>
    <x v="19"/>
    <s v="national network"/>
    <x v="30"/>
    <x v="1"/>
    <s v="No"/>
    <x v="0"/>
    <s v="Yes"/>
    <n v="139"/>
    <n v="5"/>
    <n v="2"/>
    <n v="7"/>
    <n v="36"/>
    <n v="27"/>
    <n v="27"/>
    <n v="12"/>
    <n v="9"/>
    <n v="7"/>
    <n v="3"/>
    <n v="132"/>
  </r>
  <r>
    <n v="2025"/>
    <n v="1"/>
    <x v="19"/>
    <s v="national network"/>
    <x v="30"/>
    <x v="2"/>
    <s v="No"/>
    <x v="0"/>
    <s v="Yes"/>
    <n v="87"/>
    <n v="3"/>
    <n v="0"/>
    <n v="3"/>
    <n v="0"/>
    <n v="0"/>
    <n v="0"/>
    <n v="0"/>
    <n v="0"/>
    <n v="0"/>
    <n v="0"/>
    <n v="0"/>
  </r>
  <r>
    <n v="2025"/>
    <n v="1"/>
    <x v="19"/>
    <s v="national network"/>
    <x v="25"/>
    <x v="1"/>
    <s v="Yes"/>
    <x v="0"/>
    <s v="No"/>
    <n v="30"/>
    <n v="0"/>
    <n v="1"/>
    <n v="1"/>
    <n v="14"/>
    <n v="11"/>
    <n v="11"/>
    <n v="7"/>
    <n v="5"/>
    <n v="4"/>
    <n v="1"/>
    <n v="30"/>
  </r>
  <r>
    <n v="2025"/>
    <n v="1"/>
    <x v="19"/>
    <s v="national network"/>
    <x v="25"/>
    <x v="0"/>
    <s v="Yes"/>
    <x v="0"/>
    <s v="No"/>
    <n v="952"/>
    <n v="0"/>
    <n v="2"/>
    <n v="2"/>
    <n v="201"/>
    <n v="126"/>
    <n v="126"/>
    <n v="102"/>
    <n v="85"/>
    <n v="47"/>
    <n v="21"/>
    <n v="949"/>
  </r>
  <r>
    <n v="2025"/>
    <n v="1"/>
    <x v="19"/>
    <s v="national network"/>
    <x v="25"/>
    <x v="2"/>
    <s v="Yes"/>
    <x v="0"/>
    <s v="No"/>
    <n v="16"/>
    <n v="0"/>
    <n v="0"/>
    <n v="0"/>
    <n v="0"/>
    <n v="0"/>
    <n v="0"/>
    <n v="0"/>
    <n v="0"/>
    <n v="0"/>
    <n v="0"/>
    <n v="0"/>
  </r>
  <r>
    <n v="2025"/>
    <n v="1"/>
    <x v="19"/>
    <s v="national network"/>
    <x v="5"/>
    <x v="0"/>
    <s v="No"/>
    <x v="0"/>
    <s v="Yes"/>
    <n v="43"/>
    <n v="2"/>
    <n v="0"/>
    <n v="2"/>
    <n v="5"/>
    <n v="5"/>
    <n v="5"/>
    <n v="5"/>
    <n v="5"/>
    <n v="5"/>
    <n v="1"/>
    <n v="37"/>
  </r>
  <r>
    <n v="2025"/>
    <n v="1"/>
    <x v="19"/>
    <s v="national network"/>
    <x v="11"/>
    <x v="0"/>
    <s v="Yes"/>
    <x v="0"/>
    <s v="No"/>
    <n v="113"/>
    <n v="0"/>
    <n v="0"/>
    <n v="0"/>
    <n v="24"/>
    <n v="16"/>
    <n v="15"/>
    <n v="8"/>
    <n v="5"/>
    <n v="3"/>
    <n v="2"/>
    <n v="113"/>
  </r>
  <r>
    <n v="2025"/>
    <n v="1"/>
    <x v="19"/>
    <s v="national network"/>
    <x v="1"/>
    <x v="1"/>
    <s v="Yes"/>
    <x v="0"/>
    <s v="No"/>
    <n v="10881"/>
    <n v="27"/>
    <n v="116"/>
    <n v="143"/>
    <n v="2866"/>
    <n v="1720"/>
    <n v="1720"/>
    <n v="1201"/>
    <n v="916"/>
    <n v="453"/>
    <n v="179"/>
    <n v="10824"/>
  </r>
  <r>
    <n v="2025"/>
    <n v="1"/>
    <x v="19"/>
    <s v="national network"/>
    <x v="1"/>
    <x v="0"/>
    <s v="Yes"/>
    <x v="0"/>
    <s v="No"/>
    <n v="702"/>
    <n v="0"/>
    <n v="2"/>
    <n v="2"/>
    <n v="284"/>
    <n v="156"/>
    <n v="156"/>
    <n v="114"/>
    <n v="78"/>
    <n v="33"/>
    <n v="12"/>
    <n v="701"/>
  </r>
  <r>
    <n v="2025"/>
    <n v="1"/>
    <x v="19"/>
    <s v="national network"/>
    <x v="1"/>
    <x v="2"/>
    <s v="Yes"/>
    <x v="0"/>
    <s v="No"/>
    <n v="684"/>
    <n v="4"/>
    <n v="0"/>
    <n v="4"/>
    <n v="0"/>
    <n v="0"/>
    <n v="0"/>
    <n v="0"/>
    <n v="0"/>
    <n v="0"/>
    <n v="0"/>
    <n v="0"/>
  </r>
  <r>
    <n v="2025"/>
    <n v="1"/>
    <x v="20"/>
    <s v="national network"/>
    <x v="2"/>
    <x v="0"/>
    <s v="No"/>
    <x v="1"/>
    <s v="No"/>
    <n v="342"/>
    <n v="0"/>
    <n v="0"/>
    <n v="0"/>
    <n v="9"/>
    <n v="7"/>
    <n v="5"/>
    <n v="3"/>
    <n v="3"/>
    <n v="2"/>
    <n v="1"/>
    <n v="342"/>
  </r>
  <r>
    <n v="2025"/>
    <n v="1"/>
    <x v="20"/>
    <s v="national network"/>
    <x v="3"/>
    <x v="0"/>
    <s v="No"/>
    <x v="1"/>
    <s v="No"/>
    <n v="124"/>
    <n v="0"/>
    <n v="0"/>
    <n v="0"/>
    <n v="3"/>
    <n v="3"/>
    <n v="3"/>
    <n v="3"/>
    <n v="3"/>
    <n v="2"/>
    <n v="1"/>
    <n v="110"/>
  </r>
  <r>
    <n v="2025"/>
    <n v="1"/>
    <x v="20"/>
    <s v="national network"/>
    <x v="4"/>
    <x v="0"/>
    <s v="No"/>
    <x v="0"/>
    <s v="Yes"/>
    <n v="105"/>
    <n v="1"/>
    <n v="0"/>
    <n v="1"/>
    <n v="6"/>
    <n v="4"/>
    <n v="4"/>
    <n v="4"/>
    <n v="2"/>
    <n v="2"/>
    <n v="2"/>
    <n v="83"/>
  </r>
  <r>
    <n v="2025"/>
    <n v="1"/>
    <x v="20"/>
    <s v="national network"/>
    <x v="0"/>
    <x v="0"/>
    <s v="No"/>
    <x v="1"/>
    <s v="No"/>
    <n v="59"/>
    <n v="0"/>
    <n v="0"/>
    <n v="0"/>
    <n v="7"/>
    <n v="6"/>
    <n v="6"/>
    <n v="5"/>
    <n v="4"/>
    <n v="2"/>
    <n v="1"/>
    <n v="45"/>
  </r>
  <r>
    <n v="2025"/>
    <n v="1"/>
    <x v="21"/>
    <s v="national network"/>
    <x v="2"/>
    <x v="0"/>
    <s v="No"/>
    <x v="1"/>
    <s v="No"/>
    <n v="54"/>
    <n v="0"/>
    <n v="0"/>
    <n v="0"/>
    <n v="12"/>
    <n v="10"/>
    <n v="8"/>
    <n v="5"/>
    <n v="5"/>
    <n v="3"/>
    <n v="0"/>
    <n v="54"/>
  </r>
  <r>
    <n v="2025"/>
    <n v="1"/>
    <x v="21"/>
    <s v="national network"/>
    <x v="3"/>
    <x v="1"/>
    <s v="No"/>
    <x v="1"/>
    <s v="No"/>
    <n v="92"/>
    <n v="0"/>
    <n v="0"/>
    <n v="0"/>
    <n v="43"/>
    <n v="34"/>
    <n v="26"/>
    <n v="15"/>
    <n v="10"/>
    <n v="5"/>
    <n v="3"/>
    <n v="92"/>
  </r>
  <r>
    <n v="2025"/>
    <n v="1"/>
    <x v="21"/>
    <s v="national network"/>
    <x v="3"/>
    <x v="0"/>
    <s v="No"/>
    <x v="1"/>
    <s v="No"/>
    <n v="1412"/>
    <n v="5"/>
    <n v="18"/>
    <n v="23"/>
    <n v="412"/>
    <n v="327"/>
    <n v="279"/>
    <n v="184"/>
    <n v="124"/>
    <n v="52"/>
    <n v="20"/>
    <n v="1384"/>
  </r>
  <r>
    <n v="2025"/>
    <n v="1"/>
    <x v="21"/>
    <s v="national network"/>
    <x v="4"/>
    <x v="1"/>
    <s v="No"/>
    <x v="0"/>
    <s v="Yes"/>
    <n v="3"/>
    <n v="0"/>
    <n v="2"/>
    <n v="2"/>
    <n v="1"/>
    <n v="1"/>
    <n v="1"/>
    <n v="1"/>
    <n v="1"/>
    <n v="0"/>
    <n v="0"/>
    <n v="3"/>
  </r>
  <r>
    <n v="2025"/>
    <n v="1"/>
    <x v="21"/>
    <s v="national network"/>
    <x v="4"/>
    <x v="0"/>
    <s v="No"/>
    <x v="0"/>
    <s v="Yes"/>
    <n v="27"/>
    <n v="0"/>
    <n v="17"/>
    <n v="17"/>
    <n v="2"/>
    <n v="2"/>
    <n v="2"/>
    <n v="2"/>
    <n v="2"/>
    <n v="1"/>
    <n v="1"/>
    <n v="27"/>
  </r>
  <r>
    <n v="2025"/>
    <n v="1"/>
    <x v="21"/>
    <s v="national network"/>
    <x v="28"/>
    <x v="1"/>
    <s v="No"/>
    <x v="0"/>
    <s v="No"/>
    <n v="5"/>
    <n v="0"/>
    <n v="1"/>
    <n v="1"/>
    <n v="2"/>
    <n v="2"/>
    <n v="2"/>
    <n v="2"/>
    <n v="2"/>
    <n v="1"/>
    <n v="0"/>
    <n v="4"/>
  </r>
  <r>
    <n v="2025"/>
    <n v="1"/>
    <x v="21"/>
    <s v="national network"/>
    <x v="31"/>
    <x v="1"/>
    <s v="No"/>
    <x v="0"/>
    <s v="No"/>
    <n v="512"/>
    <n v="0"/>
    <n v="19"/>
    <n v="19"/>
    <n v="266"/>
    <n v="214"/>
    <n v="182"/>
    <n v="123"/>
    <n v="100"/>
    <n v="46"/>
    <n v="17"/>
    <n v="495"/>
  </r>
  <r>
    <n v="2025"/>
    <n v="1"/>
    <x v="21"/>
    <s v="national network"/>
    <x v="32"/>
    <x v="1"/>
    <s v="No"/>
    <x v="0"/>
    <s v="No"/>
    <n v="296"/>
    <n v="0"/>
    <n v="9"/>
    <n v="9"/>
    <n v="142"/>
    <n v="106"/>
    <n v="88"/>
    <n v="64"/>
    <n v="41"/>
    <n v="17"/>
    <n v="7"/>
    <n v="288"/>
  </r>
  <r>
    <n v="2025"/>
    <n v="1"/>
    <x v="21"/>
    <s v="national network"/>
    <x v="33"/>
    <x v="1"/>
    <s v="Yes"/>
    <x v="0"/>
    <s v="No"/>
    <n v="7091"/>
    <n v="0"/>
    <n v="176"/>
    <n v="176"/>
    <n v="2989"/>
    <n v="2283"/>
    <n v="2057"/>
    <n v="1453"/>
    <n v="1071"/>
    <n v="553"/>
    <n v="171"/>
    <n v="6934"/>
  </r>
  <r>
    <n v="2025"/>
    <n v="1"/>
    <x v="21"/>
    <s v="national network"/>
    <x v="33"/>
    <x v="2"/>
    <s v="Yes"/>
    <x v="0"/>
    <s v="No"/>
    <n v="1"/>
    <n v="0"/>
    <n v="0"/>
    <n v="0"/>
    <n v="0"/>
    <n v="0"/>
    <n v="0"/>
    <n v="0"/>
    <n v="0"/>
    <n v="0"/>
    <n v="0"/>
    <n v="0"/>
  </r>
  <r>
    <n v="2025"/>
    <n v="1"/>
    <x v="21"/>
    <s v="national network"/>
    <x v="0"/>
    <x v="1"/>
    <s v="No"/>
    <x v="0"/>
    <s v="No"/>
    <n v="3277"/>
    <n v="0"/>
    <n v="174"/>
    <n v="174"/>
    <n v="1283"/>
    <n v="1018"/>
    <n v="910"/>
    <n v="608"/>
    <n v="437"/>
    <n v="232"/>
    <n v="89"/>
    <n v="3129"/>
  </r>
  <r>
    <n v="2025"/>
    <n v="1"/>
    <x v="21"/>
    <s v="national network"/>
    <x v="34"/>
    <x v="1"/>
    <s v="No"/>
    <x v="0"/>
    <s v="Yes"/>
    <n v="545"/>
    <n v="0"/>
    <n v="0"/>
    <n v="0"/>
    <n v="137"/>
    <n v="114"/>
    <n v="101"/>
    <n v="72"/>
    <n v="59"/>
    <n v="35"/>
    <n v="19"/>
    <n v="545"/>
  </r>
  <r>
    <n v="2025"/>
    <n v="1"/>
    <x v="21"/>
    <s v="national network"/>
    <x v="9"/>
    <x v="1"/>
    <s v="No"/>
    <x v="0"/>
    <s v="No"/>
    <n v="5"/>
    <n v="0"/>
    <n v="4"/>
    <n v="4"/>
    <n v="1"/>
    <n v="0"/>
    <n v="0"/>
    <n v="0"/>
    <n v="0"/>
    <n v="0"/>
    <n v="0"/>
    <n v="4"/>
  </r>
  <r>
    <n v="2025"/>
    <n v="1"/>
    <x v="21"/>
    <s v="national network"/>
    <x v="9"/>
    <x v="0"/>
    <s v="No"/>
    <x v="0"/>
    <s v="No"/>
    <n v="50"/>
    <n v="0"/>
    <n v="0"/>
    <n v="0"/>
    <n v="0"/>
    <n v="0"/>
    <n v="0"/>
    <n v="0"/>
    <n v="0"/>
    <n v="0"/>
    <n v="0"/>
    <n v="50"/>
  </r>
  <r>
    <n v="2025"/>
    <n v="1"/>
    <x v="21"/>
    <s v="national network"/>
    <x v="35"/>
    <x v="1"/>
    <s v="No"/>
    <x v="1"/>
    <s v="No"/>
    <n v="6721"/>
    <n v="0"/>
    <n v="327"/>
    <n v="327"/>
    <n v="468"/>
    <n v="238"/>
    <n v="191"/>
    <n v="100"/>
    <n v="52"/>
    <n v="12"/>
    <n v="4"/>
    <n v="6464"/>
  </r>
  <r>
    <n v="2025"/>
    <n v="1"/>
    <x v="21"/>
    <s v="national network"/>
    <x v="36"/>
    <x v="1"/>
    <s v="No"/>
    <x v="1"/>
    <s v="No"/>
    <n v="3"/>
    <n v="0"/>
    <n v="1"/>
    <n v="1"/>
    <n v="1"/>
    <n v="1"/>
    <n v="1"/>
    <n v="0"/>
    <n v="0"/>
    <n v="0"/>
    <n v="0"/>
    <n v="2"/>
  </r>
  <r>
    <n v="2025"/>
    <n v="1"/>
    <x v="21"/>
    <s v="national network"/>
    <x v="36"/>
    <x v="2"/>
    <s v="No"/>
    <x v="1"/>
    <s v="No"/>
    <n v="13"/>
    <n v="3"/>
    <n v="0"/>
    <n v="3"/>
    <n v="0"/>
    <n v="0"/>
    <n v="0"/>
    <n v="0"/>
    <n v="0"/>
    <n v="0"/>
    <n v="0"/>
    <n v="0"/>
  </r>
  <r>
    <n v="2025"/>
    <n v="1"/>
    <x v="21"/>
    <s v="national network"/>
    <x v="5"/>
    <x v="1"/>
    <s v="No"/>
    <x v="0"/>
    <s v="Yes"/>
    <n v="52"/>
    <n v="0"/>
    <n v="0"/>
    <n v="0"/>
    <n v="18"/>
    <n v="16"/>
    <n v="16"/>
    <n v="14"/>
    <n v="14"/>
    <n v="7"/>
    <n v="5"/>
    <n v="52"/>
  </r>
  <r>
    <n v="2025"/>
    <n v="1"/>
    <x v="21"/>
    <s v="national network"/>
    <x v="5"/>
    <x v="0"/>
    <s v="No"/>
    <x v="0"/>
    <s v="Yes"/>
    <n v="169"/>
    <n v="1"/>
    <n v="9"/>
    <n v="10"/>
    <n v="20"/>
    <n v="19"/>
    <n v="17"/>
    <n v="16"/>
    <n v="15"/>
    <n v="10"/>
    <n v="4"/>
    <n v="156"/>
  </r>
  <r>
    <n v="2025"/>
    <n v="1"/>
    <x v="21"/>
    <s v="national network"/>
    <x v="37"/>
    <x v="1"/>
    <s v="No"/>
    <x v="1"/>
    <s v="No"/>
    <n v="224570"/>
    <n v="234"/>
    <n v="7586"/>
    <n v="7820"/>
    <n v="42279"/>
    <n v="23477"/>
    <n v="18494"/>
    <n v="9176"/>
    <n v="5310"/>
    <n v="1693"/>
    <n v="375"/>
    <n v="217988"/>
  </r>
  <r>
    <n v="2025"/>
    <n v="1"/>
    <x v="21"/>
    <s v="national network"/>
    <x v="37"/>
    <x v="0"/>
    <s v="No"/>
    <x v="1"/>
    <s v="No"/>
    <n v="5999"/>
    <n v="260"/>
    <n v="74"/>
    <n v="334"/>
    <n v="1247"/>
    <n v="660"/>
    <n v="481"/>
    <n v="193"/>
    <n v="105"/>
    <n v="18"/>
    <n v="2"/>
    <n v="5675"/>
  </r>
  <r>
    <n v="2025"/>
    <n v="1"/>
    <x v="21"/>
    <s v="national network"/>
    <x v="6"/>
    <x v="0"/>
    <s v="No"/>
    <x v="0"/>
    <s v="No"/>
    <n v="138"/>
    <n v="0"/>
    <n v="0"/>
    <n v="0"/>
    <n v="15"/>
    <n v="14"/>
    <n v="13"/>
    <n v="11"/>
    <n v="9"/>
    <n v="4"/>
    <n v="2"/>
    <n v="138"/>
  </r>
  <r>
    <n v="2025"/>
    <n v="1"/>
    <x v="21"/>
    <s v="national network"/>
    <x v="10"/>
    <x v="0"/>
    <s v="Yes"/>
    <x v="0"/>
    <s v="No"/>
    <n v="7"/>
    <n v="0"/>
    <n v="0"/>
    <n v="0"/>
    <n v="2"/>
    <n v="2"/>
    <n v="2"/>
    <n v="1"/>
    <n v="0"/>
    <n v="0"/>
    <n v="0"/>
    <n v="7"/>
  </r>
  <r>
    <n v="2025"/>
    <n v="1"/>
    <x v="22"/>
    <s v="whole journey"/>
    <x v="33"/>
    <x v="1"/>
    <s v="Yes"/>
    <x v="0"/>
    <s v="No"/>
    <n v="271"/>
    <n v="0"/>
    <n v="0"/>
    <n v="0"/>
    <n v="52"/>
    <n v="35"/>
    <n v="30"/>
    <n v="16"/>
    <n v="9"/>
    <n v="5"/>
    <n v="2"/>
    <n v="271"/>
  </r>
  <r>
    <n v="2025"/>
    <n v="1"/>
    <x v="23"/>
    <s v="national network"/>
    <x v="38"/>
    <x v="1"/>
    <s v="No"/>
    <x v="1"/>
    <s v="No"/>
    <n v="7"/>
    <n v="0"/>
    <n v="0"/>
    <n v="0"/>
    <n v="0"/>
    <n v="0"/>
    <n v="0"/>
    <n v="0"/>
    <n v="0"/>
    <n v="0"/>
    <n v="0"/>
    <n v="7"/>
  </r>
  <r>
    <n v="2025"/>
    <n v="1"/>
    <x v="23"/>
    <s v="national network"/>
    <x v="39"/>
    <x v="1"/>
    <s v="No"/>
    <x v="1"/>
    <s v="No"/>
    <n v="175"/>
    <n v="0"/>
    <n v="0"/>
    <n v="0"/>
    <n v="2"/>
    <n v="2"/>
    <n v="2"/>
    <n v="2"/>
    <n v="1"/>
    <n v="0"/>
    <n v="0"/>
    <n v="175"/>
  </r>
  <r>
    <n v="2025"/>
    <n v="1"/>
    <x v="23"/>
    <s v="national network"/>
    <x v="39"/>
    <x v="0"/>
    <s v="No"/>
    <x v="1"/>
    <s v="No"/>
    <n v="466"/>
    <n v="0"/>
    <n v="0"/>
    <n v="0"/>
    <n v="0"/>
    <n v="0"/>
    <n v="0"/>
    <n v="0"/>
    <n v="0"/>
    <n v="0"/>
    <n v="0"/>
    <n v="466"/>
  </r>
  <r>
    <n v="2025"/>
    <n v="1"/>
    <x v="23"/>
    <s v="national network"/>
    <x v="40"/>
    <x v="1"/>
    <s v="No"/>
    <x v="1"/>
    <s v="No"/>
    <n v="734"/>
    <n v="0"/>
    <n v="0"/>
    <n v="0"/>
    <n v="0"/>
    <n v="0"/>
    <n v="0"/>
    <n v="0"/>
    <n v="0"/>
    <n v="0"/>
    <n v="0"/>
    <n v="734"/>
  </r>
  <r>
    <n v="2025"/>
    <n v="1"/>
    <x v="23"/>
    <s v="national network"/>
    <x v="41"/>
    <x v="1"/>
    <s v="No"/>
    <x v="1"/>
    <s v="No"/>
    <n v="3"/>
    <n v="0"/>
    <n v="0"/>
    <n v="0"/>
    <n v="2"/>
    <n v="1"/>
    <n v="1"/>
    <n v="1"/>
    <n v="1"/>
    <n v="1"/>
    <n v="0"/>
    <n v="3"/>
  </r>
  <r>
    <n v="2025"/>
    <n v="1"/>
    <x v="23"/>
    <s v="national network"/>
    <x v="7"/>
    <x v="0"/>
    <s v="No"/>
    <x v="1"/>
    <s v="No"/>
    <n v="106"/>
    <n v="1"/>
    <n v="1"/>
    <n v="2"/>
    <n v="42"/>
    <n v="27"/>
    <n v="23"/>
    <n v="9"/>
    <n v="5"/>
    <n v="3"/>
    <n v="2"/>
    <n v="104"/>
  </r>
  <r>
    <n v="2025"/>
    <n v="1"/>
    <x v="23"/>
    <s v="national network"/>
    <x v="42"/>
    <x v="0"/>
    <s v="No"/>
    <x v="1"/>
    <s v="No"/>
    <n v="14"/>
    <n v="0"/>
    <n v="0"/>
    <n v="0"/>
    <n v="2"/>
    <n v="1"/>
    <n v="1"/>
    <n v="1"/>
    <n v="1"/>
    <n v="0"/>
    <n v="0"/>
    <n v="14"/>
  </r>
  <r>
    <n v="2025"/>
    <n v="1"/>
    <x v="23"/>
    <s v="national network"/>
    <x v="43"/>
    <x v="1"/>
    <s v="No"/>
    <x v="1"/>
    <s v="No"/>
    <n v="33"/>
    <n v="0"/>
    <n v="0"/>
    <n v="0"/>
    <n v="0"/>
    <n v="0"/>
    <n v="0"/>
    <n v="0"/>
    <n v="0"/>
    <n v="0"/>
    <n v="0"/>
    <n v="33"/>
  </r>
  <r>
    <n v="2025"/>
    <n v="1"/>
    <x v="23"/>
    <s v="national network"/>
    <x v="43"/>
    <x v="0"/>
    <s v="No"/>
    <x v="1"/>
    <s v="No"/>
    <n v="38"/>
    <n v="0"/>
    <n v="0"/>
    <n v="0"/>
    <n v="0"/>
    <n v="0"/>
    <n v="0"/>
    <n v="0"/>
    <n v="0"/>
    <n v="0"/>
    <n v="0"/>
    <n v="38"/>
  </r>
  <r>
    <n v="2025"/>
    <n v="1"/>
    <x v="23"/>
    <s v="national network"/>
    <x v="0"/>
    <x v="0"/>
    <s v="No"/>
    <x v="1"/>
    <s v="No"/>
    <n v="78"/>
    <n v="0"/>
    <n v="0"/>
    <n v="0"/>
    <n v="5"/>
    <n v="4"/>
    <n v="3"/>
    <n v="1"/>
    <n v="1"/>
    <n v="0"/>
    <n v="0"/>
    <n v="78"/>
  </r>
  <r>
    <n v="2025"/>
    <n v="1"/>
    <x v="23"/>
    <s v="national network"/>
    <x v="9"/>
    <x v="0"/>
    <s v="No"/>
    <x v="1"/>
    <s v="No"/>
    <n v="146"/>
    <n v="0"/>
    <n v="0"/>
    <n v="0"/>
    <n v="11"/>
    <n v="3"/>
    <n v="3"/>
    <n v="0"/>
    <n v="0"/>
    <n v="0"/>
    <n v="0"/>
    <n v="146"/>
  </r>
  <r>
    <n v="2025"/>
    <n v="1"/>
    <x v="23"/>
    <s v="national network"/>
    <x v="44"/>
    <x v="0"/>
    <s v="No"/>
    <x v="1"/>
    <s v="No"/>
    <n v="21"/>
    <n v="0"/>
    <n v="0"/>
    <n v="0"/>
    <n v="0"/>
    <n v="0"/>
    <n v="0"/>
    <n v="0"/>
    <n v="0"/>
    <n v="0"/>
    <n v="0"/>
    <n v="21"/>
  </r>
  <r>
    <n v="2025"/>
    <n v="1"/>
    <x v="23"/>
    <s v="national network"/>
    <x v="45"/>
    <x v="0"/>
    <s v="No"/>
    <x v="1"/>
    <s v="No"/>
    <n v="6"/>
    <n v="0"/>
    <n v="0"/>
    <n v="0"/>
    <n v="1"/>
    <n v="1"/>
    <n v="1"/>
    <n v="1"/>
    <n v="0"/>
    <n v="0"/>
    <n v="0"/>
    <n v="6"/>
  </r>
  <r>
    <n v="2025"/>
    <n v="1"/>
    <x v="23"/>
    <s v="national network"/>
    <x v="46"/>
    <x v="1"/>
    <s v="No"/>
    <x v="1"/>
    <s v="No"/>
    <n v="17"/>
    <n v="2"/>
    <n v="1"/>
    <n v="3"/>
    <n v="6"/>
    <n v="5"/>
    <n v="5"/>
    <n v="5"/>
    <n v="2"/>
    <n v="1"/>
    <n v="1"/>
    <n v="15"/>
  </r>
  <r>
    <n v="2025"/>
    <n v="1"/>
    <x v="24"/>
    <s v="national network"/>
    <x v="2"/>
    <x v="0"/>
    <s v="No"/>
    <x v="1"/>
    <s v="No"/>
    <n v="19"/>
    <n v="0"/>
    <n v="0"/>
    <n v="0"/>
    <n v="0"/>
    <n v="0"/>
    <n v="0"/>
    <n v="0"/>
    <n v="0"/>
    <n v="0"/>
    <n v="0"/>
    <n v="19"/>
  </r>
  <r>
    <n v="2025"/>
    <n v="1"/>
    <x v="25"/>
    <s v="whole journey"/>
    <x v="47"/>
    <x v="1"/>
    <s v="No"/>
    <x v="0"/>
    <s v="No"/>
    <n v="1385"/>
    <n v="0"/>
    <n v="0"/>
    <n v="0"/>
    <n v="16"/>
    <n v="13"/>
    <n v="12"/>
    <n v="7"/>
    <n v="4"/>
    <n v="3"/>
    <n v="0"/>
    <n v="1110"/>
  </r>
  <r>
    <n v="2025"/>
    <n v="1"/>
    <x v="25"/>
    <s v="whole journey"/>
    <x v="47"/>
    <x v="0"/>
    <s v="No"/>
    <x v="0"/>
    <s v="No"/>
    <n v="363"/>
    <n v="0"/>
    <n v="10"/>
    <n v="10"/>
    <n v="138"/>
    <n v="102"/>
    <n v="85"/>
    <n v="47"/>
    <n v="22"/>
    <n v="6"/>
    <n v="2"/>
    <n v="363"/>
  </r>
  <r>
    <n v="2025"/>
    <n v="1"/>
    <x v="26"/>
    <s v="national network"/>
    <x v="3"/>
    <x v="0"/>
    <s v="No"/>
    <x v="1"/>
    <s v="No"/>
    <n v="68"/>
    <n v="0"/>
    <n v="0"/>
    <n v="0"/>
    <n v="5"/>
    <n v="5"/>
    <n v="4"/>
    <n v="3"/>
    <n v="2"/>
    <n v="0"/>
    <n v="0"/>
    <n v="68"/>
  </r>
  <r>
    <n v="2025"/>
    <n v="1"/>
    <x v="26"/>
    <s v="national network"/>
    <x v="4"/>
    <x v="0"/>
    <s v="No"/>
    <x v="0"/>
    <s v="Yes"/>
    <n v="87"/>
    <n v="0"/>
    <n v="0"/>
    <n v="0"/>
    <n v="0"/>
    <n v="0"/>
    <n v="0"/>
    <n v="0"/>
    <n v="0"/>
    <n v="0"/>
    <n v="0"/>
    <n v="49"/>
  </r>
  <r>
    <n v="2025"/>
    <n v="1"/>
    <x v="26"/>
    <s v="national network"/>
    <x v="5"/>
    <x v="0"/>
    <s v="No"/>
    <x v="0"/>
    <s v="Yes"/>
    <n v="6"/>
    <n v="0"/>
    <n v="0"/>
    <n v="0"/>
    <n v="0"/>
    <n v="0"/>
    <n v="0"/>
    <n v="0"/>
    <n v="0"/>
    <n v="0"/>
    <n v="0"/>
    <n v="0"/>
  </r>
  <r>
    <n v="2025"/>
    <n v="1"/>
    <x v="26"/>
    <s v="national network"/>
    <x v="10"/>
    <x v="0"/>
    <s v="Yes"/>
    <x v="0"/>
    <s v="No"/>
    <n v="45"/>
    <n v="0"/>
    <n v="0"/>
    <n v="0"/>
    <n v="2"/>
    <n v="1"/>
    <n v="1"/>
    <n v="1"/>
    <n v="1"/>
    <n v="0"/>
    <n v="0"/>
    <n v="45"/>
  </r>
  <r>
    <n v="2025"/>
    <n v="2"/>
    <x v="0"/>
    <s v="national network"/>
    <x v="0"/>
    <x v="0"/>
    <s v="No"/>
    <x v="0"/>
    <s v="No"/>
    <n v="809"/>
    <n v="8"/>
    <n v="0"/>
    <n v="8"/>
    <n v="161"/>
    <n v="92"/>
    <n v="69"/>
    <n v="43"/>
    <n v="29"/>
    <n v="8"/>
    <n v="0"/>
    <n v="801"/>
  </r>
  <r>
    <n v="2025"/>
    <n v="2"/>
    <x v="0"/>
    <s v="national network"/>
    <x v="1"/>
    <x v="0"/>
    <s v="Yes"/>
    <x v="0"/>
    <s v="No"/>
    <n v="68"/>
    <n v="0"/>
    <n v="0"/>
    <n v="0"/>
    <n v="39"/>
    <n v="21"/>
    <n v="21"/>
    <n v="19"/>
    <n v="12"/>
    <n v="5"/>
    <n v="3"/>
    <n v="68"/>
  </r>
  <r>
    <n v="2025"/>
    <n v="2"/>
    <x v="0"/>
    <s v="national network"/>
    <x v="1"/>
    <x v="2"/>
    <s v="Yes"/>
    <x v="0"/>
    <s v="No"/>
    <n v="4"/>
    <n v="0"/>
    <n v="0"/>
    <n v="0"/>
    <n v="0"/>
    <n v="0"/>
    <n v="0"/>
    <n v="0"/>
    <n v="0"/>
    <n v="0"/>
    <n v="0"/>
    <n v="0"/>
  </r>
  <r>
    <n v="2025"/>
    <n v="2"/>
    <x v="1"/>
    <s v="national network"/>
    <x v="2"/>
    <x v="0"/>
    <s v="No"/>
    <x v="1"/>
    <s v="No"/>
    <n v="54"/>
    <n v="0"/>
    <n v="0"/>
    <n v="0"/>
    <n v="1"/>
    <n v="1"/>
    <n v="1"/>
    <n v="0"/>
    <n v="0"/>
    <n v="0"/>
    <n v="0"/>
    <n v="54"/>
  </r>
  <r>
    <n v="2025"/>
    <n v="2"/>
    <x v="2"/>
    <s v="national network"/>
    <x v="3"/>
    <x v="0"/>
    <s v="No"/>
    <x v="1"/>
    <s v="No"/>
    <n v="876"/>
    <n v="1"/>
    <n v="0"/>
    <n v="1"/>
    <n v="128"/>
    <n v="102"/>
    <n v="92"/>
    <n v="64"/>
    <n v="49"/>
    <n v="24"/>
    <n v="6"/>
    <n v="875"/>
  </r>
  <r>
    <n v="2025"/>
    <n v="2"/>
    <x v="2"/>
    <s v="national network"/>
    <x v="4"/>
    <x v="0"/>
    <s v="No"/>
    <x v="0"/>
    <s v="Yes"/>
    <n v="159"/>
    <n v="0"/>
    <n v="0"/>
    <n v="0"/>
    <n v="43"/>
    <n v="39"/>
    <n v="37"/>
    <n v="29"/>
    <n v="24"/>
    <n v="15"/>
    <n v="6"/>
    <n v="159"/>
  </r>
  <r>
    <n v="2025"/>
    <n v="2"/>
    <x v="2"/>
    <s v="national network"/>
    <x v="0"/>
    <x v="0"/>
    <s v="No"/>
    <x v="1"/>
    <s v="No"/>
    <n v="223"/>
    <n v="0"/>
    <n v="0"/>
    <n v="0"/>
    <n v="0"/>
    <n v="0"/>
    <n v="0"/>
    <n v="0"/>
    <n v="0"/>
    <n v="0"/>
    <n v="0"/>
    <n v="223"/>
  </r>
  <r>
    <n v="2025"/>
    <n v="2"/>
    <x v="2"/>
    <s v="national network"/>
    <x v="0"/>
    <x v="0"/>
    <s v="No"/>
    <x v="0"/>
    <s v="No"/>
    <n v="53"/>
    <n v="0"/>
    <n v="0"/>
    <n v="0"/>
    <n v="7"/>
    <n v="7"/>
    <n v="7"/>
    <n v="6"/>
    <n v="6"/>
    <n v="5"/>
    <n v="0"/>
    <n v="53"/>
  </r>
  <r>
    <n v="2025"/>
    <n v="2"/>
    <x v="2"/>
    <s v="national network"/>
    <x v="5"/>
    <x v="0"/>
    <s v="No"/>
    <x v="0"/>
    <s v="Yes"/>
    <n v="56"/>
    <n v="0"/>
    <n v="0"/>
    <n v="0"/>
    <n v="19"/>
    <n v="18"/>
    <n v="18"/>
    <n v="11"/>
    <n v="8"/>
    <n v="4"/>
    <n v="3"/>
    <n v="56"/>
  </r>
  <r>
    <n v="2025"/>
    <n v="2"/>
    <x v="2"/>
    <s v="national network"/>
    <x v="6"/>
    <x v="0"/>
    <s v="No"/>
    <x v="0"/>
    <s v="No"/>
    <n v="445"/>
    <n v="0"/>
    <n v="0"/>
    <n v="0"/>
    <n v="35"/>
    <n v="27"/>
    <n v="26"/>
    <n v="15"/>
    <n v="7"/>
    <n v="5"/>
    <n v="3"/>
    <n v="445"/>
  </r>
  <r>
    <n v="2025"/>
    <n v="2"/>
    <x v="3"/>
    <s v="national network"/>
    <x v="3"/>
    <x v="1"/>
    <s v="No"/>
    <x v="0"/>
    <s v="No"/>
    <n v="15"/>
    <n v="0"/>
    <n v="1"/>
    <n v="1"/>
    <n v="7"/>
    <n v="7"/>
    <n v="6"/>
    <n v="5"/>
    <n v="3"/>
    <n v="1"/>
    <n v="0"/>
    <n v="14"/>
  </r>
  <r>
    <n v="2025"/>
    <n v="2"/>
    <x v="3"/>
    <s v="national network"/>
    <x v="3"/>
    <x v="0"/>
    <s v="No"/>
    <x v="0"/>
    <s v="No"/>
    <n v="1735"/>
    <n v="19"/>
    <n v="120"/>
    <n v="139"/>
    <n v="955"/>
    <n v="805"/>
    <n v="744"/>
    <n v="582"/>
    <n v="457"/>
    <n v="241"/>
    <n v="68"/>
    <n v="1661"/>
  </r>
  <r>
    <n v="2025"/>
    <n v="2"/>
    <x v="3"/>
    <s v="national network"/>
    <x v="3"/>
    <x v="2"/>
    <s v="No"/>
    <x v="0"/>
    <s v="No"/>
    <n v="1"/>
    <n v="0"/>
    <n v="0"/>
    <n v="0"/>
    <n v="0"/>
    <n v="0"/>
    <n v="0"/>
    <n v="0"/>
    <n v="0"/>
    <n v="0"/>
    <n v="0"/>
    <n v="0"/>
  </r>
  <r>
    <n v="2025"/>
    <n v="2"/>
    <x v="3"/>
    <s v="national network"/>
    <x v="7"/>
    <x v="0"/>
    <s v="No"/>
    <x v="0"/>
    <s v="No"/>
    <n v="54"/>
    <n v="0"/>
    <n v="0"/>
    <n v="0"/>
    <n v="33"/>
    <n v="26"/>
    <n v="24"/>
    <n v="13"/>
    <n v="8"/>
    <n v="2"/>
    <n v="2"/>
    <n v="54"/>
  </r>
  <r>
    <n v="2025"/>
    <n v="2"/>
    <x v="3"/>
    <s v="national network"/>
    <x v="4"/>
    <x v="1"/>
    <s v="No"/>
    <x v="0"/>
    <s v="Yes"/>
    <n v="4"/>
    <n v="0"/>
    <n v="0"/>
    <n v="0"/>
    <n v="1"/>
    <n v="1"/>
    <n v="0"/>
    <n v="0"/>
    <n v="0"/>
    <n v="0"/>
    <n v="0"/>
    <n v="4"/>
  </r>
  <r>
    <n v="2025"/>
    <n v="2"/>
    <x v="3"/>
    <s v="national network"/>
    <x v="4"/>
    <x v="0"/>
    <s v="No"/>
    <x v="0"/>
    <s v="Yes"/>
    <n v="331"/>
    <n v="3"/>
    <n v="2"/>
    <n v="5"/>
    <n v="114"/>
    <n v="96"/>
    <n v="89"/>
    <n v="70"/>
    <n v="56"/>
    <n v="37"/>
    <n v="18"/>
    <n v="328"/>
  </r>
  <r>
    <n v="2025"/>
    <n v="2"/>
    <x v="3"/>
    <s v="national network"/>
    <x v="0"/>
    <x v="1"/>
    <s v="No"/>
    <x v="0"/>
    <s v="No"/>
    <n v="3964"/>
    <n v="163"/>
    <n v="334"/>
    <n v="497"/>
    <n v="1803"/>
    <n v="1446"/>
    <n v="1313"/>
    <n v="937"/>
    <n v="688"/>
    <n v="290"/>
    <n v="66"/>
    <n v="3674"/>
  </r>
  <r>
    <n v="2025"/>
    <n v="2"/>
    <x v="3"/>
    <s v="national network"/>
    <x v="0"/>
    <x v="0"/>
    <s v="No"/>
    <x v="0"/>
    <s v="No"/>
    <n v="1639"/>
    <n v="23"/>
    <n v="67"/>
    <n v="90"/>
    <n v="599"/>
    <n v="472"/>
    <n v="440"/>
    <n v="332"/>
    <n v="240"/>
    <n v="103"/>
    <n v="32"/>
    <n v="1593"/>
  </r>
  <r>
    <n v="2025"/>
    <n v="2"/>
    <x v="3"/>
    <s v="national network"/>
    <x v="0"/>
    <x v="2"/>
    <s v="No"/>
    <x v="0"/>
    <s v="No"/>
    <n v="1"/>
    <n v="0"/>
    <n v="0"/>
    <n v="0"/>
    <n v="0"/>
    <n v="0"/>
    <n v="0"/>
    <n v="0"/>
    <n v="0"/>
    <n v="0"/>
    <n v="0"/>
    <n v="0"/>
  </r>
  <r>
    <n v="2025"/>
    <n v="2"/>
    <x v="3"/>
    <s v="national network"/>
    <x v="8"/>
    <x v="1"/>
    <s v="Yes"/>
    <x v="0"/>
    <s v="No"/>
    <n v="13313"/>
    <n v="468"/>
    <n v="1094"/>
    <n v="1562"/>
    <n v="7076"/>
    <n v="6004"/>
    <n v="5588"/>
    <n v="4311"/>
    <n v="3304"/>
    <n v="1546"/>
    <n v="431"/>
    <n v="12428"/>
  </r>
  <r>
    <n v="2025"/>
    <n v="2"/>
    <x v="3"/>
    <s v="national network"/>
    <x v="8"/>
    <x v="0"/>
    <s v="Yes"/>
    <x v="0"/>
    <s v="No"/>
    <n v="3173"/>
    <n v="44"/>
    <n v="211"/>
    <n v="255"/>
    <n v="1914"/>
    <n v="1598"/>
    <n v="1509"/>
    <n v="1154"/>
    <n v="917"/>
    <n v="433"/>
    <n v="110"/>
    <n v="3043"/>
  </r>
  <r>
    <n v="2025"/>
    <n v="2"/>
    <x v="3"/>
    <s v="national network"/>
    <x v="8"/>
    <x v="2"/>
    <s v="Yes"/>
    <x v="0"/>
    <s v="No"/>
    <n v="2"/>
    <n v="0"/>
    <n v="0"/>
    <n v="0"/>
    <n v="0"/>
    <n v="0"/>
    <n v="0"/>
    <n v="0"/>
    <n v="0"/>
    <n v="0"/>
    <n v="0"/>
    <n v="0"/>
  </r>
  <r>
    <n v="2025"/>
    <n v="2"/>
    <x v="3"/>
    <s v="national network"/>
    <x v="9"/>
    <x v="0"/>
    <s v="No"/>
    <x v="0"/>
    <s v="No"/>
    <n v="449"/>
    <n v="10"/>
    <n v="0"/>
    <n v="10"/>
    <n v="22"/>
    <n v="9"/>
    <n v="8"/>
    <n v="4"/>
    <n v="0"/>
    <n v="0"/>
    <n v="0"/>
    <n v="439"/>
  </r>
  <r>
    <n v="2025"/>
    <n v="2"/>
    <x v="3"/>
    <s v="national network"/>
    <x v="5"/>
    <x v="1"/>
    <s v="No"/>
    <x v="0"/>
    <s v="Yes"/>
    <n v="1"/>
    <n v="0"/>
    <n v="1"/>
    <n v="1"/>
    <n v="0"/>
    <n v="0"/>
    <n v="0"/>
    <n v="0"/>
    <n v="0"/>
    <n v="0"/>
    <n v="0"/>
    <n v="0"/>
  </r>
  <r>
    <n v="2025"/>
    <n v="2"/>
    <x v="3"/>
    <s v="national network"/>
    <x v="5"/>
    <x v="0"/>
    <s v="No"/>
    <x v="0"/>
    <s v="Yes"/>
    <n v="533"/>
    <n v="1"/>
    <n v="26"/>
    <n v="27"/>
    <n v="302"/>
    <n v="253"/>
    <n v="241"/>
    <n v="215"/>
    <n v="176"/>
    <n v="109"/>
    <n v="57"/>
    <n v="526"/>
  </r>
  <r>
    <n v="2025"/>
    <n v="2"/>
    <x v="3"/>
    <s v="national network"/>
    <x v="6"/>
    <x v="0"/>
    <s v="No"/>
    <x v="0"/>
    <s v="No"/>
    <n v="556"/>
    <n v="1"/>
    <n v="21"/>
    <n v="22"/>
    <n v="277"/>
    <n v="211"/>
    <n v="182"/>
    <n v="128"/>
    <n v="89"/>
    <n v="29"/>
    <n v="10"/>
    <n v="546"/>
  </r>
  <r>
    <n v="2025"/>
    <n v="2"/>
    <x v="3"/>
    <s v="national network"/>
    <x v="10"/>
    <x v="0"/>
    <s v="Yes"/>
    <x v="0"/>
    <s v="No"/>
    <n v="344"/>
    <n v="2"/>
    <n v="9"/>
    <n v="11"/>
    <n v="214"/>
    <n v="170"/>
    <n v="152"/>
    <n v="106"/>
    <n v="81"/>
    <n v="24"/>
    <n v="4"/>
    <n v="337"/>
  </r>
  <r>
    <n v="2025"/>
    <n v="2"/>
    <x v="3"/>
    <s v="national network"/>
    <x v="11"/>
    <x v="0"/>
    <s v="Yes"/>
    <x v="0"/>
    <s v="No"/>
    <n v="171"/>
    <n v="0"/>
    <n v="1"/>
    <n v="1"/>
    <n v="85"/>
    <n v="61"/>
    <n v="52"/>
    <n v="26"/>
    <n v="16"/>
    <n v="8"/>
    <n v="4"/>
    <n v="170"/>
  </r>
  <r>
    <n v="2025"/>
    <n v="2"/>
    <x v="3"/>
    <s v="national network"/>
    <x v="1"/>
    <x v="0"/>
    <s v="Yes"/>
    <x v="0"/>
    <s v="No"/>
    <n v="2"/>
    <n v="0"/>
    <n v="0"/>
    <n v="0"/>
    <n v="0"/>
    <n v="0"/>
    <n v="0"/>
    <n v="0"/>
    <n v="0"/>
    <n v="0"/>
    <n v="0"/>
    <n v="2"/>
  </r>
  <r>
    <n v="2025"/>
    <n v="2"/>
    <x v="4"/>
    <s v="national network"/>
    <x v="3"/>
    <x v="0"/>
    <s v="No"/>
    <x v="1"/>
    <s v="No"/>
    <n v="277"/>
    <n v="2"/>
    <n v="0"/>
    <n v="2"/>
    <n v="119"/>
    <n v="105"/>
    <n v="97"/>
    <n v="75"/>
    <n v="54"/>
    <n v="16"/>
    <n v="5"/>
    <n v="275"/>
  </r>
  <r>
    <n v="2025"/>
    <n v="2"/>
    <x v="4"/>
    <s v="national network"/>
    <x v="4"/>
    <x v="0"/>
    <s v="No"/>
    <x v="0"/>
    <s v="Yes"/>
    <n v="56"/>
    <n v="1"/>
    <n v="0"/>
    <n v="1"/>
    <n v="12"/>
    <n v="12"/>
    <n v="11"/>
    <n v="11"/>
    <n v="10"/>
    <n v="9"/>
    <n v="7"/>
    <n v="55"/>
  </r>
  <r>
    <n v="2025"/>
    <n v="2"/>
    <x v="4"/>
    <s v="national network"/>
    <x v="0"/>
    <x v="1"/>
    <s v="No"/>
    <x v="0"/>
    <s v="No"/>
    <n v="5"/>
    <n v="3"/>
    <n v="2"/>
    <n v="5"/>
    <n v="0"/>
    <n v="0"/>
    <n v="0"/>
    <n v="0"/>
    <n v="0"/>
    <n v="0"/>
    <n v="0"/>
    <n v="0"/>
  </r>
  <r>
    <n v="2025"/>
    <n v="2"/>
    <x v="4"/>
    <s v="national network"/>
    <x v="0"/>
    <x v="0"/>
    <s v="No"/>
    <x v="0"/>
    <s v="No"/>
    <n v="415"/>
    <n v="0"/>
    <n v="0"/>
    <n v="0"/>
    <n v="57"/>
    <n v="34"/>
    <n v="30"/>
    <n v="16"/>
    <n v="12"/>
    <n v="3"/>
    <n v="1"/>
    <n v="415"/>
  </r>
  <r>
    <n v="2025"/>
    <n v="2"/>
    <x v="5"/>
    <s v="whole journey"/>
    <x v="12"/>
    <x v="1"/>
    <s v="No"/>
    <x v="0"/>
    <s v="Yes"/>
    <n v="2"/>
    <n v="0"/>
    <n v="0"/>
    <n v="0"/>
    <n v="1"/>
    <n v="1"/>
    <n v="0"/>
    <n v="0"/>
    <n v="0"/>
    <n v="0"/>
    <n v="0"/>
    <n v="2"/>
  </r>
  <r>
    <n v="2025"/>
    <n v="2"/>
    <x v="5"/>
    <s v="whole journey"/>
    <x v="12"/>
    <x v="0"/>
    <s v="No"/>
    <x v="0"/>
    <s v="Yes"/>
    <n v="26"/>
    <n v="0"/>
    <n v="1"/>
    <n v="1"/>
    <n v="13"/>
    <n v="12"/>
    <n v="12"/>
    <n v="10"/>
    <n v="8"/>
    <n v="6"/>
    <n v="4"/>
    <n v="26"/>
  </r>
  <r>
    <n v="2025"/>
    <n v="2"/>
    <x v="6"/>
    <s v="whole journey"/>
    <x v="13"/>
    <x v="0"/>
    <s v="Yes"/>
    <x v="0"/>
    <s v="No"/>
    <n v="3111"/>
    <n v="45"/>
    <n v="231"/>
    <n v="276"/>
    <n v="744"/>
    <n v="734"/>
    <n v="729"/>
    <n v="533"/>
    <n v="403"/>
    <n v="176"/>
    <n v="46"/>
    <n v="3021"/>
  </r>
  <r>
    <n v="2025"/>
    <n v="2"/>
    <x v="7"/>
    <s v="whole journey"/>
    <x v="14"/>
    <x v="1"/>
    <s v="No"/>
    <x v="0"/>
    <s v="No"/>
    <n v="402"/>
    <n v="0"/>
    <n v="27"/>
    <n v="27"/>
    <n v="239"/>
    <n v="208"/>
    <n v="196"/>
    <n v="155"/>
    <n v="131"/>
    <n v="77"/>
    <n v="32"/>
    <n v="398"/>
  </r>
  <r>
    <n v="2025"/>
    <n v="2"/>
    <x v="7"/>
    <s v="whole journey"/>
    <x v="14"/>
    <x v="0"/>
    <s v="No"/>
    <x v="0"/>
    <s v="No"/>
    <n v="22"/>
    <n v="0"/>
    <n v="2"/>
    <n v="2"/>
    <n v="7"/>
    <n v="3"/>
    <n v="3"/>
    <n v="3"/>
    <n v="3"/>
    <n v="0"/>
    <n v="0"/>
    <n v="22"/>
  </r>
  <r>
    <n v="2025"/>
    <n v="2"/>
    <x v="8"/>
    <s v="national network"/>
    <x v="2"/>
    <x v="0"/>
    <s v="No"/>
    <x v="1"/>
    <s v="No"/>
    <n v="167"/>
    <n v="0"/>
    <n v="0"/>
    <n v="0"/>
    <n v="0"/>
    <n v="0"/>
    <n v="0"/>
    <n v="0"/>
    <n v="0"/>
    <n v="0"/>
    <n v="0"/>
    <n v="167"/>
  </r>
  <r>
    <n v="2025"/>
    <n v="2"/>
    <x v="8"/>
    <s v="national network"/>
    <x v="4"/>
    <x v="0"/>
    <s v="No"/>
    <x v="0"/>
    <s v="Yes"/>
    <n v="110"/>
    <n v="0"/>
    <n v="0"/>
    <n v="0"/>
    <n v="4"/>
    <n v="3"/>
    <n v="3"/>
    <n v="2"/>
    <n v="2"/>
    <n v="1"/>
    <n v="1"/>
    <n v="110"/>
  </r>
  <r>
    <n v="2025"/>
    <n v="2"/>
    <x v="9"/>
    <s v="national network"/>
    <x v="2"/>
    <x v="0"/>
    <s v="No"/>
    <x v="1"/>
    <s v="No"/>
    <n v="108"/>
    <n v="0"/>
    <n v="0"/>
    <n v="0"/>
    <n v="2"/>
    <n v="1"/>
    <n v="1"/>
    <n v="0"/>
    <n v="0"/>
    <n v="0"/>
    <n v="0"/>
    <n v="108"/>
  </r>
  <r>
    <n v="2025"/>
    <n v="2"/>
    <x v="9"/>
    <s v="national network"/>
    <x v="3"/>
    <x v="0"/>
    <s v="No"/>
    <x v="0"/>
    <s v="No"/>
    <n v="501"/>
    <n v="0"/>
    <n v="0"/>
    <n v="0"/>
    <n v="49"/>
    <n v="41"/>
    <n v="39"/>
    <n v="30"/>
    <n v="21"/>
    <n v="15"/>
    <n v="4"/>
    <n v="501"/>
  </r>
  <r>
    <n v="2025"/>
    <n v="2"/>
    <x v="9"/>
    <s v="national network"/>
    <x v="4"/>
    <x v="0"/>
    <s v="No"/>
    <x v="0"/>
    <s v="Yes"/>
    <n v="158"/>
    <n v="0"/>
    <n v="0"/>
    <n v="0"/>
    <n v="1"/>
    <n v="1"/>
    <n v="1"/>
    <n v="1"/>
    <n v="1"/>
    <n v="1"/>
    <n v="0"/>
    <n v="158"/>
  </r>
  <r>
    <n v="2025"/>
    <n v="2"/>
    <x v="9"/>
    <s v="national network"/>
    <x v="0"/>
    <x v="0"/>
    <s v="No"/>
    <x v="0"/>
    <s v="No"/>
    <n v="223"/>
    <n v="0"/>
    <n v="0"/>
    <n v="0"/>
    <n v="2"/>
    <n v="1"/>
    <n v="1"/>
    <n v="1"/>
    <n v="1"/>
    <n v="1"/>
    <n v="0"/>
    <n v="223"/>
  </r>
  <r>
    <n v="2025"/>
    <n v="2"/>
    <x v="9"/>
    <s v="national network"/>
    <x v="10"/>
    <x v="0"/>
    <s v="Yes"/>
    <x v="0"/>
    <s v="No"/>
    <n v="448"/>
    <n v="0"/>
    <n v="0"/>
    <n v="0"/>
    <n v="22"/>
    <n v="20"/>
    <n v="16"/>
    <n v="11"/>
    <n v="7"/>
    <n v="4"/>
    <n v="0"/>
    <n v="448"/>
  </r>
  <r>
    <n v="2025"/>
    <n v="2"/>
    <x v="10"/>
    <s v="national network"/>
    <x v="15"/>
    <x v="0"/>
    <s v="No"/>
    <x v="0"/>
    <s v="No"/>
    <n v="685"/>
    <n v="7"/>
    <n v="9"/>
    <n v="16"/>
    <n v="157"/>
    <n v="101"/>
    <n v="90"/>
    <n v="55"/>
    <n v="33"/>
    <n v="4"/>
    <n v="1"/>
    <n v="672"/>
  </r>
  <r>
    <n v="2025"/>
    <n v="2"/>
    <x v="10"/>
    <s v="national network"/>
    <x v="16"/>
    <x v="0"/>
    <s v="No"/>
    <x v="0"/>
    <s v="No"/>
    <n v="573"/>
    <n v="4"/>
    <n v="9"/>
    <n v="13"/>
    <n v="97"/>
    <n v="79"/>
    <n v="67"/>
    <n v="48"/>
    <n v="34"/>
    <n v="11"/>
    <n v="0"/>
    <n v="565"/>
  </r>
  <r>
    <n v="2025"/>
    <n v="2"/>
    <x v="10"/>
    <s v="national network"/>
    <x v="16"/>
    <x v="2"/>
    <s v="No"/>
    <x v="0"/>
    <s v="No"/>
    <n v="1"/>
    <n v="0"/>
    <n v="0"/>
    <n v="0"/>
    <n v="0"/>
    <n v="0"/>
    <n v="0"/>
    <n v="0"/>
    <n v="0"/>
    <n v="0"/>
    <n v="0"/>
    <n v="0"/>
  </r>
  <r>
    <n v="2025"/>
    <n v="2"/>
    <x v="10"/>
    <s v="national network"/>
    <x v="0"/>
    <x v="1"/>
    <s v="No"/>
    <x v="0"/>
    <s v="No"/>
    <n v="34117"/>
    <n v="0"/>
    <n v="5344"/>
    <n v="5344"/>
    <n v="3807"/>
    <n v="2151"/>
    <n v="1678"/>
    <n v="785"/>
    <n v="355"/>
    <n v="31"/>
    <n v="1"/>
    <n v="29372"/>
  </r>
  <r>
    <n v="2025"/>
    <n v="2"/>
    <x v="10"/>
    <s v="national network"/>
    <x v="0"/>
    <x v="0"/>
    <s v="No"/>
    <x v="0"/>
    <s v="No"/>
    <n v="296"/>
    <n v="14"/>
    <n v="8"/>
    <n v="22"/>
    <n v="125"/>
    <n v="108"/>
    <n v="105"/>
    <n v="99"/>
    <n v="75"/>
    <n v="41"/>
    <n v="12"/>
    <n v="275"/>
  </r>
  <r>
    <n v="2025"/>
    <n v="2"/>
    <x v="10"/>
    <s v="national network"/>
    <x v="17"/>
    <x v="1"/>
    <s v="No"/>
    <x v="0"/>
    <s v="No"/>
    <n v="3198"/>
    <n v="0"/>
    <n v="807"/>
    <n v="807"/>
    <n v="437"/>
    <n v="278"/>
    <n v="244"/>
    <n v="142"/>
    <n v="62"/>
    <n v="8"/>
    <n v="0"/>
    <n v="2551"/>
  </r>
  <r>
    <n v="2025"/>
    <n v="2"/>
    <x v="10"/>
    <s v="national network"/>
    <x v="8"/>
    <x v="0"/>
    <s v="Yes"/>
    <x v="0"/>
    <s v="No"/>
    <n v="417"/>
    <n v="4"/>
    <n v="12"/>
    <n v="16"/>
    <n v="159"/>
    <n v="138"/>
    <n v="134"/>
    <n v="111"/>
    <n v="83"/>
    <n v="33"/>
    <n v="10"/>
    <n v="408"/>
  </r>
  <r>
    <n v="2025"/>
    <n v="2"/>
    <x v="10"/>
    <s v="national network"/>
    <x v="5"/>
    <x v="0"/>
    <s v="No"/>
    <x v="0"/>
    <s v="Yes"/>
    <n v="158"/>
    <n v="0"/>
    <n v="0"/>
    <n v="0"/>
    <n v="79"/>
    <n v="67"/>
    <n v="64"/>
    <n v="62"/>
    <n v="56"/>
    <n v="43"/>
    <n v="28"/>
    <n v="158"/>
  </r>
  <r>
    <n v="2025"/>
    <n v="2"/>
    <x v="10"/>
    <s v="national network"/>
    <x v="18"/>
    <x v="1"/>
    <s v="No"/>
    <x v="0"/>
    <s v="Yes"/>
    <n v="10"/>
    <n v="0"/>
    <n v="0"/>
    <n v="0"/>
    <n v="6"/>
    <n v="5"/>
    <n v="5"/>
    <n v="4"/>
    <n v="3"/>
    <n v="0"/>
    <n v="0"/>
    <n v="10"/>
  </r>
  <r>
    <n v="2025"/>
    <n v="2"/>
    <x v="10"/>
    <s v="national network"/>
    <x v="19"/>
    <x v="1"/>
    <s v="No"/>
    <x v="1"/>
    <s v="No"/>
    <n v="3606"/>
    <n v="0"/>
    <n v="451"/>
    <n v="451"/>
    <n v="244"/>
    <n v="115"/>
    <n v="93"/>
    <n v="48"/>
    <n v="18"/>
    <n v="1"/>
    <n v="0"/>
    <n v="3160"/>
  </r>
  <r>
    <n v="2025"/>
    <n v="2"/>
    <x v="10"/>
    <s v="national network"/>
    <x v="19"/>
    <x v="0"/>
    <s v="No"/>
    <x v="1"/>
    <s v="No"/>
    <n v="523"/>
    <n v="317"/>
    <n v="198"/>
    <n v="515"/>
    <n v="0"/>
    <n v="0"/>
    <n v="0"/>
    <n v="0"/>
    <n v="0"/>
    <n v="0"/>
    <n v="0"/>
    <n v="11"/>
  </r>
  <r>
    <n v="2025"/>
    <n v="2"/>
    <x v="10"/>
    <s v="national network"/>
    <x v="20"/>
    <x v="1"/>
    <s v="No"/>
    <x v="1"/>
    <s v="No"/>
    <n v="71015"/>
    <n v="0"/>
    <n v="8948"/>
    <n v="8948"/>
    <n v="4575"/>
    <n v="2108"/>
    <n v="1534"/>
    <n v="608"/>
    <n v="232"/>
    <n v="27"/>
    <n v="2"/>
    <n v="62717"/>
  </r>
  <r>
    <n v="2025"/>
    <n v="2"/>
    <x v="10"/>
    <s v="national network"/>
    <x v="21"/>
    <x v="1"/>
    <s v="No"/>
    <x v="1"/>
    <s v="No"/>
    <n v="36063"/>
    <n v="0"/>
    <n v="4839"/>
    <n v="4839"/>
    <n v="2081"/>
    <n v="838"/>
    <n v="553"/>
    <n v="202"/>
    <n v="73"/>
    <n v="6"/>
    <n v="0"/>
    <n v="31444"/>
  </r>
  <r>
    <n v="2025"/>
    <n v="2"/>
    <x v="10"/>
    <s v="national network"/>
    <x v="21"/>
    <x v="0"/>
    <s v="No"/>
    <x v="1"/>
    <s v="No"/>
    <n v="570"/>
    <n v="277"/>
    <n v="279"/>
    <n v="556"/>
    <n v="2"/>
    <n v="2"/>
    <n v="2"/>
    <n v="2"/>
    <n v="2"/>
    <n v="0"/>
    <n v="0"/>
    <n v="16"/>
  </r>
  <r>
    <n v="2025"/>
    <n v="2"/>
    <x v="11"/>
    <s v="national network"/>
    <x v="2"/>
    <x v="1"/>
    <s v="No"/>
    <x v="0"/>
    <s v="No"/>
    <n v="712"/>
    <n v="2"/>
    <n v="4"/>
    <n v="6"/>
    <n v="111"/>
    <n v="78"/>
    <n v="66"/>
    <n v="43"/>
    <n v="28"/>
    <n v="12"/>
    <n v="5"/>
    <n v="707"/>
  </r>
  <r>
    <n v="2025"/>
    <n v="2"/>
    <x v="11"/>
    <s v="national network"/>
    <x v="2"/>
    <x v="0"/>
    <s v="No"/>
    <x v="0"/>
    <s v="No"/>
    <n v="865"/>
    <n v="0"/>
    <n v="0"/>
    <n v="0"/>
    <n v="129"/>
    <n v="87"/>
    <n v="69"/>
    <n v="41"/>
    <n v="35"/>
    <n v="10"/>
    <n v="2"/>
    <n v="865"/>
  </r>
  <r>
    <n v="2025"/>
    <n v="2"/>
    <x v="11"/>
    <s v="national network"/>
    <x v="3"/>
    <x v="0"/>
    <s v="No"/>
    <x v="0"/>
    <s v="No"/>
    <n v="1456"/>
    <n v="3"/>
    <n v="2"/>
    <n v="5"/>
    <n v="523"/>
    <n v="395"/>
    <n v="346"/>
    <n v="239"/>
    <n v="150"/>
    <n v="57"/>
    <n v="20"/>
    <n v="1451"/>
  </r>
  <r>
    <n v="2025"/>
    <n v="2"/>
    <x v="11"/>
    <s v="national network"/>
    <x v="7"/>
    <x v="0"/>
    <s v="No"/>
    <x v="0"/>
    <s v="No"/>
    <n v="2"/>
    <n v="0"/>
    <n v="0"/>
    <n v="0"/>
    <n v="1"/>
    <n v="0"/>
    <n v="0"/>
    <n v="0"/>
    <n v="0"/>
    <n v="0"/>
    <n v="0"/>
    <n v="2"/>
  </r>
  <r>
    <n v="2025"/>
    <n v="2"/>
    <x v="11"/>
    <s v="national network"/>
    <x v="4"/>
    <x v="0"/>
    <s v="No"/>
    <x v="0"/>
    <s v="Yes"/>
    <n v="304"/>
    <n v="0"/>
    <n v="0"/>
    <n v="0"/>
    <n v="34"/>
    <n v="24"/>
    <n v="24"/>
    <n v="20"/>
    <n v="18"/>
    <n v="9"/>
    <n v="2"/>
    <n v="304"/>
  </r>
  <r>
    <n v="2025"/>
    <n v="2"/>
    <x v="11"/>
    <s v="national network"/>
    <x v="0"/>
    <x v="1"/>
    <s v="No"/>
    <x v="0"/>
    <s v="No"/>
    <n v="1613"/>
    <n v="1"/>
    <n v="5"/>
    <n v="6"/>
    <n v="185"/>
    <n v="123"/>
    <n v="107"/>
    <n v="73"/>
    <n v="51"/>
    <n v="22"/>
    <n v="5"/>
    <n v="1610"/>
  </r>
  <r>
    <n v="2025"/>
    <n v="2"/>
    <x v="11"/>
    <s v="national network"/>
    <x v="0"/>
    <x v="0"/>
    <s v="No"/>
    <x v="0"/>
    <s v="No"/>
    <n v="542"/>
    <n v="2"/>
    <n v="0"/>
    <n v="2"/>
    <n v="61"/>
    <n v="46"/>
    <n v="40"/>
    <n v="33"/>
    <n v="28"/>
    <n v="14"/>
    <n v="4"/>
    <n v="540"/>
  </r>
  <r>
    <n v="2025"/>
    <n v="2"/>
    <x v="11"/>
    <s v="national network"/>
    <x v="8"/>
    <x v="1"/>
    <s v="Yes"/>
    <x v="0"/>
    <s v="No"/>
    <n v="30"/>
    <n v="0"/>
    <n v="0"/>
    <n v="0"/>
    <n v="4"/>
    <n v="2"/>
    <n v="2"/>
    <n v="1"/>
    <n v="0"/>
    <n v="0"/>
    <n v="0"/>
    <n v="30"/>
  </r>
  <r>
    <n v="2025"/>
    <n v="2"/>
    <x v="11"/>
    <s v="national network"/>
    <x v="8"/>
    <x v="0"/>
    <s v="Yes"/>
    <x v="0"/>
    <s v="No"/>
    <n v="693"/>
    <n v="13"/>
    <n v="2"/>
    <n v="15"/>
    <n v="221"/>
    <n v="180"/>
    <n v="172"/>
    <n v="139"/>
    <n v="111"/>
    <n v="49"/>
    <n v="17"/>
    <n v="678"/>
  </r>
  <r>
    <n v="2025"/>
    <n v="2"/>
    <x v="11"/>
    <s v="national network"/>
    <x v="5"/>
    <x v="1"/>
    <s v="No"/>
    <x v="0"/>
    <s v="Yes"/>
    <n v="65"/>
    <n v="1"/>
    <n v="0"/>
    <n v="1"/>
    <n v="16"/>
    <n v="9"/>
    <n v="8"/>
    <n v="8"/>
    <n v="3"/>
    <n v="1"/>
    <n v="0"/>
    <n v="64"/>
  </r>
  <r>
    <n v="2025"/>
    <n v="2"/>
    <x v="11"/>
    <s v="national network"/>
    <x v="5"/>
    <x v="0"/>
    <s v="No"/>
    <x v="0"/>
    <s v="Yes"/>
    <n v="624"/>
    <n v="1"/>
    <n v="0"/>
    <n v="1"/>
    <n v="193"/>
    <n v="152"/>
    <n v="148"/>
    <n v="126"/>
    <n v="94"/>
    <n v="65"/>
    <n v="27"/>
    <n v="623"/>
  </r>
  <r>
    <n v="2025"/>
    <n v="2"/>
    <x v="11"/>
    <s v="national network"/>
    <x v="5"/>
    <x v="2"/>
    <s v="No"/>
    <x v="0"/>
    <s v="Yes"/>
    <n v="2"/>
    <n v="0"/>
    <n v="0"/>
    <n v="0"/>
    <n v="0"/>
    <n v="0"/>
    <n v="0"/>
    <n v="0"/>
    <n v="0"/>
    <n v="0"/>
    <n v="0"/>
    <n v="0"/>
  </r>
  <r>
    <n v="2025"/>
    <n v="2"/>
    <x v="11"/>
    <s v="national network"/>
    <x v="6"/>
    <x v="1"/>
    <s v="No"/>
    <x v="0"/>
    <s v="No"/>
    <n v="1927"/>
    <n v="4"/>
    <n v="50"/>
    <n v="54"/>
    <n v="251"/>
    <n v="133"/>
    <n v="106"/>
    <n v="63"/>
    <n v="36"/>
    <n v="16"/>
    <n v="4"/>
    <n v="1896"/>
  </r>
  <r>
    <n v="2025"/>
    <n v="2"/>
    <x v="11"/>
    <s v="national network"/>
    <x v="6"/>
    <x v="0"/>
    <s v="No"/>
    <x v="0"/>
    <s v="No"/>
    <n v="1012"/>
    <n v="1"/>
    <n v="2"/>
    <n v="3"/>
    <n v="286"/>
    <n v="229"/>
    <n v="212"/>
    <n v="145"/>
    <n v="106"/>
    <n v="47"/>
    <n v="14"/>
    <n v="1009"/>
  </r>
  <r>
    <n v="2025"/>
    <n v="2"/>
    <x v="11"/>
    <s v="national network"/>
    <x v="10"/>
    <x v="1"/>
    <s v="Yes"/>
    <x v="0"/>
    <s v="No"/>
    <n v="838"/>
    <n v="2"/>
    <n v="29"/>
    <n v="31"/>
    <n v="313"/>
    <n v="265"/>
    <n v="243"/>
    <n v="174"/>
    <n v="137"/>
    <n v="60"/>
    <n v="5"/>
    <n v="822"/>
  </r>
  <r>
    <n v="2025"/>
    <n v="2"/>
    <x v="11"/>
    <s v="national network"/>
    <x v="10"/>
    <x v="0"/>
    <s v="Yes"/>
    <x v="0"/>
    <s v="No"/>
    <n v="931"/>
    <n v="1"/>
    <n v="12"/>
    <n v="13"/>
    <n v="300"/>
    <n v="248"/>
    <n v="227"/>
    <n v="173"/>
    <n v="137"/>
    <n v="70"/>
    <n v="12"/>
    <n v="927"/>
  </r>
  <r>
    <n v="2025"/>
    <n v="2"/>
    <x v="12"/>
    <s v="national network"/>
    <x v="9"/>
    <x v="1"/>
    <s v="No"/>
    <x v="1"/>
    <s v="No"/>
    <n v="9934"/>
    <n v="3"/>
    <n v="83"/>
    <n v="86"/>
    <n v="8"/>
    <n v="4"/>
    <n v="3"/>
    <n v="0"/>
    <n v="0"/>
    <n v="0"/>
    <n v="0"/>
    <n v="9869"/>
  </r>
  <r>
    <n v="2025"/>
    <n v="2"/>
    <x v="12"/>
    <s v="national network"/>
    <x v="9"/>
    <x v="0"/>
    <s v="No"/>
    <x v="1"/>
    <s v="No"/>
    <n v="22"/>
    <n v="0"/>
    <n v="0"/>
    <n v="0"/>
    <n v="0"/>
    <n v="0"/>
    <n v="0"/>
    <n v="0"/>
    <n v="0"/>
    <n v="0"/>
    <n v="0"/>
    <n v="22"/>
  </r>
  <r>
    <n v="2025"/>
    <n v="2"/>
    <x v="13"/>
    <s v="whole journey"/>
    <x v="22"/>
    <x v="0"/>
    <s v="No"/>
    <x v="1"/>
    <s v="No"/>
    <n v="142"/>
    <n v="1"/>
    <n v="1"/>
    <n v="2"/>
    <n v="31"/>
    <n v="21"/>
    <n v="20"/>
    <n v="15"/>
    <n v="9"/>
    <n v="6"/>
    <n v="3"/>
    <n v="140"/>
  </r>
  <r>
    <n v="2025"/>
    <n v="2"/>
    <x v="13"/>
    <s v="whole journey"/>
    <x v="22"/>
    <x v="2"/>
    <s v="No"/>
    <x v="1"/>
    <s v="No"/>
    <n v="1"/>
    <n v="0"/>
    <n v="0"/>
    <n v="0"/>
    <n v="0"/>
    <n v="0"/>
    <n v="0"/>
    <n v="0"/>
    <n v="0"/>
    <n v="0"/>
    <n v="0"/>
    <n v="0"/>
  </r>
  <r>
    <n v="2025"/>
    <n v="2"/>
    <x v="13"/>
    <s v="whole journey"/>
    <x v="23"/>
    <x v="1"/>
    <s v="Yes"/>
    <x v="0"/>
    <s v="No"/>
    <n v="1566"/>
    <n v="5"/>
    <n v="28"/>
    <n v="33"/>
    <n v="305"/>
    <n v="284"/>
    <n v="284"/>
    <n v="212"/>
    <n v="171"/>
    <n v="98"/>
    <n v="43"/>
    <n v="1550"/>
  </r>
  <r>
    <n v="2025"/>
    <n v="2"/>
    <x v="13"/>
    <s v="whole journey"/>
    <x v="23"/>
    <x v="2"/>
    <s v="Yes"/>
    <x v="0"/>
    <s v="No"/>
    <n v="55"/>
    <n v="0"/>
    <n v="0"/>
    <n v="0"/>
    <n v="0"/>
    <n v="0"/>
    <n v="0"/>
    <n v="0"/>
    <n v="0"/>
    <n v="0"/>
    <n v="0"/>
    <n v="0"/>
  </r>
  <r>
    <n v="2025"/>
    <n v="2"/>
    <x v="14"/>
    <s v="national network"/>
    <x v="3"/>
    <x v="0"/>
    <s v="No"/>
    <x v="1"/>
    <s v="No"/>
    <n v="820"/>
    <n v="0"/>
    <n v="0"/>
    <n v="0"/>
    <n v="173"/>
    <n v="143"/>
    <n v="135"/>
    <n v="109"/>
    <n v="81"/>
    <n v="45"/>
    <n v="20"/>
    <n v="820"/>
  </r>
  <r>
    <n v="2025"/>
    <n v="2"/>
    <x v="14"/>
    <s v="national network"/>
    <x v="4"/>
    <x v="0"/>
    <s v="No"/>
    <x v="0"/>
    <s v="Yes"/>
    <n v="54"/>
    <n v="0"/>
    <n v="0"/>
    <n v="0"/>
    <n v="7"/>
    <n v="6"/>
    <n v="6"/>
    <n v="3"/>
    <n v="2"/>
    <n v="0"/>
    <n v="0"/>
    <n v="54"/>
  </r>
  <r>
    <n v="2025"/>
    <n v="2"/>
    <x v="14"/>
    <s v="national network"/>
    <x v="0"/>
    <x v="0"/>
    <s v="No"/>
    <x v="1"/>
    <s v="No"/>
    <n v="1"/>
    <n v="0"/>
    <n v="0"/>
    <n v="0"/>
    <n v="0"/>
    <n v="0"/>
    <n v="0"/>
    <n v="0"/>
    <n v="0"/>
    <n v="0"/>
    <n v="0"/>
    <n v="1"/>
  </r>
  <r>
    <n v="2025"/>
    <n v="2"/>
    <x v="14"/>
    <s v="national network"/>
    <x v="0"/>
    <x v="0"/>
    <s v="No"/>
    <x v="0"/>
    <s v="No"/>
    <n v="53"/>
    <n v="0"/>
    <n v="0"/>
    <n v="0"/>
    <n v="6"/>
    <n v="5"/>
    <n v="5"/>
    <n v="2"/>
    <n v="1"/>
    <n v="0"/>
    <n v="0"/>
    <n v="53"/>
  </r>
  <r>
    <n v="2025"/>
    <n v="2"/>
    <x v="15"/>
    <s v="national network"/>
    <x v="24"/>
    <x v="1"/>
    <s v="No"/>
    <x v="1"/>
    <s v="No"/>
    <n v="1292"/>
    <n v="0"/>
    <n v="0"/>
    <n v="0"/>
    <n v="0"/>
    <n v="0"/>
    <n v="0"/>
    <n v="0"/>
    <n v="0"/>
    <n v="0"/>
    <n v="0"/>
    <n v="1292"/>
  </r>
  <r>
    <n v="2025"/>
    <n v="2"/>
    <x v="15"/>
    <s v="national network"/>
    <x v="24"/>
    <x v="0"/>
    <s v="No"/>
    <x v="1"/>
    <s v="No"/>
    <n v="84"/>
    <n v="0"/>
    <n v="0"/>
    <n v="0"/>
    <n v="0"/>
    <n v="0"/>
    <n v="0"/>
    <n v="0"/>
    <n v="0"/>
    <n v="0"/>
    <n v="0"/>
    <n v="84"/>
  </r>
  <r>
    <n v="2025"/>
    <n v="2"/>
    <x v="16"/>
    <s v="national network"/>
    <x v="3"/>
    <x v="1"/>
    <s v="No"/>
    <x v="0"/>
    <s v="No"/>
    <n v="43"/>
    <n v="2"/>
    <n v="0"/>
    <n v="2"/>
    <n v="0"/>
    <n v="0"/>
    <n v="0"/>
    <n v="0"/>
    <n v="0"/>
    <n v="0"/>
    <n v="0"/>
    <n v="41"/>
  </r>
  <r>
    <n v="2025"/>
    <n v="2"/>
    <x v="16"/>
    <s v="national network"/>
    <x v="3"/>
    <x v="0"/>
    <s v="No"/>
    <x v="0"/>
    <s v="No"/>
    <n v="1721"/>
    <n v="5"/>
    <n v="57"/>
    <n v="62"/>
    <n v="241"/>
    <n v="171"/>
    <n v="141"/>
    <n v="86"/>
    <n v="50"/>
    <n v="19"/>
    <n v="6"/>
    <n v="1671"/>
  </r>
  <r>
    <n v="2025"/>
    <n v="2"/>
    <x v="16"/>
    <s v="national network"/>
    <x v="7"/>
    <x v="0"/>
    <s v="No"/>
    <x v="1"/>
    <s v="No"/>
    <n v="251"/>
    <n v="2"/>
    <n v="4"/>
    <n v="6"/>
    <n v="163"/>
    <n v="129"/>
    <n v="117"/>
    <n v="65"/>
    <n v="32"/>
    <n v="11"/>
    <n v="3"/>
    <n v="248"/>
  </r>
  <r>
    <n v="2025"/>
    <n v="2"/>
    <x v="16"/>
    <s v="national network"/>
    <x v="7"/>
    <x v="0"/>
    <s v="No"/>
    <x v="0"/>
    <s v="No"/>
    <n v="1"/>
    <n v="0"/>
    <n v="0"/>
    <n v="0"/>
    <n v="1"/>
    <n v="1"/>
    <n v="1"/>
    <n v="1"/>
    <n v="1"/>
    <n v="0"/>
    <n v="0"/>
    <n v="1"/>
  </r>
  <r>
    <n v="2025"/>
    <n v="2"/>
    <x v="16"/>
    <s v="national network"/>
    <x v="4"/>
    <x v="0"/>
    <s v="No"/>
    <x v="0"/>
    <s v="Yes"/>
    <n v="166"/>
    <n v="0"/>
    <n v="0"/>
    <n v="0"/>
    <n v="24"/>
    <n v="17"/>
    <n v="11"/>
    <n v="9"/>
    <n v="6"/>
    <n v="4"/>
    <n v="1"/>
    <n v="166"/>
  </r>
  <r>
    <n v="2025"/>
    <n v="2"/>
    <x v="16"/>
    <s v="national network"/>
    <x v="0"/>
    <x v="1"/>
    <s v="No"/>
    <x v="0"/>
    <s v="No"/>
    <n v="10618"/>
    <n v="25"/>
    <n v="221"/>
    <n v="246"/>
    <n v="13"/>
    <n v="7"/>
    <n v="5"/>
    <n v="4"/>
    <n v="4"/>
    <n v="2"/>
    <n v="1"/>
    <n v="10414"/>
  </r>
  <r>
    <n v="2025"/>
    <n v="2"/>
    <x v="16"/>
    <s v="national network"/>
    <x v="0"/>
    <x v="0"/>
    <s v="No"/>
    <x v="0"/>
    <s v="No"/>
    <n v="1068"/>
    <n v="16"/>
    <n v="13"/>
    <n v="29"/>
    <n v="116"/>
    <n v="85"/>
    <n v="74"/>
    <n v="58"/>
    <n v="40"/>
    <n v="11"/>
    <n v="4"/>
    <n v="1046"/>
  </r>
  <r>
    <n v="2025"/>
    <n v="2"/>
    <x v="16"/>
    <s v="national network"/>
    <x v="8"/>
    <x v="1"/>
    <s v="Yes"/>
    <x v="0"/>
    <s v="No"/>
    <n v="56"/>
    <n v="0"/>
    <n v="1"/>
    <n v="1"/>
    <n v="0"/>
    <n v="0"/>
    <n v="0"/>
    <n v="0"/>
    <n v="0"/>
    <n v="0"/>
    <n v="0"/>
    <n v="56"/>
  </r>
  <r>
    <n v="2025"/>
    <n v="2"/>
    <x v="16"/>
    <s v="national network"/>
    <x v="8"/>
    <x v="0"/>
    <s v="Yes"/>
    <x v="0"/>
    <s v="No"/>
    <n v="1068"/>
    <n v="44"/>
    <n v="159"/>
    <n v="203"/>
    <n v="224"/>
    <n v="175"/>
    <n v="146"/>
    <n v="100"/>
    <n v="76"/>
    <n v="29"/>
    <n v="8"/>
    <n v="929"/>
  </r>
  <r>
    <n v="2025"/>
    <n v="2"/>
    <x v="16"/>
    <s v="national network"/>
    <x v="9"/>
    <x v="1"/>
    <s v="No"/>
    <x v="0"/>
    <s v="No"/>
    <n v="11916"/>
    <n v="34"/>
    <n v="130"/>
    <n v="164"/>
    <n v="19"/>
    <n v="12"/>
    <n v="11"/>
    <n v="7"/>
    <n v="4"/>
    <n v="2"/>
    <n v="2"/>
    <n v="11787"/>
  </r>
  <r>
    <n v="2025"/>
    <n v="2"/>
    <x v="16"/>
    <s v="national network"/>
    <x v="9"/>
    <x v="0"/>
    <s v="No"/>
    <x v="0"/>
    <s v="No"/>
    <n v="965"/>
    <n v="0"/>
    <n v="18"/>
    <n v="18"/>
    <n v="36"/>
    <n v="11"/>
    <n v="11"/>
    <n v="10"/>
    <n v="2"/>
    <n v="0"/>
    <n v="0"/>
    <n v="951"/>
  </r>
  <r>
    <n v="2025"/>
    <n v="2"/>
    <x v="16"/>
    <s v="national network"/>
    <x v="9"/>
    <x v="2"/>
    <s v="No"/>
    <x v="0"/>
    <s v="No"/>
    <n v="4"/>
    <n v="0"/>
    <n v="0"/>
    <n v="0"/>
    <n v="0"/>
    <n v="0"/>
    <n v="0"/>
    <n v="0"/>
    <n v="0"/>
    <n v="0"/>
    <n v="0"/>
    <n v="0"/>
  </r>
  <r>
    <n v="2025"/>
    <n v="2"/>
    <x v="16"/>
    <s v="national network"/>
    <x v="25"/>
    <x v="1"/>
    <s v="Yes"/>
    <x v="0"/>
    <s v="No"/>
    <n v="3"/>
    <n v="0"/>
    <n v="0"/>
    <n v="0"/>
    <n v="0"/>
    <n v="0"/>
    <n v="0"/>
    <n v="0"/>
    <n v="0"/>
    <n v="0"/>
    <n v="0"/>
    <n v="3"/>
  </r>
  <r>
    <n v="2025"/>
    <n v="2"/>
    <x v="16"/>
    <s v="national network"/>
    <x v="25"/>
    <x v="0"/>
    <s v="Yes"/>
    <x v="0"/>
    <s v="No"/>
    <n v="805"/>
    <n v="3"/>
    <n v="16"/>
    <n v="19"/>
    <n v="116"/>
    <n v="78"/>
    <n v="74"/>
    <n v="59"/>
    <n v="46"/>
    <n v="22"/>
    <n v="6"/>
    <n v="795"/>
  </r>
  <r>
    <n v="2025"/>
    <n v="2"/>
    <x v="16"/>
    <s v="national network"/>
    <x v="25"/>
    <x v="2"/>
    <s v="Yes"/>
    <x v="0"/>
    <s v="No"/>
    <n v="9"/>
    <n v="0"/>
    <n v="0"/>
    <n v="0"/>
    <n v="0"/>
    <n v="0"/>
    <n v="0"/>
    <n v="0"/>
    <n v="0"/>
    <n v="0"/>
    <n v="0"/>
    <n v="0"/>
  </r>
  <r>
    <n v="2025"/>
    <n v="2"/>
    <x v="16"/>
    <s v="national network"/>
    <x v="5"/>
    <x v="0"/>
    <s v="No"/>
    <x v="0"/>
    <s v="Yes"/>
    <n v="279"/>
    <n v="0"/>
    <n v="2"/>
    <n v="2"/>
    <n v="63"/>
    <n v="50"/>
    <n v="40"/>
    <n v="29"/>
    <n v="23"/>
    <n v="16"/>
    <n v="5"/>
    <n v="278"/>
  </r>
  <r>
    <n v="2025"/>
    <n v="2"/>
    <x v="16"/>
    <s v="national network"/>
    <x v="10"/>
    <x v="0"/>
    <s v="Yes"/>
    <x v="0"/>
    <s v="No"/>
    <n v="336"/>
    <n v="0"/>
    <n v="1"/>
    <n v="1"/>
    <n v="31"/>
    <n v="20"/>
    <n v="17"/>
    <n v="13"/>
    <n v="11"/>
    <n v="3"/>
    <n v="1"/>
    <n v="335"/>
  </r>
  <r>
    <n v="2025"/>
    <n v="2"/>
    <x v="17"/>
    <s v="national network"/>
    <x v="4"/>
    <x v="0"/>
    <s v="No"/>
    <x v="0"/>
    <s v="Yes"/>
    <n v="56"/>
    <n v="1"/>
    <n v="0"/>
    <n v="1"/>
    <n v="6"/>
    <n v="5"/>
    <n v="5"/>
    <n v="5"/>
    <n v="5"/>
    <n v="5"/>
    <n v="4"/>
    <n v="55"/>
  </r>
  <r>
    <n v="2025"/>
    <n v="2"/>
    <x v="17"/>
    <s v="national network"/>
    <x v="0"/>
    <x v="0"/>
    <s v="No"/>
    <x v="0"/>
    <s v="No"/>
    <n v="5"/>
    <n v="0"/>
    <n v="0"/>
    <n v="0"/>
    <n v="1"/>
    <n v="1"/>
    <n v="1"/>
    <n v="1"/>
    <n v="1"/>
    <n v="0"/>
    <n v="0"/>
    <n v="5"/>
  </r>
  <r>
    <n v="2025"/>
    <n v="2"/>
    <x v="18"/>
    <s v="national network"/>
    <x v="15"/>
    <x v="0"/>
    <s v="No"/>
    <x v="1"/>
    <s v="No"/>
    <n v="708"/>
    <n v="20"/>
    <n v="10"/>
    <n v="30"/>
    <n v="203"/>
    <n v="131"/>
    <n v="117"/>
    <n v="60"/>
    <n v="38"/>
    <n v="4"/>
    <n v="1"/>
    <n v="679"/>
  </r>
  <r>
    <n v="2025"/>
    <n v="2"/>
    <x v="18"/>
    <s v="national network"/>
    <x v="16"/>
    <x v="0"/>
    <s v="No"/>
    <x v="1"/>
    <s v="No"/>
    <n v="601"/>
    <n v="9"/>
    <n v="0"/>
    <n v="9"/>
    <n v="273"/>
    <n v="190"/>
    <n v="162"/>
    <n v="100"/>
    <n v="63"/>
    <n v="25"/>
    <n v="5"/>
    <n v="590"/>
  </r>
  <r>
    <n v="2025"/>
    <n v="2"/>
    <x v="18"/>
    <s v="national network"/>
    <x v="0"/>
    <x v="1"/>
    <s v="No"/>
    <x v="0"/>
    <s v="No"/>
    <n v="22581"/>
    <n v="102"/>
    <n v="520"/>
    <n v="622"/>
    <n v="5025"/>
    <n v="3241"/>
    <n v="2653"/>
    <n v="1358"/>
    <n v="694"/>
    <n v="122"/>
    <n v="13"/>
    <n v="22165"/>
  </r>
  <r>
    <n v="2025"/>
    <n v="2"/>
    <x v="18"/>
    <s v="national network"/>
    <x v="0"/>
    <x v="0"/>
    <s v="No"/>
    <x v="0"/>
    <s v="No"/>
    <n v="2409"/>
    <n v="17"/>
    <n v="38"/>
    <n v="55"/>
    <n v="450"/>
    <n v="302"/>
    <n v="249"/>
    <n v="121"/>
    <n v="68"/>
    <n v="21"/>
    <n v="2"/>
    <n v="2358"/>
  </r>
  <r>
    <n v="2025"/>
    <n v="2"/>
    <x v="18"/>
    <s v="national network"/>
    <x v="0"/>
    <x v="2"/>
    <s v="No"/>
    <x v="0"/>
    <s v="No"/>
    <n v="11"/>
    <n v="0"/>
    <n v="0"/>
    <n v="0"/>
    <n v="0"/>
    <n v="0"/>
    <n v="0"/>
    <n v="0"/>
    <n v="0"/>
    <n v="0"/>
    <n v="0"/>
    <n v="0"/>
  </r>
  <r>
    <n v="2025"/>
    <n v="2"/>
    <x v="18"/>
    <s v="national network"/>
    <x v="8"/>
    <x v="0"/>
    <s v="Yes"/>
    <x v="0"/>
    <s v="No"/>
    <n v="400"/>
    <n v="18"/>
    <n v="5"/>
    <n v="23"/>
    <n v="189"/>
    <n v="142"/>
    <n v="122"/>
    <n v="79"/>
    <n v="52"/>
    <n v="13"/>
    <n v="1"/>
    <n v="380"/>
  </r>
  <r>
    <n v="2025"/>
    <n v="2"/>
    <x v="18"/>
    <s v="national network"/>
    <x v="26"/>
    <x v="1"/>
    <s v="No"/>
    <x v="1"/>
    <s v="No"/>
    <n v="13334"/>
    <n v="75"/>
    <n v="89"/>
    <n v="164"/>
    <n v="2253"/>
    <n v="1265"/>
    <n v="993"/>
    <n v="428"/>
    <n v="197"/>
    <n v="37"/>
    <n v="1"/>
    <n v="13198"/>
  </r>
  <r>
    <n v="2025"/>
    <n v="2"/>
    <x v="18"/>
    <s v="national network"/>
    <x v="26"/>
    <x v="0"/>
    <s v="No"/>
    <x v="1"/>
    <s v="No"/>
    <n v="3878"/>
    <n v="13"/>
    <n v="22"/>
    <n v="35"/>
    <n v="263"/>
    <n v="145"/>
    <n v="114"/>
    <n v="55"/>
    <n v="33"/>
    <n v="6"/>
    <n v="0"/>
    <n v="3865"/>
  </r>
  <r>
    <n v="2025"/>
    <n v="2"/>
    <x v="18"/>
    <s v="national network"/>
    <x v="5"/>
    <x v="0"/>
    <s v="No"/>
    <x v="0"/>
    <s v="Yes"/>
    <n v="48"/>
    <n v="11"/>
    <n v="0"/>
    <n v="11"/>
    <n v="14"/>
    <n v="11"/>
    <n v="11"/>
    <n v="10"/>
    <n v="9"/>
    <n v="5"/>
    <n v="5"/>
    <n v="37"/>
  </r>
  <r>
    <n v="2025"/>
    <n v="2"/>
    <x v="18"/>
    <s v="national network"/>
    <x v="27"/>
    <x v="1"/>
    <s v="No"/>
    <x v="1"/>
    <s v="No"/>
    <n v="3709"/>
    <n v="42"/>
    <n v="17"/>
    <n v="59"/>
    <n v="906"/>
    <n v="558"/>
    <n v="449"/>
    <n v="203"/>
    <n v="107"/>
    <n v="24"/>
    <n v="4"/>
    <n v="3652"/>
  </r>
  <r>
    <n v="2025"/>
    <n v="2"/>
    <x v="18"/>
    <s v="national network"/>
    <x v="27"/>
    <x v="0"/>
    <s v="No"/>
    <x v="1"/>
    <s v="No"/>
    <n v="130"/>
    <n v="0"/>
    <n v="1"/>
    <n v="1"/>
    <n v="20"/>
    <n v="16"/>
    <n v="13"/>
    <n v="7"/>
    <n v="6"/>
    <n v="1"/>
    <n v="0"/>
    <n v="130"/>
  </r>
  <r>
    <n v="2025"/>
    <n v="2"/>
    <x v="18"/>
    <s v="national network"/>
    <x v="19"/>
    <x v="1"/>
    <s v="No"/>
    <x v="1"/>
    <s v="No"/>
    <n v="21955"/>
    <n v="93"/>
    <n v="231"/>
    <n v="324"/>
    <n v="3406"/>
    <n v="1936"/>
    <n v="1533"/>
    <n v="737"/>
    <n v="346"/>
    <n v="74"/>
    <n v="9"/>
    <n v="21690"/>
  </r>
  <r>
    <n v="2025"/>
    <n v="2"/>
    <x v="18"/>
    <s v="national network"/>
    <x v="19"/>
    <x v="0"/>
    <s v="No"/>
    <x v="1"/>
    <s v="No"/>
    <n v="2425"/>
    <n v="46"/>
    <n v="70"/>
    <n v="116"/>
    <n v="467"/>
    <n v="291"/>
    <n v="222"/>
    <n v="107"/>
    <n v="50"/>
    <n v="4"/>
    <n v="0"/>
    <n v="2338"/>
  </r>
  <r>
    <n v="2025"/>
    <n v="2"/>
    <x v="18"/>
    <s v="national network"/>
    <x v="19"/>
    <x v="2"/>
    <s v="No"/>
    <x v="1"/>
    <s v="No"/>
    <n v="1"/>
    <n v="0"/>
    <n v="0"/>
    <n v="0"/>
    <n v="0"/>
    <n v="0"/>
    <n v="0"/>
    <n v="0"/>
    <n v="0"/>
    <n v="0"/>
    <n v="0"/>
    <n v="0"/>
  </r>
  <r>
    <n v="2025"/>
    <n v="2"/>
    <x v="18"/>
    <s v="national network"/>
    <x v="1"/>
    <x v="0"/>
    <s v="Yes"/>
    <x v="0"/>
    <s v="No"/>
    <n v="141"/>
    <n v="0"/>
    <n v="0"/>
    <n v="0"/>
    <n v="75"/>
    <n v="43"/>
    <n v="43"/>
    <n v="35"/>
    <n v="16"/>
    <n v="5"/>
    <n v="1"/>
    <n v="141"/>
  </r>
  <r>
    <n v="2025"/>
    <n v="2"/>
    <x v="18"/>
    <s v="national network"/>
    <x v="1"/>
    <x v="2"/>
    <s v="Yes"/>
    <x v="0"/>
    <s v="No"/>
    <n v="1"/>
    <n v="0"/>
    <n v="0"/>
    <n v="0"/>
    <n v="0"/>
    <n v="0"/>
    <n v="0"/>
    <n v="0"/>
    <n v="0"/>
    <n v="0"/>
    <n v="0"/>
    <n v="0"/>
  </r>
  <r>
    <n v="2025"/>
    <n v="2"/>
    <x v="19"/>
    <s v="national network"/>
    <x v="0"/>
    <x v="0"/>
    <s v="No"/>
    <x v="0"/>
    <s v="No"/>
    <n v="1506"/>
    <n v="7"/>
    <n v="36"/>
    <n v="43"/>
    <n v="184"/>
    <n v="134"/>
    <n v="114"/>
    <n v="49"/>
    <n v="18"/>
    <n v="2"/>
    <n v="0"/>
    <n v="1499"/>
  </r>
  <r>
    <n v="2025"/>
    <n v="2"/>
    <x v="19"/>
    <s v="national network"/>
    <x v="8"/>
    <x v="0"/>
    <s v="Yes"/>
    <x v="0"/>
    <s v="No"/>
    <n v="604"/>
    <n v="9"/>
    <n v="2"/>
    <n v="11"/>
    <n v="197"/>
    <n v="121"/>
    <n v="114"/>
    <n v="76"/>
    <n v="57"/>
    <n v="22"/>
    <n v="9"/>
    <n v="595"/>
  </r>
  <r>
    <n v="2025"/>
    <n v="2"/>
    <x v="19"/>
    <s v="national network"/>
    <x v="8"/>
    <x v="2"/>
    <s v="Yes"/>
    <x v="0"/>
    <s v="No"/>
    <n v="3"/>
    <n v="0"/>
    <n v="0"/>
    <n v="0"/>
    <n v="0"/>
    <n v="0"/>
    <n v="0"/>
    <n v="0"/>
    <n v="0"/>
    <n v="0"/>
    <n v="0"/>
    <n v="0"/>
  </r>
  <r>
    <n v="2025"/>
    <n v="2"/>
    <x v="19"/>
    <s v="national network"/>
    <x v="29"/>
    <x v="1"/>
    <s v="No"/>
    <x v="0"/>
    <s v="No"/>
    <n v="1424"/>
    <n v="6"/>
    <n v="13"/>
    <n v="19"/>
    <n v="415"/>
    <n v="248"/>
    <n v="248"/>
    <n v="182"/>
    <n v="146"/>
    <n v="82"/>
    <n v="34"/>
    <n v="1414"/>
  </r>
  <r>
    <n v="2025"/>
    <n v="2"/>
    <x v="19"/>
    <s v="national network"/>
    <x v="29"/>
    <x v="2"/>
    <s v="No"/>
    <x v="0"/>
    <s v="No"/>
    <n v="15"/>
    <n v="0"/>
    <n v="0"/>
    <n v="0"/>
    <n v="0"/>
    <n v="0"/>
    <n v="0"/>
    <n v="0"/>
    <n v="0"/>
    <n v="0"/>
    <n v="0"/>
    <n v="0"/>
  </r>
  <r>
    <n v="2025"/>
    <n v="2"/>
    <x v="19"/>
    <s v="national network"/>
    <x v="30"/>
    <x v="1"/>
    <s v="No"/>
    <x v="0"/>
    <s v="Yes"/>
    <n v="121"/>
    <n v="0"/>
    <n v="0"/>
    <n v="0"/>
    <n v="44"/>
    <n v="27"/>
    <n v="27"/>
    <n v="16"/>
    <n v="11"/>
    <n v="7"/>
    <n v="1"/>
    <n v="121"/>
  </r>
  <r>
    <n v="2025"/>
    <n v="2"/>
    <x v="19"/>
    <s v="national network"/>
    <x v="30"/>
    <x v="2"/>
    <s v="No"/>
    <x v="0"/>
    <s v="Yes"/>
    <n v="77"/>
    <n v="0"/>
    <n v="0"/>
    <n v="0"/>
    <n v="0"/>
    <n v="0"/>
    <n v="0"/>
    <n v="0"/>
    <n v="0"/>
    <n v="0"/>
    <n v="0"/>
    <n v="0"/>
  </r>
  <r>
    <n v="2025"/>
    <n v="2"/>
    <x v="19"/>
    <s v="national network"/>
    <x v="25"/>
    <x v="0"/>
    <s v="Yes"/>
    <x v="0"/>
    <s v="No"/>
    <n v="972"/>
    <n v="0"/>
    <n v="2"/>
    <n v="2"/>
    <n v="156"/>
    <n v="96"/>
    <n v="96"/>
    <n v="67"/>
    <n v="49"/>
    <n v="30"/>
    <n v="11"/>
    <n v="972"/>
  </r>
  <r>
    <n v="2025"/>
    <n v="2"/>
    <x v="19"/>
    <s v="national network"/>
    <x v="25"/>
    <x v="2"/>
    <s v="Yes"/>
    <x v="0"/>
    <s v="No"/>
    <n v="23"/>
    <n v="0"/>
    <n v="0"/>
    <n v="0"/>
    <n v="0"/>
    <n v="0"/>
    <n v="0"/>
    <n v="0"/>
    <n v="0"/>
    <n v="0"/>
    <n v="0"/>
    <n v="0"/>
  </r>
  <r>
    <n v="2025"/>
    <n v="2"/>
    <x v="19"/>
    <s v="national network"/>
    <x v="5"/>
    <x v="0"/>
    <s v="No"/>
    <x v="0"/>
    <s v="Yes"/>
    <n v="42"/>
    <n v="0"/>
    <n v="0"/>
    <n v="0"/>
    <n v="6"/>
    <n v="6"/>
    <n v="6"/>
    <n v="6"/>
    <n v="4"/>
    <n v="4"/>
    <n v="4"/>
    <n v="42"/>
  </r>
  <r>
    <n v="2025"/>
    <n v="2"/>
    <x v="19"/>
    <s v="national network"/>
    <x v="11"/>
    <x v="1"/>
    <s v="Yes"/>
    <x v="0"/>
    <s v="No"/>
    <n v="1"/>
    <n v="0"/>
    <n v="0"/>
    <n v="0"/>
    <n v="0"/>
    <n v="0"/>
    <n v="0"/>
    <n v="0"/>
    <n v="0"/>
    <n v="0"/>
    <n v="0"/>
    <n v="1"/>
  </r>
  <r>
    <n v="2025"/>
    <n v="2"/>
    <x v="19"/>
    <s v="national network"/>
    <x v="11"/>
    <x v="0"/>
    <s v="Yes"/>
    <x v="0"/>
    <s v="No"/>
    <n v="28"/>
    <n v="1"/>
    <n v="0"/>
    <n v="1"/>
    <n v="6"/>
    <n v="3"/>
    <n v="3"/>
    <n v="0"/>
    <n v="0"/>
    <n v="0"/>
    <n v="0"/>
    <n v="27"/>
  </r>
  <r>
    <n v="2025"/>
    <n v="2"/>
    <x v="19"/>
    <s v="national network"/>
    <x v="1"/>
    <x v="1"/>
    <s v="Yes"/>
    <x v="0"/>
    <s v="No"/>
    <n v="11305"/>
    <n v="30"/>
    <n v="141"/>
    <n v="171"/>
    <n v="2723"/>
    <n v="1556"/>
    <n v="1556"/>
    <n v="1036"/>
    <n v="754"/>
    <n v="333"/>
    <n v="134"/>
    <n v="11241"/>
  </r>
  <r>
    <n v="2025"/>
    <n v="2"/>
    <x v="19"/>
    <s v="national network"/>
    <x v="1"/>
    <x v="0"/>
    <s v="Yes"/>
    <x v="0"/>
    <s v="No"/>
    <n v="798"/>
    <n v="0"/>
    <n v="2"/>
    <n v="2"/>
    <n v="320"/>
    <n v="201"/>
    <n v="201"/>
    <n v="155"/>
    <n v="94"/>
    <n v="38"/>
    <n v="11"/>
    <n v="798"/>
  </r>
  <r>
    <n v="2025"/>
    <n v="2"/>
    <x v="19"/>
    <s v="national network"/>
    <x v="1"/>
    <x v="2"/>
    <s v="Yes"/>
    <x v="0"/>
    <s v="No"/>
    <n v="917"/>
    <n v="4"/>
    <n v="0"/>
    <n v="4"/>
    <n v="0"/>
    <n v="0"/>
    <n v="0"/>
    <n v="0"/>
    <n v="0"/>
    <n v="0"/>
    <n v="0"/>
    <n v="0"/>
  </r>
  <r>
    <n v="2025"/>
    <n v="2"/>
    <x v="20"/>
    <s v="national network"/>
    <x v="2"/>
    <x v="0"/>
    <s v="No"/>
    <x v="1"/>
    <s v="No"/>
    <n v="639"/>
    <n v="0"/>
    <n v="0"/>
    <n v="0"/>
    <n v="7"/>
    <n v="5"/>
    <n v="3"/>
    <n v="3"/>
    <n v="2"/>
    <n v="0"/>
    <n v="0"/>
    <n v="639"/>
  </r>
  <r>
    <n v="2025"/>
    <n v="2"/>
    <x v="20"/>
    <s v="national network"/>
    <x v="3"/>
    <x v="0"/>
    <s v="No"/>
    <x v="1"/>
    <s v="No"/>
    <n v="56"/>
    <n v="0"/>
    <n v="0"/>
    <n v="0"/>
    <n v="1"/>
    <n v="1"/>
    <n v="1"/>
    <n v="1"/>
    <n v="1"/>
    <n v="0"/>
    <n v="0"/>
    <n v="56"/>
  </r>
  <r>
    <n v="2025"/>
    <n v="2"/>
    <x v="20"/>
    <s v="national network"/>
    <x v="4"/>
    <x v="0"/>
    <s v="No"/>
    <x v="0"/>
    <s v="Yes"/>
    <n v="112"/>
    <n v="0"/>
    <n v="0"/>
    <n v="0"/>
    <n v="4"/>
    <n v="3"/>
    <n v="3"/>
    <n v="2"/>
    <n v="2"/>
    <n v="1"/>
    <n v="1"/>
    <n v="112"/>
  </r>
  <r>
    <n v="2025"/>
    <n v="2"/>
    <x v="20"/>
    <s v="national network"/>
    <x v="0"/>
    <x v="0"/>
    <s v="No"/>
    <x v="1"/>
    <s v="No"/>
    <n v="56"/>
    <n v="0"/>
    <n v="0"/>
    <n v="0"/>
    <n v="7"/>
    <n v="6"/>
    <n v="4"/>
    <n v="4"/>
    <n v="3"/>
    <n v="1"/>
    <n v="0"/>
    <n v="56"/>
  </r>
  <r>
    <n v="2025"/>
    <n v="2"/>
    <x v="21"/>
    <s v="national network"/>
    <x v="2"/>
    <x v="0"/>
    <s v="No"/>
    <x v="1"/>
    <s v="No"/>
    <n v="112"/>
    <n v="0"/>
    <n v="0"/>
    <n v="0"/>
    <n v="7"/>
    <n v="6"/>
    <n v="5"/>
    <n v="4"/>
    <n v="3"/>
    <n v="0"/>
    <n v="0"/>
    <n v="112"/>
  </r>
  <r>
    <n v="2025"/>
    <n v="2"/>
    <x v="21"/>
    <s v="national network"/>
    <x v="48"/>
    <x v="1"/>
    <s v="No"/>
    <x v="1"/>
    <s v="No"/>
    <n v="1"/>
    <n v="0"/>
    <n v="1"/>
    <n v="1"/>
    <n v="0"/>
    <n v="0"/>
    <n v="0"/>
    <n v="0"/>
    <n v="0"/>
    <n v="0"/>
    <n v="0"/>
    <n v="1"/>
  </r>
  <r>
    <n v="2025"/>
    <n v="2"/>
    <x v="21"/>
    <s v="national network"/>
    <x v="3"/>
    <x v="1"/>
    <s v="No"/>
    <x v="1"/>
    <s v="No"/>
    <n v="23"/>
    <n v="0"/>
    <n v="0"/>
    <n v="0"/>
    <n v="11"/>
    <n v="9"/>
    <n v="9"/>
    <n v="6"/>
    <n v="4"/>
    <n v="3"/>
    <n v="0"/>
    <n v="23"/>
  </r>
  <r>
    <n v="2025"/>
    <n v="2"/>
    <x v="21"/>
    <s v="national network"/>
    <x v="3"/>
    <x v="0"/>
    <s v="No"/>
    <x v="1"/>
    <s v="No"/>
    <n v="1394"/>
    <n v="0"/>
    <n v="7"/>
    <n v="7"/>
    <n v="396"/>
    <n v="310"/>
    <n v="270"/>
    <n v="182"/>
    <n v="117"/>
    <n v="48"/>
    <n v="8"/>
    <n v="1389"/>
  </r>
  <r>
    <n v="2025"/>
    <n v="2"/>
    <x v="21"/>
    <s v="national network"/>
    <x v="7"/>
    <x v="0"/>
    <s v="No"/>
    <x v="0"/>
    <s v="No"/>
    <n v="4"/>
    <n v="0"/>
    <n v="0"/>
    <n v="0"/>
    <n v="0"/>
    <n v="0"/>
    <n v="0"/>
    <n v="0"/>
    <n v="0"/>
    <n v="0"/>
    <n v="0"/>
    <n v="4"/>
  </r>
  <r>
    <n v="2025"/>
    <n v="2"/>
    <x v="21"/>
    <s v="national network"/>
    <x v="4"/>
    <x v="0"/>
    <s v="No"/>
    <x v="0"/>
    <s v="Yes"/>
    <n v="29"/>
    <n v="0"/>
    <n v="23"/>
    <n v="23"/>
    <n v="0"/>
    <n v="0"/>
    <n v="0"/>
    <n v="0"/>
    <n v="0"/>
    <n v="0"/>
    <n v="0"/>
    <n v="29"/>
  </r>
  <r>
    <n v="2025"/>
    <n v="2"/>
    <x v="21"/>
    <s v="national network"/>
    <x v="28"/>
    <x v="1"/>
    <s v="No"/>
    <x v="0"/>
    <s v="No"/>
    <n v="3"/>
    <n v="0"/>
    <n v="0"/>
    <n v="0"/>
    <n v="2"/>
    <n v="2"/>
    <n v="1"/>
    <n v="1"/>
    <n v="1"/>
    <n v="1"/>
    <n v="0"/>
    <n v="3"/>
  </r>
  <r>
    <n v="2025"/>
    <n v="2"/>
    <x v="21"/>
    <s v="national network"/>
    <x v="31"/>
    <x v="1"/>
    <s v="No"/>
    <x v="0"/>
    <s v="No"/>
    <n v="463"/>
    <n v="0"/>
    <n v="1"/>
    <n v="1"/>
    <n v="262"/>
    <n v="214"/>
    <n v="194"/>
    <n v="131"/>
    <n v="82"/>
    <n v="32"/>
    <n v="8"/>
    <n v="462"/>
  </r>
  <r>
    <n v="2025"/>
    <n v="2"/>
    <x v="21"/>
    <s v="national network"/>
    <x v="32"/>
    <x v="1"/>
    <s v="No"/>
    <x v="0"/>
    <s v="No"/>
    <n v="275"/>
    <n v="0"/>
    <n v="0"/>
    <n v="0"/>
    <n v="149"/>
    <n v="114"/>
    <n v="106"/>
    <n v="63"/>
    <n v="39"/>
    <n v="19"/>
    <n v="7"/>
    <n v="275"/>
  </r>
  <r>
    <n v="2025"/>
    <n v="2"/>
    <x v="21"/>
    <s v="national network"/>
    <x v="33"/>
    <x v="1"/>
    <s v="Yes"/>
    <x v="0"/>
    <s v="No"/>
    <n v="6458"/>
    <n v="0"/>
    <n v="6"/>
    <n v="6"/>
    <n v="2841"/>
    <n v="2182"/>
    <n v="1940"/>
    <n v="1278"/>
    <n v="886"/>
    <n v="390"/>
    <n v="117"/>
    <n v="6456"/>
  </r>
  <r>
    <n v="2025"/>
    <n v="2"/>
    <x v="21"/>
    <s v="national network"/>
    <x v="0"/>
    <x v="1"/>
    <s v="No"/>
    <x v="0"/>
    <s v="No"/>
    <n v="2806"/>
    <n v="0"/>
    <n v="63"/>
    <n v="63"/>
    <n v="1017"/>
    <n v="817"/>
    <n v="733"/>
    <n v="489"/>
    <n v="326"/>
    <n v="152"/>
    <n v="48"/>
    <n v="2757"/>
  </r>
  <r>
    <n v="2025"/>
    <n v="2"/>
    <x v="21"/>
    <s v="national network"/>
    <x v="0"/>
    <x v="0"/>
    <s v="No"/>
    <x v="0"/>
    <s v="No"/>
    <n v="1"/>
    <n v="0"/>
    <n v="0"/>
    <n v="0"/>
    <n v="1"/>
    <n v="1"/>
    <n v="1"/>
    <n v="1"/>
    <n v="1"/>
    <n v="1"/>
    <n v="1"/>
    <n v="1"/>
  </r>
  <r>
    <n v="2025"/>
    <n v="2"/>
    <x v="21"/>
    <s v="national network"/>
    <x v="34"/>
    <x v="1"/>
    <s v="No"/>
    <x v="0"/>
    <s v="Yes"/>
    <n v="540"/>
    <n v="0"/>
    <n v="0"/>
    <n v="0"/>
    <n v="108"/>
    <n v="86"/>
    <n v="73"/>
    <n v="52"/>
    <n v="38"/>
    <n v="20"/>
    <n v="6"/>
    <n v="540"/>
  </r>
  <r>
    <n v="2025"/>
    <n v="2"/>
    <x v="21"/>
    <s v="national network"/>
    <x v="9"/>
    <x v="1"/>
    <s v="No"/>
    <x v="0"/>
    <s v="No"/>
    <n v="5"/>
    <n v="0"/>
    <n v="1"/>
    <n v="1"/>
    <n v="2"/>
    <n v="2"/>
    <n v="2"/>
    <n v="2"/>
    <n v="2"/>
    <n v="1"/>
    <n v="1"/>
    <n v="5"/>
  </r>
  <r>
    <n v="2025"/>
    <n v="2"/>
    <x v="21"/>
    <s v="national network"/>
    <x v="9"/>
    <x v="0"/>
    <s v="No"/>
    <x v="0"/>
    <s v="No"/>
    <n v="48"/>
    <n v="0"/>
    <n v="0"/>
    <n v="0"/>
    <n v="0"/>
    <n v="0"/>
    <n v="0"/>
    <n v="0"/>
    <n v="0"/>
    <n v="0"/>
    <n v="0"/>
    <n v="48"/>
  </r>
  <r>
    <n v="2025"/>
    <n v="2"/>
    <x v="21"/>
    <s v="national network"/>
    <x v="35"/>
    <x v="1"/>
    <s v="No"/>
    <x v="1"/>
    <s v="No"/>
    <n v="5989"/>
    <n v="0"/>
    <n v="154"/>
    <n v="154"/>
    <n v="395"/>
    <n v="201"/>
    <n v="162"/>
    <n v="89"/>
    <n v="49"/>
    <n v="17"/>
    <n v="2"/>
    <n v="5886"/>
  </r>
  <r>
    <n v="2025"/>
    <n v="2"/>
    <x v="21"/>
    <s v="national network"/>
    <x v="36"/>
    <x v="1"/>
    <s v="No"/>
    <x v="1"/>
    <s v="No"/>
    <n v="12"/>
    <n v="0"/>
    <n v="0"/>
    <n v="0"/>
    <n v="8"/>
    <n v="8"/>
    <n v="7"/>
    <n v="6"/>
    <n v="6"/>
    <n v="4"/>
    <n v="4"/>
    <n v="12"/>
  </r>
  <r>
    <n v="2025"/>
    <n v="2"/>
    <x v="21"/>
    <s v="national network"/>
    <x v="36"/>
    <x v="2"/>
    <s v="No"/>
    <x v="1"/>
    <s v="No"/>
    <n v="5"/>
    <n v="0"/>
    <n v="0"/>
    <n v="0"/>
    <n v="0"/>
    <n v="0"/>
    <n v="0"/>
    <n v="0"/>
    <n v="0"/>
    <n v="0"/>
    <n v="0"/>
    <n v="0"/>
  </r>
  <r>
    <n v="2025"/>
    <n v="2"/>
    <x v="21"/>
    <s v="national network"/>
    <x v="5"/>
    <x v="1"/>
    <s v="No"/>
    <x v="0"/>
    <s v="Yes"/>
    <n v="7"/>
    <n v="0"/>
    <n v="2"/>
    <n v="2"/>
    <n v="3"/>
    <n v="3"/>
    <n v="3"/>
    <n v="2"/>
    <n v="2"/>
    <n v="1"/>
    <n v="0"/>
    <n v="6"/>
  </r>
  <r>
    <n v="2025"/>
    <n v="2"/>
    <x v="21"/>
    <s v="national network"/>
    <x v="5"/>
    <x v="0"/>
    <s v="No"/>
    <x v="0"/>
    <s v="Yes"/>
    <n v="183"/>
    <n v="1"/>
    <n v="4"/>
    <n v="5"/>
    <n v="33"/>
    <n v="28"/>
    <n v="28"/>
    <n v="24"/>
    <n v="22"/>
    <n v="14"/>
    <n v="6"/>
    <n v="180"/>
  </r>
  <r>
    <n v="2025"/>
    <n v="2"/>
    <x v="21"/>
    <s v="national network"/>
    <x v="37"/>
    <x v="1"/>
    <s v="No"/>
    <x v="1"/>
    <s v="No"/>
    <n v="207603"/>
    <n v="192"/>
    <n v="4397"/>
    <n v="4589"/>
    <n v="37866"/>
    <n v="20521"/>
    <n v="15956"/>
    <n v="7745"/>
    <n v="4293"/>
    <n v="1292"/>
    <n v="244"/>
    <n v="203802"/>
  </r>
  <r>
    <n v="2025"/>
    <n v="2"/>
    <x v="21"/>
    <s v="national network"/>
    <x v="37"/>
    <x v="0"/>
    <s v="No"/>
    <x v="1"/>
    <s v="No"/>
    <n v="5415"/>
    <n v="146"/>
    <n v="52"/>
    <n v="198"/>
    <n v="1095"/>
    <n v="557"/>
    <n v="420"/>
    <n v="136"/>
    <n v="69"/>
    <n v="19"/>
    <n v="2"/>
    <n v="5223"/>
  </r>
  <r>
    <n v="2025"/>
    <n v="2"/>
    <x v="21"/>
    <s v="national network"/>
    <x v="37"/>
    <x v="2"/>
    <s v="No"/>
    <x v="1"/>
    <s v="No"/>
    <n v="1"/>
    <n v="0"/>
    <n v="0"/>
    <n v="0"/>
    <n v="0"/>
    <n v="0"/>
    <n v="0"/>
    <n v="0"/>
    <n v="0"/>
    <n v="0"/>
    <n v="0"/>
    <n v="0"/>
  </r>
  <r>
    <n v="2025"/>
    <n v="2"/>
    <x v="21"/>
    <s v="national network"/>
    <x v="6"/>
    <x v="0"/>
    <s v="No"/>
    <x v="0"/>
    <s v="No"/>
    <n v="133"/>
    <n v="1"/>
    <n v="0"/>
    <n v="1"/>
    <n v="23"/>
    <n v="19"/>
    <n v="19"/>
    <n v="15"/>
    <n v="13"/>
    <n v="4"/>
    <n v="2"/>
    <n v="132"/>
  </r>
  <r>
    <n v="2025"/>
    <n v="2"/>
    <x v="21"/>
    <s v="national network"/>
    <x v="10"/>
    <x v="0"/>
    <s v="Yes"/>
    <x v="0"/>
    <s v="No"/>
    <n v="12"/>
    <n v="0"/>
    <n v="0"/>
    <n v="0"/>
    <n v="3"/>
    <n v="2"/>
    <n v="2"/>
    <n v="2"/>
    <n v="1"/>
    <n v="0"/>
    <n v="0"/>
    <n v="12"/>
  </r>
  <r>
    <n v="2025"/>
    <n v="2"/>
    <x v="22"/>
    <s v="whole journey"/>
    <x v="33"/>
    <x v="1"/>
    <s v="Yes"/>
    <x v="0"/>
    <s v="No"/>
    <n v="244"/>
    <n v="0"/>
    <n v="0"/>
    <n v="0"/>
    <n v="49"/>
    <n v="24"/>
    <n v="20"/>
    <n v="13"/>
    <n v="10"/>
    <n v="5"/>
    <n v="5"/>
    <n v="244"/>
  </r>
  <r>
    <n v="2025"/>
    <n v="2"/>
    <x v="23"/>
    <s v="national network"/>
    <x v="39"/>
    <x v="1"/>
    <s v="No"/>
    <x v="1"/>
    <s v="No"/>
    <n v="2759"/>
    <n v="0"/>
    <n v="0"/>
    <n v="0"/>
    <n v="18"/>
    <n v="12"/>
    <n v="12"/>
    <n v="11"/>
    <n v="9"/>
    <n v="6"/>
    <n v="1"/>
    <n v="2759"/>
  </r>
  <r>
    <n v="2025"/>
    <n v="2"/>
    <x v="23"/>
    <s v="national network"/>
    <x v="39"/>
    <x v="0"/>
    <s v="No"/>
    <x v="1"/>
    <s v="No"/>
    <n v="1264"/>
    <n v="0"/>
    <n v="0"/>
    <n v="0"/>
    <n v="2"/>
    <n v="2"/>
    <n v="2"/>
    <n v="1"/>
    <n v="0"/>
    <n v="0"/>
    <n v="0"/>
    <n v="1264"/>
  </r>
  <r>
    <n v="2025"/>
    <n v="2"/>
    <x v="23"/>
    <s v="national network"/>
    <x v="39"/>
    <x v="2"/>
    <s v="No"/>
    <x v="1"/>
    <s v="No"/>
    <n v="1"/>
    <n v="0"/>
    <n v="0"/>
    <n v="0"/>
    <n v="0"/>
    <n v="0"/>
    <n v="0"/>
    <n v="0"/>
    <n v="0"/>
    <n v="0"/>
    <n v="0"/>
    <n v="0"/>
  </r>
  <r>
    <n v="2025"/>
    <n v="2"/>
    <x v="23"/>
    <s v="national network"/>
    <x v="40"/>
    <x v="1"/>
    <s v="No"/>
    <x v="1"/>
    <s v="No"/>
    <n v="2011"/>
    <n v="0"/>
    <n v="0"/>
    <n v="0"/>
    <n v="0"/>
    <n v="0"/>
    <n v="0"/>
    <n v="0"/>
    <n v="0"/>
    <n v="0"/>
    <n v="0"/>
    <n v="2011"/>
  </r>
  <r>
    <n v="2025"/>
    <n v="2"/>
    <x v="23"/>
    <s v="national network"/>
    <x v="41"/>
    <x v="1"/>
    <s v="No"/>
    <x v="1"/>
    <s v="No"/>
    <n v="3"/>
    <n v="0"/>
    <n v="0"/>
    <n v="0"/>
    <n v="1"/>
    <n v="1"/>
    <n v="1"/>
    <n v="1"/>
    <n v="1"/>
    <n v="0"/>
    <n v="0"/>
    <n v="3"/>
  </r>
  <r>
    <n v="2025"/>
    <n v="2"/>
    <x v="23"/>
    <s v="national network"/>
    <x v="7"/>
    <x v="0"/>
    <s v="No"/>
    <x v="1"/>
    <s v="No"/>
    <n v="2"/>
    <n v="0"/>
    <n v="0"/>
    <n v="0"/>
    <n v="1"/>
    <n v="1"/>
    <n v="1"/>
    <n v="1"/>
    <n v="0"/>
    <n v="0"/>
    <n v="0"/>
    <n v="2"/>
  </r>
  <r>
    <n v="2025"/>
    <n v="2"/>
    <x v="23"/>
    <s v="national network"/>
    <x v="43"/>
    <x v="1"/>
    <s v="No"/>
    <x v="1"/>
    <s v="No"/>
    <n v="56"/>
    <n v="0"/>
    <n v="0"/>
    <n v="0"/>
    <n v="0"/>
    <n v="0"/>
    <n v="0"/>
    <n v="0"/>
    <n v="0"/>
    <n v="0"/>
    <n v="0"/>
    <n v="56"/>
  </r>
  <r>
    <n v="2025"/>
    <n v="2"/>
    <x v="23"/>
    <s v="national network"/>
    <x v="43"/>
    <x v="0"/>
    <s v="No"/>
    <x v="1"/>
    <s v="No"/>
    <n v="84"/>
    <n v="0"/>
    <n v="0"/>
    <n v="0"/>
    <n v="0"/>
    <n v="0"/>
    <n v="0"/>
    <n v="0"/>
    <n v="0"/>
    <n v="0"/>
    <n v="0"/>
    <n v="84"/>
  </r>
  <r>
    <n v="2025"/>
    <n v="2"/>
    <x v="23"/>
    <s v="national network"/>
    <x v="0"/>
    <x v="0"/>
    <s v="No"/>
    <x v="1"/>
    <s v="No"/>
    <n v="37"/>
    <n v="0"/>
    <n v="0"/>
    <n v="0"/>
    <n v="1"/>
    <n v="1"/>
    <n v="1"/>
    <n v="1"/>
    <n v="1"/>
    <n v="1"/>
    <n v="0"/>
    <n v="37"/>
  </r>
  <r>
    <n v="2025"/>
    <n v="2"/>
    <x v="23"/>
    <s v="national network"/>
    <x v="49"/>
    <x v="1"/>
    <s v="No"/>
    <x v="1"/>
    <s v="No"/>
    <n v="2"/>
    <n v="0"/>
    <n v="0"/>
    <n v="0"/>
    <n v="2"/>
    <n v="2"/>
    <n v="2"/>
    <n v="2"/>
    <n v="1"/>
    <n v="1"/>
    <n v="0"/>
    <n v="2"/>
  </r>
  <r>
    <n v="2025"/>
    <n v="2"/>
    <x v="23"/>
    <s v="national network"/>
    <x v="45"/>
    <x v="0"/>
    <s v="No"/>
    <x v="1"/>
    <s v="No"/>
    <n v="16"/>
    <n v="0"/>
    <n v="0"/>
    <n v="0"/>
    <n v="11"/>
    <n v="9"/>
    <n v="9"/>
    <n v="8"/>
    <n v="8"/>
    <n v="8"/>
    <n v="2"/>
    <n v="16"/>
  </r>
  <r>
    <n v="2025"/>
    <n v="2"/>
    <x v="23"/>
    <s v="national network"/>
    <x v="46"/>
    <x v="1"/>
    <s v="No"/>
    <x v="1"/>
    <s v="No"/>
    <n v="15"/>
    <n v="0"/>
    <n v="0"/>
    <n v="0"/>
    <n v="7"/>
    <n v="6"/>
    <n v="4"/>
    <n v="4"/>
    <n v="3"/>
    <n v="1"/>
    <n v="0"/>
    <n v="15"/>
  </r>
  <r>
    <n v="2025"/>
    <n v="2"/>
    <x v="23"/>
    <s v="national network"/>
    <x v="46"/>
    <x v="0"/>
    <s v="No"/>
    <x v="1"/>
    <s v="No"/>
    <n v="128"/>
    <n v="62"/>
    <n v="63"/>
    <n v="125"/>
    <n v="2"/>
    <n v="2"/>
    <n v="1"/>
    <n v="1"/>
    <n v="1"/>
    <n v="0"/>
    <n v="0"/>
    <n v="4"/>
  </r>
  <r>
    <n v="2025"/>
    <n v="2"/>
    <x v="24"/>
    <s v="national network"/>
    <x v="2"/>
    <x v="0"/>
    <s v="No"/>
    <x v="1"/>
    <s v="No"/>
    <n v="54"/>
    <n v="0"/>
    <n v="0"/>
    <n v="0"/>
    <n v="0"/>
    <n v="0"/>
    <n v="0"/>
    <n v="0"/>
    <n v="0"/>
    <n v="0"/>
    <n v="0"/>
    <n v="54"/>
  </r>
  <r>
    <n v="2025"/>
    <n v="2"/>
    <x v="25"/>
    <s v="whole journey"/>
    <x v="47"/>
    <x v="1"/>
    <s v="No"/>
    <x v="0"/>
    <s v="No"/>
    <n v="1343"/>
    <n v="0"/>
    <n v="0"/>
    <n v="0"/>
    <n v="28"/>
    <n v="21"/>
    <n v="18"/>
    <n v="14"/>
    <n v="9"/>
    <n v="2"/>
    <n v="0"/>
    <n v="1343"/>
  </r>
  <r>
    <n v="2025"/>
    <n v="2"/>
    <x v="25"/>
    <s v="whole journey"/>
    <x v="47"/>
    <x v="0"/>
    <s v="No"/>
    <x v="0"/>
    <s v="No"/>
    <n v="336"/>
    <n v="0"/>
    <n v="9"/>
    <n v="9"/>
    <n v="171"/>
    <n v="118"/>
    <n v="103"/>
    <n v="49"/>
    <n v="23"/>
    <n v="9"/>
    <n v="2"/>
    <n v="332"/>
  </r>
  <r>
    <n v="2025"/>
    <n v="2"/>
    <x v="26"/>
    <s v="national network"/>
    <x v="3"/>
    <x v="0"/>
    <s v="No"/>
    <x v="1"/>
    <s v="No"/>
    <n v="71"/>
    <n v="0"/>
    <n v="0"/>
    <n v="0"/>
    <n v="5"/>
    <n v="4"/>
    <n v="4"/>
    <n v="3"/>
    <n v="2"/>
    <n v="1"/>
    <n v="0"/>
    <n v="71"/>
  </r>
  <r>
    <n v="2025"/>
    <n v="2"/>
    <x v="26"/>
    <s v="national network"/>
    <x v="4"/>
    <x v="0"/>
    <s v="No"/>
    <x v="0"/>
    <s v="Yes"/>
    <n v="52"/>
    <n v="0"/>
    <n v="0"/>
    <n v="0"/>
    <n v="1"/>
    <n v="1"/>
    <n v="1"/>
    <n v="1"/>
    <n v="1"/>
    <n v="1"/>
    <n v="0"/>
    <n v="52"/>
  </r>
  <r>
    <n v="2025"/>
    <n v="2"/>
    <x v="26"/>
    <s v="national network"/>
    <x v="10"/>
    <x v="0"/>
    <s v="Yes"/>
    <x v="0"/>
    <s v="No"/>
    <n v="37"/>
    <n v="0"/>
    <n v="0"/>
    <n v="0"/>
    <n v="3"/>
    <n v="3"/>
    <n v="3"/>
    <n v="2"/>
    <n v="1"/>
    <n v="0"/>
    <n v="0"/>
    <n v="37"/>
  </r>
  <r>
    <n v="2025"/>
    <n v="3"/>
    <x v="0"/>
    <s v="national network"/>
    <x v="0"/>
    <x v="0"/>
    <s v="No"/>
    <x v="0"/>
    <s v="No"/>
    <n v="1032"/>
    <n v="7"/>
    <n v="5"/>
    <n v="12"/>
    <n v="157"/>
    <n v="93"/>
    <n v="77"/>
    <n v="42"/>
    <n v="27"/>
    <n v="9"/>
    <n v="0"/>
    <n v="1025"/>
  </r>
  <r>
    <n v="2025"/>
    <n v="3"/>
    <x v="0"/>
    <s v="national network"/>
    <x v="1"/>
    <x v="0"/>
    <s v="Yes"/>
    <x v="0"/>
    <s v="No"/>
    <n v="61"/>
    <n v="0"/>
    <n v="0"/>
    <n v="0"/>
    <n v="34"/>
    <n v="7"/>
    <n v="7"/>
    <n v="6"/>
    <n v="5"/>
    <n v="3"/>
    <n v="1"/>
    <n v="61"/>
  </r>
  <r>
    <n v="2025"/>
    <n v="3"/>
    <x v="0"/>
    <s v="national network"/>
    <x v="1"/>
    <x v="2"/>
    <s v="Yes"/>
    <x v="0"/>
    <s v="No"/>
    <n v="3"/>
    <n v="0"/>
    <n v="0"/>
    <n v="0"/>
    <n v="0"/>
    <n v="0"/>
    <n v="0"/>
    <n v="0"/>
    <n v="0"/>
    <n v="0"/>
    <n v="0"/>
    <n v="0"/>
  </r>
  <r>
    <n v="2025"/>
    <n v="3"/>
    <x v="1"/>
    <s v="national network"/>
    <x v="2"/>
    <x v="0"/>
    <s v="No"/>
    <x v="1"/>
    <s v="No"/>
    <n v="62"/>
    <n v="0"/>
    <n v="0"/>
    <n v="0"/>
    <n v="1"/>
    <n v="1"/>
    <n v="1"/>
    <n v="1"/>
    <n v="0"/>
    <n v="0"/>
    <n v="0"/>
    <n v="62"/>
  </r>
  <r>
    <n v="2025"/>
    <n v="3"/>
    <x v="2"/>
    <s v="national network"/>
    <x v="3"/>
    <x v="0"/>
    <s v="No"/>
    <x v="1"/>
    <s v="No"/>
    <n v="982"/>
    <n v="6"/>
    <n v="0"/>
    <n v="6"/>
    <n v="261"/>
    <n v="206"/>
    <n v="188"/>
    <n v="130"/>
    <n v="97"/>
    <n v="42"/>
    <n v="18"/>
    <n v="976"/>
  </r>
  <r>
    <n v="2025"/>
    <n v="3"/>
    <x v="2"/>
    <s v="national network"/>
    <x v="4"/>
    <x v="0"/>
    <s v="No"/>
    <x v="0"/>
    <s v="Yes"/>
    <n v="184"/>
    <n v="3"/>
    <n v="0"/>
    <n v="3"/>
    <n v="81"/>
    <n v="73"/>
    <n v="69"/>
    <n v="58"/>
    <n v="48"/>
    <n v="28"/>
    <n v="12"/>
    <n v="181"/>
  </r>
  <r>
    <n v="2025"/>
    <n v="3"/>
    <x v="2"/>
    <s v="national network"/>
    <x v="0"/>
    <x v="0"/>
    <s v="No"/>
    <x v="1"/>
    <s v="No"/>
    <n v="248"/>
    <n v="0"/>
    <n v="0"/>
    <n v="0"/>
    <n v="0"/>
    <n v="0"/>
    <n v="0"/>
    <n v="0"/>
    <n v="0"/>
    <n v="0"/>
    <n v="0"/>
    <n v="248"/>
  </r>
  <r>
    <n v="2025"/>
    <n v="3"/>
    <x v="2"/>
    <s v="national network"/>
    <x v="0"/>
    <x v="0"/>
    <s v="No"/>
    <x v="0"/>
    <s v="No"/>
    <n v="62"/>
    <n v="0"/>
    <n v="0"/>
    <n v="0"/>
    <n v="7"/>
    <n v="7"/>
    <n v="6"/>
    <n v="6"/>
    <n v="5"/>
    <n v="3"/>
    <n v="1"/>
    <n v="62"/>
  </r>
  <r>
    <n v="2025"/>
    <n v="3"/>
    <x v="2"/>
    <s v="national network"/>
    <x v="5"/>
    <x v="0"/>
    <s v="No"/>
    <x v="0"/>
    <s v="Yes"/>
    <n v="62"/>
    <n v="0"/>
    <n v="0"/>
    <n v="0"/>
    <n v="42"/>
    <n v="38"/>
    <n v="35"/>
    <n v="28"/>
    <n v="24"/>
    <n v="14"/>
    <n v="5"/>
    <n v="62"/>
  </r>
  <r>
    <n v="2025"/>
    <n v="3"/>
    <x v="2"/>
    <s v="national network"/>
    <x v="6"/>
    <x v="0"/>
    <s v="No"/>
    <x v="0"/>
    <s v="No"/>
    <n v="496"/>
    <n v="0"/>
    <n v="0"/>
    <n v="0"/>
    <n v="49"/>
    <n v="37"/>
    <n v="32"/>
    <n v="20"/>
    <n v="10"/>
    <n v="3"/>
    <n v="1"/>
    <n v="496"/>
  </r>
  <r>
    <n v="2025"/>
    <n v="3"/>
    <x v="3"/>
    <s v="national network"/>
    <x v="3"/>
    <x v="1"/>
    <s v="No"/>
    <x v="0"/>
    <s v="No"/>
    <n v="2"/>
    <n v="0"/>
    <n v="0"/>
    <n v="0"/>
    <n v="1"/>
    <n v="1"/>
    <n v="1"/>
    <n v="1"/>
    <n v="1"/>
    <n v="1"/>
    <n v="0"/>
    <n v="2"/>
  </r>
  <r>
    <n v="2025"/>
    <n v="3"/>
    <x v="3"/>
    <s v="national network"/>
    <x v="3"/>
    <x v="0"/>
    <s v="No"/>
    <x v="0"/>
    <s v="No"/>
    <n v="1876"/>
    <n v="15"/>
    <n v="72"/>
    <n v="87"/>
    <n v="987"/>
    <n v="818"/>
    <n v="761"/>
    <n v="608"/>
    <n v="460"/>
    <n v="241"/>
    <n v="83"/>
    <n v="1830"/>
  </r>
  <r>
    <n v="2025"/>
    <n v="3"/>
    <x v="3"/>
    <s v="national network"/>
    <x v="7"/>
    <x v="0"/>
    <s v="No"/>
    <x v="0"/>
    <s v="No"/>
    <n v="55"/>
    <n v="5"/>
    <n v="0"/>
    <n v="5"/>
    <n v="35"/>
    <n v="24"/>
    <n v="18"/>
    <n v="9"/>
    <n v="4"/>
    <n v="0"/>
    <n v="0"/>
    <n v="50"/>
  </r>
  <r>
    <n v="2025"/>
    <n v="3"/>
    <x v="3"/>
    <s v="national network"/>
    <x v="4"/>
    <x v="0"/>
    <s v="No"/>
    <x v="0"/>
    <s v="Yes"/>
    <n v="365"/>
    <n v="2"/>
    <n v="5"/>
    <n v="7"/>
    <n v="149"/>
    <n v="122"/>
    <n v="117"/>
    <n v="90"/>
    <n v="73"/>
    <n v="52"/>
    <n v="34"/>
    <n v="362"/>
  </r>
  <r>
    <n v="2025"/>
    <n v="3"/>
    <x v="3"/>
    <s v="national network"/>
    <x v="0"/>
    <x v="1"/>
    <s v="No"/>
    <x v="0"/>
    <s v="No"/>
    <n v="4237"/>
    <n v="146"/>
    <n v="335"/>
    <n v="481"/>
    <n v="2181"/>
    <n v="1790"/>
    <n v="1624"/>
    <n v="1194"/>
    <n v="861"/>
    <n v="348"/>
    <n v="88"/>
    <n v="3971"/>
  </r>
  <r>
    <n v="2025"/>
    <n v="3"/>
    <x v="3"/>
    <s v="national network"/>
    <x v="0"/>
    <x v="0"/>
    <s v="No"/>
    <x v="0"/>
    <s v="No"/>
    <n v="2061"/>
    <n v="34"/>
    <n v="88"/>
    <n v="122"/>
    <n v="805"/>
    <n v="648"/>
    <n v="600"/>
    <n v="457"/>
    <n v="341"/>
    <n v="158"/>
    <n v="67"/>
    <n v="1999"/>
  </r>
  <r>
    <n v="2025"/>
    <n v="3"/>
    <x v="3"/>
    <s v="national network"/>
    <x v="8"/>
    <x v="1"/>
    <s v="Yes"/>
    <x v="0"/>
    <s v="No"/>
    <n v="15331"/>
    <n v="734"/>
    <n v="1251"/>
    <n v="1985"/>
    <n v="8244"/>
    <n v="7089"/>
    <n v="6599"/>
    <n v="5086"/>
    <n v="3875"/>
    <n v="1813"/>
    <n v="482"/>
    <n v="14134"/>
  </r>
  <r>
    <n v="2025"/>
    <n v="3"/>
    <x v="3"/>
    <s v="national network"/>
    <x v="8"/>
    <x v="0"/>
    <s v="Yes"/>
    <x v="0"/>
    <s v="No"/>
    <n v="3484"/>
    <n v="48"/>
    <n v="252"/>
    <n v="300"/>
    <n v="2025"/>
    <n v="1642"/>
    <n v="1539"/>
    <n v="1149"/>
    <n v="890"/>
    <n v="431"/>
    <n v="138"/>
    <n v="3340"/>
  </r>
  <r>
    <n v="2025"/>
    <n v="3"/>
    <x v="3"/>
    <s v="national network"/>
    <x v="8"/>
    <x v="2"/>
    <s v="Yes"/>
    <x v="0"/>
    <s v="No"/>
    <n v="7"/>
    <n v="0"/>
    <n v="0"/>
    <n v="0"/>
    <n v="0"/>
    <n v="0"/>
    <n v="0"/>
    <n v="0"/>
    <n v="0"/>
    <n v="0"/>
    <n v="0"/>
    <n v="0"/>
  </r>
  <r>
    <n v="2025"/>
    <n v="3"/>
    <x v="3"/>
    <s v="national network"/>
    <x v="9"/>
    <x v="0"/>
    <s v="No"/>
    <x v="0"/>
    <s v="No"/>
    <n v="502"/>
    <n v="9"/>
    <n v="0"/>
    <n v="9"/>
    <n v="24"/>
    <n v="8"/>
    <n v="7"/>
    <n v="2"/>
    <n v="0"/>
    <n v="0"/>
    <n v="0"/>
    <n v="493"/>
  </r>
  <r>
    <n v="2025"/>
    <n v="3"/>
    <x v="3"/>
    <s v="national network"/>
    <x v="5"/>
    <x v="1"/>
    <s v="No"/>
    <x v="0"/>
    <s v="Yes"/>
    <n v="9"/>
    <n v="1"/>
    <n v="2"/>
    <n v="3"/>
    <n v="5"/>
    <n v="4"/>
    <n v="4"/>
    <n v="4"/>
    <n v="3"/>
    <n v="2"/>
    <n v="1"/>
    <n v="7"/>
  </r>
  <r>
    <n v="2025"/>
    <n v="3"/>
    <x v="3"/>
    <s v="national network"/>
    <x v="5"/>
    <x v="0"/>
    <s v="No"/>
    <x v="0"/>
    <s v="Yes"/>
    <n v="586"/>
    <n v="13"/>
    <n v="56"/>
    <n v="69"/>
    <n v="361"/>
    <n v="315"/>
    <n v="304"/>
    <n v="270"/>
    <n v="242"/>
    <n v="180"/>
    <n v="112"/>
    <n v="560"/>
  </r>
  <r>
    <n v="2025"/>
    <n v="3"/>
    <x v="3"/>
    <s v="national network"/>
    <x v="6"/>
    <x v="0"/>
    <s v="No"/>
    <x v="0"/>
    <s v="No"/>
    <n v="615"/>
    <n v="15"/>
    <n v="10"/>
    <n v="25"/>
    <n v="281"/>
    <n v="223"/>
    <n v="204"/>
    <n v="150"/>
    <n v="96"/>
    <n v="38"/>
    <n v="11"/>
    <n v="595"/>
  </r>
  <r>
    <n v="2025"/>
    <n v="3"/>
    <x v="3"/>
    <s v="national network"/>
    <x v="10"/>
    <x v="0"/>
    <s v="Yes"/>
    <x v="0"/>
    <s v="No"/>
    <n v="395"/>
    <n v="10"/>
    <n v="2"/>
    <n v="12"/>
    <n v="254"/>
    <n v="206"/>
    <n v="164"/>
    <n v="132"/>
    <n v="81"/>
    <n v="42"/>
    <n v="7"/>
    <n v="385"/>
  </r>
  <r>
    <n v="2025"/>
    <n v="3"/>
    <x v="3"/>
    <s v="national network"/>
    <x v="11"/>
    <x v="0"/>
    <s v="Yes"/>
    <x v="0"/>
    <s v="No"/>
    <n v="210"/>
    <n v="2"/>
    <n v="9"/>
    <n v="11"/>
    <n v="99"/>
    <n v="70"/>
    <n v="65"/>
    <n v="29"/>
    <n v="22"/>
    <n v="12"/>
    <n v="4"/>
    <n v="203"/>
  </r>
  <r>
    <n v="2025"/>
    <n v="3"/>
    <x v="3"/>
    <s v="national network"/>
    <x v="1"/>
    <x v="0"/>
    <s v="Yes"/>
    <x v="0"/>
    <s v="No"/>
    <n v="5"/>
    <n v="3"/>
    <n v="0"/>
    <n v="3"/>
    <n v="1"/>
    <n v="0"/>
    <n v="0"/>
    <n v="0"/>
    <n v="0"/>
    <n v="0"/>
    <n v="0"/>
    <n v="2"/>
  </r>
  <r>
    <n v="2025"/>
    <n v="3"/>
    <x v="4"/>
    <s v="national network"/>
    <x v="3"/>
    <x v="0"/>
    <s v="No"/>
    <x v="1"/>
    <s v="No"/>
    <n v="252"/>
    <n v="0"/>
    <n v="0"/>
    <n v="0"/>
    <n v="93"/>
    <n v="76"/>
    <n v="70"/>
    <n v="54"/>
    <n v="41"/>
    <n v="19"/>
    <n v="6"/>
    <n v="252"/>
  </r>
  <r>
    <n v="2025"/>
    <n v="3"/>
    <x v="4"/>
    <s v="national network"/>
    <x v="4"/>
    <x v="0"/>
    <s v="No"/>
    <x v="0"/>
    <s v="Yes"/>
    <n v="56"/>
    <n v="0"/>
    <n v="0"/>
    <n v="0"/>
    <n v="22"/>
    <n v="22"/>
    <n v="21"/>
    <n v="20"/>
    <n v="14"/>
    <n v="10"/>
    <n v="3"/>
    <n v="56"/>
  </r>
  <r>
    <n v="2025"/>
    <n v="3"/>
    <x v="4"/>
    <s v="national network"/>
    <x v="0"/>
    <x v="0"/>
    <s v="No"/>
    <x v="0"/>
    <s v="No"/>
    <n v="540"/>
    <n v="0"/>
    <n v="0"/>
    <n v="0"/>
    <n v="85"/>
    <n v="51"/>
    <n v="43"/>
    <n v="24"/>
    <n v="13"/>
    <n v="6"/>
    <n v="1"/>
    <n v="540"/>
  </r>
  <r>
    <n v="2025"/>
    <n v="3"/>
    <x v="5"/>
    <s v="whole journey"/>
    <x v="12"/>
    <x v="1"/>
    <s v="No"/>
    <x v="0"/>
    <s v="Yes"/>
    <n v="1"/>
    <n v="0"/>
    <n v="0"/>
    <n v="0"/>
    <n v="0"/>
    <n v="0"/>
    <n v="0"/>
    <n v="0"/>
    <n v="0"/>
    <n v="0"/>
    <n v="0"/>
    <n v="1"/>
  </r>
  <r>
    <n v="2025"/>
    <n v="3"/>
    <x v="5"/>
    <s v="whole journey"/>
    <x v="12"/>
    <x v="0"/>
    <s v="No"/>
    <x v="0"/>
    <s v="Yes"/>
    <n v="30"/>
    <n v="2"/>
    <n v="1"/>
    <n v="3"/>
    <n v="11"/>
    <n v="10"/>
    <n v="8"/>
    <n v="8"/>
    <n v="6"/>
    <n v="5"/>
    <n v="0"/>
    <n v="28"/>
  </r>
  <r>
    <n v="2025"/>
    <n v="3"/>
    <x v="6"/>
    <s v="whole journey"/>
    <x v="13"/>
    <x v="0"/>
    <s v="Yes"/>
    <x v="0"/>
    <s v="No"/>
    <n v="3654"/>
    <n v="119"/>
    <n v="392"/>
    <n v="511"/>
    <n v="659"/>
    <n v="649"/>
    <n v="641"/>
    <n v="444"/>
    <n v="327"/>
    <n v="117"/>
    <n v="33"/>
    <n v="3379"/>
  </r>
  <r>
    <n v="2025"/>
    <n v="3"/>
    <x v="6"/>
    <s v="whole journey"/>
    <x v="13"/>
    <x v="2"/>
    <s v="Yes"/>
    <x v="0"/>
    <s v="No"/>
    <n v="4"/>
    <n v="0"/>
    <n v="0"/>
    <n v="0"/>
    <n v="0"/>
    <n v="0"/>
    <n v="0"/>
    <n v="0"/>
    <n v="0"/>
    <n v="0"/>
    <n v="0"/>
    <n v="0"/>
  </r>
  <r>
    <n v="2025"/>
    <n v="3"/>
    <x v="7"/>
    <s v="whole journey"/>
    <x v="14"/>
    <x v="1"/>
    <s v="No"/>
    <x v="0"/>
    <s v="No"/>
    <n v="440"/>
    <n v="6"/>
    <n v="20"/>
    <n v="26"/>
    <n v="285"/>
    <n v="252"/>
    <n v="239"/>
    <n v="194"/>
    <n v="163"/>
    <n v="89"/>
    <n v="31"/>
    <n v="432"/>
  </r>
  <r>
    <n v="2025"/>
    <n v="3"/>
    <x v="7"/>
    <s v="whole journey"/>
    <x v="14"/>
    <x v="0"/>
    <s v="No"/>
    <x v="0"/>
    <s v="No"/>
    <n v="37"/>
    <n v="0"/>
    <n v="5"/>
    <n v="5"/>
    <n v="17"/>
    <n v="16"/>
    <n v="15"/>
    <n v="9"/>
    <n v="7"/>
    <n v="5"/>
    <n v="1"/>
    <n v="37"/>
  </r>
  <r>
    <n v="2025"/>
    <n v="3"/>
    <x v="8"/>
    <s v="national network"/>
    <x v="2"/>
    <x v="0"/>
    <s v="No"/>
    <x v="1"/>
    <s v="No"/>
    <n v="186"/>
    <n v="0"/>
    <n v="0"/>
    <n v="0"/>
    <n v="0"/>
    <n v="0"/>
    <n v="0"/>
    <n v="0"/>
    <n v="0"/>
    <n v="0"/>
    <n v="0"/>
    <n v="186"/>
  </r>
  <r>
    <n v="2025"/>
    <n v="3"/>
    <x v="8"/>
    <s v="national network"/>
    <x v="4"/>
    <x v="0"/>
    <s v="No"/>
    <x v="0"/>
    <s v="Yes"/>
    <n v="124"/>
    <n v="0"/>
    <n v="0"/>
    <n v="0"/>
    <n v="6"/>
    <n v="4"/>
    <n v="4"/>
    <n v="2"/>
    <n v="2"/>
    <n v="1"/>
    <n v="0"/>
    <n v="124"/>
  </r>
  <r>
    <n v="2025"/>
    <n v="3"/>
    <x v="9"/>
    <s v="national network"/>
    <x v="2"/>
    <x v="0"/>
    <s v="No"/>
    <x v="1"/>
    <s v="No"/>
    <n v="124"/>
    <n v="0"/>
    <n v="0"/>
    <n v="0"/>
    <n v="1"/>
    <n v="1"/>
    <n v="1"/>
    <n v="1"/>
    <n v="0"/>
    <n v="0"/>
    <n v="0"/>
    <n v="124"/>
  </r>
  <r>
    <n v="2025"/>
    <n v="3"/>
    <x v="9"/>
    <s v="national network"/>
    <x v="3"/>
    <x v="0"/>
    <s v="No"/>
    <x v="0"/>
    <s v="No"/>
    <n v="558"/>
    <n v="1"/>
    <n v="0"/>
    <n v="1"/>
    <n v="83"/>
    <n v="74"/>
    <n v="67"/>
    <n v="53"/>
    <n v="40"/>
    <n v="31"/>
    <n v="14"/>
    <n v="557"/>
  </r>
  <r>
    <n v="2025"/>
    <n v="3"/>
    <x v="9"/>
    <s v="national network"/>
    <x v="4"/>
    <x v="0"/>
    <s v="No"/>
    <x v="0"/>
    <s v="Yes"/>
    <n v="186"/>
    <n v="1"/>
    <n v="0"/>
    <n v="1"/>
    <n v="18"/>
    <n v="14"/>
    <n v="12"/>
    <n v="7"/>
    <n v="6"/>
    <n v="3"/>
    <n v="0"/>
    <n v="185"/>
  </r>
  <r>
    <n v="2025"/>
    <n v="3"/>
    <x v="9"/>
    <s v="national network"/>
    <x v="0"/>
    <x v="0"/>
    <s v="No"/>
    <x v="0"/>
    <s v="No"/>
    <n v="248"/>
    <n v="0"/>
    <n v="0"/>
    <n v="0"/>
    <n v="0"/>
    <n v="0"/>
    <n v="0"/>
    <n v="0"/>
    <n v="0"/>
    <n v="0"/>
    <n v="0"/>
    <n v="248"/>
  </r>
  <r>
    <n v="2025"/>
    <n v="3"/>
    <x v="9"/>
    <s v="national network"/>
    <x v="5"/>
    <x v="0"/>
    <s v="No"/>
    <x v="0"/>
    <s v="Yes"/>
    <n v="1"/>
    <n v="0"/>
    <n v="0"/>
    <n v="0"/>
    <n v="0"/>
    <n v="0"/>
    <n v="0"/>
    <n v="0"/>
    <n v="0"/>
    <n v="0"/>
    <n v="0"/>
    <n v="1"/>
  </r>
  <r>
    <n v="2025"/>
    <n v="3"/>
    <x v="9"/>
    <s v="national network"/>
    <x v="10"/>
    <x v="0"/>
    <s v="Yes"/>
    <x v="0"/>
    <s v="No"/>
    <n v="496"/>
    <n v="1"/>
    <n v="0"/>
    <n v="1"/>
    <n v="66"/>
    <n v="61"/>
    <n v="57"/>
    <n v="45"/>
    <n v="29"/>
    <n v="10"/>
    <n v="1"/>
    <n v="495"/>
  </r>
  <r>
    <n v="2025"/>
    <n v="3"/>
    <x v="10"/>
    <s v="national network"/>
    <x v="15"/>
    <x v="0"/>
    <s v="No"/>
    <x v="0"/>
    <s v="No"/>
    <n v="762"/>
    <n v="5"/>
    <n v="7"/>
    <n v="12"/>
    <n v="135"/>
    <n v="86"/>
    <n v="77"/>
    <n v="48"/>
    <n v="27"/>
    <n v="6"/>
    <n v="0"/>
    <n v="757"/>
  </r>
  <r>
    <n v="2025"/>
    <n v="3"/>
    <x v="10"/>
    <s v="national network"/>
    <x v="16"/>
    <x v="1"/>
    <s v="No"/>
    <x v="0"/>
    <s v="No"/>
    <n v="2"/>
    <n v="0"/>
    <n v="0"/>
    <n v="0"/>
    <n v="0"/>
    <n v="0"/>
    <n v="0"/>
    <n v="0"/>
    <n v="0"/>
    <n v="0"/>
    <n v="0"/>
    <n v="2"/>
  </r>
  <r>
    <n v="2025"/>
    <n v="3"/>
    <x v="10"/>
    <s v="national network"/>
    <x v="16"/>
    <x v="0"/>
    <s v="No"/>
    <x v="0"/>
    <s v="No"/>
    <n v="542"/>
    <n v="2"/>
    <n v="1"/>
    <n v="3"/>
    <n v="92"/>
    <n v="62"/>
    <n v="54"/>
    <n v="38"/>
    <n v="26"/>
    <n v="4"/>
    <n v="0"/>
    <n v="540"/>
  </r>
  <r>
    <n v="2025"/>
    <n v="3"/>
    <x v="10"/>
    <s v="national network"/>
    <x v="0"/>
    <x v="1"/>
    <s v="No"/>
    <x v="0"/>
    <s v="No"/>
    <n v="35670"/>
    <n v="0"/>
    <n v="2916"/>
    <n v="2916"/>
    <n v="4181"/>
    <n v="2331"/>
    <n v="1832"/>
    <n v="834"/>
    <n v="359"/>
    <n v="32"/>
    <n v="1"/>
    <n v="33456"/>
  </r>
  <r>
    <n v="2025"/>
    <n v="3"/>
    <x v="10"/>
    <s v="national network"/>
    <x v="0"/>
    <x v="0"/>
    <s v="No"/>
    <x v="0"/>
    <s v="No"/>
    <n v="465"/>
    <n v="32"/>
    <n v="3"/>
    <n v="35"/>
    <n v="175"/>
    <n v="152"/>
    <n v="145"/>
    <n v="133"/>
    <n v="100"/>
    <n v="48"/>
    <n v="17"/>
    <n v="432"/>
  </r>
  <r>
    <n v="2025"/>
    <n v="3"/>
    <x v="10"/>
    <s v="national network"/>
    <x v="17"/>
    <x v="1"/>
    <s v="No"/>
    <x v="0"/>
    <s v="No"/>
    <n v="3604"/>
    <n v="0"/>
    <n v="856"/>
    <n v="856"/>
    <n v="589"/>
    <n v="389"/>
    <n v="318"/>
    <n v="177"/>
    <n v="87"/>
    <n v="18"/>
    <n v="0"/>
    <n v="3008"/>
  </r>
  <r>
    <n v="2025"/>
    <n v="3"/>
    <x v="10"/>
    <s v="national network"/>
    <x v="8"/>
    <x v="0"/>
    <s v="Yes"/>
    <x v="0"/>
    <s v="No"/>
    <n v="466"/>
    <n v="3"/>
    <n v="5"/>
    <n v="8"/>
    <n v="158"/>
    <n v="138"/>
    <n v="133"/>
    <n v="113"/>
    <n v="80"/>
    <n v="24"/>
    <n v="7"/>
    <n v="462"/>
  </r>
  <r>
    <n v="2025"/>
    <n v="3"/>
    <x v="10"/>
    <s v="national network"/>
    <x v="5"/>
    <x v="0"/>
    <s v="No"/>
    <x v="0"/>
    <s v="Yes"/>
    <n v="186"/>
    <n v="8"/>
    <n v="0"/>
    <n v="8"/>
    <n v="91"/>
    <n v="77"/>
    <n v="75"/>
    <n v="68"/>
    <n v="57"/>
    <n v="46"/>
    <n v="22"/>
    <n v="178"/>
  </r>
  <r>
    <n v="2025"/>
    <n v="3"/>
    <x v="10"/>
    <s v="national network"/>
    <x v="18"/>
    <x v="1"/>
    <s v="No"/>
    <x v="0"/>
    <s v="Yes"/>
    <n v="17"/>
    <n v="0"/>
    <n v="1"/>
    <n v="1"/>
    <n v="8"/>
    <n v="5"/>
    <n v="4"/>
    <n v="1"/>
    <n v="0"/>
    <n v="0"/>
    <n v="0"/>
    <n v="17"/>
  </r>
  <r>
    <n v="2025"/>
    <n v="3"/>
    <x v="10"/>
    <s v="national network"/>
    <x v="19"/>
    <x v="1"/>
    <s v="No"/>
    <x v="1"/>
    <s v="No"/>
    <n v="4234"/>
    <n v="0"/>
    <n v="57"/>
    <n v="57"/>
    <n v="218"/>
    <n v="85"/>
    <n v="56"/>
    <n v="23"/>
    <n v="3"/>
    <n v="0"/>
    <n v="0"/>
    <n v="4184"/>
  </r>
  <r>
    <n v="2025"/>
    <n v="3"/>
    <x v="10"/>
    <s v="national network"/>
    <x v="20"/>
    <x v="1"/>
    <s v="No"/>
    <x v="1"/>
    <s v="No"/>
    <n v="78668"/>
    <n v="0"/>
    <n v="3280"/>
    <n v="3280"/>
    <n v="5208"/>
    <n v="2528"/>
    <n v="1852"/>
    <n v="714"/>
    <n v="248"/>
    <n v="15"/>
    <n v="0"/>
    <n v="76111"/>
  </r>
  <r>
    <n v="2025"/>
    <n v="3"/>
    <x v="10"/>
    <s v="national network"/>
    <x v="21"/>
    <x v="1"/>
    <s v="No"/>
    <x v="1"/>
    <s v="No"/>
    <n v="40583"/>
    <n v="0"/>
    <n v="860"/>
    <n v="860"/>
    <n v="2116"/>
    <n v="785"/>
    <n v="521"/>
    <n v="214"/>
    <n v="72"/>
    <n v="6"/>
    <n v="1"/>
    <n v="39934"/>
  </r>
  <r>
    <n v="2025"/>
    <n v="3"/>
    <x v="11"/>
    <s v="national network"/>
    <x v="2"/>
    <x v="1"/>
    <s v="No"/>
    <x v="0"/>
    <s v="No"/>
    <n v="761"/>
    <n v="5"/>
    <n v="6"/>
    <n v="11"/>
    <n v="160"/>
    <n v="107"/>
    <n v="91"/>
    <n v="55"/>
    <n v="36"/>
    <n v="13"/>
    <n v="3"/>
    <n v="751"/>
  </r>
  <r>
    <n v="2025"/>
    <n v="3"/>
    <x v="11"/>
    <s v="national network"/>
    <x v="2"/>
    <x v="0"/>
    <s v="No"/>
    <x v="0"/>
    <s v="No"/>
    <n v="962"/>
    <n v="0"/>
    <n v="0"/>
    <n v="0"/>
    <n v="184"/>
    <n v="124"/>
    <n v="101"/>
    <n v="60"/>
    <n v="46"/>
    <n v="14"/>
    <n v="5"/>
    <n v="962"/>
  </r>
  <r>
    <n v="2025"/>
    <n v="3"/>
    <x v="11"/>
    <s v="national network"/>
    <x v="3"/>
    <x v="1"/>
    <s v="No"/>
    <x v="0"/>
    <s v="No"/>
    <n v="9"/>
    <n v="0"/>
    <n v="0"/>
    <n v="0"/>
    <n v="5"/>
    <n v="4"/>
    <n v="4"/>
    <n v="4"/>
    <n v="3"/>
    <n v="2"/>
    <n v="0"/>
    <n v="9"/>
  </r>
  <r>
    <n v="2025"/>
    <n v="3"/>
    <x v="11"/>
    <s v="national network"/>
    <x v="3"/>
    <x v="0"/>
    <s v="No"/>
    <x v="0"/>
    <s v="No"/>
    <n v="1583"/>
    <n v="8"/>
    <n v="0"/>
    <n v="8"/>
    <n v="592"/>
    <n v="468"/>
    <n v="428"/>
    <n v="298"/>
    <n v="232"/>
    <n v="103"/>
    <n v="28"/>
    <n v="1575"/>
  </r>
  <r>
    <n v="2025"/>
    <n v="3"/>
    <x v="11"/>
    <s v="national network"/>
    <x v="4"/>
    <x v="0"/>
    <s v="No"/>
    <x v="0"/>
    <s v="Yes"/>
    <n v="341"/>
    <n v="1"/>
    <n v="0"/>
    <n v="1"/>
    <n v="31"/>
    <n v="26"/>
    <n v="25"/>
    <n v="22"/>
    <n v="20"/>
    <n v="15"/>
    <n v="9"/>
    <n v="340"/>
  </r>
  <r>
    <n v="2025"/>
    <n v="3"/>
    <x v="11"/>
    <s v="national network"/>
    <x v="0"/>
    <x v="1"/>
    <s v="No"/>
    <x v="0"/>
    <s v="No"/>
    <n v="1795"/>
    <n v="1"/>
    <n v="6"/>
    <n v="7"/>
    <n v="288"/>
    <n v="192"/>
    <n v="163"/>
    <n v="102"/>
    <n v="77"/>
    <n v="32"/>
    <n v="10"/>
    <n v="1790"/>
  </r>
  <r>
    <n v="2025"/>
    <n v="3"/>
    <x v="11"/>
    <s v="national network"/>
    <x v="0"/>
    <x v="0"/>
    <s v="No"/>
    <x v="0"/>
    <s v="No"/>
    <n v="597"/>
    <n v="5"/>
    <n v="0"/>
    <n v="5"/>
    <n v="78"/>
    <n v="59"/>
    <n v="58"/>
    <n v="48"/>
    <n v="42"/>
    <n v="24"/>
    <n v="9"/>
    <n v="592"/>
  </r>
  <r>
    <n v="2025"/>
    <n v="3"/>
    <x v="11"/>
    <s v="national network"/>
    <x v="8"/>
    <x v="1"/>
    <s v="Yes"/>
    <x v="0"/>
    <s v="No"/>
    <n v="36"/>
    <n v="0"/>
    <n v="0"/>
    <n v="0"/>
    <n v="7"/>
    <n v="4"/>
    <n v="3"/>
    <n v="1"/>
    <n v="1"/>
    <n v="0"/>
    <n v="0"/>
    <n v="36"/>
  </r>
  <r>
    <n v="2025"/>
    <n v="3"/>
    <x v="11"/>
    <s v="national network"/>
    <x v="8"/>
    <x v="0"/>
    <s v="Yes"/>
    <x v="0"/>
    <s v="No"/>
    <n v="776"/>
    <n v="16"/>
    <n v="5"/>
    <n v="21"/>
    <n v="258"/>
    <n v="217"/>
    <n v="206"/>
    <n v="168"/>
    <n v="131"/>
    <n v="71"/>
    <n v="22"/>
    <n v="758"/>
  </r>
  <r>
    <n v="2025"/>
    <n v="3"/>
    <x v="11"/>
    <s v="national network"/>
    <x v="5"/>
    <x v="1"/>
    <s v="No"/>
    <x v="0"/>
    <s v="Yes"/>
    <n v="62"/>
    <n v="0"/>
    <n v="0"/>
    <n v="0"/>
    <n v="9"/>
    <n v="5"/>
    <n v="5"/>
    <n v="4"/>
    <n v="4"/>
    <n v="0"/>
    <n v="0"/>
    <n v="62"/>
  </r>
  <r>
    <n v="2025"/>
    <n v="3"/>
    <x v="11"/>
    <s v="national network"/>
    <x v="5"/>
    <x v="0"/>
    <s v="No"/>
    <x v="0"/>
    <s v="Yes"/>
    <n v="704"/>
    <n v="7"/>
    <n v="0"/>
    <n v="7"/>
    <n v="266"/>
    <n v="215"/>
    <n v="196"/>
    <n v="164"/>
    <n v="140"/>
    <n v="102"/>
    <n v="53"/>
    <n v="697"/>
  </r>
  <r>
    <n v="2025"/>
    <n v="3"/>
    <x v="11"/>
    <s v="national network"/>
    <x v="6"/>
    <x v="1"/>
    <s v="No"/>
    <x v="0"/>
    <s v="No"/>
    <n v="2128"/>
    <n v="7"/>
    <n v="54"/>
    <n v="61"/>
    <n v="355"/>
    <n v="201"/>
    <n v="160"/>
    <n v="73"/>
    <n v="54"/>
    <n v="24"/>
    <n v="10"/>
    <n v="2096"/>
  </r>
  <r>
    <n v="2025"/>
    <n v="3"/>
    <x v="11"/>
    <s v="national network"/>
    <x v="6"/>
    <x v="0"/>
    <s v="No"/>
    <x v="0"/>
    <s v="No"/>
    <n v="1120"/>
    <n v="14"/>
    <n v="9"/>
    <n v="23"/>
    <n v="318"/>
    <n v="243"/>
    <n v="220"/>
    <n v="166"/>
    <n v="119"/>
    <n v="48"/>
    <n v="16"/>
    <n v="1103"/>
  </r>
  <r>
    <n v="2025"/>
    <n v="3"/>
    <x v="11"/>
    <s v="national network"/>
    <x v="10"/>
    <x v="1"/>
    <s v="Yes"/>
    <x v="0"/>
    <s v="No"/>
    <n v="907"/>
    <n v="0"/>
    <n v="22"/>
    <n v="22"/>
    <n v="397"/>
    <n v="341"/>
    <n v="320"/>
    <n v="231"/>
    <n v="185"/>
    <n v="77"/>
    <n v="13"/>
    <n v="899"/>
  </r>
  <r>
    <n v="2025"/>
    <n v="3"/>
    <x v="11"/>
    <s v="national network"/>
    <x v="10"/>
    <x v="0"/>
    <s v="Yes"/>
    <x v="0"/>
    <s v="No"/>
    <n v="1068"/>
    <n v="1"/>
    <n v="13"/>
    <n v="14"/>
    <n v="396"/>
    <n v="315"/>
    <n v="292"/>
    <n v="210"/>
    <n v="149"/>
    <n v="60"/>
    <n v="9"/>
    <n v="1062"/>
  </r>
  <r>
    <n v="2025"/>
    <n v="3"/>
    <x v="12"/>
    <s v="national network"/>
    <x v="9"/>
    <x v="1"/>
    <s v="No"/>
    <x v="1"/>
    <s v="No"/>
    <n v="11049"/>
    <n v="5"/>
    <n v="104"/>
    <n v="109"/>
    <n v="8"/>
    <n v="4"/>
    <n v="3"/>
    <n v="0"/>
    <n v="0"/>
    <n v="0"/>
    <n v="0"/>
    <n v="10959"/>
  </r>
  <r>
    <n v="2025"/>
    <n v="3"/>
    <x v="12"/>
    <s v="national network"/>
    <x v="9"/>
    <x v="0"/>
    <s v="No"/>
    <x v="1"/>
    <s v="No"/>
    <n v="28"/>
    <n v="0"/>
    <n v="0"/>
    <n v="0"/>
    <n v="0"/>
    <n v="0"/>
    <n v="0"/>
    <n v="0"/>
    <n v="0"/>
    <n v="0"/>
    <n v="0"/>
    <n v="28"/>
  </r>
  <r>
    <n v="2025"/>
    <n v="3"/>
    <x v="13"/>
    <s v="whole journey"/>
    <x v="22"/>
    <x v="0"/>
    <s v="No"/>
    <x v="1"/>
    <s v="No"/>
    <n v="154"/>
    <n v="0"/>
    <n v="1"/>
    <n v="1"/>
    <n v="34"/>
    <n v="26"/>
    <n v="24"/>
    <n v="22"/>
    <n v="20"/>
    <n v="13"/>
    <n v="5"/>
    <n v="153"/>
  </r>
  <r>
    <n v="2025"/>
    <n v="3"/>
    <x v="13"/>
    <s v="whole journey"/>
    <x v="23"/>
    <x v="1"/>
    <s v="Yes"/>
    <x v="0"/>
    <s v="No"/>
    <n v="1687"/>
    <n v="6"/>
    <n v="8"/>
    <n v="14"/>
    <n v="256"/>
    <n v="241"/>
    <n v="241"/>
    <n v="174"/>
    <n v="148"/>
    <n v="87"/>
    <n v="40"/>
    <n v="1679"/>
  </r>
  <r>
    <n v="2025"/>
    <n v="3"/>
    <x v="13"/>
    <s v="whole journey"/>
    <x v="23"/>
    <x v="2"/>
    <s v="Yes"/>
    <x v="0"/>
    <s v="No"/>
    <n v="86"/>
    <n v="0"/>
    <n v="0"/>
    <n v="0"/>
    <n v="0"/>
    <n v="0"/>
    <n v="0"/>
    <n v="0"/>
    <n v="0"/>
    <n v="0"/>
    <n v="0"/>
    <n v="0"/>
  </r>
  <r>
    <n v="2025"/>
    <n v="3"/>
    <x v="14"/>
    <s v="national network"/>
    <x v="3"/>
    <x v="0"/>
    <s v="No"/>
    <x v="1"/>
    <s v="No"/>
    <n v="910"/>
    <n v="2"/>
    <n v="0"/>
    <n v="2"/>
    <n v="213"/>
    <n v="166"/>
    <n v="148"/>
    <n v="103"/>
    <n v="64"/>
    <n v="28"/>
    <n v="9"/>
    <n v="908"/>
  </r>
  <r>
    <n v="2025"/>
    <n v="3"/>
    <x v="14"/>
    <s v="national network"/>
    <x v="4"/>
    <x v="0"/>
    <s v="No"/>
    <x v="0"/>
    <s v="Yes"/>
    <n v="62"/>
    <n v="0"/>
    <n v="0"/>
    <n v="0"/>
    <n v="10"/>
    <n v="5"/>
    <n v="5"/>
    <n v="5"/>
    <n v="2"/>
    <n v="0"/>
    <n v="0"/>
    <n v="62"/>
  </r>
  <r>
    <n v="2025"/>
    <n v="3"/>
    <x v="14"/>
    <s v="national network"/>
    <x v="0"/>
    <x v="0"/>
    <s v="No"/>
    <x v="0"/>
    <s v="No"/>
    <n v="62"/>
    <n v="0"/>
    <n v="0"/>
    <n v="0"/>
    <n v="10"/>
    <n v="5"/>
    <n v="5"/>
    <n v="5"/>
    <n v="2"/>
    <n v="0"/>
    <n v="0"/>
    <n v="62"/>
  </r>
  <r>
    <n v="2025"/>
    <n v="3"/>
    <x v="15"/>
    <s v="national network"/>
    <x v="24"/>
    <x v="1"/>
    <s v="No"/>
    <x v="1"/>
    <s v="No"/>
    <n v="1431"/>
    <n v="0"/>
    <n v="0"/>
    <n v="0"/>
    <n v="0"/>
    <n v="0"/>
    <n v="0"/>
    <n v="0"/>
    <n v="0"/>
    <n v="0"/>
    <n v="0"/>
    <n v="1431"/>
  </r>
  <r>
    <n v="2025"/>
    <n v="3"/>
    <x v="15"/>
    <s v="national network"/>
    <x v="24"/>
    <x v="0"/>
    <s v="No"/>
    <x v="1"/>
    <s v="No"/>
    <n v="91"/>
    <n v="0"/>
    <n v="0"/>
    <n v="0"/>
    <n v="0"/>
    <n v="0"/>
    <n v="0"/>
    <n v="0"/>
    <n v="0"/>
    <n v="0"/>
    <n v="0"/>
    <n v="91"/>
  </r>
  <r>
    <n v="2025"/>
    <n v="3"/>
    <x v="16"/>
    <s v="national network"/>
    <x v="3"/>
    <x v="1"/>
    <s v="No"/>
    <x v="0"/>
    <s v="No"/>
    <n v="2"/>
    <n v="0"/>
    <n v="0"/>
    <n v="0"/>
    <n v="0"/>
    <n v="0"/>
    <n v="0"/>
    <n v="0"/>
    <n v="0"/>
    <n v="0"/>
    <n v="0"/>
    <n v="2"/>
  </r>
  <r>
    <n v="2025"/>
    <n v="3"/>
    <x v="16"/>
    <s v="national network"/>
    <x v="3"/>
    <x v="0"/>
    <s v="No"/>
    <x v="0"/>
    <s v="No"/>
    <n v="1917"/>
    <n v="16"/>
    <n v="71"/>
    <n v="87"/>
    <n v="264"/>
    <n v="199"/>
    <n v="168"/>
    <n v="95"/>
    <n v="62"/>
    <n v="39"/>
    <n v="14"/>
    <n v="1847"/>
  </r>
  <r>
    <n v="2025"/>
    <n v="3"/>
    <x v="16"/>
    <s v="national network"/>
    <x v="7"/>
    <x v="0"/>
    <s v="No"/>
    <x v="1"/>
    <s v="No"/>
    <n v="281"/>
    <n v="4"/>
    <n v="6"/>
    <n v="10"/>
    <n v="139"/>
    <n v="96"/>
    <n v="79"/>
    <n v="27"/>
    <n v="16"/>
    <n v="4"/>
    <n v="0"/>
    <n v="277"/>
  </r>
  <r>
    <n v="2025"/>
    <n v="3"/>
    <x v="16"/>
    <s v="national network"/>
    <x v="7"/>
    <x v="0"/>
    <s v="No"/>
    <x v="0"/>
    <s v="No"/>
    <n v="1"/>
    <n v="0"/>
    <n v="0"/>
    <n v="0"/>
    <n v="0"/>
    <n v="0"/>
    <n v="0"/>
    <n v="0"/>
    <n v="0"/>
    <n v="0"/>
    <n v="0"/>
    <n v="1"/>
  </r>
  <r>
    <n v="2025"/>
    <n v="3"/>
    <x v="16"/>
    <s v="national network"/>
    <x v="4"/>
    <x v="0"/>
    <s v="No"/>
    <x v="0"/>
    <s v="Yes"/>
    <n v="184"/>
    <n v="1"/>
    <n v="0"/>
    <n v="1"/>
    <n v="36"/>
    <n v="31"/>
    <n v="29"/>
    <n v="28"/>
    <n v="24"/>
    <n v="21"/>
    <n v="10"/>
    <n v="183"/>
  </r>
  <r>
    <n v="2025"/>
    <n v="3"/>
    <x v="16"/>
    <s v="national network"/>
    <x v="0"/>
    <x v="1"/>
    <s v="No"/>
    <x v="0"/>
    <s v="No"/>
    <n v="11765"/>
    <n v="25"/>
    <n v="188"/>
    <n v="213"/>
    <n v="26"/>
    <n v="19"/>
    <n v="13"/>
    <n v="6"/>
    <n v="6"/>
    <n v="3"/>
    <n v="1"/>
    <n v="11589"/>
  </r>
  <r>
    <n v="2025"/>
    <n v="3"/>
    <x v="16"/>
    <s v="national network"/>
    <x v="0"/>
    <x v="0"/>
    <s v="No"/>
    <x v="0"/>
    <s v="No"/>
    <n v="1187"/>
    <n v="23"/>
    <n v="19"/>
    <n v="42"/>
    <n v="185"/>
    <n v="123"/>
    <n v="116"/>
    <n v="85"/>
    <n v="58"/>
    <n v="35"/>
    <n v="17"/>
    <n v="1153"/>
  </r>
  <r>
    <n v="2025"/>
    <n v="3"/>
    <x v="16"/>
    <s v="national network"/>
    <x v="0"/>
    <x v="2"/>
    <s v="No"/>
    <x v="0"/>
    <s v="No"/>
    <n v="1"/>
    <n v="0"/>
    <n v="0"/>
    <n v="0"/>
    <n v="0"/>
    <n v="0"/>
    <n v="0"/>
    <n v="0"/>
    <n v="0"/>
    <n v="0"/>
    <n v="0"/>
    <n v="0"/>
  </r>
  <r>
    <n v="2025"/>
    <n v="3"/>
    <x v="16"/>
    <s v="national network"/>
    <x v="8"/>
    <x v="1"/>
    <s v="Yes"/>
    <x v="0"/>
    <s v="No"/>
    <n v="57"/>
    <n v="1"/>
    <n v="0"/>
    <n v="1"/>
    <n v="0"/>
    <n v="0"/>
    <n v="0"/>
    <n v="0"/>
    <n v="0"/>
    <n v="0"/>
    <n v="0"/>
    <n v="56"/>
  </r>
  <r>
    <n v="2025"/>
    <n v="3"/>
    <x v="16"/>
    <s v="national network"/>
    <x v="8"/>
    <x v="0"/>
    <s v="Yes"/>
    <x v="0"/>
    <s v="No"/>
    <n v="1146"/>
    <n v="59"/>
    <n v="144"/>
    <n v="203"/>
    <n v="206"/>
    <n v="158"/>
    <n v="133"/>
    <n v="86"/>
    <n v="53"/>
    <n v="20"/>
    <n v="3"/>
    <n v="996"/>
  </r>
  <r>
    <n v="2025"/>
    <n v="3"/>
    <x v="16"/>
    <s v="national network"/>
    <x v="9"/>
    <x v="1"/>
    <s v="No"/>
    <x v="0"/>
    <s v="No"/>
    <n v="13244"/>
    <n v="41"/>
    <n v="242"/>
    <n v="283"/>
    <n v="34"/>
    <n v="21"/>
    <n v="16"/>
    <n v="9"/>
    <n v="4"/>
    <n v="2"/>
    <n v="0"/>
    <n v="13037"/>
  </r>
  <r>
    <n v="2025"/>
    <n v="3"/>
    <x v="16"/>
    <s v="national network"/>
    <x v="9"/>
    <x v="0"/>
    <s v="No"/>
    <x v="0"/>
    <s v="No"/>
    <n v="1046"/>
    <n v="0"/>
    <n v="42"/>
    <n v="42"/>
    <n v="39"/>
    <n v="12"/>
    <n v="9"/>
    <n v="6"/>
    <n v="3"/>
    <n v="0"/>
    <n v="0"/>
    <n v="1017"/>
  </r>
  <r>
    <n v="2025"/>
    <n v="3"/>
    <x v="16"/>
    <s v="national network"/>
    <x v="9"/>
    <x v="2"/>
    <s v="No"/>
    <x v="0"/>
    <s v="No"/>
    <n v="4"/>
    <n v="0"/>
    <n v="0"/>
    <n v="0"/>
    <n v="0"/>
    <n v="0"/>
    <n v="0"/>
    <n v="0"/>
    <n v="0"/>
    <n v="0"/>
    <n v="0"/>
    <n v="0"/>
  </r>
  <r>
    <n v="2025"/>
    <n v="3"/>
    <x v="16"/>
    <s v="national network"/>
    <x v="25"/>
    <x v="1"/>
    <s v="Yes"/>
    <x v="0"/>
    <s v="No"/>
    <n v="52"/>
    <n v="0"/>
    <n v="0"/>
    <n v="0"/>
    <n v="0"/>
    <n v="0"/>
    <n v="0"/>
    <n v="0"/>
    <n v="0"/>
    <n v="0"/>
    <n v="0"/>
    <n v="52"/>
  </r>
  <r>
    <n v="2025"/>
    <n v="3"/>
    <x v="16"/>
    <s v="national network"/>
    <x v="25"/>
    <x v="0"/>
    <s v="Yes"/>
    <x v="0"/>
    <s v="No"/>
    <n v="847"/>
    <n v="1"/>
    <n v="13"/>
    <n v="14"/>
    <n v="127"/>
    <n v="93"/>
    <n v="89"/>
    <n v="74"/>
    <n v="63"/>
    <n v="32"/>
    <n v="9"/>
    <n v="839"/>
  </r>
  <r>
    <n v="2025"/>
    <n v="3"/>
    <x v="16"/>
    <s v="national network"/>
    <x v="25"/>
    <x v="2"/>
    <s v="Yes"/>
    <x v="0"/>
    <s v="No"/>
    <n v="13"/>
    <n v="0"/>
    <n v="0"/>
    <n v="0"/>
    <n v="0"/>
    <n v="0"/>
    <n v="0"/>
    <n v="0"/>
    <n v="0"/>
    <n v="0"/>
    <n v="0"/>
    <n v="0"/>
  </r>
  <r>
    <n v="2025"/>
    <n v="3"/>
    <x v="16"/>
    <s v="national network"/>
    <x v="5"/>
    <x v="0"/>
    <s v="No"/>
    <x v="0"/>
    <s v="Yes"/>
    <n v="304"/>
    <n v="8"/>
    <n v="1"/>
    <n v="9"/>
    <n v="91"/>
    <n v="71"/>
    <n v="66"/>
    <n v="57"/>
    <n v="47"/>
    <n v="39"/>
    <n v="25"/>
    <n v="295"/>
  </r>
  <r>
    <n v="2025"/>
    <n v="3"/>
    <x v="16"/>
    <s v="national network"/>
    <x v="10"/>
    <x v="0"/>
    <s v="Yes"/>
    <x v="0"/>
    <s v="No"/>
    <n v="372"/>
    <n v="0"/>
    <n v="3"/>
    <n v="3"/>
    <n v="26"/>
    <n v="19"/>
    <n v="18"/>
    <n v="11"/>
    <n v="10"/>
    <n v="6"/>
    <n v="0"/>
    <n v="371"/>
  </r>
  <r>
    <n v="2025"/>
    <n v="3"/>
    <x v="17"/>
    <s v="national network"/>
    <x v="4"/>
    <x v="0"/>
    <s v="No"/>
    <x v="0"/>
    <s v="Yes"/>
    <n v="54"/>
    <n v="0"/>
    <n v="0"/>
    <n v="0"/>
    <n v="20"/>
    <n v="20"/>
    <n v="19"/>
    <n v="18"/>
    <n v="13"/>
    <n v="9"/>
    <n v="3"/>
    <n v="54"/>
  </r>
  <r>
    <n v="2025"/>
    <n v="3"/>
    <x v="17"/>
    <s v="national network"/>
    <x v="0"/>
    <x v="0"/>
    <s v="No"/>
    <x v="0"/>
    <s v="No"/>
    <n v="4"/>
    <n v="0"/>
    <n v="0"/>
    <n v="0"/>
    <n v="2"/>
    <n v="1"/>
    <n v="1"/>
    <n v="1"/>
    <n v="1"/>
    <n v="1"/>
    <n v="0"/>
    <n v="4"/>
  </r>
  <r>
    <n v="2025"/>
    <n v="3"/>
    <x v="18"/>
    <s v="national network"/>
    <x v="15"/>
    <x v="0"/>
    <s v="No"/>
    <x v="1"/>
    <s v="No"/>
    <n v="778"/>
    <n v="11"/>
    <n v="12"/>
    <n v="23"/>
    <n v="191"/>
    <n v="117"/>
    <n v="99"/>
    <n v="46"/>
    <n v="26"/>
    <n v="7"/>
    <n v="0"/>
    <n v="759"/>
  </r>
  <r>
    <n v="2025"/>
    <n v="3"/>
    <x v="18"/>
    <s v="national network"/>
    <x v="16"/>
    <x v="0"/>
    <s v="No"/>
    <x v="1"/>
    <s v="No"/>
    <n v="723"/>
    <n v="3"/>
    <n v="2"/>
    <n v="5"/>
    <n v="201"/>
    <n v="131"/>
    <n v="117"/>
    <n v="66"/>
    <n v="42"/>
    <n v="17"/>
    <n v="0"/>
    <n v="719"/>
  </r>
  <r>
    <n v="2025"/>
    <n v="3"/>
    <x v="18"/>
    <s v="national network"/>
    <x v="0"/>
    <x v="1"/>
    <s v="No"/>
    <x v="0"/>
    <s v="No"/>
    <n v="24510"/>
    <n v="75"/>
    <n v="525"/>
    <n v="600"/>
    <n v="4455"/>
    <n v="2713"/>
    <n v="2209"/>
    <n v="1148"/>
    <n v="617"/>
    <n v="118"/>
    <n v="4"/>
    <n v="24139"/>
  </r>
  <r>
    <n v="2025"/>
    <n v="3"/>
    <x v="18"/>
    <s v="national network"/>
    <x v="0"/>
    <x v="0"/>
    <s v="No"/>
    <x v="0"/>
    <s v="No"/>
    <n v="2767"/>
    <n v="16"/>
    <n v="11"/>
    <n v="27"/>
    <n v="361"/>
    <n v="216"/>
    <n v="180"/>
    <n v="85"/>
    <n v="50"/>
    <n v="12"/>
    <n v="0"/>
    <n v="2743"/>
  </r>
  <r>
    <n v="2025"/>
    <n v="3"/>
    <x v="18"/>
    <s v="national network"/>
    <x v="0"/>
    <x v="2"/>
    <s v="No"/>
    <x v="0"/>
    <s v="No"/>
    <n v="1"/>
    <n v="1"/>
    <n v="0"/>
    <n v="1"/>
    <n v="0"/>
    <n v="0"/>
    <n v="0"/>
    <n v="0"/>
    <n v="0"/>
    <n v="0"/>
    <n v="0"/>
    <n v="0"/>
  </r>
  <r>
    <n v="2025"/>
    <n v="3"/>
    <x v="18"/>
    <s v="national network"/>
    <x v="8"/>
    <x v="0"/>
    <s v="Yes"/>
    <x v="0"/>
    <s v="No"/>
    <n v="446"/>
    <n v="13"/>
    <n v="1"/>
    <n v="14"/>
    <n v="200"/>
    <n v="147"/>
    <n v="122"/>
    <n v="82"/>
    <n v="51"/>
    <n v="24"/>
    <n v="4"/>
    <n v="433"/>
  </r>
  <r>
    <n v="2025"/>
    <n v="3"/>
    <x v="18"/>
    <s v="national network"/>
    <x v="26"/>
    <x v="1"/>
    <s v="No"/>
    <x v="1"/>
    <s v="No"/>
    <n v="14920"/>
    <n v="22"/>
    <n v="67"/>
    <n v="89"/>
    <n v="2141"/>
    <n v="1142"/>
    <n v="845"/>
    <n v="377"/>
    <n v="190"/>
    <n v="36"/>
    <n v="3"/>
    <n v="14852"/>
  </r>
  <r>
    <n v="2025"/>
    <n v="3"/>
    <x v="18"/>
    <s v="national network"/>
    <x v="26"/>
    <x v="0"/>
    <s v="No"/>
    <x v="1"/>
    <s v="No"/>
    <n v="3797"/>
    <n v="13"/>
    <n v="16"/>
    <n v="29"/>
    <n v="238"/>
    <n v="134"/>
    <n v="103"/>
    <n v="46"/>
    <n v="20"/>
    <n v="2"/>
    <n v="0"/>
    <n v="3784"/>
  </r>
  <r>
    <n v="2025"/>
    <n v="3"/>
    <x v="18"/>
    <s v="national network"/>
    <x v="5"/>
    <x v="0"/>
    <s v="No"/>
    <x v="0"/>
    <s v="Yes"/>
    <n v="47"/>
    <n v="11"/>
    <n v="0"/>
    <n v="11"/>
    <n v="11"/>
    <n v="6"/>
    <n v="6"/>
    <n v="6"/>
    <n v="6"/>
    <n v="1"/>
    <n v="1"/>
    <n v="36"/>
  </r>
  <r>
    <n v="2025"/>
    <n v="3"/>
    <x v="18"/>
    <s v="national network"/>
    <x v="27"/>
    <x v="1"/>
    <s v="No"/>
    <x v="1"/>
    <s v="No"/>
    <n v="3595"/>
    <n v="23"/>
    <n v="18"/>
    <n v="41"/>
    <n v="679"/>
    <n v="400"/>
    <n v="309"/>
    <n v="136"/>
    <n v="57"/>
    <n v="9"/>
    <n v="1"/>
    <n v="3560"/>
  </r>
  <r>
    <n v="2025"/>
    <n v="3"/>
    <x v="18"/>
    <s v="national network"/>
    <x v="27"/>
    <x v="0"/>
    <s v="No"/>
    <x v="1"/>
    <s v="No"/>
    <n v="205"/>
    <n v="0"/>
    <n v="1"/>
    <n v="1"/>
    <n v="19"/>
    <n v="9"/>
    <n v="9"/>
    <n v="3"/>
    <n v="2"/>
    <n v="0"/>
    <n v="0"/>
    <n v="205"/>
  </r>
  <r>
    <n v="2025"/>
    <n v="3"/>
    <x v="18"/>
    <s v="national network"/>
    <x v="19"/>
    <x v="1"/>
    <s v="No"/>
    <x v="1"/>
    <s v="No"/>
    <n v="22251"/>
    <n v="67"/>
    <n v="191"/>
    <n v="258"/>
    <n v="3204"/>
    <n v="1753"/>
    <n v="1366"/>
    <n v="642"/>
    <n v="313"/>
    <n v="71"/>
    <n v="5"/>
    <n v="22052"/>
  </r>
  <r>
    <n v="2025"/>
    <n v="3"/>
    <x v="18"/>
    <s v="national network"/>
    <x v="19"/>
    <x v="0"/>
    <s v="No"/>
    <x v="1"/>
    <s v="No"/>
    <n v="2982"/>
    <n v="20"/>
    <n v="62"/>
    <n v="82"/>
    <n v="703"/>
    <n v="425"/>
    <n v="324"/>
    <n v="142"/>
    <n v="55"/>
    <n v="10"/>
    <n v="0"/>
    <n v="2921"/>
  </r>
  <r>
    <n v="2025"/>
    <n v="3"/>
    <x v="18"/>
    <s v="national network"/>
    <x v="1"/>
    <x v="0"/>
    <s v="Yes"/>
    <x v="0"/>
    <s v="No"/>
    <n v="162"/>
    <n v="0"/>
    <n v="0"/>
    <n v="0"/>
    <n v="80"/>
    <n v="53"/>
    <n v="53"/>
    <n v="45"/>
    <n v="31"/>
    <n v="17"/>
    <n v="3"/>
    <n v="162"/>
  </r>
  <r>
    <n v="2025"/>
    <n v="3"/>
    <x v="19"/>
    <s v="national network"/>
    <x v="0"/>
    <x v="0"/>
    <s v="No"/>
    <x v="0"/>
    <s v="No"/>
    <n v="1574"/>
    <n v="2"/>
    <n v="14"/>
    <n v="16"/>
    <n v="103"/>
    <n v="62"/>
    <n v="47"/>
    <n v="15"/>
    <n v="9"/>
    <n v="1"/>
    <n v="0"/>
    <n v="1572"/>
  </r>
  <r>
    <n v="2025"/>
    <n v="3"/>
    <x v="19"/>
    <s v="national network"/>
    <x v="8"/>
    <x v="0"/>
    <s v="Yes"/>
    <x v="0"/>
    <s v="No"/>
    <n v="693"/>
    <n v="5"/>
    <n v="12"/>
    <n v="17"/>
    <n v="232"/>
    <n v="139"/>
    <n v="134"/>
    <n v="101"/>
    <n v="73"/>
    <n v="39"/>
    <n v="16"/>
    <n v="683"/>
  </r>
  <r>
    <n v="2025"/>
    <n v="3"/>
    <x v="19"/>
    <s v="national network"/>
    <x v="8"/>
    <x v="2"/>
    <s v="Yes"/>
    <x v="0"/>
    <s v="No"/>
    <n v="2"/>
    <n v="0"/>
    <n v="0"/>
    <n v="0"/>
    <n v="0"/>
    <n v="0"/>
    <n v="0"/>
    <n v="0"/>
    <n v="0"/>
    <n v="0"/>
    <n v="0"/>
    <n v="0"/>
  </r>
  <r>
    <n v="2025"/>
    <n v="3"/>
    <x v="19"/>
    <s v="national network"/>
    <x v="29"/>
    <x v="1"/>
    <s v="No"/>
    <x v="0"/>
    <s v="No"/>
    <n v="2122"/>
    <n v="11"/>
    <n v="14"/>
    <n v="25"/>
    <n v="565"/>
    <n v="358"/>
    <n v="358"/>
    <n v="257"/>
    <n v="209"/>
    <n v="125"/>
    <n v="56"/>
    <n v="2107"/>
  </r>
  <r>
    <n v="2025"/>
    <n v="3"/>
    <x v="19"/>
    <s v="national network"/>
    <x v="29"/>
    <x v="2"/>
    <s v="No"/>
    <x v="0"/>
    <s v="No"/>
    <n v="27"/>
    <n v="0"/>
    <n v="0"/>
    <n v="0"/>
    <n v="0"/>
    <n v="0"/>
    <n v="0"/>
    <n v="0"/>
    <n v="0"/>
    <n v="0"/>
    <n v="0"/>
    <n v="0"/>
  </r>
  <r>
    <n v="2025"/>
    <n v="3"/>
    <x v="19"/>
    <s v="national network"/>
    <x v="30"/>
    <x v="1"/>
    <s v="No"/>
    <x v="0"/>
    <s v="Yes"/>
    <n v="133"/>
    <n v="2"/>
    <n v="2"/>
    <n v="4"/>
    <n v="39"/>
    <n v="29"/>
    <n v="29"/>
    <n v="18"/>
    <n v="14"/>
    <n v="5"/>
    <n v="2"/>
    <n v="129"/>
  </r>
  <r>
    <n v="2025"/>
    <n v="3"/>
    <x v="19"/>
    <s v="national network"/>
    <x v="30"/>
    <x v="2"/>
    <s v="No"/>
    <x v="0"/>
    <s v="Yes"/>
    <n v="81"/>
    <n v="0"/>
    <n v="0"/>
    <n v="0"/>
    <n v="0"/>
    <n v="0"/>
    <n v="0"/>
    <n v="0"/>
    <n v="0"/>
    <n v="0"/>
    <n v="0"/>
    <n v="0"/>
  </r>
  <r>
    <n v="2025"/>
    <n v="3"/>
    <x v="19"/>
    <s v="national network"/>
    <x v="25"/>
    <x v="1"/>
    <s v="Yes"/>
    <x v="0"/>
    <s v="No"/>
    <n v="2"/>
    <n v="0"/>
    <n v="0"/>
    <n v="0"/>
    <n v="1"/>
    <n v="0"/>
    <n v="0"/>
    <n v="0"/>
    <n v="0"/>
    <n v="0"/>
    <n v="0"/>
    <n v="2"/>
  </r>
  <r>
    <n v="2025"/>
    <n v="3"/>
    <x v="19"/>
    <s v="national network"/>
    <x v="25"/>
    <x v="0"/>
    <s v="Yes"/>
    <x v="0"/>
    <s v="No"/>
    <n v="1012"/>
    <n v="0"/>
    <n v="1"/>
    <n v="1"/>
    <n v="185"/>
    <n v="111"/>
    <n v="111"/>
    <n v="86"/>
    <n v="70"/>
    <n v="42"/>
    <n v="16"/>
    <n v="1012"/>
  </r>
  <r>
    <n v="2025"/>
    <n v="3"/>
    <x v="19"/>
    <s v="national network"/>
    <x v="25"/>
    <x v="2"/>
    <s v="Yes"/>
    <x v="0"/>
    <s v="No"/>
    <n v="12"/>
    <n v="0"/>
    <n v="0"/>
    <n v="0"/>
    <n v="0"/>
    <n v="0"/>
    <n v="0"/>
    <n v="0"/>
    <n v="0"/>
    <n v="0"/>
    <n v="0"/>
    <n v="0"/>
  </r>
  <r>
    <n v="2025"/>
    <n v="3"/>
    <x v="19"/>
    <s v="national network"/>
    <x v="5"/>
    <x v="0"/>
    <s v="No"/>
    <x v="0"/>
    <s v="Yes"/>
    <n v="46"/>
    <n v="3"/>
    <n v="0"/>
    <n v="3"/>
    <n v="2"/>
    <n v="2"/>
    <n v="2"/>
    <n v="2"/>
    <n v="2"/>
    <n v="0"/>
    <n v="0"/>
    <n v="43"/>
  </r>
  <r>
    <n v="2025"/>
    <n v="3"/>
    <x v="19"/>
    <s v="national network"/>
    <x v="11"/>
    <x v="0"/>
    <s v="Yes"/>
    <x v="0"/>
    <s v="No"/>
    <n v="39"/>
    <n v="2"/>
    <n v="0"/>
    <n v="2"/>
    <n v="18"/>
    <n v="10"/>
    <n v="9"/>
    <n v="5"/>
    <n v="2"/>
    <n v="0"/>
    <n v="0"/>
    <n v="37"/>
  </r>
  <r>
    <n v="2025"/>
    <n v="3"/>
    <x v="19"/>
    <s v="national network"/>
    <x v="1"/>
    <x v="1"/>
    <s v="Yes"/>
    <x v="0"/>
    <s v="No"/>
    <n v="13880"/>
    <n v="29"/>
    <n v="102"/>
    <n v="131"/>
    <n v="2914"/>
    <n v="1621"/>
    <n v="1620"/>
    <n v="1124"/>
    <n v="885"/>
    <n v="421"/>
    <n v="168"/>
    <n v="13815"/>
  </r>
  <r>
    <n v="2025"/>
    <n v="3"/>
    <x v="19"/>
    <s v="national network"/>
    <x v="1"/>
    <x v="0"/>
    <s v="Yes"/>
    <x v="0"/>
    <s v="No"/>
    <n v="913"/>
    <n v="0"/>
    <n v="6"/>
    <n v="6"/>
    <n v="321"/>
    <n v="181"/>
    <n v="181"/>
    <n v="143"/>
    <n v="99"/>
    <n v="48"/>
    <n v="15"/>
    <n v="913"/>
  </r>
  <r>
    <n v="2025"/>
    <n v="3"/>
    <x v="19"/>
    <s v="national network"/>
    <x v="1"/>
    <x v="2"/>
    <s v="Yes"/>
    <x v="0"/>
    <s v="No"/>
    <n v="1069"/>
    <n v="7"/>
    <n v="0"/>
    <n v="7"/>
    <n v="0"/>
    <n v="0"/>
    <n v="0"/>
    <n v="0"/>
    <n v="0"/>
    <n v="0"/>
    <n v="0"/>
    <n v="0"/>
  </r>
  <r>
    <n v="2025"/>
    <n v="3"/>
    <x v="20"/>
    <s v="national network"/>
    <x v="2"/>
    <x v="0"/>
    <s v="No"/>
    <x v="1"/>
    <s v="No"/>
    <n v="713"/>
    <n v="0"/>
    <n v="0"/>
    <n v="0"/>
    <n v="12"/>
    <n v="10"/>
    <n v="10"/>
    <n v="7"/>
    <n v="4"/>
    <n v="2"/>
    <n v="0"/>
    <n v="713"/>
  </r>
  <r>
    <n v="2025"/>
    <n v="3"/>
    <x v="20"/>
    <s v="national network"/>
    <x v="3"/>
    <x v="0"/>
    <s v="No"/>
    <x v="1"/>
    <s v="No"/>
    <n v="56"/>
    <n v="0"/>
    <n v="0"/>
    <n v="0"/>
    <n v="1"/>
    <n v="1"/>
    <n v="1"/>
    <n v="0"/>
    <n v="0"/>
    <n v="0"/>
    <n v="0"/>
    <n v="56"/>
  </r>
  <r>
    <n v="2025"/>
    <n v="3"/>
    <x v="20"/>
    <s v="national network"/>
    <x v="4"/>
    <x v="0"/>
    <s v="No"/>
    <x v="0"/>
    <s v="Yes"/>
    <n v="124"/>
    <n v="0"/>
    <n v="0"/>
    <n v="0"/>
    <n v="6"/>
    <n v="5"/>
    <n v="5"/>
    <n v="3"/>
    <n v="3"/>
    <n v="1"/>
    <n v="0"/>
    <n v="124"/>
  </r>
  <r>
    <n v="2025"/>
    <n v="3"/>
    <x v="20"/>
    <s v="national network"/>
    <x v="0"/>
    <x v="0"/>
    <s v="No"/>
    <x v="1"/>
    <s v="No"/>
    <n v="62"/>
    <n v="0"/>
    <n v="0"/>
    <n v="0"/>
    <n v="9"/>
    <n v="8"/>
    <n v="7"/>
    <n v="5"/>
    <n v="5"/>
    <n v="3"/>
    <n v="1"/>
    <n v="62"/>
  </r>
  <r>
    <n v="2025"/>
    <n v="3"/>
    <x v="21"/>
    <s v="national network"/>
    <x v="2"/>
    <x v="0"/>
    <s v="No"/>
    <x v="1"/>
    <s v="No"/>
    <n v="124"/>
    <n v="0"/>
    <n v="0"/>
    <n v="0"/>
    <n v="22"/>
    <n v="15"/>
    <n v="14"/>
    <n v="5"/>
    <n v="3"/>
    <n v="0"/>
    <n v="0"/>
    <n v="124"/>
  </r>
  <r>
    <n v="2025"/>
    <n v="3"/>
    <x v="21"/>
    <s v="national network"/>
    <x v="3"/>
    <x v="1"/>
    <s v="No"/>
    <x v="1"/>
    <s v="No"/>
    <n v="5"/>
    <n v="0"/>
    <n v="2"/>
    <n v="2"/>
    <n v="0"/>
    <n v="0"/>
    <n v="0"/>
    <n v="0"/>
    <n v="0"/>
    <n v="0"/>
    <n v="0"/>
    <n v="3"/>
  </r>
  <r>
    <n v="2025"/>
    <n v="3"/>
    <x v="21"/>
    <s v="national network"/>
    <x v="3"/>
    <x v="0"/>
    <s v="No"/>
    <x v="1"/>
    <s v="No"/>
    <n v="1582"/>
    <n v="2"/>
    <n v="14"/>
    <n v="16"/>
    <n v="436"/>
    <n v="322"/>
    <n v="277"/>
    <n v="170"/>
    <n v="117"/>
    <n v="45"/>
    <n v="13"/>
    <n v="1567"/>
  </r>
  <r>
    <n v="2025"/>
    <n v="3"/>
    <x v="21"/>
    <s v="national network"/>
    <x v="7"/>
    <x v="0"/>
    <s v="No"/>
    <x v="0"/>
    <s v="No"/>
    <n v="2"/>
    <n v="0"/>
    <n v="0"/>
    <n v="0"/>
    <n v="1"/>
    <n v="1"/>
    <n v="1"/>
    <n v="1"/>
    <n v="0"/>
    <n v="0"/>
    <n v="0"/>
    <n v="2"/>
  </r>
  <r>
    <n v="2025"/>
    <n v="3"/>
    <x v="21"/>
    <s v="national network"/>
    <x v="4"/>
    <x v="1"/>
    <s v="No"/>
    <x v="0"/>
    <s v="Yes"/>
    <n v="1"/>
    <n v="0"/>
    <n v="0"/>
    <n v="0"/>
    <n v="0"/>
    <n v="0"/>
    <n v="0"/>
    <n v="0"/>
    <n v="0"/>
    <n v="0"/>
    <n v="0"/>
    <n v="1"/>
  </r>
  <r>
    <n v="2025"/>
    <n v="3"/>
    <x v="21"/>
    <s v="national network"/>
    <x v="4"/>
    <x v="0"/>
    <s v="No"/>
    <x v="0"/>
    <s v="Yes"/>
    <n v="29"/>
    <n v="0"/>
    <n v="24"/>
    <n v="24"/>
    <n v="1"/>
    <n v="1"/>
    <n v="1"/>
    <n v="1"/>
    <n v="1"/>
    <n v="0"/>
    <n v="0"/>
    <n v="29"/>
  </r>
  <r>
    <n v="2025"/>
    <n v="3"/>
    <x v="21"/>
    <s v="national network"/>
    <x v="28"/>
    <x v="1"/>
    <s v="No"/>
    <x v="0"/>
    <s v="No"/>
    <n v="31"/>
    <n v="0"/>
    <n v="7"/>
    <n v="7"/>
    <n v="11"/>
    <n v="10"/>
    <n v="8"/>
    <n v="8"/>
    <n v="5"/>
    <n v="4"/>
    <n v="3"/>
    <n v="27"/>
  </r>
  <r>
    <n v="2025"/>
    <n v="3"/>
    <x v="21"/>
    <s v="national network"/>
    <x v="31"/>
    <x v="1"/>
    <s v="No"/>
    <x v="0"/>
    <s v="No"/>
    <n v="501"/>
    <n v="0"/>
    <n v="7"/>
    <n v="7"/>
    <n v="254"/>
    <n v="189"/>
    <n v="156"/>
    <n v="103"/>
    <n v="72"/>
    <n v="30"/>
    <n v="9"/>
    <n v="494"/>
  </r>
  <r>
    <n v="2025"/>
    <n v="3"/>
    <x v="21"/>
    <s v="national network"/>
    <x v="32"/>
    <x v="1"/>
    <s v="No"/>
    <x v="0"/>
    <s v="No"/>
    <n v="293"/>
    <n v="0"/>
    <n v="2"/>
    <n v="2"/>
    <n v="166"/>
    <n v="145"/>
    <n v="126"/>
    <n v="77"/>
    <n v="58"/>
    <n v="25"/>
    <n v="7"/>
    <n v="291"/>
  </r>
  <r>
    <n v="2025"/>
    <n v="3"/>
    <x v="21"/>
    <s v="national network"/>
    <x v="33"/>
    <x v="1"/>
    <s v="Yes"/>
    <x v="0"/>
    <s v="No"/>
    <n v="7132"/>
    <n v="0"/>
    <n v="77"/>
    <n v="77"/>
    <n v="2848"/>
    <n v="2174"/>
    <n v="1913"/>
    <n v="1266"/>
    <n v="860"/>
    <n v="411"/>
    <n v="141"/>
    <n v="7065"/>
  </r>
  <r>
    <n v="2025"/>
    <n v="3"/>
    <x v="21"/>
    <s v="national network"/>
    <x v="0"/>
    <x v="1"/>
    <s v="No"/>
    <x v="0"/>
    <s v="No"/>
    <n v="3099"/>
    <n v="0"/>
    <n v="41"/>
    <n v="41"/>
    <n v="1106"/>
    <n v="892"/>
    <n v="815"/>
    <n v="545"/>
    <n v="372"/>
    <n v="179"/>
    <n v="60"/>
    <n v="3071"/>
  </r>
  <r>
    <n v="2025"/>
    <n v="3"/>
    <x v="21"/>
    <s v="national network"/>
    <x v="0"/>
    <x v="0"/>
    <s v="No"/>
    <x v="0"/>
    <s v="No"/>
    <n v="2"/>
    <n v="0"/>
    <n v="0"/>
    <n v="0"/>
    <n v="0"/>
    <n v="0"/>
    <n v="0"/>
    <n v="0"/>
    <n v="0"/>
    <n v="0"/>
    <n v="0"/>
    <n v="2"/>
  </r>
  <r>
    <n v="2025"/>
    <n v="3"/>
    <x v="21"/>
    <s v="national network"/>
    <x v="34"/>
    <x v="1"/>
    <s v="No"/>
    <x v="0"/>
    <s v="Yes"/>
    <n v="545"/>
    <n v="0"/>
    <n v="0"/>
    <n v="0"/>
    <n v="134"/>
    <n v="108"/>
    <n v="94"/>
    <n v="58"/>
    <n v="37"/>
    <n v="13"/>
    <n v="6"/>
    <n v="545"/>
  </r>
  <r>
    <n v="2025"/>
    <n v="3"/>
    <x v="21"/>
    <s v="national network"/>
    <x v="9"/>
    <x v="1"/>
    <s v="No"/>
    <x v="0"/>
    <s v="No"/>
    <n v="3"/>
    <n v="0"/>
    <n v="0"/>
    <n v="0"/>
    <n v="2"/>
    <n v="2"/>
    <n v="2"/>
    <n v="2"/>
    <n v="2"/>
    <n v="0"/>
    <n v="0"/>
    <n v="3"/>
  </r>
  <r>
    <n v="2025"/>
    <n v="3"/>
    <x v="21"/>
    <s v="national network"/>
    <x v="9"/>
    <x v="0"/>
    <s v="No"/>
    <x v="0"/>
    <s v="No"/>
    <n v="50"/>
    <n v="0"/>
    <n v="0"/>
    <n v="0"/>
    <n v="0"/>
    <n v="0"/>
    <n v="0"/>
    <n v="0"/>
    <n v="0"/>
    <n v="0"/>
    <n v="0"/>
    <n v="50"/>
  </r>
  <r>
    <n v="2025"/>
    <n v="3"/>
    <x v="21"/>
    <s v="national network"/>
    <x v="35"/>
    <x v="1"/>
    <s v="No"/>
    <x v="1"/>
    <s v="No"/>
    <n v="6715"/>
    <n v="0"/>
    <n v="421"/>
    <n v="421"/>
    <n v="478"/>
    <n v="268"/>
    <n v="215"/>
    <n v="131"/>
    <n v="74"/>
    <n v="26"/>
    <n v="2"/>
    <n v="6392"/>
  </r>
  <r>
    <n v="2025"/>
    <n v="3"/>
    <x v="21"/>
    <s v="national network"/>
    <x v="36"/>
    <x v="1"/>
    <s v="No"/>
    <x v="1"/>
    <s v="No"/>
    <n v="30"/>
    <n v="0"/>
    <n v="3"/>
    <n v="3"/>
    <n v="9"/>
    <n v="9"/>
    <n v="8"/>
    <n v="6"/>
    <n v="6"/>
    <n v="4"/>
    <n v="2"/>
    <n v="27"/>
  </r>
  <r>
    <n v="2025"/>
    <n v="3"/>
    <x v="21"/>
    <s v="national network"/>
    <x v="36"/>
    <x v="2"/>
    <s v="No"/>
    <x v="1"/>
    <s v="No"/>
    <n v="4"/>
    <n v="0"/>
    <n v="0"/>
    <n v="0"/>
    <n v="0"/>
    <n v="0"/>
    <n v="0"/>
    <n v="0"/>
    <n v="0"/>
    <n v="0"/>
    <n v="0"/>
    <n v="0"/>
  </r>
  <r>
    <n v="2025"/>
    <n v="3"/>
    <x v="21"/>
    <s v="national network"/>
    <x v="5"/>
    <x v="1"/>
    <s v="No"/>
    <x v="0"/>
    <s v="Yes"/>
    <n v="1"/>
    <n v="0"/>
    <n v="0"/>
    <n v="0"/>
    <n v="0"/>
    <n v="0"/>
    <n v="0"/>
    <n v="0"/>
    <n v="0"/>
    <n v="0"/>
    <n v="0"/>
    <n v="1"/>
  </r>
  <r>
    <n v="2025"/>
    <n v="3"/>
    <x v="21"/>
    <s v="national network"/>
    <x v="5"/>
    <x v="0"/>
    <s v="No"/>
    <x v="0"/>
    <s v="Yes"/>
    <n v="217"/>
    <n v="0"/>
    <n v="1"/>
    <n v="1"/>
    <n v="35"/>
    <n v="29"/>
    <n v="27"/>
    <n v="22"/>
    <n v="18"/>
    <n v="12"/>
    <n v="3"/>
    <n v="217"/>
  </r>
  <r>
    <n v="2025"/>
    <n v="3"/>
    <x v="21"/>
    <s v="national network"/>
    <x v="37"/>
    <x v="1"/>
    <s v="No"/>
    <x v="1"/>
    <s v="No"/>
    <n v="225137"/>
    <n v="173"/>
    <n v="7271"/>
    <n v="7444"/>
    <n v="40287"/>
    <n v="21842"/>
    <n v="17003"/>
    <n v="8429"/>
    <n v="4724"/>
    <n v="1379"/>
    <n v="231"/>
    <n v="219116"/>
  </r>
  <r>
    <n v="2025"/>
    <n v="3"/>
    <x v="21"/>
    <s v="national network"/>
    <x v="37"/>
    <x v="0"/>
    <s v="No"/>
    <x v="1"/>
    <s v="No"/>
    <n v="4704"/>
    <n v="117"/>
    <n v="16"/>
    <n v="133"/>
    <n v="879"/>
    <n v="428"/>
    <n v="317"/>
    <n v="135"/>
    <n v="86"/>
    <n v="27"/>
    <n v="2"/>
    <n v="4574"/>
  </r>
  <r>
    <n v="2025"/>
    <n v="3"/>
    <x v="21"/>
    <s v="national network"/>
    <x v="6"/>
    <x v="0"/>
    <s v="No"/>
    <x v="0"/>
    <s v="No"/>
    <n v="147"/>
    <n v="1"/>
    <n v="0"/>
    <n v="1"/>
    <n v="14"/>
    <n v="13"/>
    <n v="13"/>
    <n v="9"/>
    <n v="7"/>
    <n v="4"/>
    <n v="1"/>
    <n v="146"/>
  </r>
  <r>
    <n v="2025"/>
    <n v="3"/>
    <x v="21"/>
    <s v="national network"/>
    <x v="10"/>
    <x v="0"/>
    <s v="Yes"/>
    <x v="0"/>
    <s v="No"/>
    <n v="3"/>
    <n v="0"/>
    <n v="0"/>
    <n v="0"/>
    <n v="0"/>
    <n v="0"/>
    <n v="0"/>
    <n v="0"/>
    <n v="0"/>
    <n v="0"/>
    <n v="0"/>
    <n v="3"/>
  </r>
  <r>
    <n v="2025"/>
    <n v="3"/>
    <x v="22"/>
    <s v="whole journey"/>
    <x v="33"/>
    <x v="1"/>
    <s v="Yes"/>
    <x v="0"/>
    <s v="No"/>
    <n v="273"/>
    <n v="0"/>
    <n v="0"/>
    <n v="0"/>
    <n v="63"/>
    <n v="43"/>
    <n v="41"/>
    <n v="26"/>
    <n v="18"/>
    <n v="8"/>
    <n v="4"/>
    <n v="273"/>
  </r>
  <r>
    <n v="2025"/>
    <n v="3"/>
    <x v="22"/>
    <s v="whole journey"/>
    <x v="33"/>
    <x v="2"/>
    <s v="Yes"/>
    <x v="0"/>
    <s v="No"/>
    <n v="1"/>
    <n v="0"/>
    <n v="0"/>
    <n v="0"/>
    <n v="0"/>
    <n v="0"/>
    <n v="0"/>
    <n v="0"/>
    <n v="0"/>
    <n v="0"/>
    <n v="0"/>
    <n v="0"/>
  </r>
  <r>
    <n v="2025"/>
    <n v="3"/>
    <x v="23"/>
    <s v="national network"/>
    <x v="39"/>
    <x v="1"/>
    <s v="No"/>
    <x v="1"/>
    <s v="No"/>
    <n v="3302"/>
    <n v="0"/>
    <n v="0"/>
    <n v="0"/>
    <n v="3"/>
    <n v="3"/>
    <n v="3"/>
    <n v="3"/>
    <n v="2"/>
    <n v="1"/>
    <n v="1"/>
    <n v="3302"/>
  </r>
  <r>
    <n v="2025"/>
    <n v="3"/>
    <x v="23"/>
    <s v="national network"/>
    <x v="39"/>
    <x v="0"/>
    <s v="No"/>
    <x v="1"/>
    <s v="No"/>
    <n v="1332"/>
    <n v="0"/>
    <n v="0"/>
    <n v="0"/>
    <n v="0"/>
    <n v="0"/>
    <n v="0"/>
    <n v="0"/>
    <n v="0"/>
    <n v="0"/>
    <n v="0"/>
    <n v="1332"/>
  </r>
  <r>
    <n v="2025"/>
    <n v="3"/>
    <x v="23"/>
    <s v="national network"/>
    <x v="40"/>
    <x v="1"/>
    <s v="No"/>
    <x v="1"/>
    <s v="No"/>
    <n v="2232"/>
    <n v="0"/>
    <n v="0"/>
    <n v="0"/>
    <n v="0"/>
    <n v="0"/>
    <n v="0"/>
    <n v="0"/>
    <n v="0"/>
    <n v="0"/>
    <n v="0"/>
    <n v="2232"/>
  </r>
  <r>
    <n v="2025"/>
    <n v="3"/>
    <x v="23"/>
    <s v="national network"/>
    <x v="2"/>
    <x v="0"/>
    <s v="No"/>
    <x v="1"/>
    <s v="No"/>
    <n v="2"/>
    <n v="0"/>
    <n v="0"/>
    <n v="0"/>
    <n v="1"/>
    <n v="1"/>
    <n v="1"/>
    <n v="1"/>
    <n v="1"/>
    <n v="1"/>
    <n v="1"/>
    <n v="2"/>
  </r>
  <r>
    <n v="2025"/>
    <n v="3"/>
    <x v="23"/>
    <s v="national network"/>
    <x v="7"/>
    <x v="0"/>
    <s v="No"/>
    <x v="1"/>
    <s v="No"/>
    <n v="2"/>
    <n v="0"/>
    <n v="0"/>
    <n v="0"/>
    <n v="0"/>
    <n v="0"/>
    <n v="0"/>
    <n v="0"/>
    <n v="0"/>
    <n v="0"/>
    <n v="0"/>
    <n v="2"/>
  </r>
  <r>
    <n v="2025"/>
    <n v="3"/>
    <x v="23"/>
    <s v="national network"/>
    <x v="43"/>
    <x v="1"/>
    <s v="No"/>
    <x v="1"/>
    <s v="No"/>
    <n v="62"/>
    <n v="0"/>
    <n v="0"/>
    <n v="0"/>
    <n v="0"/>
    <n v="0"/>
    <n v="0"/>
    <n v="0"/>
    <n v="0"/>
    <n v="0"/>
    <n v="0"/>
    <n v="62"/>
  </r>
  <r>
    <n v="2025"/>
    <n v="3"/>
    <x v="23"/>
    <s v="national network"/>
    <x v="43"/>
    <x v="0"/>
    <s v="No"/>
    <x v="1"/>
    <s v="No"/>
    <n v="93"/>
    <n v="0"/>
    <n v="0"/>
    <n v="0"/>
    <n v="0"/>
    <n v="0"/>
    <n v="0"/>
    <n v="0"/>
    <n v="0"/>
    <n v="0"/>
    <n v="0"/>
    <n v="93"/>
  </r>
  <r>
    <n v="2025"/>
    <n v="3"/>
    <x v="23"/>
    <s v="national network"/>
    <x v="0"/>
    <x v="0"/>
    <s v="No"/>
    <x v="1"/>
    <s v="No"/>
    <n v="42"/>
    <n v="0"/>
    <n v="0"/>
    <n v="0"/>
    <n v="0"/>
    <n v="0"/>
    <n v="0"/>
    <n v="0"/>
    <n v="0"/>
    <n v="0"/>
    <n v="0"/>
    <n v="42"/>
  </r>
  <r>
    <n v="2025"/>
    <n v="3"/>
    <x v="23"/>
    <s v="national network"/>
    <x v="50"/>
    <x v="0"/>
    <s v="No"/>
    <x v="1"/>
    <s v="No"/>
    <n v="2"/>
    <n v="0"/>
    <n v="0"/>
    <n v="0"/>
    <n v="1"/>
    <n v="0"/>
    <n v="0"/>
    <n v="0"/>
    <n v="0"/>
    <n v="0"/>
    <n v="0"/>
    <n v="2"/>
  </r>
  <r>
    <n v="2025"/>
    <n v="3"/>
    <x v="23"/>
    <s v="national network"/>
    <x v="45"/>
    <x v="0"/>
    <s v="No"/>
    <x v="1"/>
    <s v="No"/>
    <n v="18"/>
    <n v="2"/>
    <n v="0"/>
    <n v="2"/>
    <n v="5"/>
    <n v="5"/>
    <n v="5"/>
    <n v="5"/>
    <n v="5"/>
    <n v="0"/>
    <n v="0"/>
    <n v="16"/>
  </r>
  <r>
    <n v="2025"/>
    <n v="3"/>
    <x v="23"/>
    <s v="national network"/>
    <x v="46"/>
    <x v="1"/>
    <s v="No"/>
    <x v="1"/>
    <s v="No"/>
    <n v="11"/>
    <n v="0"/>
    <n v="0"/>
    <n v="0"/>
    <n v="6"/>
    <n v="4"/>
    <n v="4"/>
    <n v="4"/>
    <n v="3"/>
    <n v="2"/>
    <n v="1"/>
    <n v="11"/>
  </r>
  <r>
    <n v="2025"/>
    <n v="3"/>
    <x v="24"/>
    <s v="national network"/>
    <x v="2"/>
    <x v="0"/>
    <s v="No"/>
    <x v="1"/>
    <s v="No"/>
    <n v="62"/>
    <n v="0"/>
    <n v="0"/>
    <n v="0"/>
    <n v="0"/>
    <n v="0"/>
    <n v="0"/>
    <n v="0"/>
    <n v="0"/>
    <n v="0"/>
    <n v="0"/>
    <n v="62"/>
  </r>
  <r>
    <n v="2025"/>
    <n v="3"/>
    <x v="25"/>
    <s v="whole journey"/>
    <x v="47"/>
    <x v="1"/>
    <s v="No"/>
    <x v="0"/>
    <s v="No"/>
    <n v="1487"/>
    <n v="0"/>
    <n v="0"/>
    <n v="0"/>
    <n v="41"/>
    <n v="36"/>
    <n v="29"/>
    <n v="19"/>
    <n v="10"/>
    <n v="4"/>
    <n v="0"/>
    <n v="1487"/>
  </r>
  <r>
    <n v="2025"/>
    <n v="3"/>
    <x v="25"/>
    <s v="whole journey"/>
    <x v="47"/>
    <x v="0"/>
    <s v="No"/>
    <x v="0"/>
    <s v="No"/>
    <n v="371"/>
    <n v="1"/>
    <n v="0"/>
    <n v="1"/>
    <n v="203"/>
    <n v="158"/>
    <n v="140"/>
    <n v="92"/>
    <n v="53"/>
    <n v="16"/>
    <n v="7"/>
    <n v="370"/>
  </r>
  <r>
    <n v="2025"/>
    <n v="3"/>
    <x v="26"/>
    <s v="national network"/>
    <x v="3"/>
    <x v="0"/>
    <s v="No"/>
    <x v="1"/>
    <s v="No"/>
    <n v="62"/>
    <n v="1"/>
    <n v="0"/>
    <n v="1"/>
    <n v="15"/>
    <n v="11"/>
    <n v="9"/>
    <n v="7"/>
    <n v="5"/>
    <n v="4"/>
    <n v="3"/>
    <n v="61"/>
  </r>
  <r>
    <n v="2025"/>
    <n v="3"/>
    <x v="26"/>
    <s v="national network"/>
    <x v="4"/>
    <x v="0"/>
    <s v="No"/>
    <x v="0"/>
    <s v="Yes"/>
    <n v="62"/>
    <n v="0"/>
    <n v="0"/>
    <n v="0"/>
    <n v="16"/>
    <n v="13"/>
    <n v="11"/>
    <n v="6"/>
    <n v="5"/>
    <n v="2"/>
    <n v="0"/>
    <n v="62"/>
  </r>
  <r>
    <n v="2025"/>
    <n v="3"/>
    <x v="26"/>
    <s v="national network"/>
    <x v="5"/>
    <x v="0"/>
    <s v="No"/>
    <x v="0"/>
    <s v="Yes"/>
    <n v="1"/>
    <n v="0"/>
    <n v="0"/>
    <n v="0"/>
    <n v="0"/>
    <n v="0"/>
    <n v="0"/>
    <n v="0"/>
    <n v="0"/>
    <n v="0"/>
    <n v="0"/>
    <n v="1"/>
  </r>
  <r>
    <n v="2025"/>
    <n v="3"/>
    <x v="26"/>
    <s v="national network"/>
    <x v="10"/>
    <x v="0"/>
    <s v="Yes"/>
    <x v="0"/>
    <s v="No"/>
    <n v="62"/>
    <n v="0"/>
    <n v="0"/>
    <n v="0"/>
    <n v="5"/>
    <n v="5"/>
    <n v="5"/>
    <n v="5"/>
    <n v="5"/>
    <n v="3"/>
    <n v="2"/>
    <n v="62"/>
  </r>
  <r>
    <n v="2025"/>
    <n v="4"/>
    <x v="0"/>
    <s v="national network"/>
    <x v="0"/>
    <x v="0"/>
    <s v="No"/>
    <x v="0"/>
    <s v="No"/>
    <n v="739"/>
    <n v="14"/>
    <n v="0"/>
    <n v="14"/>
    <n v="118"/>
    <n v="67"/>
    <n v="53"/>
    <n v="34"/>
    <n v="23"/>
    <n v="10"/>
    <n v="0"/>
    <n v="725"/>
  </r>
  <r>
    <n v="2025"/>
    <n v="4"/>
    <x v="0"/>
    <s v="national network"/>
    <x v="1"/>
    <x v="0"/>
    <s v="Yes"/>
    <x v="0"/>
    <s v="No"/>
    <n v="47"/>
    <n v="0"/>
    <n v="0"/>
    <n v="0"/>
    <n v="24"/>
    <n v="11"/>
    <n v="11"/>
    <n v="9"/>
    <n v="6"/>
    <n v="3"/>
    <n v="2"/>
    <n v="47"/>
  </r>
  <r>
    <n v="2025"/>
    <n v="4"/>
    <x v="0"/>
    <s v="national network"/>
    <x v="1"/>
    <x v="2"/>
    <s v="Yes"/>
    <x v="0"/>
    <s v="No"/>
    <n v="2"/>
    <n v="0"/>
    <n v="0"/>
    <n v="0"/>
    <n v="0"/>
    <n v="0"/>
    <n v="0"/>
    <n v="0"/>
    <n v="0"/>
    <n v="0"/>
    <n v="0"/>
    <n v="0"/>
  </r>
  <r>
    <n v="2025"/>
    <n v="4"/>
    <x v="1"/>
    <s v="national network"/>
    <x v="2"/>
    <x v="0"/>
    <s v="No"/>
    <x v="1"/>
    <s v="No"/>
    <n v="52"/>
    <n v="0"/>
    <n v="0"/>
    <n v="0"/>
    <n v="1"/>
    <n v="1"/>
    <n v="1"/>
    <n v="1"/>
    <n v="1"/>
    <n v="0"/>
    <n v="0"/>
    <n v="52"/>
  </r>
  <r>
    <n v="2025"/>
    <n v="4"/>
    <x v="2"/>
    <s v="national network"/>
    <x v="3"/>
    <x v="1"/>
    <s v="No"/>
    <x v="1"/>
    <s v="No"/>
    <n v="1"/>
    <n v="0"/>
    <n v="0"/>
    <n v="0"/>
    <n v="0"/>
    <n v="0"/>
    <n v="0"/>
    <n v="0"/>
    <n v="0"/>
    <n v="0"/>
    <n v="0"/>
    <n v="1"/>
  </r>
  <r>
    <n v="2025"/>
    <n v="4"/>
    <x v="2"/>
    <s v="national network"/>
    <x v="3"/>
    <x v="0"/>
    <s v="No"/>
    <x v="1"/>
    <s v="No"/>
    <n v="867"/>
    <n v="1"/>
    <n v="0"/>
    <n v="1"/>
    <n v="218"/>
    <n v="176"/>
    <n v="163"/>
    <n v="108"/>
    <n v="77"/>
    <n v="26"/>
    <n v="12"/>
    <n v="866"/>
  </r>
  <r>
    <n v="2025"/>
    <n v="4"/>
    <x v="2"/>
    <s v="national network"/>
    <x v="4"/>
    <x v="0"/>
    <s v="No"/>
    <x v="0"/>
    <s v="Yes"/>
    <n v="133"/>
    <n v="0"/>
    <n v="0"/>
    <n v="0"/>
    <n v="67"/>
    <n v="58"/>
    <n v="57"/>
    <n v="45"/>
    <n v="39"/>
    <n v="20"/>
    <n v="9"/>
    <n v="133"/>
  </r>
  <r>
    <n v="2025"/>
    <n v="4"/>
    <x v="2"/>
    <s v="national network"/>
    <x v="0"/>
    <x v="0"/>
    <s v="No"/>
    <x v="1"/>
    <s v="No"/>
    <n v="220"/>
    <n v="0"/>
    <n v="0"/>
    <n v="0"/>
    <n v="0"/>
    <n v="0"/>
    <n v="0"/>
    <n v="0"/>
    <n v="0"/>
    <n v="0"/>
    <n v="0"/>
    <n v="220"/>
  </r>
  <r>
    <n v="2025"/>
    <n v="4"/>
    <x v="2"/>
    <s v="national network"/>
    <x v="0"/>
    <x v="0"/>
    <s v="No"/>
    <x v="0"/>
    <s v="No"/>
    <n v="52"/>
    <n v="0"/>
    <n v="0"/>
    <n v="0"/>
    <n v="10"/>
    <n v="8"/>
    <n v="8"/>
    <n v="6"/>
    <n v="6"/>
    <n v="2"/>
    <n v="0"/>
    <n v="52"/>
  </r>
  <r>
    <n v="2025"/>
    <n v="4"/>
    <x v="2"/>
    <s v="national network"/>
    <x v="5"/>
    <x v="0"/>
    <s v="No"/>
    <x v="0"/>
    <s v="Yes"/>
    <n v="56"/>
    <n v="0"/>
    <n v="0"/>
    <n v="0"/>
    <n v="41"/>
    <n v="39"/>
    <n v="38"/>
    <n v="30"/>
    <n v="25"/>
    <n v="12"/>
    <n v="5"/>
    <n v="56"/>
  </r>
  <r>
    <n v="2025"/>
    <n v="4"/>
    <x v="2"/>
    <s v="national network"/>
    <x v="6"/>
    <x v="1"/>
    <s v="No"/>
    <x v="0"/>
    <s v="No"/>
    <n v="3"/>
    <n v="0"/>
    <n v="0"/>
    <n v="0"/>
    <n v="0"/>
    <n v="0"/>
    <n v="0"/>
    <n v="0"/>
    <n v="0"/>
    <n v="0"/>
    <n v="0"/>
    <n v="3"/>
  </r>
  <r>
    <n v="2025"/>
    <n v="4"/>
    <x v="2"/>
    <s v="national network"/>
    <x v="6"/>
    <x v="0"/>
    <s v="No"/>
    <x v="0"/>
    <s v="No"/>
    <n v="443"/>
    <n v="1"/>
    <n v="0"/>
    <n v="1"/>
    <n v="95"/>
    <n v="85"/>
    <n v="81"/>
    <n v="53"/>
    <n v="39"/>
    <n v="14"/>
    <n v="4"/>
    <n v="442"/>
  </r>
  <r>
    <n v="2025"/>
    <n v="4"/>
    <x v="3"/>
    <s v="national network"/>
    <x v="3"/>
    <x v="1"/>
    <s v="No"/>
    <x v="0"/>
    <s v="No"/>
    <n v="10"/>
    <n v="1"/>
    <n v="1"/>
    <n v="2"/>
    <n v="3"/>
    <n v="3"/>
    <n v="3"/>
    <n v="1"/>
    <n v="1"/>
    <n v="1"/>
    <n v="1"/>
    <n v="9"/>
  </r>
  <r>
    <n v="2025"/>
    <n v="4"/>
    <x v="3"/>
    <s v="national network"/>
    <x v="3"/>
    <x v="0"/>
    <s v="No"/>
    <x v="0"/>
    <s v="No"/>
    <n v="1668"/>
    <n v="16"/>
    <n v="73"/>
    <n v="89"/>
    <n v="855"/>
    <n v="696"/>
    <n v="640"/>
    <n v="491"/>
    <n v="368"/>
    <n v="189"/>
    <n v="52"/>
    <n v="1619"/>
  </r>
  <r>
    <n v="2025"/>
    <n v="4"/>
    <x v="3"/>
    <s v="national network"/>
    <x v="7"/>
    <x v="0"/>
    <s v="No"/>
    <x v="0"/>
    <s v="No"/>
    <n v="46"/>
    <n v="1"/>
    <n v="1"/>
    <n v="2"/>
    <n v="39"/>
    <n v="29"/>
    <n v="27"/>
    <n v="22"/>
    <n v="16"/>
    <n v="9"/>
    <n v="2"/>
    <n v="45"/>
  </r>
  <r>
    <n v="2025"/>
    <n v="4"/>
    <x v="3"/>
    <s v="national network"/>
    <x v="4"/>
    <x v="1"/>
    <s v="No"/>
    <x v="0"/>
    <s v="Yes"/>
    <n v="10"/>
    <n v="0"/>
    <n v="0"/>
    <n v="0"/>
    <n v="1"/>
    <n v="0"/>
    <n v="0"/>
    <n v="0"/>
    <n v="0"/>
    <n v="0"/>
    <n v="0"/>
    <n v="10"/>
  </r>
  <r>
    <n v="2025"/>
    <n v="4"/>
    <x v="3"/>
    <s v="national network"/>
    <x v="4"/>
    <x v="0"/>
    <s v="No"/>
    <x v="0"/>
    <s v="Yes"/>
    <n v="259"/>
    <n v="1"/>
    <n v="5"/>
    <n v="6"/>
    <n v="97"/>
    <n v="84"/>
    <n v="74"/>
    <n v="62"/>
    <n v="48"/>
    <n v="28"/>
    <n v="13"/>
    <n v="258"/>
  </r>
  <r>
    <n v="2025"/>
    <n v="4"/>
    <x v="3"/>
    <s v="national network"/>
    <x v="0"/>
    <x v="1"/>
    <s v="No"/>
    <x v="0"/>
    <s v="No"/>
    <n v="4231"/>
    <n v="110"/>
    <n v="399"/>
    <n v="509"/>
    <n v="2209"/>
    <n v="1861"/>
    <n v="1701"/>
    <n v="1275"/>
    <n v="938"/>
    <n v="421"/>
    <n v="92"/>
    <n v="3965"/>
  </r>
  <r>
    <n v="2025"/>
    <n v="4"/>
    <x v="3"/>
    <s v="national network"/>
    <x v="0"/>
    <x v="0"/>
    <s v="No"/>
    <x v="0"/>
    <s v="No"/>
    <n v="1808"/>
    <n v="50"/>
    <n v="88"/>
    <n v="138"/>
    <n v="881"/>
    <n v="707"/>
    <n v="653"/>
    <n v="491"/>
    <n v="359"/>
    <n v="169"/>
    <n v="60"/>
    <n v="1730"/>
  </r>
  <r>
    <n v="2025"/>
    <n v="4"/>
    <x v="3"/>
    <s v="national network"/>
    <x v="0"/>
    <x v="2"/>
    <s v="No"/>
    <x v="0"/>
    <s v="No"/>
    <n v="2"/>
    <n v="1"/>
    <n v="0"/>
    <n v="1"/>
    <n v="0"/>
    <n v="0"/>
    <n v="0"/>
    <n v="0"/>
    <n v="0"/>
    <n v="0"/>
    <n v="0"/>
    <n v="0"/>
  </r>
  <r>
    <n v="2025"/>
    <n v="4"/>
    <x v="3"/>
    <s v="national network"/>
    <x v="8"/>
    <x v="1"/>
    <s v="Yes"/>
    <x v="0"/>
    <s v="No"/>
    <n v="13400"/>
    <n v="564"/>
    <n v="1081"/>
    <n v="1645"/>
    <n v="7701"/>
    <n v="6725"/>
    <n v="6320"/>
    <n v="4977"/>
    <n v="3862"/>
    <n v="1940"/>
    <n v="630"/>
    <n v="12398"/>
  </r>
  <r>
    <n v="2025"/>
    <n v="4"/>
    <x v="3"/>
    <s v="national network"/>
    <x v="8"/>
    <x v="0"/>
    <s v="Yes"/>
    <x v="0"/>
    <s v="No"/>
    <n v="2979"/>
    <n v="58"/>
    <n v="273"/>
    <n v="331"/>
    <n v="1778"/>
    <n v="1497"/>
    <n v="1421"/>
    <n v="1059"/>
    <n v="826"/>
    <n v="447"/>
    <n v="141"/>
    <n v="2821"/>
  </r>
  <r>
    <n v="2025"/>
    <n v="4"/>
    <x v="3"/>
    <s v="national network"/>
    <x v="8"/>
    <x v="2"/>
    <s v="Yes"/>
    <x v="0"/>
    <s v="No"/>
    <n v="9"/>
    <n v="3"/>
    <n v="0"/>
    <n v="3"/>
    <n v="0"/>
    <n v="0"/>
    <n v="0"/>
    <n v="0"/>
    <n v="0"/>
    <n v="0"/>
    <n v="0"/>
    <n v="0"/>
  </r>
  <r>
    <n v="2025"/>
    <n v="4"/>
    <x v="3"/>
    <s v="national network"/>
    <x v="9"/>
    <x v="0"/>
    <s v="No"/>
    <x v="0"/>
    <s v="No"/>
    <n v="365"/>
    <n v="10"/>
    <n v="0"/>
    <n v="10"/>
    <n v="18"/>
    <n v="9"/>
    <n v="8"/>
    <n v="3"/>
    <n v="0"/>
    <n v="0"/>
    <n v="0"/>
    <n v="355"/>
  </r>
  <r>
    <n v="2025"/>
    <n v="4"/>
    <x v="3"/>
    <s v="national network"/>
    <x v="5"/>
    <x v="1"/>
    <s v="No"/>
    <x v="0"/>
    <s v="Yes"/>
    <n v="14"/>
    <n v="1"/>
    <n v="4"/>
    <n v="5"/>
    <n v="4"/>
    <n v="3"/>
    <n v="3"/>
    <n v="3"/>
    <n v="3"/>
    <n v="3"/>
    <n v="2"/>
    <n v="9"/>
  </r>
  <r>
    <n v="2025"/>
    <n v="4"/>
    <x v="3"/>
    <s v="national network"/>
    <x v="5"/>
    <x v="0"/>
    <s v="No"/>
    <x v="0"/>
    <s v="Yes"/>
    <n v="474"/>
    <n v="4"/>
    <n v="24"/>
    <n v="28"/>
    <n v="283"/>
    <n v="249"/>
    <n v="236"/>
    <n v="205"/>
    <n v="185"/>
    <n v="130"/>
    <n v="57"/>
    <n v="462"/>
  </r>
  <r>
    <n v="2025"/>
    <n v="4"/>
    <x v="3"/>
    <s v="national network"/>
    <x v="5"/>
    <x v="2"/>
    <s v="No"/>
    <x v="0"/>
    <s v="Yes"/>
    <n v="1"/>
    <n v="0"/>
    <n v="0"/>
    <n v="0"/>
    <n v="0"/>
    <n v="0"/>
    <n v="0"/>
    <n v="0"/>
    <n v="0"/>
    <n v="0"/>
    <n v="0"/>
    <n v="0"/>
  </r>
  <r>
    <n v="2025"/>
    <n v="4"/>
    <x v="3"/>
    <s v="national network"/>
    <x v="6"/>
    <x v="1"/>
    <s v="No"/>
    <x v="0"/>
    <s v="No"/>
    <n v="4"/>
    <n v="1"/>
    <n v="0"/>
    <n v="1"/>
    <n v="1"/>
    <n v="1"/>
    <n v="0"/>
    <n v="0"/>
    <n v="0"/>
    <n v="0"/>
    <n v="0"/>
    <n v="3"/>
  </r>
  <r>
    <n v="2025"/>
    <n v="4"/>
    <x v="3"/>
    <s v="national network"/>
    <x v="6"/>
    <x v="0"/>
    <s v="No"/>
    <x v="0"/>
    <s v="No"/>
    <n v="555"/>
    <n v="5"/>
    <n v="15"/>
    <n v="20"/>
    <n v="263"/>
    <n v="199"/>
    <n v="178"/>
    <n v="122"/>
    <n v="82"/>
    <n v="27"/>
    <n v="10"/>
    <n v="542"/>
  </r>
  <r>
    <n v="2025"/>
    <n v="4"/>
    <x v="3"/>
    <s v="national network"/>
    <x v="10"/>
    <x v="1"/>
    <s v="Yes"/>
    <x v="0"/>
    <s v="No"/>
    <n v="2"/>
    <n v="2"/>
    <n v="0"/>
    <n v="2"/>
    <n v="0"/>
    <n v="0"/>
    <n v="0"/>
    <n v="0"/>
    <n v="0"/>
    <n v="0"/>
    <n v="0"/>
    <n v="0"/>
  </r>
  <r>
    <n v="2025"/>
    <n v="4"/>
    <x v="3"/>
    <s v="national network"/>
    <x v="10"/>
    <x v="0"/>
    <s v="Yes"/>
    <x v="0"/>
    <s v="No"/>
    <n v="352"/>
    <n v="8"/>
    <n v="7"/>
    <n v="15"/>
    <n v="215"/>
    <n v="168"/>
    <n v="156"/>
    <n v="99"/>
    <n v="81"/>
    <n v="30"/>
    <n v="3"/>
    <n v="342"/>
  </r>
  <r>
    <n v="2025"/>
    <n v="4"/>
    <x v="3"/>
    <s v="national network"/>
    <x v="10"/>
    <x v="2"/>
    <s v="Yes"/>
    <x v="0"/>
    <s v="No"/>
    <n v="1"/>
    <n v="0"/>
    <n v="0"/>
    <n v="0"/>
    <n v="0"/>
    <n v="0"/>
    <n v="0"/>
    <n v="0"/>
    <n v="0"/>
    <n v="0"/>
    <n v="0"/>
    <n v="0"/>
  </r>
  <r>
    <n v="2025"/>
    <n v="4"/>
    <x v="3"/>
    <s v="national network"/>
    <x v="11"/>
    <x v="0"/>
    <s v="Yes"/>
    <x v="0"/>
    <s v="No"/>
    <n v="140"/>
    <n v="5"/>
    <n v="4"/>
    <n v="9"/>
    <n v="82"/>
    <n v="55"/>
    <n v="48"/>
    <n v="29"/>
    <n v="18"/>
    <n v="8"/>
    <n v="4"/>
    <n v="131"/>
  </r>
  <r>
    <n v="2025"/>
    <n v="4"/>
    <x v="3"/>
    <s v="national network"/>
    <x v="1"/>
    <x v="0"/>
    <s v="Yes"/>
    <x v="0"/>
    <s v="No"/>
    <n v="12"/>
    <n v="2"/>
    <n v="0"/>
    <n v="2"/>
    <n v="6"/>
    <n v="2"/>
    <n v="2"/>
    <n v="2"/>
    <n v="1"/>
    <n v="1"/>
    <n v="0"/>
    <n v="10"/>
  </r>
  <r>
    <n v="2025"/>
    <n v="4"/>
    <x v="4"/>
    <s v="national network"/>
    <x v="3"/>
    <x v="0"/>
    <s v="No"/>
    <x v="1"/>
    <s v="No"/>
    <n v="264"/>
    <n v="0"/>
    <n v="0"/>
    <n v="0"/>
    <n v="104"/>
    <n v="90"/>
    <n v="85"/>
    <n v="58"/>
    <n v="41"/>
    <n v="13"/>
    <n v="2"/>
    <n v="264"/>
  </r>
  <r>
    <n v="2025"/>
    <n v="4"/>
    <x v="4"/>
    <s v="national network"/>
    <x v="4"/>
    <x v="0"/>
    <s v="No"/>
    <x v="0"/>
    <s v="Yes"/>
    <n v="41"/>
    <n v="2"/>
    <n v="0"/>
    <n v="2"/>
    <n v="17"/>
    <n v="17"/>
    <n v="16"/>
    <n v="12"/>
    <n v="11"/>
    <n v="8"/>
    <n v="5"/>
    <n v="39"/>
  </r>
  <r>
    <n v="2025"/>
    <n v="4"/>
    <x v="4"/>
    <s v="national network"/>
    <x v="0"/>
    <x v="1"/>
    <s v="No"/>
    <x v="0"/>
    <s v="No"/>
    <n v="3"/>
    <n v="0"/>
    <n v="3"/>
    <n v="3"/>
    <n v="0"/>
    <n v="0"/>
    <n v="0"/>
    <n v="0"/>
    <n v="0"/>
    <n v="0"/>
    <n v="0"/>
    <n v="0"/>
  </r>
  <r>
    <n v="2025"/>
    <n v="4"/>
    <x v="4"/>
    <s v="national network"/>
    <x v="0"/>
    <x v="0"/>
    <s v="No"/>
    <x v="0"/>
    <s v="No"/>
    <n v="370"/>
    <n v="1"/>
    <n v="0"/>
    <n v="1"/>
    <n v="96"/>
    <n v="53"/>
    <n v="40"/>
    <n v="18"/>
    <n v="7"/>
    <n v="4"/>
    <n v="0"/>
    <n v="369"/>
  </r>
  <r>
    <n v="2025"/>
    <n v="4"/>
    <x v="5"/>
    <s v="whole journey"/>
    <x v="12"/>
    <x v="1"/>
    <s v="No"/>
    <x v="0"/>
    <s v="Yes"/>
    <n v="2"/>
    <n v="0"/>
    <n v="0"/>
    <n v="0"/>
    <n v="0"/>
    <n v="0"/>
    <n v="0"/>
    <n v="0"/>
    <n v="0"/>
    <n v="0"/>
    <n v="0"/>
    <n v="2"/>
  </r>
  <r>
    <n v="2025"/>
    <n v="4"/>
    <x v="5"/>
    <s v="whole journey"/>
    <x v="12"/>
    <x v="0"/>
    <s v="No"/>
    <x v="0"/>
    <s v="Yes"/>
    <n v="22"/>
    <n v="0"/>
    <n v="0"/>
    <n v="0"/>
    <n v="8"/>
    <n v="6"/>
    <n v="6"/>
    <n v="5"/>
    <n v="5"/>
    <n v="4"/>
    <n v="2"/>
    <n v="22"/>
  </r>
  <r>
    <n v="2025"/>
    <n v="4"/>
    <x v="5"/>
    <s v="whole journey"/>
    <x v="12"/>
    <x v="2"/>
    <s v="No"/>
    <x v="0"/>
    <s v="Yes"/>
    <n v="1"/>
    <n v="0"/>
    <n v="0"/>
    <n v="0"/>
    <n v="0"/>
    <n v="0"/>
    <n v="0"/>
    <n v="0"/>
    <n v="0"/>
    <n v="0"/>
    <n v="0"/>
    <n v="0"/>
  </r>
  <r>
    <n v="2025"/>
    <n v="4"/>
    <x v="6"/>
    <s v="whole journey"/>
    <x v="13"/>
    <x v="0"/>
    <s v="Yes"/>
    <x v="0"/>
    <s v="No"/>
    <n v="3389"/>
    <n v="80"/>
    <n v="292"/>
    <n v="372"/>
    <n v="884"/>
    <n v="874"/>
    <n v="860"/>
    <n v="636"/>
    <n v="505"/>
    <n v="246"/>
    <n v="95"/>
    <n v="3227"/>
  </r>
  <r>
    <n v="2025"/>
    <n v="4"/>
    <x v="6"/>
    <s v="whole journey"/>
    <x v="13"/>
    <x v="2"/>
    <s v="Yes"/>
    <x v="0"/>
    <s v="No"/>
    <n v="9"/>
    <n v="0"/>
    <n v="0"/>
    <n v="0"/>
    <n v="0"/>
    <n v="0"/>
    <n v="0"/>
    <n v="0"/>
    <n v="0"/>
    <n v="0"/>
    <n v="0"/>
    <n v="0"/>
  </r>
  <r>
    <n v="2025"/>
    <n v="4"/>
    <x v="7"/>
    <s v="whole journey"/>
    <x v="14"/>
    <x v="1"/>
    <s v="No"/>
    <x v="0"/>
    <s v="No"/>
    <n v="466"/>
    <n v="1"/>
    <n v="32"/>
    <n v="33"/>
    <n v="328"/>
    <n v="289"/>
    <n v="273"/>
    <n v="221"/>
    <n v="185"/>
    <n v="106"/>
    <n v="44"/>
    <n v="461"/>
  </r>
  <r>
    <n v="2025"/>
    <n v="4"/>
    <x v="7"/>
    <s v="whole journey"/>
    <x v="14"/>
    <x v="0"/>
    <s v="No"/>
    <x v="0"/>
    <s v="No"/>
    <n v="28"/>
    <n v="0"/>
    <n v="4"/>
    <n v="4"/>
    <n v="16"/>
    <n v="14"/>
    <n v="13"/>
    <n v="12"/>
    <n v="11"/>
    <n v="9"/>
    <n v="4"/>
    <n v="27"/>
  </r>
  <r>
    <n v="2025"/>
    <n v="4"/>
    <x v="8"/>
    <s v="national network"/>
    <x v="2"/>
    <x v="0"/>
    <s v="No"/>
    <x v="1"/>
    <s v="No"/>
    <n v="141"/>
    <n v="0"/>
    <n v="0"/>
    <n v="0"/>
    <n v="0"/>
    <n v="0"/>
    <n v="0"/>
    <n v="0"/>
    <n v="0"/>
    <n v="0"/>
    <n v="0"/>
    <n v="141"/>
  </r>
  <r>
    <n v="2025"/>
    <n v="4"/>
    <x v="8"/>
    <s v="national network"/>
    <x v="4"/>
    <x v="0"/>
    <s v="No"/>
    <x v="0"/>
    <s v="Yes"/>
    <n v="56"/>
    <n v="0"/>
    <n v="0"/>
    <n v="0"/>
    <n v="11"/>
    <n v="7"/>
    <n v="6"/>
    <n v="5"/>
    <n v="4"/>
    <n v="4"/>
    <n v="2"/>
    <n v="56"/>
  </r>
  <r>
    <n v="2025"/>
    <n v="4"/>
    <x v="9"/>
    <s v="national network"/>
    <x v="2"/>
    <x v="0"/>
    <s v="No"/>
    <x v="1"/>
    <s v="No"/>
    <n v="104"/>
    <n v="0"/>
    <n v="0"/>
    <n v="0"/>
    <n v="3"/>
    <n v="3"/>
    <n v="2"/>
    <n v="2"/>
    <n v="2"/>
    <n v="1"/>
    <n v="0"/>
    <n v="104"/>
  </r>
  <r>
    <n v="2025"/>
    <n v="4"/>
    <x v="9"/>
    <s v="national network"/>
    <x v="3"/>
    <x v="1"/>
    <s v="No"/>
    <x v="0"/>
    <s v="No"/>
    <n v="1"/>
    <n v="0"/>
    <n v="0"/>
    <n v="0"/>
    <n v="0"/>
    <n v="0"/>
    <n v="0"/>
    <n v="0"/>
    <n v="0"/>
    <n v="0"/>
    <n v="0"/>
    <n v="1"/>
  </r>
  <r>
    <n v="2025"/>
    <n v="4"/>
    <x v="9"/>
    <s v="national network"/>
    <x v="3"/>
    <x v="0"/>
    <s v="No"/>
    <x v="0"/>
    <s v="No"/>
    <n v="497"/>
    <n v="0"/>
    <n v="0"/>
    <n v="0"/>
    <n v="121"/>
    <n v="110"/>
    <n v="103"/>
    <n v="80"/>
    <n v="58"/>
    <n v="25"/>
    <n v="8"/>
    <n v="497"/>
  </r>
  <r>
    <n v="2025"/>
    <n v="4"/>
    <x v="9"/>
    <s v="national network"/>
    <x v="4"/>
    <x v="0"/>
    <s v="No"/>
    <x v="0"/>
    <s v="Yes"/>
    <n v="159"/>
    <n v="0"/>
    <n v="0"/>
    <n v="0"/>
    <n v="8"/>
    <n v="7"/>
    <n v="5"/>
    <n v="4"/>
    <n v="3"/>
    <n v="2"/>
    <n v="0"/>
    <n v="159"/>
  </r>
  <r>
    <n v="2025"/>
    <n v="4"/>
    <x v="9"/>
    <s v="national network"/>
    <x v="0"/>
    <x v="0"/>
    <s v="No"/>
    <x v="0"/>
    <s v="No"/>
    <n v="222"/>
    <n v="0"/>
    <n v="0"/>
    <n v="0"/>
    <n v="2"/>
    <n v="2"/>
    <n v="2"/>
    <n v="2"/>
    <n v="2"/>
    <n v="1"/>
    <n v="0"/>
    <n v="222"/>
  </r>
  <r>
    <n v="2025"/>
    <n v="4"/>
    <x v="9"/>
    <s v="national network"/>
    <x v="0"/>
    <x v="2"/>
    <s v="No"/>
    <x v="0"/>
    <s v="No"/>
    <n v="1"/>
    <n v="0"/>
    <n v="0"/>
    <n v="0"/>
    <n v="0"/>
    <n v="0"/>
    <n v="0"/>
    <n v="0"/>
    <n v="0"/>
    <n v="0"/>
    <n v="0"/>
    <n v="0"/>
  </r>
  <r>
    <n v="2025"/>
    <n v="4"/>
    <x v="9"/>
    <s v="national network"/>
    <x v="5"/>
    <x v="0"/>
    <s v="No"/>
    <x v="0"/>
    <s v="Yes"/>
    <n v="1"/>
    <n v="0"/>
    <n v="0"/>
    <n v="0"/>
    <n v="0"/>
    <n v="0"/>
    <n v="0"/>
    <n v="0"/>
    <n v="0"/>
    <n v="0"/>
    <n v="0"/>
    <n v="1"/>
  </r>
  <r>
    <n v="2025"/>
    <n v="4"/>
    <x v="9"/>
    <s v="national network"/>
    <x v="10"/>
    <x v="1"/>
    <s v="Yes"/>
    <x v="0"/>
    <s v="No"/>
    <n v="3"/>
    <n v="0"/>
    <n v="0"/>
    <n v="0"/>
    <n v="1"/>
    <n v="1"/>
    <n v="1"/>
    <n v="1"/>
    <n v="1"/>
    <n v="0"/>
    <n v="0"/>
    <n v="3"/>
  </r>
  <r>
    <n v="2025"/>
    <n v="4"/>
    <x v="9"/>
    <s v="national network"/>
    <x v="10"/>
    <x v="0"/>
    <s v="Yes"/>
    <x v="0"/>
    <s v="No"/>
    <n v="444"/>
    <n v="0"/>
    <n v="0"/>
    <n v="0"/>
    <n v="272"/>
    <n v="256"/>
    <n v="244"/>
    <n v="186"/>
    <n v="133"/>
    <n v="47"/>
    <n v="13"/>
    <n v="444"/>
  </r>
  <r>
    <n v="2025"/>
    <n v="4"/>
    <x v="10"/>
    <s v="national network"/>
    <x v="15"/>
    <x v="0"/>
    <s v="No"/>
    <x v="0"/>
    <s v="No"/>
    <n v="679"/>
    <n v="17"/>
    <n v="28"/>
    <n v="45"/>
    <n v="127"/>
    <n v="84"/>
    <n v="72"/>
    <n v="43"/>
    <n v="31"/>
    <n v="14"/>
    <n v="0"/>
    <n v="645"/>
  </r>
  <r>
    <n v="2025"/>
    <n v="4"/>
    <x v="10"/>
    <s v="national network"/>
    <x v="16"/>
    <x v="1"/>
    <s v="No"/>
    <x v="0"/>
    <s v="No"/>
    <n v="6"/>
    <n v="0"/>
    <n v="0"/>
    <n v="0"/>
    <n v="1"/>
    <n v="1"/>
    <n v="1"/>
    <n v="1"/>
    <n v="1"/>
    <n v="0"/>
    <n v="0"/>
    <n v="6"/>
  </r>
  <r>
    <n v="2025"/>
    <n v="4"/>
    <x v="10"/>
    <s v="national network"/>
    <x v="16"/>
    <x v="0"/>
    <s v="No"/>
    <x v="0"/>
    <s v="No"/>
    <n v="708"/>
    <n v="11"/>
    <n v="13"/>
    <n v="24"/>
    <n v="81"/>
    <n v="60"/>
    <n v="56"/>
    <n v="38"/>
    <n v="24"/>
    <n v="7"/>
    <n v="0"/>
    <n v="686"/>
  </r>
  <r>
    <n v="2025"/>
    <n v="4"/>
    <x v="10"/>
    <s v="national network"/>
    <x v="0"/>
    <x v="1"/>
    <s v="No"/>
    <x v="0"/>
    <s v="No"/>
    <n v="30985"/>
    <n v="0"/>
    <n v="4978"/>
    <n v="4978"/>
    <n v="2980"/>
    <n v="1726"/>
    <n v="1341"/>
    <n v="683"/>
    <n v="305"/>
    <n v="33"/>
    <n v="0"/>
    <n v="26404"/>
  </r>
  <r>
    <n v="2025"/>
    <n v="4"/>
    <x v="10"/>
    <s v="national network"/>
    <x v="0"/>
    <x v="0"/>
    <s v="No"/>
    <x v="0"/>
    <s v="No"/>
    <n v="405"/>
    <n v="5"/>
    <n v="30"/>
    <n v="35"/>
    <n v="169"/>
    <n v="147"/>
    <n v="138"/>
    <n v="127"/>
    <n v="97"/>
    <n v="54"/>
    <n v="24"/>
    <n v="379"/>
  </r>
  <r>
    <n v="2025"/>
    <n v="4"/>
    <x v="10"/>
    <s v="national network"/>
    <x v="0"/>
    <x v="2"/>
    <s v="No"/>
    <x v="0"/>
    <s v="No"/>
    <n v="1"/>
    <n v="0"/>
    <n v="0"/>
    <n v="0"/>
    <n v="0"/>
    <n v="0"/>
    <n v="0"/>
    <n v="0"/>
    <n v="0"/>
    <n v="0"/>
    <n v="0"/>
    <n v="0"/>
  </r>
  <r>
    <n v="2025"/>
    <n v="4"/>
    <x v="10"/>
    <s v="national network"/>
    <x v="17"/>
    <x v="1"/>
    <s v="No"/>
    <x v="0"/>
    <s v="No"/>
    <n v="2754"/>
    <n v="0"/>
    <n v="668"/>
    <n v="668"/>
    <n v="369"/>
    <n v="241"/>
    <n v="210"/>
    <n v="111"/>
    <n v="44"/>
    <n v="11"/>
    <n v="2"/>
    <n v="2211"/>
  </r>
  <r>
    <n v="2025"/>
    <n v="4"/>
    <x v="10"/>
    <s v="national network"/>
    <x v="8"/>
    <x v="0"/>
    <s v="Yes"/>
    <x v="0"/>
    <s v="No"/>
    <n v="416"/>
    <n v="1"/>
    <n v="29"/>
    <n v="30"/>
    <n v="154"/>
    <n v="139"/>
    <n v="129"/>
    <n v="115"/>
    <n v="92"/>
    <n v="31"/>
    <n v="4"/>
    <n v="409"/>
  </r>
  <r>
    <n v="2025"/>
    <n v="4"/>
    <x v="10"/>
    <s v="national network"/>
    <x v="5"/>
    <x v="0"/>
    <s v="No"/>
    <x v="0"/>
    <s v="Yes"/>
    <n v="141"/>
    <n v="1"/>
    <n v="3"/>
    <n v="4"/>
    <n v="69"/>
    <n v="66"/>
    <n v="61"/>
    <n v="54"/>
    <n v="54"/>
    <n v="41"/>
    <n v="27"/>
    <n v="139"/>
  </r>
  <r>
    <n v="2025"/>
    <n v="4"/>
    <x v="10"/>
    <s v="national network"/>
    <x v="18"/>
    <x v="1"/>
    <s v="No"/>
    <x v="0"/>
    <s v="Yes"/>
    <n v="17"/>
    <n v="0"/>
    <n v="6"/>
    <n v="6"/>
    <n v="7"/>
    <n v="5"/>
    <n v="5"/>
    <n v="3"/>
    <n v="2"/>
    <n v="0"/>
    <n v="0"/>
    <n v="14"/>
  </r>
  <r>
    <n v="2025"/>
    <n v="4"/>
    <x v="10"/>
    <s v="national network"/>
    <x v="19"/>
    <x v="1"/>
    <s v="No"/>
    <x v="1"/>
    <s v="No"/>
    <n v="3532"/>
    <n v="0"/>
    <n v="348"/>
    <n v="348"/>
    <n v="179"/>
    <n v="76"/>
    <n v="61"/>
    <n v="39"/>
    <n v="19"/>
    <n v="0"/>
    <n v="0"/>
    <n v="3186"/>
  </r>
  <r>
    <n v="2025"/>
    <n v="4"/>
    <x v="10"/>
    <s v="national network"/>
    <x v="19"/>
    <x v="0"/>
    <s v="No"/>
    <x v="1"/>
    <s v="No"/>
    <n v="372"/>
    <n v="212"/>
    <n v="160"/>
    <n v="372"/>
    <n v="0"/>
    <n v="0"/>
    <n v="0"/>
    <n v="0"/>
    <n v="0"/>
    <n v="0"/>
    <n v="0"/>
    <n v="0"/>
  </r>
  <r>
    <n v="2025"/>
    <n v="4"/>
    <x v="10"/>
    <s v="national network"/>
    <x v="20"/>
    <x v="1"/>
    <s v="No"/>
    <x v="1"/>
    <s v="No"/>
    <n v="68525"/>
    <n v="0"/>
    <n v="8093"/>
    <n v="8093"/>
    <n v="3984"/>
    <n v="1879"/>
    <n v="1394"/>
    <n v="533"/>
    <n v="217"/>
    <n v="24"/>
    <n v="0"/>
    <n v="61040"/>
  </r>
  <r>
    <n v="2025"/>
    <n v="4"/>
    <x v="10"/>
    <s v="national network"/>
    <x v="21"/>
    <x v="1"/>
    <s v="No"/>
    <x v="1"/>
    <s v="No"/>
    <n v="34913"/>
    <n v="1"/>
    <n v="3742"/>
    <n v="3743"/>
    <n v="1685"/>
    <n v="658"/>
    <n v="448"/>
    <n v="193"/>
    <n v="89"/>
    <n v="10"/>
    <n v="2"/>
    <n v="31343"/>
  </r>
  <r>
    <n v="2025"/>
    <n v="4"/>
    <x v="10"/>
    <s v="national network"/>
    <x v="21"/>
    <x v="0"/>
    <s v="No"/>
    <x v="1"/>
    <s v="No"/>
    <n v="374"/>
    <n v="197"/>
    <n v="177"/>
    <n v="374"/>
    <n v="0"/>
    <n v="0"/>
    <n v="0"/>
    <n v="0"/>
    <n v="0"/>
    <n v="0"/>
    <n v="0"/>
    <n v="0"/>
  </r>
  <r>
    <n v="2025"/>
    <n v="4"/>
    <x v="11"/>
    <s v="national network"/>
    <x v="2"/>
    <x v="1"/>
    <s v="No"/>
    <x v="0"/>
    <s v="No"/>
    <n v="717"/>
    <n v="4"/>
    <n v="15"/>
    <n v="19"/>
    <n v="106"/>
    <n v="68"/>
    <n v="54"/>
    <n v="34"/>
    <n v="17"/>
    <n v="11"/>
    <n v="4"/>
    <n v="700"/>
  </r>
  <r>
    <n v="2025"/>
    <n v="4"/>
    <x v="11"/>
    <s v="national network"/>
    <x v="2"/>
    <x v="0"/>
    <s v="No"/>
    <x v="0"/>
    <s v="No"/>
    <n v="738"/>
    <n v="0"/>
    <n v="2"/>
    <n v="2"/>
    <n v="145"/>
    <n v="106"/>
    <n v="86"/>
    <n v="54"/>
    <n v="39"/>
    <n v="11"/>
    <n v="2"/>
    <n v="737"/>
  </r>
  <r>
    <n v="2025"/>
    <n v="4"/>
    <x v="11"/>
    <s v="national network"/>
    <x v="3"/>
    <x v="1"/>
    <s v="No"/>
    <x v="0"/>
    <s v="No"/>
    <n v="25"/>
    <n v="0"/>
    <n v="0"/>
    <n v="0"/>
    <n v="9"/>
    <n v="8"/>
    <n v="6"/>
    <n v="3"/>
    <n v="3"/>
    <n v="0"/>
    <n v="0"/>
    <n v="25"/>
  </r>
  <r>
    <n v="2025"/>
    <n v="4"/>
    <x v="11"/>
    <s v="national network"/>
    <x v="3"/>
    <x v="0"/>
    <s v="No"/>
    <x v="0"/>
    <s v="No"/>
    <n v="1416"/>
    <n v="9"/>
    <n v="3"/>
    <n v="12"/>
    <n v="575"/>
    <n v="442"/>
    <n v="402"/>
    <n v="275"/>
    <n v="210"/>
    <n v="80"/>
    <n v="29"/>
    <n v="1405"/>
  </r>
  <r>
    <n v="2025"/>
    <n v="4"/>
    <x v="11"/>
    <s v="national network"/>
    <x v="3"/>
    <x v="2"/>
    <s v="No"/>
    <x v="0"/>
    <s v="No"/>
    <n v="1"/>
    <n v="0"/>
    <n v="0"/>
    <n v="0"/>
    <n v="0"/>
    <n v="0"/>
    <n v="0"/>
    <n v="0"/>
    <n v="0"/>
    <n v="0"/>
    <n v="0"/>
    <n v="0"/>
  </r>
  <r>
    <n v="2025"/>
    <n v="4"/>
    <x v="11"/>
    <s v="national network"/>
    <x v="7"/>
    <x v="0"/>
    <s v="No"/>
    <x v="0"/>
    <s v="No"/>
    <n v="5"/>
    <n v="1"/>
    <n v="0"/>
    <n v="1"/>
    <n v="0"/>
    <n v="0"/>
    <n v="0"/>
    <n v="0"/>
    <n v="0"/>
    <n v="0"/>
    <n v="0"/>
    <n v="4"/>
  </r>
  <r>
    <n v="2025"/>
    <n v="4"/>
    <x v="11"/>
    <s v="national network"/>
    <x v="4"/>
    <x v="0"/>
    <s v="No"/>
    <x v="0"/>
    <s v="Yes"/>
    <n v="240"/>
    <n v="0"/>
    <n v="0"/>
    <n v="0"/>
    <n v="40"/>
    <n v="33"/>
    <n v="29"/>
    <n v="25"/>
    <n v="23"/>
    <n v="15"/>
    <n v="7"/>
    <n v="240"/>
  </r>
  <r>
    <n v="2025"/>
    <n v="4"/>
    <x v="11"/>
    <s v="national network"/>
    <x v="0"/>
    <x v="1"/>
    <s v="No"/>
    <x v="0"/>
    <s v="No"/>
    <n v="1602"/>
    <n v="3"/>
    <n v="3"/>
    <n v="6"/>
    <n v="259"/>
    <n v="163"/>
    <n v="133"/>
    <n v="77"/>
    <n v="50"/>
    <n v="26"/>
    <n v="7"/>
    <n v="1597"/>
  </r>
  <r>
    <n v="2025"/>
    <n v="4"/>
    <x v="11"/>
    <s v="national network"/>
    <x v="0"/>
    <x v="0"/>
    <s v="No"/>
    <x v="0"/>
    <s v="No"/>
    <n v="528"/>
    <n v="2"/>
    <n v="1"/>
    <n v="3"/>
    <n v="60"/>
    <n v="51"/>
    <n v="47"/>
    <n v="40"/>
    <n v="32"/>
    <n v="16"/>
    <n v="5"/>
    <n v="525"/>
  </r>
  <r>
    <n v="2025"/>
    <n v="4"/>
    <x v="11"/>
    <s v="national network"/>
    <x v="0"/>
    <x v="2"/>
    <s v="No"/>
    <x v="0"/>
    <s v="No"/>
    <n v="2"/>
    <n v="0"/>
    <n v="0"/>
    <n v="0"/>
    <n v="0"/>
    <n v="0"/>
    <n v="0"/>
    <n v="0"/>
    <n v="0"/>
    <n v="0"/>
    <n v="0"/>
    <n v="0"/>
  </r>
  <r>
    <n v="2025"/>
    <n v="4"/>
    <x v="11"/>
    <s v="national network"/>
    <x v="8"/>
    <x v="1"/>
    <s v="Yes"/>
    <x v="0"/>
    <s v="No"/>
    <n v="42"/>
    <n v="0"/>
    <n v="0"/>
    <n v="0"/>
    <n v="8"/>
    <n v="4"/>
    <n v="3"/>
    <n v="1"/>
    <n v="0"/>
    <n v="0"/>
    <n v="0"/>
    <n v="42"/>
  </r>
  <r>
    <n v="2025"/>
    <n v="4"/>
    <x v="11"/>
    <s v="national network"/>
    <x v="8"/>
    <x v="0"/>
    <s v="Yes"/>
    <x v="0"/>
    <s v="No"/>
    <n v="660"/>
    <n v="16"/>
    <n v="4"/>
    <n v="20"/>
    <n v="230"/>
    <n v="209"/>
    <n v="196"/>
    <n v="175"/>
    <n v="162"/>
    <n v="98"/>
    <n v="36"/>
    <n v="641"/>
  </r>
  <r>
    <n v="2025"/>
    <n v="4"/>
    <x v="11"/>
    <s v="national network"/>
    <x v="5"/>
    <x v="1"/>
    <s v="No"/>
    <x v="0"/>
    <s v="Yes"/>
    <n v="66"/>
    <n v="0"/>
    <n v="0"/>
    <n v="0"/>
    <n v="8"/>
    <n v="5"/>
    <n v="5"/>
    <n v="5"/>
    <n v="3"/>
    <n v="3"/>
    <n v="1"/>
    <n v="66"/>
  </r>
  <r>
    <n v="2025"/>
    <n v="4"/>
    <x v="11"/>
    <s v="national network"/>
    <x v="5"/>
    <x v="0"/>
    <s v="No"/>
    <x v="0"/>
    <s v="Yes"/>
    <n v="630"/>
    <n v="1"/>
    <n v="0"/>
    <n v="1"/>
    <n v="194"/>
    <n v="156"/>
    <n v="137"/>
    <n v="114"/>
    <n v="86"/>
    <n v="60"/>
    <n v="31"/>
    <n v="629"/>
  </r>
  <r>
    <n v="2025"/>
    <n v="4"/>
    <x v="11"/>
    <s v="national network"/>
    <x v="6"/>
    <x v="1"/>
    <s v="No"/>
    <x v="0"/>
    <s v="No"/>
    <n v="1942"/>
    <n v="3"/>
    <n v="67"/>
    <n v="70"/>
    <n v="302"/>
    <n v="191"/>
    <n v="160"/>
    <n v="76"/>
    <n v="47"/>
    <n v="25"/>
    <n v="3"/>
    <n v="1903"/>
  </r>
  <r>
    <n v="2025"/>
    <n v="4"/>
    <x v="11"/>
    <s v="national network"/>
    <x v="6"/>
    <x v="0"/>
    <s v="No"/>
    <x v="0"/>
    <s v="No"/>
    <n v="1007"/>
    <n v="4"/>
    <n v="3"/>
    <n v="7"/>
    <n v="290"/>
    <n v="230"/>
    <n v="210"/>
    <n v="143"/>
    <n v="112"/>
    <n v="42"/>
    <n v="14"/>
    <n v="1003"/>
  </r>
  <r>
    <n v="2025"/>
    <n v="4"/>
    <x v="11"/>
    <s v="national network"/>
    <x v="6"/>
    <x v="2"/>
    <s v="No"/>
    <x v="0"/>
    <s v="No"/>
    <n v="1"/>
    <n v="0"/>
    <n v="0"/>
    <n v="0"/>
    <n v="0"/>
    <n v="0"/>
    <n v="0"/>
    <n v="0"/>
    <n v="0"/>
    <n v="0"/>
    <n v="0"/>
    <n v="0"/>
  </r>
  <r>
    <n v="2025"/>
    <n v="4"/>
    <x v="11"/>
    <s v="national network"/>
    <x v="10"/>
    <x v="1"/>
    <s v="Yes"/>
    <x v="0"/>
    <s v="No"/>
    <n v="861"/>
    <n v="0"/>
    <n v="21"/>
    <n v="21"/>
    <n v="307"/>
    <n v="250"/>
    <n v="219"/>
    <n v="158"/>
    <n v="121"/>
    <n v="51"/>
    <n v="6"/>
    <n v="849"/>
  </r>
  <r>
    <n v="2025"/>
    <n v="4"/>
    <x v="11"/>
    <s v="national network"/>
    <x v="10"/>
    <x v="0"/>
    <s v="Yes"/>
    <x v="0"/>
    <s v="No"/>
    <n v="919"/>
    <n v="0"/>
    <n v="7"/>
    <n v="7"/>
    <n v="345"/>
    <n v="276"/>
    <n v="253"/>
    <n v="187"/>
    <n v="139"/>
    <n v="60"/>
    <n v="6"/>
    <n v="917"/>
  </r>
  <r>
    <n v="2025"/>
    <n v="4"/>
    <x v="11"/>
    <s v="national network"/>
    <x v="10"/>
    <x v="2"/>
    <s v="Yes"/>
    <x v="0"/>
    <s v="No"/>
    <n v="1"/>
    <n v="0"/>
    <n v="0"/>
    <n v="0"/>
    <n v="0"/>
    <n v="0"/>
    <n v="0"/>
    <n v="0"/>
    <n v="0"/>
    <n v="0"/>
    <n v="0"/>
    <n v="0"/>
  </r>
  <r>
    <n v="2025"/>
    <n v="4"/>
    <x v="12"/>
    <s v="national network"/>
    <x v="9"/>
    <x v="1"/>
    <s v="No"/>
    <x v="1"/>
    <s v="No"/>
    <n v="9930"/>
    <n v="7"/>
    <n v="61"/>
    <n v="68"/>
    <n v="6"/>
    <n v="4"/>
    <n v="1"/>
    <n v="0"/>
    <n v="0"/>
    <n v="0"/>
    <n v="0"/>
    <n v="9867"/>
  </r>
  <r>
    <n v="2025"/>
    <n v="4"/>
    <x v="12"/>
    <s v="national network"/>
    <x v="9"/>
    <x v="0"/>
    <s v="No"/>
    <x v="1"/>
    <s v="No"/>
    <n v="24"/>
    <n v="0"/>
    <n v="0"/>
    <n v="0"/>
    <n v="0"/>
    <n v="0"/>
    <n v="0"/>
    <n v="0"/>
    <n v="0"/>
    <n v="0"/>
    <n v="0"/>
    <n v="24"/>
  </r>
  <r>
    <n v="2025"/>
    <n v="4"/>
    <x v="12"/>
    <s v="national network"/>
    <x v="9"/>
    <x v="2"/>
    <s v="No"/>
    <x v="1"/>
    <s v="No"/>
    <n v="1"/>
    <n v="0"/>
    <n v="0"/>
    <n v="0"/>
    <n v="0"/>
    <n v="0"/>
    <n v="0"/>
    <n v="0"/>
    <n v="0"/>
    <n v="0"/>
    <n v="0"/>
    <n v="0"/>
  </r>
  <r>
    <n v="2025"/>
    <n v="4"/>
    <x v="13"/>
    <s v="whole journey"/>
    <x v="22"/>
    <x v="0"/>
    <s v="No"/>
    <x v="1"/>
    <s v="No"/>
    <n v="119"/>
    <n v="0"/>
    <n v="2"/>
    <n v="2"/>
    <n v="23"/>
    <n v="20"/>
    <n v="20"/>
    <n v="16"/>
    <n v="13"/>
    <n v="7"/>
    <n v="3"/>
    <n v="117"/>
  </r>
  <r>
    <n v="2025"/>
    <n v="4"/>
    <x v="13"/>
    <s v="whole journey"/>
    <x v="23"/>
    <x v="1"/>
    <s v="Yes"/>
    <x v="0"/>
    <s v="No"/>
    <n v="1735"/>
    <n v="0"/>
    <n v="7"/>
    <n v="7"/>
    <n v="281"/>
    <n v="244"/>
    <n v="244"/>
    <n v="166"/>
    <n v="136"/>
    <n v="62"/>
    <n v="28"/>
    <n v="1733"/>
  </r>
  <r>
    <n v="2025"/>
    <n v="4"/>
    <x v="13"/>
    <s v="whole journey"/>
    <x v="23"/>
    <x v="2"/>
    <s v="Yes"/>
    <x v="0"/>
    <s v="No"/>
    <n v="59"/>
    <n v="0"/>
    <n v="0"/>
    <n v="0"/>
    <n v="0"/>
    <n v="0"/>
    <n v="0"/>
    <n v="0"/>
    <n v="0"/>
    <n v="0"/>
    <n v="0"/>
    <n v="0"/>
  </r>
  <r>
    <n v="2025"/>
    <n v="4"/>
    <x v="14"/>
    <s v="national network"/>
    <x v="3"/>
    <x v="1"/>
    <s v="No"/>
    <x v="1"/>
    <s v="No"/>
    <n v="1"/>
    <n v="0"/>
    <n v="0"/>
    <n v="0"/>
    <n v="0"/>
    <n v="0"/>
    <n v="0"/>
    <n v="0"/>
    <n v="0"/>
    <n v="0"/>
    <n v="0"/>
    <n v="1"/>
  </r>
  <r>
    <n v="2025"/>
    <n v="4"/>
    <x v="14"/>
    <s v="national network"/>
    <x v="3"/>
    <x v="0"/>
    <s v="No"/>
    <x v="1"/>
    <s v="No"/>
    <n v="764"/>
    <n v="1"/>
    <n v="0"/>
    <n v="1"/>
    <n v="200"/>
    <n v="140"/>
    <n v="126"/>
    <n v="83"/>
    <n v="60"/>
    <n v="30"/>
    <n v="15"/>
    <n v="763"/>
  </r>
  <r>
    <n v="2025"/>
    <n v="4"/>
    <x v="14"/>
    <s v="national network"/>
    <x v="4"/>
    <x v="0"/>
    <s v="No"/>
    <x v="0"/>
    <s v="Yes"/>
    <n v="53"/>
    <n v="0"/>
    <n v="0"/>
    <n v="0"/>
    <n v="14"/>
    <n v="11"/>
    <n v="10"/>
    <n v="3"/>
    <n v="2"/>
    <n v="0"/>
    <n v="0"/>
    <n v="53"/>
  </r>
  <r>
    <n v="2025"/>
    <n v="4"/>
    <x v="14"/>
    <s v="national network"/>
    <x v="0"/>
    <x v="0"/>
    <s v="No"/>
    <x v="1"/>
    <s v="No"/>
    <n v="1"/>
    <n v="0"/>
    <n v="0"/>
    <n v="0"/>
    <n v="0"/>
    <n v="0"/>
    <n v="0"/>
    <n v="0"/>
    <n v="0"/>
    <n v="0"/>
    <n v="0"/>
    <n v="1"/>
  </r>
  <r>
    <n v="2025"/>
    <n v="4"/>
    <x v="14"/>
    <s v="national network"/>
    <x v="0"/>
    <x v="0"/>
    <s v="No"/>
    <x v="0"/>
    <s v="No"/>
    <n v="52"/>
    <n v="0"/>
    <n v="0"/>
    <n v="0"/>
    <n v="14"/>
    <n v="11"/>
    <n v="10"/>
    <n v="3"/>
    <n v="2"/>
    <n v="0"/>
    <n v="0"/>
    <n v="52"/>
  </r>
  <r>
    <n v="2025"/>
    <n v="4"/>
    <x v="15"/>
    <s v="national network"/>
    <x v="24"/>
    <x v="1"/>
    <s v="No"/>
    <x v="1"/>
    <s v="No"/>
    <n v="1313"/>
    <n v="0"/>
    <n v="0"/>
    <n v="0"/>
    <n v="0"/>
    <n v="0"/>
    <n v="0"/>
    <n v="0"/>
    <n v="0"/>
    <n v="0"/>
    <n v="0"/>
    <n v="1313"/>
  </r>
  <r>
    <n v="2025"/>
    <n v="4"/>
    <x v="15"/>
    <s v="national network"/>
    <x v="24"/>
    <x v="0"/>
    <s v="No"/>
    <x v="1"/>
    <s v="No"/>
    <n v="73"/>
    <n v="0"/>
    <n v="0"/>
    <n v="0"/>
    <n v="0"/>
    <n v="0"/>
    <n v="0"/>
    <n v="0"/>
    <n v="0"/>
    <n v="0"/>
    <n v="0"/>
    <n v="73"/>
  </r>
  <r>
    <n v="2025"/>
    <n v="4"/>
    <x v="16"/>
    <s v="national network"/>
    <x v="3"/>
    <x v="1"/>
    <s v="No"/>
    <x v="0"/>
    <s v="No"/>
    <n v="42"/>
    <n v="0"/>
    <n v="0"/>
    <n v="0"/>
    <n v="0"/>
    <n v="0"/>
    <n v="0"/>
    <n v="0"/>
    <n v="0"/>
    <n v="0"/>
    <n v="0"/>
    <n v="42"/>
  </r>
  <r>
    <n v="2025"/>
    <n v="4"/>
    <x v="16"/>
    <s v="national network"/>
    <x v="3"/>
    <x v="0"/>
    <s v="No"/>
    <x v="0"/>
    <s v="No"/>
    <n v="1689"/>
    <n v="17"/>
    <n v="44"/>
    <n v="61"/>
    <n v="224"/>
    <n v="186"/>
    <n v="176"/>
    <n v="127"/>
    <n v="87"/>
    <n v="52"/>
    <n v="11"/>
    <n v="1634"/>
  </r>
  <r>
    <n v="2025"/>
    <n v="4"/>
    <x v="16"/>
    <s v="national network"/>
    <x v="7"/>
    <x v="0"/>
    <s v="No"/>
    <x v="1"/>
    <s v="No"/>
    <n v="235"/>
    <n v="1"/>
    <n v="2"/>
    <n v="3"/>
    <n v="149"/>
    <n v="110"/>
    <n v="92"/>
    <n v="37"/>
    <n v="14"/>
    <n v="2"/>
    <n v="1"/>
    <n v="232"/>
  </r>
  <r>
    <n v="2025"/>
    <n v="4"/>
    <x v="16"/>
    <s v="national network"/>
    <x v="7"/>
    <x v="0"/>
    <s v="No"/>
    <x v="0"/>
    <s v="No"/>
    <n v="2"/>
    <n v="1"/>
    <n v="0"/>
    <n v="1"/>
    <n v="0"/>
    <n v="0"/>
    <n v="0"/>
    <n v="0"/>
    <n v="0"/>
    <n v="0"/>
    <n v="0"/>
    <n v="1"/>
  </r>
  <r>
    <n v="2025"/>
    <n v="4"/>
    <x v="16"/>
    <s v="national network"/>
    <x v="4"/>
    <x v="0"/>
    <s v="No"/>
    <x v="0"/>
    <s v="Yes"/>
    <n v="118"/>
    <n v="0"/>
    <n v="0"/>
    <n v="0"/>
    <n v="19"/>
    <n v="18"/>
    <n v="18"/>
    <n v="12"/>
    <n v="10"/>
    <n v="9"/>
    <n v="3"/>
    <n v="118"/>
  </r>
  <r>
    <n v="2025"/>
    <n v="4"/>
    <x v="16"/>
    <s v="national network"/>
    <x v="0"/>
    <x v="1"/>
    <s v="No"/>
    <x v="0"/>
    <s v="No"/>
    <n v="10634"/>
    <n v="16"/>
    <n v="139"/>
    <n v="155"/>
    <n v="13"/>
    <n v="11"/>
    <n v="10"/>
    <n v="7"/>
    <n v="5"/>
    <n v="1"/>
    <n v="0"/>
    <n v="10491"/>
  </r>
  <r>
    <n v="2025"/>
    <n v="4"/>
    <x v="16"/>
    <s v="national network"/>
    <x v="0"/>
    <x v="0"/>
    <s v="No"/>
    <x v="0"/>
    <s v="No"/>
    <n v="1026"/>
    <n v="59"/>
    <n v="18"/>
    <n v="77"/>
    <n v="251"/>
    <n v="197"/>
    <n v="191"/>
    <n v="151"/>
    <n v="95"/>
    <n v="18"/>
    <n v="8"/>
    <n v="958"/>
  </r>
  <r>
    <n v="2025"/>
    <n v="4"/>
    <x v="16"/>
    <s v="national network"/>
    <x v="0"/>
    <x v="2"/>
    <s v="No"/>
    <x v="0"/>
    <s v="No"/>
    <n v="8"/>
    <n v="1"/>
    <n v="0"/>
    <n v="1"/>
    <n v="0"/>
    <n v="0"/>
    <n v="0"/>
    <n v="0"/>
    <n v="0"/>
    <n v="0"/>
    <n v="0"/>
    <n v="0"/>
  </r>
  <r>
    <n v="2025"/>
    <n v="4"/>
    <x v="16"/>
    <s v="national network"/>
    <x v="8"/>
    <x v="1"/>
    <s v="Yes"/>
    <x v="0"/>
    <s v="No"/>
    <n v="28"/>
    <n v="0"/>
    <n v="0"/>
    <n v="0"/>
    <n v="0"/>
    <n v="0"/>
    <n v="0"/>
    <n v="0"/>
    <n v="0"/>
    <n v="0"/>
    <n v="0"/>
    <n v="28"/>
  </r>
  <r>
    <n v="2025"/>
    <n v="4"/>
    <x v="16"/>
    <s v="national network"/>
    <x v="8"/>
    <x v="0"/>
    <s v="Yes"/>
    <x v="0"/>
    <s v="No"/>
    <n v="990"/>
    <n v="59"/>
    <n v="110"/>
    <n v="169"/>
    <n v="194"/>
    <n v="144"/>
    <n v="129"/>
    <n v="89"/>
    <n v="59"/>
    <n v="28"/>
    <n v="8"/>
    <n v="864"/>
  </r>
  <r>
    <n v="2025"/>
    <n v="4"/>
    <x v="16"/>
    <s v="national network"/>
    <x v="9"/>
    <x v="1"/>
    <s v="No"/>
    <x v="0"/>
    <s v="No"/>
    <n v="12067"/>
    <n v="28"/>
    <n v="147"/>
    <n v="175"/>
    <n v="13"/>
    <n v="9"/>
    <n v="7"/>
    <n v="5"/>
    <n v="3"/>
    <n v="2"/>
    <n v="1"/>
    <n v="11928"/>
  </r>
  <r>
    <n v="2025"/>
    <n v="4"/>
    <x v="16"/>
    <s v="national network"/>
    <x v="9"/>
    <x v="0"/>
    <s v="No"/>
    <x v="0"/>
    <s v="No"/>
    <n v="791"/>
    <n v="0"/>
    <n v="15"/>
    <n v="15"/>
    <n v="24"/>
    <n v="16"/>
    <n v="13"/>
    <n v="5"/>
    <n v="3"/>
    <n v="0"/>
    <n v="0"/>
    <n v="780"/>
  </r>
  <r>
    <n v="2025"/>
    <n v="4"/>
    <x v="16"/>
    <s v="national network"/>
    <x v="9"/>
    <x v="2"/>
    <s v="No"/>
    <x v="0"/>
    <s v="No"/>
    <n v="4"/>
    <n v="0"/>
    <n v="0"/>
    <n v="0"/>
    <n v="0"/>
    <n v="0"/>
    <n v="0"/>
    <n v="0"/>
    <n v="0"/>
    <n v="0"/>
    <n v="0"/>
    <n v="0"/>
  </r>
  <r>
    <n v="2025"/>
    <n v="4"/>
    <x v="16"/>
    <s v="national network"/>
    <x v="25"/>
    <x v="1"/>
    <s v="Yes"/>
    <x v="0"/>
    <s v="No"/>
    <n v="52"/>
    <n v="0"/>
    <n v="0"/>
    <n v="0"/>
    <n v="1"/>
    <n v="1"/>
    <n v="1"/>
    <n v="0"/>
    <n v="0"/>
    <n v="0"/>
    <n v="0"/>
    <n v="52"/>
  </r>
  <r>
    <n v="2025"/>
    <n v="4"/>
    <x v="16"/>
    <s v="national network"/>
    <x v="25"/>
    <x v="0"/>
    <s v="Yes"/>
    <x v="0"/>
    <s v="No"/>
    <n v="855"/>
    <n v="1"/>
    <n v="3"/>
    <n v="4"/>
    <n v="108"/>
    <n v="57"/>
    <n v="52"/>
    <n v="38"/>
    <n v="30"/>
    <n v="12"/>
    <n v="2"/>
    <n v="853"/>
  </r>
  <r>
    <n v="2025"/>
    <n v="4"/>
    <x v="16"/>
    <s v="national network"/>
    <x v="25"/>
    <x v="2"/>
    <s v="Yes"/>
    <x v="0"/>
    <s v="No"/>
    <n v="5"/>
    <n v="0"/>
    <n v="0"/>
    <n v="0"/>
    <n v="0"/>
    <n v="0"/>
    <n v="0"/>
    <n v="0"/>
    <n v="0"/>
    <n v="0"/>
    <n v="0"/>
    <n v="0"/>
  </r>
  <r>
    <n v="2025"/>
    <n v="4"/>
    <x v="16"/>
    <s v="national network"/>
    <x v="5"/>
    <x v="1"/>
    <s v="No"/>
    <x v="0"/>
    <s v="Yes"/>
    <n v="5"/>
    <n v="0"/>
    <n v="0"/>
    <n v="0"/>
    <n v="0"/>
    <n v="0"/>
    <n v="0"/>
    <n v="0"/>
    <n v="0"/>
    <n v="0"/>
    <n v="0"/>
    <n v="5"/>
  </r>
  <r>
    <n v="2025"/>
    <n v="4"/>
    <x v="16"/>
    <s v="national network"/>
    <x v="5"/>
    <x v="0"/>
    <s v="No"/>
    <x v="0"/>
    <s v="Yes"/>
    <n v="213"/>
    <n v="3"/>
    <n v="3"/>
    <n v="6"/>
    <n v="58"/>
    <n v="49"/>
    <n v="47"/>
    <n v="37"/>
    <n v="31"/>
    <n v="23"/>
    <n v="11"/>
    <n v="208"/>
  </r>
  <r>
    <n v="2025"/>
    <n v="4"/>
    <x v="16"/>
    <s v="national network"/>
    <x v="5"/>
    <x v="2"/>
    <s v="No"/>
    <x v="0"/>
    <s v="Yes"/>
    <n v="1"/>
    <n v="1"/>
    <n v="0"/>
    <n v="1"/>
    <n v="0"/>
    <n v="0"/>
    <n v="0"/>
    <n v="0"/>
    <n v="0"/>
    <n v="0"/>
    <n v="0"/>
    <n v="0"/>
  </r>
  <r>
    <n v="2025"/>
    <n v="4"/>
    <x v="16"/>
    <s v="national network"/>
    <x v="10"/>
    <x v="0"/>
    <s v="Yes"/>
    <x v="0"/>
    <s v="No"/>
    <n v="283"/>
    <n v="0"/>
    <n v="1"/>
    <n v="1"/>
    <n v="20"/>
    <n v="13"/>
    <n v="11"/>
    <n v="8"/>
    <n v="8"/>
    <n v="4"/>
    <n v="1"/>
    <n v="283"/>
  </r>
  <r>
    <n v="2025"/>
    <n v="4"/>
    <x v="16"/>
    <s v="national network"/>
    <x v="10"/>
    <x v="2"/>
    <s v="Yes"/>
    <x v="0"/>
    <s v="No"/>
    <n v="5"/>
    <n v="0"/>
    <n v="0"/>
    <n v="0"/>
    <n v="0"/>
    <n v="0"/>
    <n v="0"/>
    <n v="0"/>
    <n v="0"/>
    <n v="0"/>
    <n v="0"/>
    <n v="0"/>
  </r>
  <r>
    <n v="2025"/>
    <n v="4"/>
    <x v="17"/>
    <s v="national network"/>
    <x v="4"/>
    <x v="0"/>
    <s v="No"/>
    <x v="0"/>
    <s v="Yes"/>
    <n v="39"/>
    <n v="2"/>
    <n v="0"/>
    <n v="2"/>
    <n v="15"/>
    <n v="15"/>
    <n v="14"/>
    <n v="10"/>
    <n v="9"/>
    <n v="6"/>
    <n v="2"/>
    <n v="37"/>
  </r>
  <r>
    <n v="2025"/>
    <n v="4"/>
    <x v="18"/>
    <s v="national network"/>
    <x v="15"/>
    <x v="0"/>
    <s v="No"/>
    <x v="1"/>
    <s v="No"/>
    <n v="730"/>
    <n v="37"/>
    <n v="28"/>
    <n v="65"/>
    <n v="186"/>
    <n v="124"/>
    <n v="110"/>
    <n v="66"/>
    <n v="40"/>
    <n v="18"/>
    <n v="0"/>
    <n v="673"/>
  </r>
  <r>
    <n v="2025"/>
    <n v="4"/>
    <x v="18"/>
    <s v="national network"/>
    <x v="16"/>
    <x v="0"/>
    <s v="No"/>
    <x v="1"/>
    <s v="No"/>
    <n v="740"/>
    <n v="13"/>
    <n v="1"/>
    <n v="14"/>
    <n v="200"/>
    <n v="124"/>
    <n v="105"/>
    <n v="65"/>
    <n v="43"/>
    <n v="17"/>
    <n v="2"/>
    <n v="716"/>
  </r>
  <r>
    <n v="2025"/>
    <n v="4"/>
    <x v="18"/>
    <s v="national network"/>
    <x v="0"/>
    <x v="1"/>
    <s v="No"/>
    <x v="0"/>
    <s v="No"/>
    <n v="24351"/>
    <n v="74"/>
    <n v="474"/>
    <n v="548"/>
    <n v="4548"/>
    <n v="2754"/>
    <n v="2238"/>
    <n v="1123"/>
    <n v="622"/>
    <n v="119"/>
    <n v="8"/>
    <n v="24008"/>
  </r>
  <r>
    <n v="2025"/>
    <n v="4"/>
    <x v="18"/>
    <s v="national network"/>
    <x v="0"/>
    <x v="0"/>
    <s v="No"/>
    <x v="0"/>
    <s v="No"/>
    <n v="1912"/>
    <n v="8"/>
    <n v="24"/>
    <n v="32"/>
    <n v="271"/>
    <n v="175"/>
    <n v="141"/>
    <n v="83"/>
    <n v="56"/>
    <n v="9"/>
    <n v="0"/>
    <n v="1887"/>
  </r>
  <r>
    <n v="2025"/>
    <n v="4"/>
    <x v="18"/>
    <s v="national network"/>
    <x v="0"/>
    <x v="2"/>
    <s v="No"/>
    <x v="0"/>
    <s v="No"/>
    <n v="2"/>
    <n v="2"/>
    <n v="0"/>
    <n v="2"/>
    <n v="0"/>
    <n v="0"/>
    <n v="0"/>
    <n v="0"/>
    <n v="0"/>
    <n v="0"/>
    <n v="0"/>
    <n v="0"/>
  </r>
  <r>
    <n v="2025"/>
    <n v="4"/>
    <x v="18"/>
    <s v="national network"/>
    <x v="8"/>
    <x v="1"/>
    <s v="Yes"/>
    <x v="0"/>
    <s v="No"/>
    <n v="2"/>
    <n v="0"/>
    <n v="0"/>
    <n v="0"/>
    <n v="0"/>
    <n v="0"/>
    <n v="0"/>
    <n v="0"/>
    <n v="0"/>
    <n v="0"/>
    <n v="0"/>
    <n v="2"/>
  </r>
  <r>
    <n v="2025"/>
    <n v="4"/>
    <x v="18"/>
    <s v="national network"/>
    <x v="8"/>
    <x v="0"/>
    <s v="Yes"/>
    <x v="0"/>
    <s v="No"/>
    <n v="425"/>
    <n v="15"/>
    <n v="4"/>
    <n v="19"/>
    <n v="151"/>
    <n v="107"/>
    <n v="91"/>
    <n v="53"/>
    <n v="39"/>
    <n v="18"/>
    <n v="2"/>
    <n v="408"/>
  </r>
  <r>
    <n v="2025"/>
    <n v="4"/>
    <x v="18"/>
    <s v="national network"/>
    <x v="26"/>
    <x v="1"/>
    <s v="No"/>
    <x v="1"/>
    <s v="No"/>
    <n v="14508"/>
    <n v="33"/>
    <n v="80"/>
    <n v="113"/>
    <n v="2122"/>
    <n v="1136"/>
    <n v="860"/>
    <n v="375"/>
    <n v="169"/>
    <n v="35"/>
    <n v="0"/>
    <n v="14422"/>
  </r>
  <r>
    <n v="2025"/>
    <n v="4"/>
    <x v="18"/>
    <s v="national network"/>
    <x v="26"/>
    <x v="0"/>
    <s v="No"/>
    <x v="1"/>
    <s v="No"/>
    <n v="3478"/>
    <n v="9"/>
    <n v="13"/>
    <n v="22"/>
    <n v="253"/>
    <n v="143"/>
    <n v="111"/>
    <n v="40"/>
    <n v="23"/>
    <n v="4"/>
    <n v="0"/>
    <n v="3469"/>
  </r>
  <r>
    <n v="2025"/>
    <n v="4"/>
    <x v="18"/>
    <s v="national network"/>
    <x v="26"/>
    <x v="2"/>
    <s v="No"/>
    <x v="1"/>
    <s v="No"/>
    <n v="3"/>
    <n v="0"/>
    <n v="0"/>
    <n v="0"/>
    <n v="0"/>
    <n v="0"/>
    <n v="0"/>
    <n v="0"/>
    <n v="0"/>
    <n v="0"/>
    <n v="0"/>
    <n v="0"/>
  </r>
  <r>
    <n v="2025"/>
    <n v="4"/>
    <x v="18"/>
    <s v="national network"/>
    <x v="5"/>
    <x v="0"/>
    <s v="No"/>
    <x v="0"/>
    <s v="Yes"/>
    <n v="40"/>
    <n v="2"/>
    <n v="0"/>
    <n v="2"/>
    <n v="17"/>
    <n v="14"/>
    <n v="13"/>
    <n v="7"/>
    <n v="4"/>
    <n v="4"/>
    <n v="4"/>
    <n v="38"/>
  </r>
  <r>
    <n v="2025"/>
    <n v="4"/>
    <x v="18"/>
    <s v="national network"/>
    <x v="27"/>
    <x v="1"/>
    <s v="No"/>
    <x v="1"/>
    <s v="No"/>
    <n v="3417"/>
    <n v="28"/>
    <n v="23"/>
    <n v="51"/>
    <n v="622"/>
    <n v="363"/>
    <n v="291"/>
    <n v="145"/>
    <n v="76"/>
    <n v="21"/>
    <n v="0"/>
    <n v="3371"/>
  </r>
  <r>
    <n v="2025"/>
    <n v="4"/>
    <x v="18"/>
    <s v="national network"/>
    <x v="27"/>
    <x v="0"/>
    <s v="No"/>
    <x v="1"/>
    <s v="No"/>
    <n v="94"/>
    <n v="1"/>
    <n v="0"/>
    <n v="1"/>
    <n v="15"/>
    <n v="10"/>
    <n v="9"/>
    <n v="4"/>
    <n v="2"/>
    <n v="0"/>
    <n v="0"/>
    <n v="93"/>
  </r>
  <r>
    <n v="2025"/>
    <n v="4"/>
    <x v="18"/>
    <s v="national network"/>
    <x v="19"/>
    <x v="1"/>
    <s v="No"/>
    <x v="1"/>
    <s v="No"/>
    <n v="22648"/>
    <n v="52"/>
    <n v="202"/>
    <n v="254"/>
    <n v="2997"/>
    <n v="1628"/>
    <n v="1274"/>
    <n v="606"/>
    <n v="301"/>
    <n v="59"/>
    <n v="4"/>
    <n v="22461"/>
  </r>
  <r>
    <n v="2025"/>
    <n v="4"/>
    <x v="18"/>
    <s v="national network"/>
    <x v="19"/>
    <x v="0"/>
    <s v="No"/>
    <x v="1"/>
    <s v="No"/>
    <n v="2547"/>
    <n v="17"/>
    <n v="72"/>
    <n v="89"/>
    <n v="556"/>
    <n v="363"/>
    <n v="281"/>
    <n v="144"/>
    <n v="55"/>
    <n v="6"/>
    <n v="0"/>
    <n v="2488"/>
  </r>
  <r>
    <n v="2025"/>
    <n v="4"/>
    <x v="18"/>
    <s v="national network"/>
    <x v="1"/>
    <x v="0"/>
    <s v="Yes"/>
    <x v="0"/>
    <s v="No"/>
    <n v="130"/>
    <n v="3"/>
    <n v="0"/>
    <n v="3"/>
    <n v="57"/>
    <n v="36"/>
    <n v="36"/>
    <n v="30"/>
    <n v="19"/>
    <n v="10"/>
    <n v="1"/>
    <n v="127"/>
  </r>
  <r>
    <n v="2025"/>
    <n v="4"/>
    <x v="18"/>
    <s v="national network"/>
    <x v="1"/>
    <x v="2"/>
    <s v="Yes"/>
    <x v="0"/>
    <s v="No"/>
    <n v="2"/>
    <n v="0"/>
    <n v="0"/>
    <n v="0"/>
    <n v="0"/>
    <n v="0"/>
    <n v="0"/>
    <n v="0"/>
    <n v="0"/>
    <n v="0"/>
    <n v="0"/>
    <n v="0"/>
  </r>
  <r>
    <n v="2025"/>
    <n v="4"/>
    <x v="19"/>
    <s v="national network"/>
    <x v="0"/>
    <x v="0"/>
    <s v="No"/>
    <x v="0"/>
    <s v="No"/>
    <n v="1149"/>
    <n v="2"/>
    <n v="5"/>
    <n v="7"/>
    <n v="65"/>
    <n v="36"/>
    <n v="25"/>
    <n v="15"/>
    <n v="9"/>
    <n v="1"/>
    <n v="0"/>
    <n v="1147"/>
  </r>
  <r>
    <n v="2025"/>
    <n v="4"/>
    <x v="19"/>
    <s v="national network"/>
    <x v="8"/>
    <x v="1"/>
    <s v="Yes"/>
    <x v="0"/>
    <s v="No"/>
    <n v="2"/>
    <n v="0"/>
    <n v="0"/>
    <n v="0"/>
    <n v="0"/>
    <n v="0"/>
    <n v="0"/>
    <n v="0"/>
    <n v="0"/>
    <n v="0"/>
    <n v="0"/>
    <n v="2"/>
  </r>
  <r>
    <n v="2025"/>
    <n v="4"/>
    <x v="19"/>
    <s v="national network"/>
    <x v="8"/>
    <x v="0"/>
    <s v="Yes"/>
    <x v="0"/>
    <s v="No"/>
    <n v="656"/>
    <n v="3"/>
    <n v="5"/>
    <n v="8"/>
    <n v="232"/>
    <n v="152"/>
    <n v="146"/>
    <n v="90"/>
    <n v="65"/>
    <n v="31"/>
    <n v="11"/>
    <n v="650"/>
  </r>
  <r>
    <n v="2025"/>
    <n v="4"/>
    <x v="19"/>
    <s v="national network"/>
    <x v="8"/>
    <x v="2"/>
    <s v="Yes"/>
    <x v="0"/>
    <s v="No"/>
    <n v="5"/>
    <n v="0"/>
    <n v="0"/>
    <n v="0"/>
    <n v="0"/>
    <n v="0"/>
    <n v="0"/>
    <n v="0"/>
    <n v="0"/>
    <n v="0"/>
    <n v="0"/>
    <n v="0"/>
  </r>
  <r>
    <n v="2025"/>
    <n v="4"/>
    <x v="19"/>
    <s v="national network"/>
    <x v="29"/>
    <x v="1"/>
    <s v="No"/>
    <x v="0"/>
    <s v="No"/>
    <n v="2021"/>
    <n v="10"/>
    <n v="18"/>
    <n v="28"/>
    <n v="623"/>
    <n v="394"/>
    <n v="393"/>
    <n v="288"/>
    <n v="236"/>
    <n v="135"/>
    <n v="47"/>
    <n v="2003"/>
  </r>
  <r>
    <n v="2025"/>
    <n v="4"/>
    <x v="19"/>
    <s v="national network"/>
    <x v="29"/>
    <x v="2"/>
    <s v="No"/>
    <x v="0"/>
    <s v="No"/>
    <n v="27"/>
    <n v="1"/>
    <n v="0"/>
    <n v="1"/>
    <n v="0"/>
    <n v="0"/>
    <n v="0"/>
    <n v="0"/>
    <n v="0"/>
    <n v="0"/>
    <n v="0"/>
    <n v="0"/>
  </r>
  <r>
    <n v="2025"/>
    <n v="4"/>
    <x v="19"/>
    <s v="national network"/>
    <x v="30"/>
    <x v="1"/>
    <s v="No"/>
    <x v="0"/>
    <s v="Yes"/>
    <n v="141"/>
    <n v="0"/>
    <n v="2"/>
    <n v="2"/>
    <n v="50"/>
    <n v="29"/>
    <n v="29"/>
    <n v="21"/>
    <n v="18"/>
    <n v="11"/>
    <n v="6"/>
    <n v="140"/>
  </r>
  <r>
    <n v="2025"/>
    <n v="4"/>
    <x v="19"/>
    <s v="national network"/>
    <x v="30"/>
    <x v="2"/>
    <s v="No"/>
    <x v="0"/>
    <s v="Yes"/>
    <n v="107"/>
    <n v="0"/>
    <n v="0"/>
    <n v="0"/>
    <n v="0"/>
    <n v="0"/>
    <n v="0"/>
    <n v="0"/>
    <n v="0"/>
    <n v="0"/>
    <n v="0"/>
    <n v="0"/>
  </r>
  <r>
    <n v="2025"/>
    <n v="4"/>
    <x v="19"/>
    <s v="national network"/>
    <x v="25"/>
    <x v="1"/>
    <s v="Yes"/>
    <x v="0"/>
    <s v="No"/>
    <n v="8"/>
    <n v="0"/>
    <n v="0"/>
    <n v="0"/>
    <n v="1"/>
    <n v="0"/>
    <n v="0"/>
    <n v="0"/>
    <n v="0"/>
    <n v="0"/>
    <n v="0"/>
    <n v="8"/>
  </r>
  <r>
    <n v="2025"/>
    <n v="4"/>
    <x v="19"/>
    <s v="national network"/>
    <x v="25"/>
    <x v="0"/>
    <s v="Yes"/>
    <x v="0"/>
    <s v="No"/>
    <n v="1027"/>
    <n v="0"/>
    <n v="1"/>
    <n v="1"/>
    <n v="143"/>
    <n v="72"/>
    <n v="72"/>
    <n v="50"/>
    <n v="37"/>
    <n v="19"/>
    <n v="5"/>
    <n v="1027"/>
  </r>
  <r>
    <n v="2025"/>
    <n v="4"/>
    <x v="19"/>
    <s v="national network"/>
    <x v="25"/>
    <x v="2"/>
    <s v="Yes"/>
    <x v="0"/>
    <s v="No"/>
    <n v="20"/>
    <n v="0"/>
    <n v="0"/>
    <n v="0"/>
    <n v="0"/>
    <n v="0"/>
    <n v="0"/>
    <n v="0"/>
    <n v="0"/>
    <n v="0"/>
    <n v="0"/>
    <n v="0"/>
  </r>
  <r>
    <n v="2025"/>
    <n v="4"/>
    <x v="19"/>
    <s v="national network"/>
    <x v="5"/>
    <x v="0"/>
    <s v="No"/>
    <x v="0"/>
    <s v="Yes"/>
    <n v="10"/>
    <n v="1"/>
    <n v="0"/>
    <n v="1"/>
    <n v="4"/>
    <n v="4"/>
    <n v="4"/>
    <n v="4"/>
    <n v="4"/>
    <n v="4"/>
    <n v="2"/>
    <n v="9"/>
  </r>
  <r>
    <n v="2025"/>
    <n v="4"/>
    <x v="19"/>
    <s v="national network"/>
    <x v="11"/>
    <x v="0"/>
    <s v="Yes"/>
    <x v="0"/>
    <s v="No"/>
    <n v="31"/>
    <n v="1"/>
    <n v="0"/>
    <n v="1"/>
    <n v="16"/>
    <n v="15"/>
    <n v="14"/>
    <n v="9"/>
    <n v="6"/>
    <n v="3"/>
    <n v="2"/>
    <n v="30"/>
  </r>
  <r>
    <n v="2025"/>
    <n v="4"/>
    <x v="19"/>
    <s v="national network"/>
    <x v="11"/>
    <x v="2"/>
    <s v="Yes"/>
    <x v="0"/>
    <s v="No"/>
    <n v="1"/>
    <n v="0"/>
    <n v="0"/>
    <n v="0"/>
    <n v="0"/>
    <n v="0"/>
    <n v="0"/>
    <n v="0"/>
    <n v="0"/>
    <n v="0"/>
    <n v="0"/>
    <n v="0"/>
  </r>
  <r>
    <n v="2025"/>
    <n v="4"/>
    <x v="19"/>
    <s v="national network"/>
    <x v="1"/>
    <x v="1"/>
    <s v="Yes"/>
    <x v="0"/>
    <s v="No"/>
    <n v="13974"/>
    <n v="14"/>
    <n v="96"/>
    <n v="110"/>
    <n v="3154"/>
    <n v="1723"/>
    <n v="1723"/>
    <n v="1092"/>
    <n v="768"/>
    <n v="342"/>
    <n v="109"/>
    <n v="13941"/>
  </r>
  <r>
    <n v="2025"/>
    <n v="4"/>
    <x v="19"/>
    <s v="national network"/>
    <x v="1"/>
    <x v="0"/>
    <s v="Yes"/>
    <x v="0"/>
    <s v="No"/>
    <n v="980"/>
    <n v="15"/>
    <n v="7"/>
    <n v="22"/>
    <n v="379"/>
    <n v="226"/>
    <n v="226"/>
    <n v="166"/>
    <n v="123"/>
    <n v="58"/>
    <n v="18"/>
    <n v="963"/>
  </r>
  <r>
    <n v="2025"/>
    <n v="4"/>
    <x v="19"/>
    <s v="national network"/>
    <x v="1"/>
    <x v="2"/>
    <s v="Yes"/>
    <x v="0"/>
    <s v="No"/>
    <n v="1090"/>
    <n v="3"/>
    <n v="0"/>
    <n v="3"/>
    <n v="0"/>
    <n v="0"/>
    <n v="0"/>
    <n v="0"/>
    <n v="0"/>
    <n v="0"/>
    <n v="0"/>
    <n v="0"/>
  </r>
  <r>
    <n v="2025"/>
    <n v="4"/>
    <x v="20"/>
    <s v="national network"/>
    <x v="2"/>
    <x v="0"/>
    <s v="No"/>
    <x v="1"/>
    <s v="No"/>
    <n v="536"/>
    <n v="0"/>
    <n v="0"/>
    <n v="0"/>
    <n v="5"/>
    <n v="5"/>
    <n v="5"/>
    <n v="3"/>
    <n v="3"/>
    <n v="0"/>
    <n v="0"/>
    <n v="536"/>
  </r>
  <r>
    <n v="2025"/>
    <n v="4"/>
    <x v="20"/>
    <s v="national network"/>
    <x v="3"/>
    <x v="0"/>
    <s v="No"/>
    <x v="1"/>
    <s v="No"/>
    <n v="29"/>
    <n v="0"/>
    <n v="0"/>
    <n v="0"/>
    <n v="0"/>
    <n v="0"/>
    <n v="0"/>
    <n v="0"/>
    <n v="0"/>
    <n v="0"/>
    <n v="0"/>
    <n v="29"/>
  </r>
  <r>
    <n v="2025"/>
    <n v="4"/>
    <x v="20"/>
    <s v="national network"/>
    <x v="4"/>
    <x v="0"/>
    <s v="No"/>
    <x v="0"/>
    <s v="Yes"/>
    <n v="59"/>
    <n v="0"/>
    <n v="0"/>
    <n v="0"/>
    <n v="15"/>
    <n v="11"/>
    <n v="9"/>
    <n v="7"/>
    <n v="7"/>
    <n v="5"/>
    <n v="2"/>
    <n v="59"/>
  </r>
  <r>
    <n v="2025"/>
    <n v="4"/>
    <x v="20"/>
    <s v="national network"/>
    <x v="0"/>
    <x v="1"/>
    <s v="No"/>
    <x v="1"/>
    <s v="No"/>
    <n v="1"/>
    <n v="0"/>
    <n v="0"/>
    <n v="0"/>
    <n v="0"/>
    <n v="0"/>
    <n v="0"/>
    <n v="0"/>
    <n v="0"/>
    <n v="0"/>
    <n v="0"/>
    <n v="1"/>
  </r>
  <r>
    <n v="2025"/>
    <n v="4"/>
    <x v="20"/>
    <s v="national network"/>
    <x v="0"/>
    <x v="0"/>
    <s v="No"/>
    <x v="1"/>
    <s v="No"/>
    <n v="47"/>
    <n v="0"/>
    <n v="0"/>
    <n v="0"/>
    <n v="4"/>
    <n v="3"/>
    <n v="3"/>
    <n v="3"/>
    <n v="2"/>
    <n v="1"/>
    <n v="0"/>
    <n v="47"/>
  </r>
  <r>
    <n v="2025"/>
    <n v="4"/>
    <x v="21"/>
    <s v="national network"/>
    <x v="2"/>
    <x v="0"/>
    <s v="No"/>
    <x v="1"/>
    <s v="No"/>
    <n v="112"/>
    <n v="0"/>
    <n v="0"/>
    <n v="0"/>
    <n v="24"/>
    <n v="19"/>
    <n v="13"/>
    <n v="8"/>
    <n v="5"/>
    <n v="0"/>
    <n v="0"/>
    <n v="112"/>
  </r>
  <r>
    <n v="2025"/>
    <n v="4"/>
    <x v="21"/>
    <s v="national network"/>
    <x v="3"/>
    <x v="1"/>
    <s v="No"/>
    <x v="1"/>
    <s v="No"/>
    <n v="63"/>
    <n v="0"/>
    <n v="0"/>
    <n v="0"/>
    <n v="31"/>
    <n v="26"/>
    <n v="22"/>
    <n v="13"/>
    <n v="9"/>
    <n v="0"/>
    <n v="0"/>
    <n v="63"/>
  </r>
  <r>
    <n v="2025"/>
    <n v="4"/>
    <x v="21"/>
    <s v="national network"/>
    <x v="3"/>
    <x v="0"/>
    <s v="No"/>
    <x v="1"/>
    <s v="No"/>
    <n v="1413"/>
    <n v="0"/>
    <n v="11"/>
    <n v="11"/>
    <n v="408"/>
    <n v="304"/>
    <n v="261"/>
    <n v="172"/>
    <n v="114"/>
    <n v="46"/>
    <n v="12"/>
    <n v="1404"/>
  </r>
  <r>
    <n v="2025"/>
    <n v="4"/>
    <x v="21"/>
    <s v="national network"/>
    <x v="3"/>
    <x v="2"/>
    <s v="No"/>
    <x v="1"/>
    <s v="No"/>
    <n v="1"/>
    <n v="0"/>
    <n v="0"/>
    <n v="0"/>
    <n v="0"/>
    <n v="0"/>
    <n v="0"/>
    <n v="0"/>
    <n v="0"/>
    <n v="0"/>
    <n v="0"/>
    <n v="0"/>
  </r>
  <r>
    <n v="2025"/>
    <n v="4"/>
    <x v="21"/>
    <s v="national network"/>
    <x v="4"/>
    <x v="1"/>
    <s v="No"/>
    <x v="0"/>
    <s v="Yes"/>
    <n v="2"/>
    <n v="0"/>
    <n v="0"/>
    <n v="0"/>
    <n v="1"/>
    <n v="1"/>
    <n v="1"/>
    <n v="1"/>
    <n v="1"/>
    <n v="1"/>
    <n v="0"/>
    <n v="2"/>
  </r>
  <r>
    <n v="2025"/>
    <n v="4"/>
    <x v="21"/>
    <s v="national network"/>
    <x v="4"/>
    <x v="0"/>
    <s v="No"/>
    <x v="0"/>
    <s v="Yes"/>
    <n v="27"/>
    <n v="0"/>
    <n v="22"/>
    <n v="22"/>
    <n v="1"/>
    <n v="1"/>
    <n v="1"/>
    <n v="1"/>
    <n v="1"/>
    <n v="1"/>
    <n v="1"/>
    <n v="27"/>
  </r>
  <r>
    <n v="2025"/>
    <n v="4"/>
    <x v="21"/>
    <s v="national network"/>
    <x v="28"/>
    <x v="1"/>
    <s v="No"/>
    <x v="0"/>
    <s v="No"/>
    <n v="26"/>
    <n v="0"/>
    <n v="2"/>
    <n v="2"/>
    <n v="19"/>
    <n v="13"/>
    <n v="13"/>
    <n v="11"/>
    <n v="9"/>
    <n v="5"/>
    <n v="2"/>
    <n v="24"/>
  </r>
  <r>
    <n v="2025"/>
    <n v="4"/>
    <x v="21"/>
    <s v="national network"/>
    <x v="31"/>
    <x v="1"/>
    <s v="No"/>
    <x v="0"/>
    <s v="No"/>
    <n v="476"/>
    <n v="0"/>
    <n v="0"/>
    <n v="0"/>
    <n v="272"/>
    <n v="222"/>
    <n v="199"/>
    <n v="135"/>
    <n v="97"/>
    <n v="44"/>
    <n v="13"/>
    <n v="476"/>
  </r>
  <r>
    <n v="2025"/>
    <n v="4"/>
    <x v="21"/>
    <s v="national network"/>
    <x v="32"/>
    <x v="1"/>
    <s v="No"/>
    <x v="0"/>
    <s v="No"/>
    <n v="283"/>
    <n v="0"/>
    <n v="2"/>
    <n v="2"/>
    <n v="177"/>
    <n v="153"/>
    <n v="147"/>
    <n v="113"/>
    <n v="75"/>
    <n v="35"/>
    <n v="13"/>
    <n v="283"/>
  </r>
  <r>
    <n v="2025"/>
    <n v="4"/>
    <x v="21"/>
    <s v="national network"/>
    <x v="33"/>
    <x v="1"/>
    <s v="Yes"/>
    <x v="0"/>
    <s v="No"/>
    <n v="6594"/>
    <n v="0"/>
    <n v="12"/>
    <n v="12"/>
    <n v="2719"/>
    <n v="2067"/>
    <n v="1863"/>
    <n v="1289"/>
    <n v="939"/>
    <n v="472"/>
    <n v="157"/>
    <n v="6588"/>
  </r>
  <r>
    <n v="2025"/>
    <n v="4"/>
    <x v="21"/>
    <s v="national network"/>
    <x v="0"/>
    <x v="1"/>
    <s v="No"/>
    <x v="0"/>
    <s v="No"/>
    <n v="2818"/>
    <n v="0"/>
    <n v="16"/>
    <n v="16"/>
    <n v="1005"/>
    <n v="784"/>
    <n v="700"/>
    <n v="492"/>
    <n v="333"/>
    <n v="154"/>
    <n v="65"/>
    <n v="2809"/>
  </r>
  <r>
    <n v="2025"/>
    <n v="4"/>
    <x v="21"/>
    <s v="national network"/>
    <x v="0"/>
    <x v="0"/>
    <s v="No"/>
    <x v="0"/>
    <s v="No"/>
    <n v="1"/>
    <n v="0"/>
    <n v="0"/>
    <n v="0"/>
    <n v="1"/>
    <n v="1"/>
    <n v="1"/>
    <n v="1"/>
    <n v="1"/>
    <n v="1"/>
    <n v="1"/>
    <n v="1"/>
  </r>
  <r>
    <n v="2025"/>
    <n v="4"/>
    <x v="21"/>
    <s v="national network"/>
    <x v="34"/>
    <x v="1"/>
    <s v="No"/>
    <x v="0"/>
    <s v="Yes"/>
    <n v="529"/>
    <n v="0"/>
    <n v="0"/>
    <n v="0"/>
    <n v="151"/>
    <n v="121"/>
    <n v="113"/>
    <n v="90"/>
    <n v="70"/>
    <n v="43"/>
    <n v="21"/>
    <n v="529"/>
  </r>
  <r>
    <n v="2025"/>
    <n v="4"/>
    <x v="21"/>
    <s v="national network"/>
    <x v="9"/>
    <x v="1"/>
    <s v="No"/>
    <x v="0"/>
    <s v="No"/>
    <n v="3"/>
    <n v="0"/>
    <n v="1"/>
    <n v="1"/>
    <n v="2"/>
    <n v="2"/>
    <n v="2"/>
    <n v="2"/>
    <n v="1"/>
    <n v="1"/>
    <n v="1"/>
    <n v="2"/>
  </r>
  <r>
    <n v="2025"/>
    <n v="4"/>
    <x v="21"/>
    <s v="national network"/>
    <x v="9"/>
    <x v="0"/>
    <s v="No"/>
    <x v="0"/>
    <s v="No"/>
    <n v="39"/>
    <n v="0"/>
    <n v="0"/>
    <n v="0"/>
    <n v="0"/>
    <n v="0"/>
    <n v="0"/>
    <n v="0"/>
    <n v="0"/>
    <n v="0"/>
    <n v="0"/>
    <n v="39"/>
  </r>
  <r>
    <n v="2025"/>
    <n v="4"/>
    <x v="21"/>
    <s v="national network"/>
    <x v="35"/>
    <x v="1"/>
    <s v="No"/>
    <x v="1"/>
    <s v="No"/>
    <n v="6256"/>
    <n v="0"/>
    <n v="110"/>
    <n v="110"/>
    <n v="357"/>
    <n v="159"/>
    <n v="125"/>
    <n v="64"/>
    <n v="36"/>
    <n v="13"/>
    <n v="3"/>
    <n v="6183"/>
  </r>
  <r>
    <n v="2025"/>
    <n v="4"/>
    <x v="21"/>
    <s v="national network"/>
    <x v="36"/>
    <x v="1"/>
    <s v="No"/>
    <x v="1"/>
    <s v="No"/>
    <n v="12"/>
    <n v="0"/>
    <n v="4"/>
    <n v="4"/>
    <n v="5"/>
    <n v="5"/>
    <n v="5"/>
    <n v="4"/>
    <n v="3"/>
    <n v="3"/>
    <n v="2"/>
    <n v="8"/>
  </r>
  <r>
    <n v="2025"/>
    <n v="4"/>
    <x v="21"/>
    <s v="national network"/>
    <x v="36"/>
    <x v="2"/>
    <s v="No"/>
    <x v="1"/>
    <s v="No"/>
    <n v="2"/>
    <n v="0"/>
    <n v="0"/>
    <n v="0"/>
    <n v="0"/>
    <n v="0"/>
    <n v="0"/>
    <n v="0"/>
    <n v="0"/>
    <n v="0"/>
    <n v="0"/>
    <n v="0"/>
  </r>
  <r>
    <n v="2025"/>
    <n v="4"/>
    <x v="21"/>
    <s v="national network"/>
    <x v="5"/>
    <x v="1"/>
    <s v="No"/>
    <x v="0"/>
    <s v="Yes"/>
    <n v="13"/>
    <n v="0"/>
    <n v="0"/>
    <n v="0"/>
    <n v="7"/>
    <n v="7"/>
    <n v="7"/>
    <n v="5"/>
    <n v="4"/>
    <n v="2"/>
    <n v="2"/>
    <n v="13"/>
  </r>
  <r>
    <n v="2025"/>
    <n v="4"/>
    <x v="21"/>
    <s v="national network"/>
    <x v="5"/>
    <x v="0"/>
    <s v="No"/>
    <x v="0"/>
    <s v="Yes"/>
    <n v="185"/>
    <n v="0"/>
    <n v="6"/>
    <n v="6"/>
    <n v="43"/>
    <n v="39"/>
    <n v="35"/>
    <n v="27"/>
    <n v="22"/>
    <n v="7"/>
    <n v="3"/>
    <n v="183"/>
  </r>
  <r>
    <n v="2025"/>
    <n v="4"/>
    <x v="21"/>
    <s v="national network"/>
    <x v="37"/>
    <x v="1"/>
    <s v="No"/>
    <x v="1"/>
    <s v="No"/>
    <n v="216285"/>
    <n v="43"/>
    <n v="4007"/>
    <n v="4050"/>
    <n v="39741"/>
    <n v="21597"/>
    <n v="16877"/>
    <n v="8459"/>
    <n v="4817"/>
    <n v="1523"/>
    <n v="280"/>
    <n v="213216"/>
  </r>
  <r>
    <n v="2025"/>
    <n v="4"/>
    <x v="21"/>
    <s v="national network"/>
    <x v="37"/>
    <x v="0"/>
    <s v="No"/>
    <x v="1"/>
    <s v="No"/>
    <n v="5196"/>
    <n v="83"/>
    <n v="32"/>
    <n v="115"/>
    <n v="820"/>
    <n v="454"/>
    <n v="351"/>
    <n v="151"/>
    <n v="86"/>
    <n v="23"/>
    <n v="1"/>
    <n v="5086"/>
  </r>
  <r>
    <n v="2025"/>
    <n v="4"/>
    <x v="21"/>
    <s v="national network"/>
    <x v="37"/>
    <x v="2"/>
    <s v="No"/>
    <x v="1"/>
    <s v="No"/>
    <n v="1"/>
    <n v="0"/>
    <n v="0"/>
    <n v="0"/>
    <n v="0"/>
    <n v="0"/>
    <n v="0"/>
    <n v="0"/>
    <n v="0"/>
    <n v="0"/>
    <n v="0"/>
    <n v="0"/>
  </r>
  <r>
    <n v="2025"/>
    <n v="4"/>
    <x v="21"/>
    <s v="national network"/>
    <x v="6"/>
    <x v="1"/>
    <s v="No"/>
    <x v="0"/>
    <s v="No"/>
    <n v="1"/>
    <n v="0"/>
    <n v="0"/>
    <n v="0"/>
    <n v="0"/>
    <n v="0"/>
    <n v="0"/>
    <n v="0"/>
    <n v="0"/>
    <n v="0"/>
    <n v="0"/>
    <n v="1"/>
  </r>
  <r>
    <n v="2025"/>
    <n v="4"/>
    <x v="21"/>
    <s v="national network"/>
    <x v="6"/>
    <x v="0"/>
    <s v="No"/>
    <x v="0"/>
    <s v="No"/>
    <n v="134"/>
    <n v="0"/>
    <n v="0"/>
    <n v="0"/>
    <n v="15"/>
    <n v="13"/>
    <n v="13"/>
    <n v="12"/>
    <n v="9"/>
    <n v="5"/>
    <n v="1"/>
    <n v="134"/>
  </r>
  <r>
    <n v="2025"/>
    <n v="4"/>
    <x v="21"/>
    <s v="national network"/>
    <x v="10"/>
    <x v="0"/>
    <s v="Yes"/>
    <x v="0"/>
    <s v="No"/>
    <n v="4"/>
    <n v="0"/>
    <n v="0"/>
    <n v="0"/>
    <n v="0"/>
    <n v="0"/>
    <n v="0"/>
    <n v="0"/>
    <n v="0"/>
    <n v="0"/>
    <n v="0"/>
    <n v="4"/>
  </r>
  <r>
    <n v="2025"/>
    <n v="4"/>
    <x v="22"/>
    <s v="whole journey"/>
    <x v="33"/>
    <x v="0"/>
    <s v="Yes"/>
    <x v="0"/>
    <s v="No"/>
    <n v="83"/>
    <n v="0"/>
    <n v="5"/>
    <n v="5"/>
    <n v="55"/>
    <n v="50"/>
    <n v="47"/>
    <n v="34"/>
    <n v="19"/>
    <n v="8"/>
    <n v="4"/>
    <n v="78"/>
  </r>
  <r>
    <n v="2025"/>
    <n v="4"/>
    <x v="23"/>
    <s v="national network"/>
    <x v="39"/>
    <x v="1"/>
    <s v="No"/>
    <x v="1"/>
    <s v="No"/>
    <n v="3251"/>
    <n v="0"/>
    <n v="0"/>
    <n v="0"/>
    <n v="6"/>
    <n v="5"/>
    <n v="3"/>
    <n v="3"/>
    <n v="2"/>
    <n v="1"/>
    <n v="0"/>
    <n v="3251"/>
  </r>
  <r>
    <n v="2025"/>
    <n v="4"/>
    <x v="23"/>
    <s v="national network"/>
    <x v="39"/>
    <x v="0"/>
    <s v="No"/>
    <x v="1"/>
    <s v="No"/>
    <n v="1415"/>
    <n v="0"/>
    <n v="0"/>
    <n v="0"/>
    <n v="22"/>
    <n v="20"/>
    <n v="18"/>
    <n v="15"/>
    <n v="12"/>
    <n v="8"/>
    <n v="4"/>
    <n v="1415"/>
  </r>
  <r>
    <n v="2025"/>
    <n v="4"/>
    <x v="23"/>
    <s v="national network"/>
    <x v="39"/>
    <x v="2"/>
    <s v="No"/>
    <x v="1"/>
    <s v="No"/>
    <n v="4"/>
    <n v="0"/>
    <n v="0"/>
    <n v="0"/>
    <n v="0"/>
    <n v="0"/>
    <n v="0"/>
    <n v="0"/>
    <n v="0"/>
    <n v="0"/>
    <n v="0"/>
    <n v="0"/>
  </r>
  <r>
    <n v="2025"/>
    <n v="4"/>
    <x v="23"/>
    <s v="national network"/>
    <x v="40"/>
    <x v="1"/>
    <s v="No"/>
    <x v="1"/>
    <s v="No"/>
    <n v="2011"/>
    <n v="0"/>
    <n v="0"/>
    <n v="0"/>
    <n v="0"/>
    <n v="0"/>
    <n v="0"/>
    <n v="0"/>
    <n v="0"/>
    <n v="0"/>
    <n v="0"/>
    <n v="2011"/>
  </r>
  <r>
    <n v="2025"/>
    <n v="4"/>
    <x v="23"/>
    <s v="national network"/>
    <x v="40"/>
    <x v="2"/>
    <s v="No"/>
    <x v="1"/>
    <s v="No"/>
    <n v="1"/>
    <n v="0"/>
    <n v="0"/>
    <n v="0"/>
    <n v="0"/>
    <n v="0"/>
    <n v="0"/>
    <n v="0"/>
    <n v="0"/>
    <n v="0"/>
    <n v="0"/>
    <n v="0"/>
  </r>
  <r>
    <n v="2025"/>
    <n v="4"/>
    <x v="23"/>
    <s v="national network"/>
    <x v="2"/>
    <x v="1"/>
    <s v="No"/>
    <x v="1"/>
    <s v="No"/>
    <n v="1"/>
    <n v="0"/>
    <n v="0"/>
    <n v="0"/>
    <n v="1"/>
    <n v="0"/>
    <n v="0"/>
    <n v="0"/>
    <n v="0"/>
    <n v="0"/>
    <n v="0"/>
    <n v="1"/>
  </r>
  <r>
    <n v="2025"/>
    <n v="4"/>
    <x v="23"/>
    <s v="national network"/>
    <x v="2"/>
    <x v="0"/>
    <s v="No"/>
    <x v="1"/>
    <s v="No"/>
    <n v="102"/>
    <n v="30"/>
    <n v="0"/>
    <n v="30"/>
    <n v="15"/>
    <n v="13"/>
    <n v="12"/>
    <n v="11"/>
    <n v="10"/>
    <n v="4"/>
    <n v="1"/>
    <n v="72"/>
  </r>
  <r>
    <n v="2025"/>
    <n v="4"/>
    <x v="23"/>
    <s v="national network"/>
    <x v="51"/>
    <x v="1"/>
    <s v="No"/>
    <x v="1"/>
    <s v="No"/>
    <n v="2"/>
    <n v="0"/>
    <n v="0"/>
    <n v="0"/>
    <n v="1"/>
    <n v="1"/>
    <n v="1"/>
    <n v="1"/>
    <n v="1"/>
    <n v="1"/>
    <n v="1"/>
    <n v="2"/>
  </r>
  <r>
    <n v="2025"/>
    <n v="4"/>
    <x v="23"/>
    <s v="national network"/>
    <x v="43"/>
    <x v="1"/>
    <s v="No"/>
    <x v="1"/>
    <s v="No"/>
    <n v="56"/>
    <n v="0"/>
    <n v="0"/>
    <n v="0"/>
    <n v="0"/>
    <n v="0"/>
    <n v="0"/>
    <n v="0"/>
    <n v="0"/>
    <n v="0"/>
    <n v="0"/>
    <n v="56"/>
  </r>
  <r>
    <n v="2025"/>
    <n v="4"/>
    <x v="23"/>
    <s v="national network"/>
    <x v="43"/>
    <x v="0"/>
    <s v="No"/>
    <x v="1"/>
    <s v="No"/>
    <n v="84"/>
    <n v="0"/>
    <n v="0"/>
    <n v="0"/>
    <n v="0"/>
    <n v="0"/>
    <n v="0"/>
    <n v="0"/>
    <n v="0"/>
    <n v="0"/>
    <n v="0"/>
    <n v="84"/>
  </r>
  <r>
    <n v="2025"/>
    <n v="4"/>
    <x v="23"/>
    <s v="national network"/>
    <x v="0"/>
    <x v="1"/>
    <s v="No"/>
    <x v="1"/>
    <s v="No"/>
    <n v="2"/>
    <n v="0"/>
    <n v="0"/>
    <n v="0"/>
    <n v="2"/>
    <n v="1"/>
    <n v="1"/>
    <n v="0"/>
    <n v="0"/>
    <n v="0"/>
    <n v="0"/>
    <n v="2"/>
  </r>
  <r>
    <n v="2025"/>
    <n v="4"/>
    <x v="23"/>
    <s v="national network"/>
    <x v="0"/>
    <x v="0"/>
    <s v="No"/>
    <x v="1"/>
    <s v="No"/>
    <n v="45"/>
    <n v="1"/>
    <n v="0"/>
    <n v="1"/>
    <n v="3"/>
    <n v="2"/>
    <n v="2"/>
    <n v="2"/>
    <n v="1"/>
    <n v="0"/>
    <n v="0"/>
    <n v="44"/>
  </r>
  <r>
    <n v="2025"/>
    <n v="4"/>
    <x v="23"/>
    <s v="national network"/>
    <x v="46"/>
    <x v="1"/>
    <s v="No"/>
    <x v="1"/>
    <s v="No"/>
    <n v="5"/>
    <n v="0"/>
    <n v="0"/>
    <n v="0"/>
    <n v="2"/>
    <n v="1"/>
    <n v="1"/>
    <n v="1"/>
    <n v="1"/>
    <n v="1"/>
    <n v="1"/>
    <n v="5"/>
  </r>
  <r>
    <n v="2025"/>
    <n v="4"/>
    <x v="23"/>
    <s v="national network"/>
    <x v="46"/>
    <x v="0"/>
    <s v="No"/>
    <x v="1"/>
    <s v="No"/>
    <n v="148"/>
    <n v="74"/>
    <n v="74"/>
    <n v="148"/>
    <n v="0"/>
    <n v="0"/>
    <n v="0"/>
    <n v="0"/>
    <n v="0"/>
    <n v="0"/>
    <n v="0"/>
    <n v="0"/>
  </r>
  <r>
    <n v="2025"/>
    <n v="4"/>
    <x v="23"/>
    <s v="national network"/>
    <x v="46"/>
    <x v="2"/>
    <s v="No"/>
    <x v="1"/>
    <s v="No"/>
    <n v="3"/>
    <n v="0"/>
    <n v="0"/>
    <n v="0"/>
    <n v="0"/>
    <n v="0"/>
    <n v="0"/>
    <n v="0"/>
    <n v="0"/>
    <n v="0"/>
    <n v="0"/>
    <n v="0"/>
  </r>
  <r>
    <n v="2025"/>
    <n v="4"/>
    <x v="24"/>
    <s v="national network"/>
    <x v="2"/>
    <x v="0"/>
    <s v="No"/>
    <x v="1"/>
    <s v="No"/>
    <n v="52"/>
    <n v="0"/>
    <n v="0"/>
    <n v="0"/>
    <n v="0"/>
    <n v="0"/>
    <n v="0"/>
    <n v="0"/>
    <n v="0"/>
    <n v="0"/>
    <n v="0"/>
    <n v="52"/>
  </r>
  <r>
    <n v="2025"/>
    <n v="4"/>
    <x v="25"/>
    <s v="whole journey"/>
    <x v="47"/>
    <x v="1"/>
    <s v="No"/>
    <x v="0"/>
    <s v="No"/>
    <n v="1355"/>
    <n v="0"/>
    <n v="0"/>
    <n v="0"/>
    <n v="34"/>
    <n v="26"/>
    <n v="26"/>
    <n v="15"/>
    <n v="12"/>
    <n v="5"/>
    <n v="2"/>
    <n v="1355"/>
  </r>
  <r>
    <n v="2025"/>
    <n v="4"/>
    <x v="25"/>
    <s v="whole journey"/>
    <x v="47"/>
    <x v="0"/>
    <s v="No"/>
    <x v="0"/>
    <s v="No"/>
    <n v="324"/>
    <n v="0"/>
    <n v="5"/>
    <n v="5"/>
    <n v="145"/>
    <n v="100"/>
    <n v="93"/>
    <n v="59"/>
    <n v="35"/>
    <n v="16"/>
    <n v="5"/>
    <n v="324"/>
  </r>
  <r>
    <n v="2025"/>
    <n v="4"/>
    <x v="26"/>
    <s v="national network"/>
    <x v="3"/>
    <x v="0"/>
    <s v="No"/>
    <x v="1"/>
    <s v="No"/>
    <n v="55"/>
    <n v="0"/>
    <n v="0"/>
    <n v="0"/>
    <n v="39"/>
    <n v="33"/>
    <n v="31"/>
    <n v="25"/>
    <n v="11"/>
    <n v="3"/>
    <n v="0"/>
    <n v="55"/>
  </r>
  <r>
    <n v="2025"/>
    <n v="4"/>
    <x v="26"/>
    <s v="national network"/>
    <x v="4"/>
    <x v="0"/>
    <s v="No"/>
    <x v="0"/>
    <s v="Yes"/>
    <n v="54"/>
    <n v="0"/>
    <n v="0"/>
    <n v="0"/>
    <n v="6"/>
    <n v="5"/>
    <n v="4"/>
    <n v="3"/>
    <n v="2"/>
    <n v="1"/>
    <n v="0"/>
    <n v="54"/>
  </r>
  <r>
    <n v="2025"/>
    <n v="4"/>
    <x v="26"/>
    <s v="national network"/>
    <x v="5"/>
    <x v="0"/>
    <s v="No"/>
    <x v="0"/>
    <s v="Yes"/>
    <n v="1"/>
    <n v="0"/>
    <n v="0"/>
    <n v="0"/>
    <n v="0"/>
    <n v="0"/>
    <n v="0"/>
    <n v="0"/>
    <n v="0"/>
    <n v="0"/>
    <n v="0"/>
    <n v="1"/>
  </r>
  <r>
    <n v="2025"/>
    <n v="4"/>
    <x v="26"/>
    <s v="national network"/>
    <x v="10"/>
    <x v="0"/>
    <s v="Yes"/>
    <x v="0"/>
    <s v="No"/>
    <n v="56"/>
    <n v="0"/>
    <n v="0"/>
    <n v="0"/>
    <n v="7"/>
    <n v="6"/>
    <n v="5"/>
    <n v="5"/>
    <n v="4"/>
    <n v="3"/>
    <n v="0"/>
    <n v="56"/>
  </r>
  <r>
    <n v="2025"/>
    <n v="5"/>
    <x v="0"/>
    <s v="national network"/>
    <x v="0"/>
    <x v="0"/>
    <s v="No"/>
    <x v="0"/>
    <s v="No"/>
    <n v="1162"/>
    <n v="20"/>
    <n v="1"/>
    <n v="21"/>
    <n v="80"/>
    <n v="56"/>
    <n v="49"/>
    <n v="35"/>
    <n v="23"/>
    <n v="6"/>
    <n v="0"/>
    <n v="1142"/>
  </r>
  <r>
    <n v="2025"/>
    <n v="5"/>
    <x v="0"/>
    <s v="national network"/>
    <x v="1"/>
    <x v="0"/>
    <s v="Yes"/>
    <x v="0"/>
    <s v="No"/>
    <n v="73"/>
    <n v="1"/>
    <n v="0"/>
    <n v="1"/>
    <n v="35"/>
    <n v="11"/>
    <n v="11"/>
    <n v="7"/>
    <n v="3"/>
    <n v="1"/>
    <n v="0"/>
    <n v="72"/>
  </r>
  <r>
    <n v="2025"/>
    <n v="5"/>
    <x v="0"/>
    <s v="national network"/>
    <x v="1"/>
    <x v="2"/>
    <s v="Yes"/>
    <x v="0"/>
    <s v="No"/>
    <n v="8"/>
    <n v="0"/>
    <n v="0"/>
    <n v="0"/>
    <n v="0"/>
    <n v="0"/>
    <n v="0"/>
    <n v="0"/>
    <n v="0"/>
    <n v="0"/>
    <n v="0"/>
    <n v="0"/>
  </r>
  <r>
    <n v="2025"/>
    <n v="5"/>
    <x v="1"/>
    <s v="national network"/>
    <x v="2"/>
    <x v="0"/>
    <s v="No"/>
    <x v="1"/>
    <s v="No"/>
    <n v="62"/>
    <n v="0"/>
    <n v="0"/>
    <n v="0"/>
    <n v="5"/>
    <n v="5"/>
    <n v="5"/>
    <n v="2"/>
    <n v="1"/>
    <n v="0"/>
    <n v="0"/>
    <n v="62"/>
  </r>
  <r>
    <n v="2025"/>
    <n v="5"/>
    <x v="2"/>
    <s v="national network"/>
    <x v="3"/>
    <x v="0"/>
    <s v="No"/>
    <x v="1"/>
    <s v="No"/>
    <n v="923"/>
    <n v="3"/>
    <n v="1"/>
    <n v="4"/>
    <n v="287"/>
    <n v="245"/>
    <n v="216"/>
    <n v="138"/>
    <n v="100"/>
    <n v="46"/>
    <n v="13"/>
    <n v="920"/>
  </r>
  <r>
    <n v="2025"/>
    <n v="5"/>
    <x v="2"/>
    <s v="national network"/>
    <x v="4"/>
    <x v="0"/>
    <s v="No"/>
    <x v="0"/>
    <s v="Yes"/>
    <n v="181"/>
    <n v="4"/>
    <n v="0"/>
    <n v="4"/>
    <n v="98"/>
    <n v="87"/>
    <n v="81"/>
    <n v="64"/>
    <n v="52"/>
    <n v="31"/>
    <n v="8"/>
    <n v="177"/>
  </r>
  <r>
    <n v="2025"/>
    <n v="5"/>
    <x v="2"/>
    <s v="national network"/>
    <x v="0"/>
    <x v="0"/>
    <s v="No"/>
    <x v="1"/>
    <s v="No"/>
    <n v="248"/>
    <n v="0"/>
    <n v="0"/>
    <n v="0"/>
    <n v="0"/>
    <n v="0"/>
    <n v="0"/>
    <n v="0"/>
    <n v="0"/>
    <n v="0"/>
    <n v="0"/>
    <n v="248"/>
  </r>
  <r>
    <n v="2025"/>
    <n v="5"/>
    <x v="2"/>
    <s v="national network"/>
    <x v="0"/>
    <x v="0"/>
    <s v="No"/>
    <x v="0"/>
    <s v="No"/>
    <n v="62"/>
    <n v="0"/>
    <n v="0"/>
    <n v="0"/>
    <n v="14"/>
    <n v="12"/>
    <n v="10"/>
    <n v="8"/>
    <n v="5"/>
    <n v="1"/>
    <n v="0"/>
    <n v="62"/>
  </r>
  <r>
    <n v="2025"/>
    <n v="5"/>
    <x v="2"/>
    <s v="national network"/>
    <x v="5"/>
    <x v="0"/>
    <s v="No"/>
    <x v="0"/>
    <s v="Yes"/>
    <n v="62"/>
    <n v="0"/>
    <n v="0"/>
    <n v="0"/>
    <n v="49"/>
    <n v="45"/>
    <n v="45"/>
    <n v="38"/>
    <n v="29"/>
    <n v="17"/>
    <n v="4"/>
    <n v="62"/>
  </r>
  <r>
    <n v="2025"/>
    <n v="5"/>
    <x v="2"/>
    <s v="national network"/>
    <x v="6"/>
    <x v="0"/>
    <s v="No"/>
    <x v="0"/>
    <s v="No"/>
    <n v="496"/>
    <n v="0"/>
    <n v="0"/>
    <n v="0"/>
    <n v="124"/>
    <n v="101"/>
    <n v="93"/>
    <n v="65"/>
    <n v="48"/>
    <n v="17"/>
    <n v="6"/>
    <n v="496"/>
  </r>
  <r>
    <n v="2025"/>
    <n v="5"/>
    <x v="3"/>
    <s v="national network"/>
    <x v="3"/>
    <x v="1"/>
    <s v="No"/>
    <x v="0"/>
    <s v="No"/>
    <n v="3"/>
    <n v="0"/>
    <n v="1"/>
    <n v="1"/>
    <n v="1"/>
    <n v="1"/>
    <n v="1"/>
    <n v="1"/>
    <n v="1"/>
    <n v="1"/>
    <n v="0"/>
    <n v="2"/>
  </r>
  <r>
    <n v="2025"/>
    <n v="5"/>
    <x v="3"/>
    <s v="national network"/>
    <x v="3"/>
    <x v="0"/>
    <s v="No"/>
    <x v="0"/>
    <s v="No"/>
    <n v="2102"/>
    <n v="22"/>
    <n v="66"/>
    <n v="88"/>
    <n v="1035"/>
    <n v="840"/>
    <n v="766"/>
    <n v="599"/>
    <n v="440"/>
    <n v="233"/>
    <n v="73"/>
    <n v="2047"/>
  </r>
  <r>
    <n v="2025"/>
    <n v="5"/>
    <x v="3"/>
    <s v="national network"/>
    <x v="7"/>
    <x v="1"/>
    <s v="No"/>
    <x v="0"/>
    <s v="No"/>
    <n v="1"/>
    <n v="0"/>
    <n v="0"/>
    <n v="0"/>
    <n v="1"/>
    <n v="1"/>
    <n v="1"/>
    <n v="1"/>
    <n v="1"/>
    <n v="1"/>
    <n v="1"/>
    <n v="1"/>
  </r>
  <r>
    <n v="2025"/>
    <n v="5"/>
    <x v="3"/>
    <s v="national network"/>
    <x v="7"/>
    <x v="0"/>
    <s v="No"/>
    <x v="0"/>
    <s v="No"/>
    <n v="46"/>
    <n v="0"/>
    <n v="0"/>
    <n v="0"/>
    <n v="40"/>
    <n v="39"/>
    <n v="35"/>
    <n v="25"/>
    <n v="15"/>
    <n v="7"/>
    <n v="7"/>
    <n v="46"/>
  </r>
  <r>
    <n v="2025"/>
    <n v="5"/>
    <x v="3"/>
    <s v="national network"/>
    <x v="4"/>
    <x v="0"/>
    <s v="No"/>
    <x v="0"/>
    <s v="Yes"/>
    <n v="359"/>
    <n v="0"/>
    <n v="8"/>
    <n v="8"/>
    <n v="108"/>
    <n v="101"/>
    <n v="89"/>
    <n v="77"/>
    <n v="63"/>
    <n v="38"/>
    <n v="20"/>
    <n v="355"/>
  </r>
  <r>
    <n v="2025"/>
    <n v="5"/>
    <x v="3"/>
    <s v="national network"/>
    <x v="0"/>
    <x v="1"/>
    <s v="No"/>
    <x v="0"/>
    <s v="No"/>
    <n v="4107"/>
    <n v="112"/>
    <n v="606"/>
    <n v="718"/>
    <n v="2318"/>
    <n v="1971"/>
    <n v="1838"/>
    <n v="1431"/>
    <n v="1059"/>
    <n v="483"/>
    <n v="123"/>
    <n v="3807"/>
  </r>
  <r>
    <n v="2025"/>
    <n v="5"/>
    <x v="3"/>
    <s v="national network"/>
    <x v="0"/>
    <x v="0"/>
    <s v="No"/>
    <x v="0"/>
    <s v="No"/>
    <n v="2119"/>
    <n v="32"/>
    <n v="65"/>
    <n v="97"/>
    <n v="898"/>
    <n v="731"/>
    <n v="667"/>
    <n v="486"/>
    <n v="350"/>
    <n v="187"/>
    <n v="69"/>
    <n v="2066"/>
  </r>
  <r>
    <n v="2025"/>
    <n v="5"/>
    <x v="3"/>
    <s v="national network"/>
    <x v="8"/>
    <x v="1"/>
    <s v="Yes"/>
    <x v="0"/>
    <s v="No"/>
    <n v="14850"/>
    <n v="498"/>
    <n v="1124"/>
    <n v="1622"/>
    <n v="8450"/>
    <n v="7290"/>
    <n v="6823"/>
    <n v="5394"/>
    <n v="4197"/>
    <n v="2209"/>
    <n v="649"/>
    <n v="13920"/>
  </r>
  <r>
    <n v="2025"/>
    <n v="5"/>
    <x v="3"/>
    <s v="national network"/>
    <x v="8"/>
    <x v="0"/>
    <s v="Yes"/>
    <x v="0"/>
    <s v="No"/>
    <n v="3573"/>
    <n v="21"/>
    <n v="221"/>
    <n v="242"/>
    <n v="2417"/>
    <n v="2141"/>
    <n v="2047"/>
    <n v="1681"/>
    <n v="1349"/>
    <n v="696"/>
    <n v="198"/>
    <n v="3458"/>
  </r>
  <r>
    <n v="2025"/>
    <n v="5"/>
    <x v="3"/>
    <s v="national network"/>
    <x v="8"/>
    <x v="2"/>
    <s v="Yes"/>
    <x v="0"/>
    <s v="No"/>
    <n v="6"/>
    <n v="0"/>
    <n v="0"/>
    <n v="0"/>
    <n v="0"/>
    <n v="0"/>
    <n v="0"/>
    <n v="0"/>
    <n v="0"/>
    <n v="0"/>
    <n v="0"/>
    <n v="0"/>
  </r>
  <r>
    <n v="2025"/>
    <n v="5"/>
    <x v="3"/>
    <s v="national network"/>
    <x v="9"/>
    <x v="0"/>
    <s v="No"/>
    <x v="0"/>
    <s v="No"/>
    <n v="228"/>
    <n v="1"/>
    <n v="0"/>
    <n v="1"/>
    <n v="14"/>
    <n v="8"/>
    <n v="6"/>
    <n v="4"/>
    <n v="0"/>
    <n v="0"/>
    <n v="0"/>
    <n v="227"/>
  </r>
  <r>
    <n v="2025"/>
    <n v="5"/>
    <x v="3"/>
    <s v="national network"/>
    <x v="5"/>
    <x v="1"/>
    <s v="No"/>
    <x v="0"/>
    <s v="Yes"/>
    <n v="7"/>
    <n v="0"/>
    <n v="2"/>
    <n v="2"/>
    <n v="2"/>
    <n v="2"/>
    <n v="2"/>
    <n v="2"/>
    <n v="2"/>
    <n v="2"/>
    <n v="0"/>
    <n v="6"/>
  </r>
  <r>
    <n v="2025"/>
    <n v="5"/>
    <x v="3"/>
    <s v="national network"/>
    <x v="5"/>
    <x v="0"/>
    <s v="No"/>
    <x v="0"/>
    <s v="Yes"/>
    <n v="574"/>
    <n v="3"/>
    <n v="55"/>
    <n v="58"/>
    <n v="339"/>
    <n v="313"/>
    <n v="306"/>
    <n v="266"/>
    <n v="236"/>
    <n v="170"/>
    <n v="87"/>
    <n v="553"/>
  </r>
  <r>
    <n v="2025"/>
    <n v="5"/>
    <x v="3"/>
    <s v="national network"/>
    <x v="6"/>
    <x v="0"/>
    <s v="No"/>
    <x v="0"/>
    <s v="No"/>
    <n v="629"/>
    <n v="8"/>
    <n v="28"/>
    <n v="36"/>
    <n v="272"/>
    <n v="190"/>
    <n v="168"/>
    <n v="116"/>
    <n v="84"/>
    <n v="22"/>
    <n v="4"/>
    <n v="604"/>
  </r>
  <r>
    <n v="2025"/>
    <n v="5"/>
    <x v="3"/>
    <s v="national network"/>
    <x v="10"/>
    <x v="1"/>
    <s v="Yes"/>
    <x v="0"/>
    <s v="No"/>
    <n v="1"/>
    <n v="1"/>
    <n v="0"/>
    <n v="1"/>
    <n v="0"/>
    <n v="0"/>
    <n v="0"/>
    <n v="0"/>
    <n v="0"/>
    <n v="0"/>
    <n v="0"/>
    <n v="0"/>
  </r>
  <r>
    <n v="2025"/>
    <n v="5"/>
    <x v="3"/>
    <s v="national network"/>
    <x v="10"/>
    <x v="0"/>
    <s v="Yes"/>
    <x v="0"/>
    <s v="No"/>
    <n v="382"/>
    <n v="3"/>
    <n v="7"/>
    <n v="10"/>
    <n v="220"/>
    <n v="168"/>
    <n v="149"/>
    <n v="90"/>
    <n v="65"/>
    <n v="21"/>
    <n v="8"/>
    <n v="377"/>
  </r>
  <r>
    <n v="2025"/>
    <n v="5"/>
    <x v="3"/>
    <s v="national network"/>
    <x v="11"/>
    <x v="0"/>
    <s v="Yes"/>
    <x v="0"/>
    <s v="No"/>
    <n v="140"/>
    <n v="4"/>
    <n v="0"/>
    <n v="4"/>
    <n v="80"/>
    <n v="57"/>
    <n v="57"/>
    <n v="41"/>
    <n v="28"/>
    <n v="11"/>
    <n v="5"/>
    <n v="136"/>
  </r>
  <r>
    <n v="2025"/>
    <n v="5"/>
    <x v="3"/>
    <s v="national network"/>
    <x v="1"/>
    <x v="0"/>
    <s v="Yes"/>
    <x v="0"/>
    <s v="No"/>
    <n v="9"/>
    <n v="5"/>
    <n v="0"/>
    <n v="5"/>
    <n v="0"/>
    <n v="0"/>
    <n v="0"/>
    <n v="0"/>
    <n v="0"/>
    <n v="0"/>
    <n v="0"/>
    <n v="4"/>
  </r>
  <r>
    <n v="2025"/>
    <n v="5"/>
    <x v="4"/>
    <s v="national network"/>
    <x v="3"/>
    <x v="0"/>
    <s v="No"/>
    <x v="1"/>
    <s v="No"/>
    <n v="401"/>
    <n v="3"/>
    <n v="5"/>
    <n v="8"/>
    <n v="104"/>
    <n v="95"/>
    <n v="88"/>
    <n v="64"/>
    <n v="39"/>
    <n v="11"/>
    <n v="3"/>
    <n v="395"/>
  </r>
  <r>
    <n v="2025"/>
    <n v="5"/>
    <x v="4"/>
    <s v="national network"/>
    <x v="4"/>
    <x v="0"/>
    <s v="No"/>
    <x v="0"/>
    <s v="Yes"/>
    <n v="54"/>
    <n v="0"/>
    <n v="0"/>
    <n v="0"/>
    <n v="26"/>
    <n v="23"/>
    <n v="23"/>
    <n v="20"/>
    <n v="14"/>
    <n v="7"/>
    <n v="2"/>
    <n v="54"/>
  </r>
  <r>
    <n v="2025"/>
    <n v="5"/>
    <x v="4"/>
    <s v="national network"/>
    <x v="0"/>
    <x v="0"/>
    <s v="No"/>
    <x v="0"/>
    <s v="No"/>
    <n v="471"/>
    <n v="1"/>
    <n v="1"/>
    <n v="2"/>
    <n v="140"/>
    <n v="74"/>
    <n v="54"/>
    <n v="28"/>
    <n v="10"/>
    <n v="3"/>
    <n v="0"/>
    <n v="469"/>
  </r>
  <r>
    <n v="2025"/>
    <n v="5"/>
    <x v="5"/>
    <s v="whole journey"/>
    <x v="12"/>
    <x v="0"/>
    <s v="No"/>
    <x v="0"/>
    <s v="Yes"/>
    <n v="26"/>
    <n v="0"/>
    <n v="0"/>
    <n v="0"/>
    <n v="9"/>
    <n v="9"/>
    <n v="9"/>
    <n v="8"/>
    <n v="7"/>
    <n v="5"/>
    <n v="1"/>
    <n v="26"/>
  </r>
  <r>
    <n v="2025"/>
    <n v="5"/>
    <x v="6"/>
    <s v="whole journey"/>
    <x v="13"/>
    <x v="0"/>
    <s v="Yes"/>
    <x v="0"/>
    <s v="No"/>
    <n v="3732"/>
    <n v="145"/>
    <n v="161"/>
    <n v="306"/>
    <n v="868"/>
    <n v="862"/>
    <n v="856"/>
    <n v="666"/>
    <n v="531"/>
    <n v="251"/>
    <n v="82"/>
    <n v="3565"/>
  </r>
  <r>
    <n v="2025"/>
    <n v="5"/>
    <x v="7"/>
    <s v="whole journey"/>
    <x v="14"/>
    <x v="1"/>
    <s v="No"/>
    <x v="0"/>
    <s v="No"/>
    <n v="557"/>
    <n v="3"/>
    <n v="29"/>
    <n v="32"/>
    <n v="352"/>
    <n v="315"/>
    <n v="298"/>
    <n v="244"/>
    <n v="200"/>
    <n v="105"/>
    <n v="39"/>
    <n v="550"/>
  </r>
  <r>
    <n v="2025"/>
    <n v="5"/>
    <x v="7"/>
    <s v="whole journey"/>
    <x v="14"/>
    <x v="0"/>
    <s v="No"/>
    <x v="0"/>
    <s v="No"/>
    <n v="62"/>
    <n v="0"/>
    <n v="12"/>
    <n v="12"/>
    <n v="37"/>
    <n v="35"/>
    <n v="33"/>
    <n v="25"/>
    <n v="22"/>
    <n v="15"/>
    <n v="7"/>
    <n v="57"/>
  </r>
  <r>
    <n v="2025"/>
    <n v="5"/>
    <x v="8"/>
    <s v="national network"/>
    <x v="2"/>
    <x v="0"/>
    <s v="No"/>
    <x v="1"/>
    <s v="No"/>
    <n v="185"/>
    <n v="0"/>
    <n v="0"/>
    <n v="0"/>
    <n v="0"/>
    <n v="0"/>
    <n v="0"/>
    <n v="0"/>
    <n v="0"/>
    <n v="0"/>
    <n v="0"/>
    <n v="185"/>
  </r>
  <r>
    <n v="2025"/>
    <n v="5"/>
    <x v="8"/>
    <s v="national network"/>
    <x v="4"/>
    <x v="0"/>
    <s v="No"/>
    <x v="0"/>
    <s v="Yes"/>
    <n v="151"/>
    <n v="0"/>
    <n v="0"/>
    <n v="0"/>
    <n v="11"/>
    <n v="9"/>
    <n v="8"/>
    <n v="6"/>
    <n v="5"/>
    <n v="4"/>
    <n v="0"/>
    <n v="151"/>
  </r>
  <r>
    <n v="2025"/>
    <n v="5"/>
    <x v="9"/>
    <s v="national network"/>
    <x v="2"/>
    <x v="0"/>
    <s v="No"/>
    <x v="1"/>
    <s v="No"/>
    <n v="124"/>
    <n v="0"/>
    <n v="0"/>
    <n v="0"/>
    <n v="5"/>
    <n v="5"/>
    <n v="5"/>
    <n v="2"/>
    <n v="2"/>
    <n v="1"/>
    <n v="1"/>
    <n v="124"/>
  </r>
  <r>
    <n v="2025"/>
    <n v="5"/>
    <x v="9"/>
    <s v="national network"/>
    <x v="3"/>
    <x v="0"/>
    <s v="No"/>
    <x v="0"/>
    <s v="No"/>
    <n v="554"/>
    <n v="0"/>
    <n v="0"/>
    <n v="0"/>
    <n v="118"/>
    <n v="103"/>
    <n v="98"/>
    <n v="79"/>
    <n v="61"/>
    <n v="23"/>
    <n v="6"/>
    <n v="554"/>
  </r>
  <r>
    <n v="2025"/>
    <n v="5"/>
    <x v="9"/>
    <s v="national network"/>
    <x v="4"/>
    <x v="0"/>
    <s v="No"/>
    <x v="0"/>
    <s v="Yes"/>
    <n v="180"/>
    <n v="1"/>
    <n v="0"/>
    <n v="1"/>
    <n v="11"/>
    <n v="7"/>
    <n v="6"/>
    <n v="5"/>
    <n v="3"/>
    <n v="1"/>
    <n v="1"/>
    <n v="179"/>
  </r>
  <r>
    <n v="2025"/>
    <n v="5"/>
    <x v="9"/>
    <s v="national network"/>
    <x v="0"/>
    <x v="0"/>
    <s v="No"/>
    <x v="0"/>
    <s v="No"/>
    <n v="238"/>
    <n v="0"/>
    <n v="0"/>
    <n v="0"/>
    <n v="1"/>
    <n v="1"/>
    <n v="1"/>
    <n v="1"/>
    <n v="1"/>
    <n v="1"/>
    <n v="0"/>
    <n v="238"/>
  </r>
  <r>
    <n v="2025"/>
    <n v="5"/>
    <x v="9"/>
    <s v="national network"/>
    <x v="5"/>
    <x v="0"/>
    <s v="No"/>
    <x v="0"/>
    <s v="Yes"/>
    <n v="1"/>
    <n v="0"/>
    <n v="0"/>
    <n v="0"/>
    <n v="0"/>
    <n v="0"/>
    <n v="0"/>
    <n v="0"/>
    <n v="0"/>
    <n v="0"/>
    <n v="0"/>
    <n v="1"/>
  </r>
  <r>
    <n v="2025"/>
    <n v="5"/>
    <x v="9"/>
    <s v="national network"/>
    <x v="6"/>
    <x v="0"/>
    <s v="No"/>
    <x v="0"/>
    <s v="No"/>
    <n v="280"/>
    <n v="0"/>
    <n v="0"/>
    <n v="0"/>
    <n v="44"/>
    <n v="34"/>
    <n v="29"/>
    <n v="10"/>
    <n v="4"/>
    <n v="2"/>
    <n v="1"/>
    <n v="280"/>
  </r>
  <r>
    <n v="2025"/>
    <n v="5"/>
    <x v="9"/>
    <s v="national network"/>
    <x v="10"/>
    <x v="0"/>
    <s v="Yes"/>
    <x v="0"/>
    <s v="No"/>
    <n v="216"/>
    <n v="0"/>
    <n v="0"/>
    <n v="0"/>
    <n v="107"/>
    <n v="96"/>
    <n v="87"/>
    <n v="73"/>
    <n v="42"/>
    <n v="9"/>
    <n v="0"/>
    <n v="216"/>
  </r>
  <r>
    <n v="2025"/>
    <n v="5"/>
    <x v="10"/>
    <s v="national network"/>
    <x v="15"/>
    <x v="0"/>
    <s v="No"/>
    <x v="0"/>
    <s v="No"/>
    <n v="852"/>
    <n v="8"/>
    <n v="12"/>
    <n v="20"/>
    <n v="123"/>
    <n v="82"/>
    <n v="70"/>
    <n v="41"/>
    <n v="18"/>
    <n v="3"/>
    <n v="1"/>
    <n v="844"/>
  </r>
  <r>
    <n v="2025"/>
    <n v="5"/>
    <x v="10"/>
    <s v="national network"/>
    <x v="16"/>
    <x v="1"/>
    <s v="No"/>
    <x v="0"/>
    <s v="No"/>
    <n v="2"/>
    <n v="0"/>
    <n v="0"/>
    <n v="0"/>
    <n v="0"/>
    <n v="0"/>
    <n v="0"/>
    <n v="0"/>
    <n v="0"/>
    <n v="0"/>
    <n v="0"/>
    <n v="2"/>
  </r>
  <r>
    <n v="2025"/>
    <n v="5"/>
    <x v="10"/>
    <s v="national network"/>
    <x v="16"/>
    <x v="0"/>
    <s v="No"/>
    <x v="0"/>
    <s v="No"/>
    <n v="768"/>
    <n v="7"/>
    <n v="7"/>
    <n v="14"/>
    <n v="60"/>
    <n v="44"/>
    <n v="38"/>
    <n v="25"/>
    <n v="16"/>
    <n v="5"/>
    <n v="0"/>
    <n v="761"/>
  </r>
  <r>
    <n v="2025"/>
    <n v="5"/>
    <x v="10"/>
    <s v="national network"/>
    <x v="0"/>
    <x v="1"/>
    <s v="No"/>
    <x v="0"/>
    <s v="No"/>
    <n v="37039"/>
    <n v="0"/>
    <n v="2967"/>
    <n v="2967"/>
    <n v="4077"/>
    <n v="2267"/>
    <n v="1786"/>
    <n v="925"/>
    <n v="436"/>
    <n v="41"/>
    <n v="2"/>
    <n v="34759"/>
  </r>
  <r>
    <n v="2025"/>
    <n v="5"/>
    <x v="10"/>
    <s v="national network"/>
    <x v="0"/>
    <x v="0"/>
    <s v="No"/>
    <x v="0"/>
    <s v="No"/>
    <n v="502"/>
    <n v="18"/>
    <n v="6"/>
    <n v="24"/>
    <n v="219"/>
    <n v="192"/>
    <n v="184"/>
    <n v="166"/>
    <n v="130"/>
    <n v="60"/>
    <n v="22"/>
    <n v="481"/>
  </r>
  <r>
    <n v="2025"/>
    <n v="5"/>
    <x v="10"/>
    <s v="national network"/>
    <x v="17"/>
    <x v="1"/>
    <s v="No"/>
    <x v="0"/>
    <s v="No"/>
    <n v="3202"/>
    <n v="0"/>
    <n v="609"/>
    <n v="609"/>
    <n v="465"/>
    <n v="290"/>
    <n v="249"/>
    <n v="149"/>
    <n v="76"/>
    <n v="19"/>
    <n v="0"/>
    <n v="2783"/>
  </r>
  <r>
    <n v="2025"/>
    <n v="5"/>
    <x v="10"/>
    <s v="national network"/>
    <x v="8"/>
    <x v="0"/>
    <s v="Yes"/>
    <x v="0"/>
    <s v="No"/>
    <n v="464"/>
    <n v="1"/>
    <n v="9"/>
    <n v="10"/>
    <n v="149"/>
    <n v="135"/>
    <n v="132"/>
    <n v="123"/>
    <n v="81"/>
    <n v="32"/>
    <n v="11"/>
    <n v="461"/>
  </r>
  <r>
    <n v="2025"/>
    <n v="5"/>
    <x v="10"/>
    <s v="national network"/>
    <x v="5"/>
    <x v="0"/>
    <s v="No"/>
    <x v="0"/>
    <s v="Yes"/>
    <n v="186"/>
    <n v="5"/>
    <n v="2"/>
    <n v="7"/>
    <n v="106"/>
    <n v="95"/>
    <n v="90"/>
    <n v="81"/>
    <n v="69"/>
    <n v="41"/>
    <n v="21"/>
    <n v="180"/>
  </r>
  <r>
    <n v="2025"/>
    <n v="5"/>
    <x v="10"/>
    <s v="national network"/>
    <x v="18"/>
    <x v="1"/>
    <s v="No"/>
    <x v="0"/>
    <s v="Yes"/>
    <n v="15"/>
    <n v="0"/>
    <n v="0"/>
    <n v="0"/>
    <n v="6"/>
    <n v="5"/>
    <n v="3"/>
    <n v="1"/>
    <n v="1"/>
    <n v="0"/>
    <n v="0"/>
    <n v="15"/>
  </r>
  <r>
    <n v="2025"/>
    <n v="5"/>
    <x v="10"/>
    <s v="national network"/>
    <x v="19"/>
    <x v="1"/>
    <s v="No"/>
    <x v="1"/>
    <s v="No"/>
    <n v="3754"/>
    <n v="0"/>
    <n v="97"/>
    <n v="97"/>
    <n v="244"/>
    <n v="119"/>
    <n v="91"/>
    <n v="52"/>
    <n v="18"/>
    <n v="4"/>
    <n v="0"/>
    <n v="3668"/>
  </r>
  <r>
    <n v="2025"/>
    <n v="5"/>
    <x v="10"/>
    <s v="national network"/>
    <x v="20"/>
    <x v="1"/>
    <s v="No"/>
    <x v="1"/>
    <s v="No"/>
    <n v="78428"/>
    <n v="1"/>
    <n v="2910"/>
    <n v="2911"/>
    <n v="4932"/>
    <n v="2345"/>
    <n v="1727"/>
    <n v="685"/>
    <n v="262"/>
    <n v="28"/>
    <n v="0"/>
    <n v="76175"/>
  </r>
  <r>
    <n v="2025"/>
    <n v="5"/>
    <x v="10"/>
    <s v="national network"/>
    <x v="21"/>
    <x v="1"/>
    <s v="No"/>
    <x v="1"/>
    <s v="No"/>
    <n v="40096"/>
    <n v="0"/>
    <n v="1064"/>
    <n v="1064"/>
    <n v="2320"/>
    <n v="896"/>
    <n v="606"/>
    <n v="220"/>
    <n v="88"/>
    <n v="8"/>
    <n v="1"/>
    <n v="39233"/>
  </r>
  <r>
    <n v="2025"/>
    <n v="5"/>
    <x v="11"/>
    <s v="national network"/>
    <x v="2"/>
    <x v="1"/>
    <s v="No"/>
    <x v="0"/>
    <s v="No"/>
    <n v="1021"/>
    <n v="59"/>
    <n v="35"/>
    <n v="94"/>
    <n v="156"/>
    <n v="87"/>
    <n v="64"/>
    <n v="37"/>
    <n v="25"/>
    <n v="15"/>
    <n v="6"/>
    <n v="944"/>
  </r>
  <r>
    <n v="2025"/>
    <n v="5"/>
    <x v="11"/>
    <s v="national network"/>
    <x v="2"/>
    <x v="0"/>
    <s v="No"/>
    <x v="0"/>
    <s v="No"/>
    <n v="958"/>
    <n v="0"/>
    <n v="4"/>
    <n v="4"/>
    <n v="211"/>
    <n v="141"/>
    <n v="124"/>
    <n v="79"/>
    <n v="51"/>
    <n v="19"/>
    <n v="4"/>
    <n v="957"/>
  </r>
  <r>
    <n v="2025"/>
    <n v="5"/>
    <x v="11"/>
    <s v="national network"/>
    <x v="3"/>
    <x v="1"/>
    <s v="No"/>
    <x v="0"/>
    <s v="No"/>
    <n v="38"/>
    <n v="0"/>
    <n v="0"/>
    <n v="0"/>
    <n v="23"/>
    <n v="20"/>
    <n v="19"/>
    <n v="16"/>
    <n v="11"/>
    <n v="5"/>
    <n v="0"/>
    <n v="38"/>
  </r>
  <r>
    <n v="2025"/>
    <n v="5"/>
    <x v="11"/>
    <s v="national network"/>
    <x v="3"/>
    <x v="0"/>
    <s v="No"/>
    <x v="0"/>
    <s v="No"/>
    <n v="1512"/>
    <n v="10"/>
    <n v="0"/>
    <n v="10"/>
    <n v="684"/>
    <n v="568"/>
    <n v="525"/>
    <n v="386"/>
    <n v="290"/>
    <n v="87"/>
    <n v="24"/>
    <n v="1502"/>
  </r>
  <r>
    <n v="2025"/>
    <n v="5"/>
    <x v="11"/>
    <s v="national network"/>
    <x v="7"/>
    <x v="0"/>
    <s v="No"/>
    <x v="0"/>
    <s v="No"/>
    <n v="1"/>
    <n v="0"/>
    <n v="0"/>
    <n v="0"/>
    <n v="1"/>
    <n v="1"/>
    <n v="1"/>
    <n v="1"/>
    <n v="1"/>
    <n v="1"/>
    <n v="1"/>
    <n v="1"/>
  </r>
  <r>
    <n v="2025"/>
    <n v="5"/>
    <x v="11"/>
    <s v="national network"/>
    <x v="4"/>
    <x v="0"/>
    <s v="No"/>
    <x v="0"/>
    <s v="Yes"/>
    <n v="366"/>
    <n v="0"/>
    <n v="0"/>
    <n v="0"/>
    <n v="55"/>
    <n v="40"/>
    <n v="33"/>
    <n v="26"/>
    <n v="21"/>
    <n v="16"/>
    <n v="5"/>
    <n v="366"/>
  </r>
  <r>
    <n v="2025"/>
    <n v="5"/>
    <x v="11"/>
    <s v="national network"/>
    <x v="0"/>
    <x v="1"/>
    <s v="No"/>
    <x v="0"/>
    <s v="No"/>
    <n v="1795"/>
    <n v="1"/>
    <n v="10"/>
    <n v="11"/>
    <n v="266"/>
    <n v="180"/>
    <n v="162"/>
    <n v="103"/>
    <n v="67"/>
    <n v="26"/>
    <n v="5"/>
    <n v="1787"/>
  </r>
  <r>
    <n v="2025"/>
    <n v="5"/>
    <x v="11"/>
    <s v="national network"/>
    <x v="0"/>
    <x v="0"/>
    <s v="No"/>
    <x v="0"/>
    <s v="No"/>
    <n v="577"/>
    <n v="0"/>
    <n v="0"/>
    <n v="0"/>
    <n v="68"/>
    <n v="50"/>
    <n v="44"/>
    <n v="27"/>
    <n v="19"/>
    <n v="12"/>
    <n v="2"/>
    <n v="577"/>
  </r>
  <r>
    <n v="2025"/>
    <n v="5"/>
    <x v="11"/>
    <s v="national network"/>
    <x v="8"/>
    <x v="1"/>
    <s v="Yes"/>
    <x v="0"/>
    <s v="No"/>
    <n v="31"/>
    <n v="0"/>
    <n v="4"/>
    <n v="4"/>
    <n v="6"/>
    <n v="4"/>
    <n v="3"/>
    <n v="2"/>
    <n v="1"/>
    <n v="0"/>
    <n v="0"/>
    <n v="31"/>
  </r>
  <r>
    <n v="2025"/>
    <n v="5"/>
    <x v="11"/>
    <s v="national network"/>
    <x v="8"/>
    <x v="0"/>
    <s v="Yes"/>
    <x v="0"/>
    <s v="No"/>
    <n v="676"/>
    <n v="12"/>
    <n v="0"/>
    <n v="12"/>
    <n v="238"/>
    <n v="203"/>
    <n v="186"/>
    <n v="149"/>
    <n v="124"/>
    <n v="69"/>
    <n v="24"/>
    <n v="664"/>
  </r>
  <r>
    <n v="2025"/>
    <n v="5"/>
    <x v="11"/>
    <s v="national network"/>
    <x v="5"/>
    <x v="1"/>
    <s v="No"/>
    <x v="0"/>
    <s v="Yes"/>
    <n v="64"/>
    <n v="0"/>
    <n v="1"/>
    <n v="1"/>
    <n v="17"/>
    <n v="10"/>
    <n v="6"/>
    <n v="5"/>
    <n v="3"/>
    <n v="2"/>
    <n v="0"/>
    <n v="63"/>
  </r>
  <r>
    <n v="2025"/>
    <n v="5"/>
    <x v="11"/>
    <s v="national network"/>
    <x v="5"/>
    <x v="0"/>
    <s v="No"/>
    <x v="0"/>
    <s v="Yes"/>
    <n v="692"/>
    <n v="3"/>
    <n v="0"/>
    <n v="3"/>
    <n v="208"/>
    <n v="163"/>
    <n v="148"/>
    <n v="124"/>
    <n v="95"/>
    <n v="69"/>
    <n v="36"/>
    <n v="689"/>
  </r>
  <r>
    <n v="2025"/>
    <n v="5"/>
    <x v="11"/>
    <s v="national network"/>
    <x v="6"/>
    <x v="1"/>
    <s v="No"/>
    <x v="0"/>
    <s v="No"/>
    <n v="1822"/>
    <n v="19"/>
    <n v="332"/>
    <n v="351"/>
    <n v="212"/>
    <n v="126"/>
    <n v="102"/>
    <n v="46"/>
    <n v="24"/>
    <n v="3"/>
    <n v="1"/>
    <n v="1638"/>
  </r>
  <r>
    <n v="2025"/>
    <n v="5"/>
    <x v="11"/>
    <s v="national network"/>
    <x v="6"/>
    <x v="0"/>
    <s v="No"/>
    <x v="0"/>
    <s v="No"/>
    <n v="1369"/>
    <n v="3"/>
    <n v="6"/>
    <n v="9"/>
    <n v="425"/>
    <n v="319"/>
    <n v="284"/>
    <n v="209"/>
    <n v="137"/>
    <n v="60"/>
    <n v="18"/>
    <n v="1361"/>
  </r>
  <r>
    <n v="2025"/>
    <n v="5"/>
    <x v="11"/>
    <s v="national network"/>
    <x v="10"/>
    <x v="1"/>
    <s v="Yes"/>
    <x v="0"/>
    <s v="No"/>
    <n v="925"/>
    <n v="2"/>
    <n v="156"/>
    <n v="158"/>
    <n v="244"/>
    <n v="180"/>
    <n v="154"/>
    <n v="102"/>
    <n v="78"/>
    <n v="24"/>
    <n v="10"/>
    <n v="856"/>
  </r>
  <r>
    <n v="2025"/>
    <n v="5"/>
    <x v="11"/>
    <s v="national network"/>
    <x v="10"/>
    <x v="0"/>
    <s v="Yes"/>
    <x v="0"/>
    <s v="No"/>
    <n v="981"/>
    <n v="0"/>
    <n v="61"/>
    <n v="61"/>
    <n v="285"/>
    <n v="219"/>
    <n v="197"/>
    <n v="140"/>
    <n v="111"/>
    <n v="36"/>
    <n v="11"/>
    <n v="961"/>
  </r>
  <r>
    <n v="2025"/>
    <n v="5"/>
    <x v="12"/>
    <s v="national network"/>
    <x v="9"/>
    <x v="1"/>
    <s v="No"/>
    <x v="1"/>
    <s v="No"/>
    <n v="10943"/>
    <n v="1"/>
    <n v="8"/>
    <n v="9"/>
    <n v="1"/>
    <n v="0"/>
    <n v="0"/>
    <n v="0"/>
    <n v="0"/>
    <n v="0"/>
    <n v="0"/>
    <n v="10934"/>
  </r>
  <r>
    <n v="2025"/>
    <n v="5"/>
    <x v="12"/>
    <s v="national network"/>
    <x v="9"/>
    <x v="0"/>
    <s v="No"/>
    <x v="1"/>
    <s v="No"/>
    <n v="20"/>
    <n v="1"/>
    <n v="0"/>
    <n v="1"/>
    <n v="0"/>
    <n v="0"/>
    <n v="0"/>
    <n v="0"/>
    <n v="0"/>
    <n v="0"/>
    <n v="0"/>
    <n v="19"/>
  </r>
  <r>
    <n v="2025"/>
    <n v="5"/>
    <x v="13"/>
    <s v="whole journey"/>
    <x v="22"/>
    <x v="0"/>
    <s v="No"/>
    <x v="1"/>
    <s v="No"/>
    <n v="18"/>
    <n v="0"/>
    <n v="0"/>
    <n v="0"/>
    <n v="3"/>
    <n v="2"/>
    <n v="2"/>
    <n v="2"/>
    <n v="2"/>
    <n v="1"/>
    <n v="0"/>
    <n v="18"/>
  </r>
  <r>
    <n v="2025"/>
    <n v="5"/>
    <x v="13"/>
    <s v="whole journey"/>
    <x v="23"/>
    <x v="1"/>
    <s v="Yes"/>
    <x v="0"/>
    <s v="No"/>
    <n v="1661"/>
    <n v="5"/>
    <n v="31"/>
    <n v="36"/>
    <n v="298"/>
    <n v="271"/>
    <n v="271"/>
    <n v="192"/>
    <n v="157"/>
    <n v="86"/>
    <n v="34"/>
    <n v="1646"/>
  </r>
  <r>
    <n v="2025"/>
    <n v="5"/>
    <x v="13"/>
    <s v="whole journey"/>
    <x v="23"/>
    <x v="2"/>
    <s v="Yes"/>
    <x v="0"/>
    <s v="No"/>
    <n v="61"/>
    <n v="0"/>
    <n v="0"/>
    <n v="0"/>
    <n v="0"/>
    <n v="0"/>
    <n v="0"/>
    <n v="0"/>
    <n v="0"/>
    <n v="0"/>
    <n v="0"/>
    <n v="0"/>
  </r>
  <r>
    <n v="2025"/>
    <n v="5"/>
    <x v="13"/>
    <s v="whole journey"/>
    <x v="52"/>
    <x v="0"/>
    <s v="No"/>
    <x v="1"/>
    <s v="No"/>
    <n v="88"/>
    <n v="0"/>
    <n v="0"/>
    <n v="0"/>
    <n v="22"/>
    <n v="16"/>
    <n v="16"/>
    <n v="11"/>
    <n v="8"/>
    <n v="5"/>
    <n v="2"/>
    <n v="88"/>
  </r>
  <r>
    <n v="2025"/>
    <n v="5"/>
    <x v="14"/>
    <s v="national network"/>
    <x v="3"/>
    <x v="1"/>
    <s v="No"/>
    <x v="1"/>
    <s v="No"/>
    <n v="1"/>
    <n v="0"/>
    <n v="0"/>
    <n v="0"/>
    <n v="0"/>
    <n v="0"/>
    <n v="0"/>
    <n v="0"/>
    <n v="0"/>
    <n v="0"/>
    <n v="0"/>
    <n v="1"/>
  </r>
  <r>
    <n v="2025"/>
    <n v="5"/>
    <x v="14"/>
    <s v="national network"/>
    <x v="3"/>
    <x v="0"/>
    <s v="No"/>
    <x v="1"/>
    <s v="No"/>
    <n v="911"/>
    <n v="2"/>
    <n v="0"/>
    <n v="2"/>
    <n v="274"/>
    <n v="188"/>
    <n v="163"/>
    <n v="119"/>
    <n v="79"/>
    <n v="37"/>
    <n v="8"/>
    <n v="909"/>
  </r>
  <r>
    <n v="2025"/>
    <n v="5"/>
    <x v="14"/>
    <s v="national network"/>
    <x v="4"/>
    <x v="0"/>
    <s v="No"/>
    <x v="0"/>
    <s v="Yes"/>
    <n v="60"/>
    <n v="0"/>
    <n v="0"/>
    <n v="0"/>
    <n v="14"/>
    <n v="11"/>
    <n v="9"/>
    <n v="4"/>
    <n v="4"/>
    <n v="2"/>
    <n v="0"/>
    <n v="60"/>
  </r>
  <r>
    <n v="2025"/>
    <n v="5"/>
    <x v="14"/>
    <s v="national network"/>
    <x v="0"/>
    <x v="0"/>
    <s v="No"/>
    <x v="0"/>
    <s v="No"/>
    <n v="60"/>
    <n v="0"/>
    <n v="0"/>
    <n v="0"/>
    <n v="14"/>
    <n v="11"/>
    <n v="9"/>
    <n v="4"/>
    <n v="4"/>
    <n v="2"/>
    <n v="0"/>
    <n v="60"/>
  </r>
  <r>
    <n v="2025"/>
    <n v="5"/>
    <x v="15"/>
    <s v="national network"/>
    <x v="24"/>
    <x v="1"/>
    <s v="No"/>
    <x v="1"/>
    <s v="No"/>
    <n v="1590"/>
    <n v="0"/>
    <n v="0"/>
    <n v="0"/>
    <n v="0"/>
    <n v="0"/>
    <n v="0"/>
    <n v="0"/>
    <n v="0"/>
    <n v="0"/>
    <n v="0"/>
    <n v="1590"/>
  </r>
  <r>
    <n v="2025"/>
    <n v="5"/>
    <x v="15"/>
    <s v="national network"/>
    <x v="24"/>
    <x v="0"/>
    <s v="No"/>
    <x v="1"/>
    <s v="No"/>
    <n v="123"/>
    <n v="0"/>
    <n v="0"/>
    <n v="0"/>
    <n v="0"/>
    <n v="0"/>
    <n v="0"/>
    <n v="0"/>
    <n v="0"/>
    <n v="0"/>
    <n v="0"/>
    <n v="123"/>
  </r>
  <r>
    <n v="2025"/>
    <n v="5"/>
    <x v="16"/>
    <s v="national network"/>
    <x v="3"/>
    <x v="1"/>
    <s v="No"/>
    <x v="0"/>
    <s v="No"/>
    <n v="106"/>
    <n v="0"/>
    <n v="0"/>
    <n v="0"/>
    <n v="0"/>
    <n v="0"/>
    <n v="0"/>
    <n v="0"/>
    <n v="0"/>
    <n v="0"/>
    <n v="0"/>
    <n v="106"/>
  </r>
  <r>
    <n v="2025"/>
    <n v="5"/>
    <x v="16"/>
    <s v="national network"/>
    <x v="3"/>
    <x v="0"/>
    <s v="No"/>
    <x v="0"/>
    <s v="No"/>
    <n v="1863"/>
    <n v="13"/>
    <n v="28"/>
    <n v="41"/>
    <n v="383"/>
    <n v="315"/>
    <n v="289"/>
    <n v="230"/>
    <n v="193"/>
    <n v="129"/>
    <n v="21"/>
    <n v="1834"/>
  </r>
  <r>
    <n v="2025"/>
    <n v="5"/>
    <x v="16"/>
    <s v="national network"/>
    <x v="7"/>
    <x v="0"/>
    <s v="No"/>
    <x v="1"/>
    <s v="No"/>
    <n v="255"/>
    <n v="5"/>
    <n v="9"/>
    <n v="14"/>
    <n v="190"/>
    <n v="175"/>
    <n v="165"/>
    <n v="124"/>
    <n v="65"/>
    <n v="13"/>
    <n v="9"/>
    <n v="246"/>
  </r>
  <r>
    <n v="2025"/>
    <n v="5"/>
    <x v="16"/>
    <s v="national network"/>
    <x v="4"/>
    <x v="0"/>
    <s v="No"/>
    <x v="0"/>
    <s v="Yes"/>
    <n v="181"/>
    <n v="0"/>
    <n v="0"/>
    <n v="0"/>
    <n v="24"/>
    <n v="21"/>
    <n v="18"/>
    <n v="16"/>
    <n v="13"/>
    <n v="7"/>
    <n v="1"/>
    <n v="181"/>
  </r>
  <r>
    <n v="2025"/>
    <n v="5"/>
    <x v="16"/>
    <s v="national network"/>
    <x v="28"/>
    <x v="0"/>
    <s v="No"/>
    <x v="0"/>
    <s v="No"/>
    <n v="1"/>
    <n v="0"/>
    <n v="0"/>
    <n v="0"/>
    <n v="1"/>
    <n v="1"/>
    <n v="1"/>
    <n v="1"/>
    <n v="1"/>
    <n v="1"/>
    <n v="0"/>
    <n v="1"/>
  </r>
  <r>
    <n v="2025"/>
    <n v="5"/>
    <x v="16"/>
    <s v="national network"/>
    <x v="0"/>
    <x v="1"/>
    <s v="No"/>
    <x v="0"/>
    <s v="No"/>
    <n v="11663"/>
    <n v="1"/>
    <n v="4"/>
    <n v="5"/>
    <n v="3"/>
    <n v="2"/>
    <n v="1"/>
    <n v="1"/>
    <n v="1"/>
    <n v="0"/>
    <n v="0"/>
    <n v="11658"/>
  </r>
  <r>
    <n v="2025"/>
    <n v="5"/>
    <x v="16"/>
    <s v="national network"/>
    <x v="0"/>
    <x v="0"/>
    <s v="No"/>
    <x v="0"/>
    <s v="No"/>
    <n v="1184"/>
    <n v="20"/>
    <n v="19"/>
    <n v="39"/>
    <n v="251"/>
    <n v="205"/>
    <n v="191"/>
    <n v="150"/>
    <n v="92"/>
    <n v="24"/>
    <n v="10"/>
    <n v="1154"/>
  </r>
  <r>
    <n v="2025"/>
    <n v="5"/>
    <x v="16"/>
    <s v="national network"/>
    <x v="8"/>
    <x v="1"/>
    <s v="Yes"/>
    <x v="0"/>
    <s v="No"/>
    <n v="59"/>
    <n v="1"/>
    <n v="0"/>
    <n v="1"/>
    <n v="0"/>
    <n v="0"/>
    <n v="0"/>
    <n v="0"/>
    <n v="0"/>
    <n v="0"/>
    <n v="0"/>
    <n v="58"/>
  </r>
  <r>
    <n v="2025"/>
    <n v="5"/>
    <x v="16"/>
    <s v="national network"/>
    <x v="8"/>
    <x v="0"/>
    <s v="Yes"/>
    <x v="0"/>
    <s v="No"/>
    <n v="1342"/>
    <n v="70"/>
    <n v="218"/>
    <n v="288"/>
    <n v="367"/>
    <n v="273"/>
    <n v="238"/>
    <n v="172"/>
    <n v="122"/>
    <n v="46"/>
    <n v="8"/>
    <n v="1135"/>
  </r>
  <r>
    <n v="2025"/>
    <n v="5"/>
    <x v="16"/>
    <s v="national network"/>
    <x v="9"/>
    <x v="1"/>
    <s v="No"/>
    <x v="0"/>
    <s v="No"/>
    <n v="13774"/>
    <n v="2"/>
    <n v="0"/>
    <n v="2"/>
    <n v="1"/>
    <n v="1"/>
    <n v="0"/>
    <n v="0"/>
    <n v="0"/>
    <n v="0"/>
    <n v="0"/>
    <n v="13772"/>
  </r>
  <r>
    <n v="2025"/>
    <n v="5"/>
    <x v="16"/>
    <s v="national network"/>
    <x v="9"/>
    <x v="0"/>
    <s v="No"/>
    <x v="0"/>
    <s v="No"/>
    <n v="517"/>
    <n v="0"/>
    <n v="3"/>
    <n v="3"/>
    <n v="6"/>
    <n v="5"/>
    <n v="4"/>
    <n v="1"/>
    <n v="0"/>
    <n v="0"/>
    <n v="0"/>
    <n v="515"/>
  </r>
  <r>
    <n v="2025"/>
    <n v="5"/>
    <x v="16"/>
    <s v="national network"/>
    <x v="9"/>
    <x v="2"/>
    <s v="No"/>
    <x v="0"/>
    <s v="No"/>
    <n v="3"/>
    <n v="0"/>
    <n v="0"/>
    <n v="0"/>
    <n v="0"/>
    <n v="0"/>
    <n v="0"/>
    <n v="0"/>
    <n v="0"/>
    <n v="0"/>
    <n v="0"/>
    <n v="0"/>
  </r>
  <r>
    <n v="2025"/>
    <n v="5"/>
    <x v="16"/>
    <s v="national network"/>
    <x v="25"/>
    <x v="1"/>
    <s v="Yes"/>
    <x v="0"/>
    <s v="No"/>
    <n v="332"/>
    <n v="0"/>
    <n v="0"/>
    <n v="0"/>
    <n v="0"/>
    <n v="0"/>
    <n v="0"/>
    <n v="0"/>
    <n v="0"/>
    <n v="0"/>
    <n v="0"/>
    <n v="332"/>
  </r>
  <r>
    <n v="2025"/>
    <n v="5"/>
    <x v="16"/>
    <s v="national network"/>
    <x v="25"/>
    <x v="0"/>
    <s v="Yes"/>
    <x v="0"/>
    <s v="No"/>
    <n v="757"/>
    <n v="0"/>
    <n v="1"/>
    <n v="1"/>
    <n v="72"/>
    <n v="31"/>
    <n v="30"/>
    <n v="16"/>
    <n v="12"/>
    <n v="3"/>
    <n v="2"/>
    <n v="757"/>
  </r>
  <r>
    <n v="2025"/>
    <n v="5"/>
    <x v="16"/>
    <s v="national network"/>
    <x v="25"/>
    <x v="2"/>
    <s v="Yes"/>
    <x v="0"/>
    <s v="No"/>
    <n v="7"/>
    <n v="0"/>
    <n v="0"/>
    <n v="0"/>
    <n v="0"/>
    <n v="0"/>
    <n v="0"/>
    <n v="0"/>
    <n v="0"/>
    <n v="0"/>
    <n v="0"/>
    <n v="0"/>
  </r>
  <r>
    <n v="2025"/>
    <n v="5"/>
    <x v="16"/>
    <s v="national network"/>
    <x v="5"/>
    <x v="1"/>
    <s v="No"/>
    <x v="0"/>
    <s v="Yes"/>
    <n v="3"/>
    <n v="0"/>
    <n v="0"/>
    <n v="0"/>
    <n v="0"/>
    <n v="0"/>
    <n v="0"/>
    <n v="0"/>
    <n v="0"/>
    <n v="0"/>
    <n v="0"/>
    <n v="3"/>
  </r>
  <r>
    <n v="2025"/>
    <n v="5"/>
    <x v="16"/>
    <s v="national network"/>
    <x v="5"/>
    <x v="0"/>
    <s v="No"/>
    <x v="0"/>
    <s v="Yes"/>
    <n v="305"/>
    <n v="2"/>
    <n v="1"/>
    <n v="3"/>
    <n v="79"/>
    <n v="66"/>
    <n v="58"/>
    <n v="47"/>
    <n v="36"/>
    <n v="22"/>
    <n v="11"/>
    <n v="302"/>
  </r>
  <r>
    <n v="2025"/>
    <n v="5"/>
    <x v="16"/>
    <s v="national network"/>
    <x v="10"/>
    <x v="0"/>
    <s v="Yes"/>
    <x v="0"/>
    <s v="No"/>
    <n v="372"/>
    <n v="0"/>
    <n v="0"/>
    <n v="0"/>
    <n v="24"/>
    <n v="10"/>
    <n v="7"/>
    <n v="5"/>
    <n v="5"/>
    <n v="3"/>
    <n v="2"/>
    <n v="372"/>
  </r>
  <r>
    <n v="2025"/>
    <n v="5"/>
    <x v="17"/>
    <s v="national network"/>
    <x v="4"/>
    <x v="0"/>
    <s v="No"/>
    <x v="0"/>
    <s v="Yes"/>
    <n v="54"/>
    <n v="0"/>
    <n v="0"/>
    <n v="0"/>
    <n v="25"/>
    <n v="22"/>
    <n v="22"/>
    <n v="19"/>
    <n v="13"/>
    <n v="6"/>
    <n v="1"/>
    <n v="54"/>
  </r>
  <r>
    <n v="2025"/>
    <n v="5"/>
    <x v="18"/>
    <s v="national network"/>
    <x v="15"/>
    <x v="0"/>
    <s v="No"/>
    <x v="1"/>
    <s v="No"/>
    <n v="886"/>
    <n v="22"/>
    <n v="22"/>
    <n v="44"/>
    <n v="253"/>
    <n v="163"/>
    <n v="143"/>
    <n v="72"/>
    <n v="31"/>
    <n v="4"/>
    <n v="1"/>
    <n v="851"/>
  </r>
  <r>
    <n v="2025"/>
    <n v="5"/>
    <x v="18"/>
    <s v="national network"/>
    <x v="16"/>
    <x v="0"/>
    <s v="No"/>
    <x v="1"/>
    <s v="No"/>
    <n v="768"/>
    <n v="8"/>
    <n v="4"/>
    <n v="12"/>
    <n v="200"/>
    <n v="134"/>
    <n v="111"/>
    <n v="60"/>
    <n v="45"/>
    <n v="15"/>
    <n v="2"/>
    <n v="760"/>
  </r>
  <r>
    <n v="2025"/>
    <n v="5"/>
    <x v="18"/>
    <s v="national network"/>
    <x v="0"/>
    <x v="1"/>
    <s v="No"/>
    <x v="0"/>
    <s v="No"/>
    <n v="28125"/>
    <n v="104"/>
    <n v="757"/>
    <n v="861"/>
    <n v="5539"/>
    <n v="3364"/>
    <n v="2759"/>
    <n v="1384"/>
    <n v="716"/>
    <n v="120"/>
    <n v="6"/>
    <n v="27593"/>
  </r>
  <r>
    <n v="2025"/>
    <n v="5"/>
    <x v="18"/>
    <s v="national network"/>
    <x v="0"/>
    <x v="0"/>
    <s v="No"/>
    <x v="0"/>
    <s v="No"/>
    <n v="3245"/>
    <n v="29"/>
    <n v="29"/>
    <n v="58"/>
    <n v="529"/>
    <n v="342"/>
    <n v="283"/>
    <n v="149"/>
    <n v="98"/>
    <n v="19"/>
    <n v="0"/>
    <n v="3201"/>
  </r>
  <r>
    <n v="2025"/>
    <n v="5"/>
    <x v="18"/>
    <s v="national network"/>
    <x v="0"/>
    <x v="2"/>
    <s v="No"/>
    <x v="0"/>
    <s v="No"/>
    <n v="2"/>
    <n v="0"/>
    <n v="0"/>
    <n v="0"/>
    <n v="0"/>
    <n v="0"/>
    <n v="0"/>
    <n v="0"/>
    <n v="0"/>
    <n v="0"/>
    <n v="0"/>
    <n v="0"/>
  </r>
  <r>
    <n v="2025"/>
    <n v="5"/>
    <x v="18"/>
    <s v="national network"/>
    <x v="8"/>
    <x v="0"/>
    <s v="Yes"/>
    <x v="0"/>
    <s v="No"/>
    <n v="463"/>
    <n v="8"/>
    <n v="11"/>
    <n v="19"/>
    <n v="249"/>
    <n v="214"/>
    <n v="193"/>
    <n v="147"/>
    <n v="120"/>
    <n v="65"/>
    <n v="8"/>
    <n v="449"/>
  </r>
  <r>
    <n v="2025"/>
    <n v="5"/>
    <x v="18"/>
    <s v="national network"/>
    <x v="26"/>
    <x v="1"/>
    <s v="No"/>
    <x v="1"/>
    <s v="No"/>
    <n v="16944"/>
    <n v="35"/>
    <n v="127"/>
    <n v="162"/>
    <n v="2626"/>
    <n v="1397"/>
    <n v="1078"/>
    <n v="418"/>
    <n v="195"/>
    <n v="36"/>
    <n v="2"/>
    <n v="16825"/>
  </r>
  <r>
    <n v="2025"/>
    <n v="5"/>
    <x v="18"/>
    <s v="national network"/>
    <x v="26"/>
    <x v="0"/>
    <s v="No"/>
    <x v="1"/>
    <s v="No"/>
    <n v="4247"/>
    <n v="14"/>
    <n v="34"/>
    <n v="48"/>
    <n v="219"/>
    <n v="116"/>
    <n v="96"/>
    <n v="47"/>
    <n v="25"/>
    <n v="11"/>
    <n v="3"/>
    <n v="4232"/>
  </r>
  <r>
    <n v="2025"/>
    <n v="5"/>
    <x v="18"/>
    <s v="national network"/>
    <x v="26"/>
    <x v="2"/>
    <s v="No"/>
    <x v="1"/>
    <s v="No"/>
    <n v="1"/>
    <n v="0"/>
    <n v="0"/>
    <n v="0"/>
    <n v="0"/>
    <n v="0"/>
    <n v="0"/>
    <n v="0"/>
    <n v="0"/>
    <n v="0"/>
    <n v="0"/>
    <n v="0"/>
  </r>
  <r>
    <n v="2025"/>
    <n v="5"/>
    <x v="18"/>
    <s v="national network"/>
    <x v="5"/>
    <x v="1"/>
    <s v="No"/>
    <x v="0"/>
    <s v="Yes"/>
    <n v="1"/>
    <n v="0"/>
    <n v="0"/>
    <n v="0"/>
    <n v="1"/>
    <n v="1"/>
    <n v="1"/>
    <n v="1"/>
    <n v="1"/>
    <n v="0"/>
    <n v="0"/>
    <n v="1"/>
  </r>
  <r>
    <n v="2025"/>
    <n v="5"/>
    <x v="18"/>
    <s v="national network"/>
    <x v="5"/>
    <x v="0"/>
    <s v="No"/>
    <x v="0"/>
    <s v="Yes"/>
    <n v="51"/>
    <n v="4"/>
    <n v="0"/>
    <n v="4"/>
    <n v="25"/>
    <n v="22"/>
    <n v="21"/>
    <n v="18"/>
    <n v="13"/>
    <n v="12"/>
    <n v="5"/>
    <n v="47"/>
  </r>
  <r>
    <n v="2025"/>
    <n v="5"/>
    <x v="18"/>
    <s v="national network"/>
    <x v="27"/>
    <x v="1"/>
    <s v="No"/>
    <x v="1"/>
    <s v="No"/>
    <n v="4634"/>
    <n v="35"/>
    <n v="25"/>
    <n v="60"/>
    <n v="905"/>
    <n v="516"/>
    <n v="414"/>
    <n v="187"/>
    <n v="88"/>
    <n v="17"/>
    <n v="1"/>
    <n v="4578"/>
  </r>
  <r>
    <n v="2025"/>
    <n v="5"/>
    <x v="18"/>
    <s v="national network"/>
    <x v="27"/>
    <x v="0"/>
    <s v="No"/>
    <x v="1"/>
    <s v="No"/>
    <n v="194"/>
    <n v="2"/>
    <n v="1"/>
    <n v="3"/>
    <n v="11"/>
    <n v="6"/>
    <n v="3"/>
    <n v="1"/>
    <n v="0"/>
    <n v="0"/>
    <n v="0"/>
    <n v="192"/>
  </r>
  <r>
    <n v="2025"/>
    <n v="5"/>
    <x v="18"/>
    <s v="national network"/>
    <x v="19"/>
    <x v="1"/>
    <s v="No"/>
    <x v="1"/>
    <s v="No"/>
    <n v="27568"/>
    <n v="78"/>
    <n v="419"/>
    <n v="497"/>
    <n v="3803"/>
    <n v="2107"/>
    <n v="1650"/>
    <n v="768"/>
    <n v="387"/>
    <n v="77"/>
    <n v="5"/>
    <n v="27231"/>
  </r>
  <r>
    <n v="2025"/>
    <n v="5"/>
    <x v="18"/>
    <s v="national network"/>
    <x v="19"/>
    <x v="0"/>
    <s v="No"/>
    <x v="1"/>
    <s v="No"/>
    <n v="2854"/>
    <n v="21"/>
    <n v="101"/>
    <n v="122"/>
    <n v="527"/>
    <n v="314"/>
    <n v="259"/>
    <n v="110"/>
    <n v="50"/>
    <n v="11"/>
    <n v="0"/>
    <n v="2765"/>
  </r>
  <r>
    <n v="2025"/>
    <n v="5"/>
    <x v="18"/>
    <s v="national network"/>
    <x v="19"/>
    <x v="2"/>
    <s v="No"/>
    <x v="1"/>
    <s v="No"/>
    <n v="1"/>
    <n v="0"/>
    <n v="0"/>
    <n v="0"/>
    <n v="0"/>
    <n v="0"/>
    <n v="0"/>
    <n v="0"/>
    <n v="0"/>
    <n v="0"/>
    <n v="0"/>
    <n v="0"/>
  </r>
  <r>
    <n v="2025"/>
    <n v="5"/>
    <x v="18"/>
    <s v="national network"/>
    <x v="1"/>
    <x v="0"/>
    <s v="Yes"/>
    <x v="0"/>
    <s v="No"/>
    <n v="108"/>
    <n v="2"/>
    <n v="0"/>
    <n v="2"/>
    <n v="58"/>
    <n v="26"/>
    <n v="26"/>
    <n v="25"/>
    <n v="10"/>
    <n v="6"/>
    <n v="0"/>
    <n v="106"/>
  </r>
  <r>
    <n v="2025"/>
    <n v="5"/>
    <x v="18"/>
    <s v="national network"/>
    <x v="1"/>
    <x v="2"/>
    <s v="Yes"/>
    <x v="0"/>
    <s v="No"/>
    <n v="4"/>
    <n v="0"/>
    <n v="0"/>
    <n v="0"/>
    <n v="0"/>
    <n v="0"/>
    <n v="0"/>
    <n v="0"/>
    <n v="0"/>
    <n v="0"/>
    <n v="0"/>
    <n v="0"/>
  </r>
  <r>
    <n v="2025"/>
    <n v="5"/>
    <x v="19"/>
    <s v="national network"/>
    <x v="0"/>
    <x v="1"/>
    <s v="No"/>
    <x v="0"/>
    <s v="No"/>
    <n v="1"/>
    <n v="0"/>
    <n v="0"/>
    <n v="0"/>
    <n v="0"/>
    <n v="0"/>
    <n v="0"/>
    <n v="0"/>
    <n v="0"/>
    <n v="0"/>
    <n v="0"/>
    <n v="1"/>
  </r>
  <r>
    <n v="2025"/>
    <n v="5"/>
    <x v="19"/>
    <s v="national network"/>
    <x v="0"/>
    <x v="0"/>
    <s v="No"/>
    <x v="0"/>
    <s v="No"/>
    <n v="1931"/>
    <n v="4"/>
    <n v="25"/>
    <n v="29"/>
    <n v="183"/>
    <n v="130"/>
    <n v="114"/>
    <n v="71"/>
    <n v="42"/>
    <n v="2"/>
    <n v="0"/>
    <n v="1927"/>
  </r>
  <r>
    <n v="2025"/>
    <n v="5"/>
    <x v="19"/>
    <s v="national network"/>
    <x v="8"/>
    <x v="1"/>
    <s v="Yes"/>
    <x v="0"/>
    <s v="No"/>
    <n v="1"/>
    <n v="0"/>
    <n v="0"/>
    <n v="0"/>
    <n v="1"/>
    <n v="1"/>
    <n v="1"/>
    <n v="1"/>
    <n v="1"/>
    <n v="1"/>
    <n v="1"/>
    <n v="1"/>
  </r>
  <r>
    <n v="2025"/>
    <n v="5"/>
    <x v="19"/>
    <s v="national network"/>
    <x v="8"/>
    <x v="0"/>
    <s v="Yes"/>
    <x v="0"/>
    <s v="No"/>
    <n v="724"/>
    <n v="5"/>
    <n v="2"/>
    <n v="7"/>
    <n v="252"/>
    <n v="178"/>
    <n v="170"/>
    <n v="119"/>
    <n v="86"/>
    <n v="31"/>
    <n v="8"/>
    <n v="717"/>
  </r>
  <r>
    <n v="2025"/>
    <n v="5"/>
    <x v="19"/>
    <s v="national network"/>
    <x v="8"/>
    <x v="2"/>
    <s v="Yes"/>
    <x v="0"/>
    <s v="No"/>
    <n v="6"/>
    <n v="0"/>
    <n v="0"/>
    <n v="0"/>
    <n v="0"/>
    <n v="0"/>
    <n v="0"/>
    <n v="0"/>
    <n v="0"/>
    <n v="0"/>
    <n v="0"/>
    <n v="0"/>
  </r>
  <r>
    <n v="2025"/>
    <n v="5"/>
    <x v="19"/>
    <s v="national network"/>
    <x v="29"/>
    <x v="1"/>
    <s v="No"/>
    <x v="0"/>
    <s v="No"/>
    <n v="1925"/>
    <n v="37"/>
    <n v="17"/>
    <n v="54"/>
    <n v="599"/>
    <n v="373"/>
    <n v="373"/>
    <n v="291"/>
    <n v="235"/>
    <n v="129"/>
    <n v="53"/>
    <n v="1881"/>
  </r>
  <r>
    <n v="2025"/>
    <n v="5"/>
    <x v="19"/>
    <s v="national network"/>
    <x v="29"/>
    <x v="2"/>
    <s v="No"/>
    <x v="0"/>
    <s v="No"/>
    <n v="24"/>
    <n v="0"/>
    <n v="0"/>
    <n v="0"/>
    <n v="0"/>
    <n v="0"/>
    <n v="0"/>
    <n v="0"/>
    <n v="0"/>
    <n v="0"/>
    <n v="0"/>
    <n v="0"/>
  </r>
  <r>
    <n v="2025"/>
    <n v="5"/>
    <x v="19"/>
    <s v="national network"/>
    <x v="30"/>
    <x v="1"/>
    <s v="No"/>
    <x v="0"/>
    <s v="Yes"/>
    <n v="136"/>
    <n v="11"/>
    <n v="1"/>
    <n v="12"/>
    <n v="48"/>
    <n v="31"/>
    <n v="31"/>
    <n v="25"/>
    <n v="21"/>
    <n v="11"/>
    <n v="3"/>
    <n v="125"/>
  </r>
  <r>
    <n v="2025"/>
    <n v="5"/>
    <x v="19"/>
    <s v="national network"/>
    <x v="30"/>
    <x v="2"/>
    <s v="No"/>
    <x v="0"/>
    <s v="Yes"/>
    <n v="90"/>
    <n v="1"/>
    <n v="0"/>
    <n v="1"/>
    <n v="0"/>
    <n v="0"/>
    <n v="0"/>
    <n v="0"/>
    <n v="0"/>
    <n v="0"/>
    <n v="0"/>
    <n v="0"/>
  </r>
  <r>
    <n v="2025"/>
    <n v="5"/>
    <x v="19"/>
    <s v="national network"/>
    <x v="25"/>
    <x v="0"/>
    <s v="Yes"/>
    <x v="0"/>
    <s v="No"/>
    <n v="1039"/>
    <n v="0"/>
    <n v="4"/>
    <n v="4"/>
    <n v="147"/>
    <n v="80"/>
    <n v="80"/>
    <n v="52"/>
    <n v="41"/>
    <n v="22"/>
    <n v="10"/>
    <n v="1039"/>
  </r>
  <r>
    <n v="2025"/>
    <n v="5"/>
    <x v="19"/>
    <s v="national network"/>
    <x v="25"/>
    <x v="2"/>
    <s v="Yes"/>
    <x v="0"/>
    <s v="No"/>
    <n v="10"/>
    <n v="0"/>
    <n v="0"/>
    <n v="0"/>
    <n v="0"/>
    <n v="0"/>
    <n v="0"/>
    <n v="0"/>
    <n v="0"/>
    <n v="0"/>
    <n v="0"/>
    <n v="0"/>
  </r>
  <r>
    <n v="2025"/>
    <n v="5"/>
    <x v="19"/>
    <s v="national network"/>
    <x v="5"/>
    <x v="0"/>
    <s v="No"/>
    <x v="0"/>
    <s v="Yes"/>
    <n v="13"/>
    <n v="2"/>
    <n v="0"/>
    <n v="2"/>
    <n v="6"/>
    <n v="4"/>
    <n v="4"/>
    <n v="4"/>
    <n v="4"/>
    <n v="2"/>
    <n v="0"/>
    <n v="11"/>
  </r>
  <r>
    <n v="2025"/>
    <n v="5"/>
    <x v="19"/>
    <s v="national network"/>
    <x v="11"/>
    <x v="0"/>
    <s v="Yes"/>
    <x v="0"/>
    <s v="No"/>
    <n v="21"/>
    <n v="1"/>
    <n v="0"/>
    <n v="1"/>
    <n v="11"/>
    <n v="10"/>
    <n v="10"/>
    <n v="9"/>
    <n v="7"/>
    <n v="4"/>
    <n v="1"/>
    <n v="20"/>
  </r>
  <r>
    <n v="2025"/>
    <n v="5"/>
    <x v="19"/>
    <s v="national network"/>
    <x v="1"/>
    <x v="1"/>
    <s v="Yes"/>
    <x v="0"/>
    <s v="No"/>
    <n v="13522"/>
    <n v="46"/>
    <n v="113"/>
    <n v="159"/>
    <n v="2785"/>
    <n v="1599"/>
    <n v="1599"/>
    <n v="1067"/>
    <n v="808"/>
    <n v="389"/>
    <n v="140"/>
    <n v="13442"/>
  </r>
  <r>
    <n v="2025"/>
    <n v="5"/>
    <x v="19"/>
    <s v="national network"/>
    <x v="1"/>
    <x v="0"/>
    <s v="Yes"/>
    <x v="0"/>
    <s v="No"/>
    <n v="950"/>
    <n v="2"/>
    <n v="7"/>
    <n v="9"/>
    <n v="357"/>
    <n v="202"/>
    <n v="202"/>
    <n v="146"/>
    <n v="104"/>
    <n v="49"/>
    <n v="17"/>
    <n v="946"/>
  </r>
  <r>
    <n v="2025"/>
    <n v="5"/>
    <x v="19"/>
    <s v="national network"/>
    <x v="1"/>
    <x v="2"/>
    <s v="Yes"/>
    <x v="0"/>
    <s v="No"/>
    <n v="997"/>
    <n v="7"/>
    <n v="0"/>
    <n v="7"/>
    <n v="0"/>
    <n v="0"/>
    <n v="0"/>
    <n v="0"/>
    <n v="0"/>
    <n v="0"/>
    <n v="0"/>
    <n v="0"/>
  </r>
  <r>
    <n v="2025"/>
    <n v="5"/>
    <x v="20"/>
    <s v="national network"/>
    <x v="2"/>
    <x v="0"/>
    <s v="No"/>
    <x v="1"/>
    <s v="No"/>
    <n v="710"/>
    <n v="0"/>
    <n v="0"/>
    <n v="0"/>
    <n v="15"/>
    <n v="11"/>
    <n v="8"/>
    <n v="2"/>
    <n v="1"/>
    <n v="0"/>
    <n v="0"/>
    <n v="710"/>
  </r>
  <r>
    <n v="2025"/>
    <n v="5"/>
    <x v="20"/>
    <s v="national network"/>
    <x v="3"/>
    <x v="0"/>
    <s v="No"/>
    <x v="1"/>
    <s v="No"/>
    <n v="20"/>
    <n v="0"/>
    <n v="0"/>
    <n v="0"/>
    <n v="1"/>
    <n v="1"/>
    <n v="0"/>
    <n v="0"/>
    <n v="0"/>
    <n v="0"/>
    <n v="0"/>
    <n v="20"/>
  </r>
  <r>
    <n v="2025"/>
    <n v="5"/>
    <x v="20"/>
    <s v="national network"/>
    <x v="4"/>
    <x v="0"/>
    <s v="No"/>
    <x v="0"/>
    <s v="Yes"/>
    <n v="152"/>
    <n v="0"/>
    <n v="0"/>
    <n v="0"/>
    <n v="11"/>
    <n v="9"/>
    <n v="8"/>
    <n v="6"/>
    <n v="5"/>
    <n v="5"/>
    <n v="0"/>
    <n v="152"/>
  </r>
  <r>
    <n v="2025"/>
    <n v="5"/>
    <x v="20"/>
    <s v="national network"/>
    <x v="0"/>
    <x v="0"/>
    <s v="No"/>
    <x v="1"/>
    <s v="No"/>
    <n v="62"/>
    <n v="0"/>
    <n v="0"/>
    <n v="0"/>
    <n v="4"/>
    <n v="3"/>
    <n v="3"/>
    <n v="2"/>
    <n v="1"/>
    <n v="0"/>
    <n v="0"/>
    <n v="62"/>
  </r>
  <r>
    <n v="2025"/>
    <n v="5"/>
    <x v="21"/>
    <s v="national network"/>
    <x v="2"/>
    <x v="0"/>
    <s v="No"/>
    <x v="1"/>
    <s v="No"/>
    <n v="124"/>
    <n v="0"/>
    <n v="0"/>
    <n v="0"/>
    <n v="27"/>
    <n v="24"/>
    <n v="22"/>
    <n v="17"/>
    <n v="13"/>
    <n v="7"/>
    <n v="2"/>
    <n v="124"/>
  </r>
  <r>
    <n v="2025"/>
    <n v="5"/>
    <x v="21"/>
    <s v="national network"/>
    <x v="48"/>
    <x v="1"/>
    <s v="No"/>
    <x v="1"/>
    <s v="No"/>
    <n v="2"/>
    <n v="0"/>
    <n v="0"/>
    <n v="0"/>
    <n v="2"/>
    <n v="2"/>
    <n v="2"/>
    <n v="2"/>
    <n v="2"/>
    <n v="1"/>
    <n v="0"/>
    <n v="2"/>
  </r>
  <r>
    <n v="2025"/>
    <n v="5"/>
    <x v="21"/>
    <s v="national network"/>
    <x v="3"/>
    <x v="1"/>
    <s v="No"/>
    <x v="1"/>
    <s v="No"/>
    <n v="6"/>
    <n v="0"/>
    <n v="0"/>
    <n v="0"/>
    <n v="5"/>
    <n v="3"/>
    <n v="3"/>
    <n v="2"/>
    <n v="1"/>
    <n v="0"/>
    <n v="0"/>
    <n v="6"/>
  </r>
  <r>
    <n v="2025"/>
    <n v="5"/>
    <x v="21"/>
    <s v="national network"/>
    <x v="3"/>
    <x v="0"/>
    <s v="No"/>
    <x v="1"/>
    <s v="No"/>
    <n v="1530"/>
    <n v="3"/>
    <n v="10"/>
    <n v="13"/>
    <n v="604"/>
    <n v="481"/>
    <n v="413"/>
    <n v="255"/>
    <n v="158"/>
    <n v="64"/>
    <n v="28"/>
    <n v="1519"/>
  </r>
  <r>
    <n v="2025"/>
    <n v="5"/>
    <x v="21"/>
    <s v="national network"/>
    <x v="7"/>
    <x v="0"/>
    <s v="No"/>
    <x v="0"/>
    <s v="No"/>
    <n v="1"/>
    <n v="0"/>
    <n v="0"/>
    <n v="0"/>
    <n v="0"/>
    <n v="0"/>
    <n v="0"/>
    <n v="0"/>
    <n v="0"/>
    <n v="0"/>
    <n v="0"/>
    <n v="1"/>
  </r>
  <r>
    <n v="2025"/>
    <n v="5"/>
    <x v="21"/>
    <s v="national network"/>
    <x v="4"/>
    <x v="0"/>
    <s v="No"/>
    <x v="0"/>
    <s v="Yes"/>
    <n v="32"/>
    <n v="0"/>
    <n v="25"/>
    <n v="25"/>
    <n v="3"/>
    <n v="3"/>
    <n v="2"/>
    <n v="1"/>
    <n v="1"/>
    <n v="0"/>
    <n v="0"/>
    <n v="32"/>
  </r>
  <r>
    <n v="2025"/>
    <n v="5"/>
    <x v="21"/>
    <s v="national network"/>
    <x v="28"/>
    <x v="1"/>
    <s v="No"/>
    <x v="0"/>
    <s v="No"/>
    <n v="33"/>
    <n v="0"/>
    <n v="1"/>
    <n v="1"/>
    <n v="10"/>
    <n v="10"/>
    <n v="10"/>
    <n v="8"/>
    <n v="6"/>
    <n v="3"/>
    <n v="1"/>
    <n v="33"/>
  </r>
  <r>
    <n v="2025"/>
    <n v="5"/>
    <x v="21"/>
    <s v="national network"/>
    <x v="28"/>
    <x v="0"/>
    <s v="No"/>
    <x v="0"/>
    <s v="No"/>
    <n v="2"/>
    <n v="0"/>
    <n v="0"/>
    <n v="0"/>
    <n v="2"/>
    <n v="2"/>
    <n v="2"/>
    <n v="2"/>
    <n v="2"/>
    <n v="1"/>
    <n v="0"/>
    <n v="2"/>
  </r>
  <r>
    <n v="2025"/>
    <n v="5"/>
    <x v="21"/>
    <s v="national network"/>
    <x v="28"/>
    <x v="2"/>
    <s v="No"/>
    <x v="0"/>
    <s v="No"/>
    <n v="1"/>
    <n v="0"/>
    <n v="0"/>
    <n v="0"/>
    <n v="0"/>
    <n v="0"/>
    <n v="0"/>
    <n v="0"/>
    <n v="0"/>
    <n v="0"/>
    <n v="0"/>
    <n v="0"/>
  </r>
  <r>
    <n v="2025"/>
    <n v="5"/>
    <x v="21"/>
    <s v="national network"/>
    <x v="31"/>
    <x v="1"/>
    <s v="No"/>
    <x v="0"/>
    <s v="No"/>
    <n v="515"/>
    <n v="0"/>
    <n v="27"/>
    <n v="27"/>
    <n v="327"/>
    <n v="291"/>
    <n v="270"/>
    <n v="189"/>
    <n v="137"/>
    <n v="68"/>
    <n v="26"/>
    <n v="490"/>
  </r>
  <r>
    <n v="2025"/>
    <n v="5"/>
    <x v="21"/>
    <s v="national network"/>
    <x v="32"/>
    <x v="1"/>
    <s v="No"/>
    <x v="0"/>
    <s v="No"/>
    <n v="301"/>
    <n v="0"/>
    <n v="8"/>
    <n v="8"/>
    <n v="178"/>
    <n v="153"/>
    <n v="143"/>
    <n v="102"/>
    <n v="65"/>
    <n v="32"/>
    <n v="16"/>
    <n v="294"/>
  </r>
  <r>
    <n v="2025"/>
    <n v="5"/>
    <x v="21"/>
    <s v="national network"/>
    <x v="33"/>
    <x v="1"/>
    <s v="Yes"/>
    <x v="0"/>
    <s v="No"/>
    <n v="7119"/>
    <n v="0"/>
    <n v="205"/>
    <n v="205"/>
    <n v="3184"/>
    <n v="2537"/>
    <n v="2260"/>
    <n v="1603"/>
    <n v="1167"/>
    <n v="584"/>
    <n v="178"/>
    <n v="6931"/>
  </r>
  <r>
    <n v="2025"/>
    <n v="5"/>
    <x v="21"/>
    <s v="national network"/>
    <x v="0"/>
    <x v="1"/>
    <s v="No"/>
    <x v="0"/>
    <s v="No"/>
    <n v="3145"/>
    <n v="0"/>
    <n v="125"/>
    <n v="125"/>
    <n v="1216"/>
    <n v="979"/>
    <n v="915"/>
    <n v="645"/>
    <n v="466"/>
    <n v="227"/>
    <n v="82"/>
    <n v="3042"/>
  </r>
  <r>
    <n v="2025"/>
    <n v="5"/>
    <x v="21"/>
    <s v="national network"/>
    <x v="34"/>
    <x v="1"/>
    <s v="No"/>
    <x v="0"/>
    <s v="Yes"/>
    <n v="595"/>
    <n v="0"/>
    <n v="0"/>
    <n v="0"/>
    <n v="182"/>
    <n v="151"/>
    <n v="137"/>
    <n v="108"/>
    <n v="85"/>
    <n v="56"/>
    <n v="32"/>
    <n v="595"/>
  </r>
  <r>
    <n v="2025"/>
    <n v="5"/>
    <x v="21"/>
    <s v="national network"/>
    <x v="9"/>
    <x v="1"/>
    <s v="No"/>
    <x v="0"/>
    <s v="No"/>
    <n v="6"/>
    <n v="0"/>
    <n v="3"/>
    <n v="3"/>
    <n v="1"/>
    <n v="1"/>
    <n v="1"/>
    <n v="1"/>
    <n v="1"/>
    <n v="1"/>
    <n v="0"/>
    <n v="5"/>
  </r>
  <r>
    <n v="2025"/>
    <n v="5"/>
    <x v="21"/>
    <s v="national network"/>
    <x v="9"/>
    <x v="0"/>
    <s v="No"/>
    <x v="0"/>
    <s v="No"/>
    <n v="44"/>
    <n v="0"/>
    <n v="0"/>
    <n v="0"/>
    <n v="0"/>
    <n v="0"/>
    <n v="0"/>
    <n v="0"/>
    <n v="0"/>
    <n v="0"/>
    <n v="0"/>
    <n v="44"/>
  </r>
  <r>
    <n v="2025"/>
    <n v="5"/>
    <x v="21"/>
    <s v="national network"/>
    <x v="35"/>
    <x v="1"/>
    <s v="No"/>
    <x v="1"/>
    <s v="No"/>
    <n v="6734"/>
    <n v="0"/>
    <n v="457"/>
    <n v="457"/>
    <n v="468"/>
    <n v="273"/>
    <n v="228"/>
    <n v="113"/>
    <n v="71"/>
    <n v="19"/>
    <n v="4"/>
    <n v="6342"/>
  </r>
  <r>
    <n v="2025"/>
    <n v="5"/>
    <x v="21"/>
    <s v="national network"/>
    <x v="36"/>
    <x v="1"/>
    <s v="No"/>
    <x v="1"/>
    <s v="No"/>
    <n v="30"/>
    <n v="0"/>
    <n v="4"/>
    <n v="4"/>
    <n v="11"/>
    <n v="10"/>
    <n v="10"/>
    <n v="10"/>
    <n v="9"/>
    <n v="7"/>
    <n v="1"/>
    <n v="26"/>
  </r>
  <r>
    <n v="2025"/>
    <n v="5"/>
    <x v="21"/>
    <s v="national network"/>
    <x v="36"/>
    <x v="2"/>
    <s v="No"/>
    <x v="1"/>
    <s v="No"/>
    <n v="9"/>
    <n v="2"/>
    <n v="0"/>
    <n v="2"/>
    <n v="0"/>
    <n v="0"/>
    <n v="0"/>
    <n v="0"/>
    <n v="0"/>
    <n v="0"/>
    <n v="0"/>
    <n v="0"/>
  </r>
  <r>
    <n v="2025"/>
    <n v="5"/>
    <x v="21"/>
    <s v="national network"/>
    <x v="5"/>
    <x v="1"/>
    <s v="No"/>
    <x v="0"/>
    <s v="Yes"/>
    <n v="2"/>
    <n v="0"/>
    <n v="0"/>
    <n v="0"/>
    <n v="1"/>
    <n v="1"/>
    <n v="1"/>
    <n v="1"/>
    <n v="1"/>
    <n v="0"/>
    <n v="0"/>
    <n v="2"/>
  </r>
  <r>
    <n v="2025"/>
    <n v="5"/>
    <x v="21"/>
    <s v="national network"/>
    <x v="5"/>
    <x v="0"/>
    <s v="No"/>
    <x v="0"/>
    <s v="Yes"/>
    <n v="202"/>
    <n v="0"/>
    <n v="0"/>
    <n v="0"/>
    <n v="62"/>
    <n v="55"/>
    <n v="53"/>
    <n v="43"/>
    <n v="31"/>
    <n v="14"/>
    <n v="11"/>
    <n v="202"/>
  </r>
  <r>
    <n v="2025"/>
    <n v="5"/>
    <x v="21"/>
    <s v="national network"/>
    <x v="37"/>
    <x v="1"/>
    <s v="No"/>
    <x v="1"/>
    <s v="No"/>
    <n v="233406"/>
    <n v="121"/>
    <n v="11523"/>
    <n v="11644"/>
    <n v="47552"/>
    <n v="27622"/>
    <n v="22193"/>
    <n v="11714"/>
    <n v="7067"/>
    <n v="2442"/>
    <n v="495"/>
    <n v="223270"/>
  </r>
  <r>
    <n v="2025"/>
    <n v="5"/>
    <x v="21"/>
    <s v="national network"/>
    <x v="37"/>
    <x v="0"/>
    <s v="No"/>
    <x v="1"/>
    <s v="No"/>
    <n v="5878"/>
    <n v="156"/>
    <n v="80"/>
    <n v="236"/>
    <n v="1076"/>
    <n v="605"/>
    <n v="494"/>
    <n v="227"/>
    <n v="139"/>
    <n v="22"/>
    <n v="3"/>
    <n v="5656"/>
  </r>
  <r>
    <n v="2025"/>
    <n v="5"/>
    <x v="21"/>
    <s v="national network"/>
    <x v="6"/>
    <x v="0"/>
    <s v="No"/>
    <x v="0"/>
    <s v="No"/>
    <n v="136"/>
    <n v="0"/>
    <n v="0"/>
    <n v="0"/>
    <n v="11"/>
    <n v="8"/>
    <n v="8"/>
    <n v="7"/>
    <n v="6"/>
    <n v="4"/>
    <n v="1"/>
    <n v="136"/>
  </r>
  <r>
    <n v="2025"/>
    <n v="5"/>
    <x v="21"/>
    <s v="national network"/>
    <x v="10"/>
    <x v="0"/>
    <s v="Yes"/>
    <x v="0"/>
    <s v="No"/>
    <n v="3"/>
    <n v="0"/>
    <n v="0"/>
    <n v="0"/>
    <n v="0"/>
    <n v="0"/>
    <n v="0"/>
    <n v="0"/>
    <n v="0"/>
    <n v="0"/>
    <n v="0"/>
    <n v="3"/>
  </r>
  <r>
    <n v="2025"/>
    <n v="5"/>
    <x v="22"/>
    <s v="whole journey"/>
    <x v="33"/>
    <x v="1"/>
    <s v="Yes"/>
    <x v="0"/>
    <s v="No"/>
    <n v="125"/>
    <n v="0"/>
    <n v="0"/>
    <n v="0"/>
    <n v="38"/>
    <n v="29"/>
    <n v="26"/>
    <n v="22"/>
    <n v="14"/>
    <n v="2"/>
    <n v="1"/>
    <n v="125"/>
  </r>
  <r>
    <n v="2025"/>
    <n v="5"/>
    <x v="22"/>
    <s v="whole journey"/>
    <x v="33"/>
    <x v="0"/>
    <s v="Yes"/>
    <x v="0"/>
    <s v="No"/>
    <n v="83"/>
    <n v="0"/>
    <n v="0"/>
    <n v="0"/>
    <n v="35"/>
    <n v="30"/>
    <n v="25"/>
    <n v="15"/>
    <n v="11"/>
    <n v="3"/>
    <n v="0"/>
    <n v="83"/>
  </r>
  <r>
    <n v="2025"/>
    <n v="5"/>
    <x v="23"/>
    <s v="national network"/>
    <x v="39"/>
    <x v="1"/>
    <s v="No"/>
    <x v="1"/>
    <s v="No"/>
    <n v="3161"/>
    <n v="0"/>
    <n v="0"/>
    <n v="0"/>
    <n v="22"/>
    <n v="21"/>
    <n v="20"/>
    <n v="16"/>
    <n v="11"/>
    <n v="6"/>
    <n v="4"/>
    <n v="3161"/>
  </r>
  <r>
    <n v="2025"/>
    <n v="5"/>
    <x v="23"/>
    <s v="national network"/>
    <x v="39"/>
    <x v="0"/>
    <s v="No"/>
    <x v="1"/>
    <s v="No"/>
    <n v="1311"/>
    <n v="0"/>
    <n v="0"/>
    <n v="0"/>
    <n v="1"/>
    <n v="1"/>
    <n v="1"/>
    <n v="1"/>
    <n v="1"/>
    <n v="0"/>
    <n v="0"/>
    <n v="1311"/>
  </r>
  <r>
    <n v="2025"/>
    <n v="5"/>
    <x v="23"/>
    <s v="national network"/>
    <x v="40"/>
    <x v="1"/>
    <s v="No"/>
    <x v="1"/>
    <s v="No"/>
    <n v="2232"/>
    <n v="0"/>
    <n v="0"/>
    <n v="0"/>
    <n v="0"/>
    <n v="0"/>
    <n v="0"/>
    <n v="0"/>
    <n v="0"/>
    <n v="0"/>
    <n v="0"/>
    <n v="2232"/>
  </r>
  <r>
    <n v="2025"/>
    <n v="5"/>
    <x v="23"/>
    <s v="national network"/>
    <x v="2"/>
    <x v="0"/>
    <s v="No"/>
    <x v="1"/>
    <s v="No"/>
    <n v="245"/>
    <n v="3"/>
    <n v="3"/>
    <n v="6"/>
    <n v="42"/>
    <n v="30"/>
    <n v="28"/>
    <n v="24"/>
    <n v="21"/>
    <n v="11"/>
    <n v="4"/>
    <n v="242"/>
  </r>
  <r>
    <n v="2025"/>
    <n v="5"/>
    <x v="23"/>
    <s v="national network"/>
    <x v="51"/>
    <x v="1"/>
    <s v="No"/>
    <x v="1"/>
    <s v="No"/>
    <n v="2"/>
    <n v="0"/>
    <n v="0"/>
    <n v="0"/>
    <n v="1"/>
    <n v="1"/>
    <n v="1"/>
    <n v="1"/>
    <n v="1"/>
    <n v="1"/>
    <n v="0"/>
    <n v="2"/>
  </r>
  <r>
    <n v="2025"/>
    <n v="5"/>
    <x v="23"/>
    <s v="national network"/>
    <x v="7"/>
    <x v="0"/>
    <s v="No"/>
    <x v="1"/>
    <s v="No"/>
    <n v="1"/>
    <n v="0"/>
    <n v="0"/>
    <n v="0"/>
    <n v="1"/>
    <n v="1"/>
    <n v="1"/>
    <n v="1"/>
    <n v="1"/>
    <n v="1"/>
    <n v="1"/>
    <n v="1"/>
  </r>
  <r>
    <n v="2025"/>
    <n v="5"/>
    <x v="23"/>
    <s v="national network"/>
    <x v="43"/>
    <x v="1"/>
    <s v="No"/>
    <x v="1"/>
    <s v="No"/>
    <n v="62"/>
    <n v="0"/>
    <n v="0"/>
    <n v="0"/>
    <n v="0"/>
    <n v="0"/>
    <n v="0"/>
    <n v="0"/>
    <n v="0"/>
    <n v="0"/>
    <n v="0"/>
    <n v="62"/>
  </r>
  <r>
    <n v="2025"/>
    <n v="5"/>
    <x v="23"/>
    <s v="national network"/>
    <x v="43"/>
    <x v="0"/>
    <s v="No"/>
    <x v="1"/>
    <s v="No"/>
    <n v="93"/>
    <n v="0"/>
    <n v="0"/>
    <n v="0"/>
    <n v="0"/>
    <n v="0"/>
    <n v="0"/>
    <n v="0"/>
    <n v="0"/>
    <n v="0"/>
    <n v="0"/>
    <n v="93"/>
  </r>
  <r>
    <n v="2025"/>
    <n v="5"/>
    <x v="23"/>
    <s v="national network"/>
    <x v="0"/>
    <x v="0"/>
    <s v="No"/>
    <x v="1"/>
    <s v="No"/>
    <n v="43"/>
    <n v="0"/>
    <n v="0"/>
    <n v="0"/>
    <n v="0"/>
    <n v="0"/>
    <n v="0"/>
    <n v="0"/>
    <n v="0"/>
    <n v="0"/>
    <n v="0"/>
    <n v="43"/>
  </r>
  <r>
    <n v="2025"/>
    <n v="5"/>
    <x v="23"/>
    <s v="national network"/>
    <x v="53"/>
    <x v="1"/>
    <s v="No"/>
    <x v="1"/>
    <s v="No"/>
    <n v="4"/>
    <n v="0"/>
    <n v="0"/>
    <n v="0"/>
    <n v="1"/>
    <n v="0"/>
    <n v="0"/>
    <n v="0"/>
    <n v="0"/>
    <n v="0"/>
    <n v="0"/>
    <n v="4"/>
  </r>
  <r>
    <n v="2025"/>
    <n v="5"/>
    <x v="23"/>
    <s v="national network"/>
    <x v="45"/>
    <x v="1"/>
    <s v="No"/>
    <x v="1"/>
    <s v="No"/>
    <n v="6"/>
    <n v="0"/>
    <n v="0"/>
    <n v="0"/>
    <n v="3"/>
    <n v="3"/>
    <n v="3"/>
    <n v="3"/>
    <n v="3"/>
    <n v="2"/>
    <n v="1"/>
    <n v="6"/>
  </r>
  <r>
    <n v="2025"/>
    <n v="5"/>
    <x v="23"/>
    <s v="national network"/>
    <x v="45"/>
    <x v="0"/>
    <s v="No"/>
    <x v="1"/>
    <s v="No"/>
    <n v="26"/>
    <n v="2"/>
    <n v="2"/>
    <n v="4"/>
    <n v="11"/>
    <n v="9"/>
    <n v="9"/>
    <n v="7"/>
    <n v="7"/>
    <n v="4"/>
    <n v="2"/>
    <n v="24"/>
  </r>
  <r>
    <n v="2025"/>
    <n v="5"/>
    <x v="23"/>
    <s v="national network"/>
    <x v="46"/>
    <x v="1"/>
    <s v="No"/>
    <x v="1"/>
    <s v="No"/>
    <n v="18"/>
    <n v="0"/>
    <n v="0"/>
    <n v="0"/>
    <n v="5"/>
    <n v="3"/>
    <n v="3"/>
    <n v="3"/>
    <n v="2"/>
    <n v="1"/>
    <n v="1"/>
    <n v="18"/>
  </r>
  <r>
    <n v="2025"/>
    <n v="5"/>
    <x v="24"/>
    <s v="national network"/>
    <x v="2"/>
    <x v="0"/>
    <s v="No"/>
    <x v="1"/>
    <s v="No"/>
    <n v="62"/>
    <n v="0"/>
    <n v="0"/>
    <n v="0"/>
    <n v="0"/>
    <n v="0"/>
    <n v="0"/>
    <n v="0"/>
    <n v="0"/>
    <n v="0"/>
    <n v="0"/>
    <n v="62"/>
  </r>
  <r>
    <n v="2025"/>
    <n v="5"/>
    <x v="25"/>
    <s v="whole journey"/>
    <x v="47"/>
    <x v="1"/>
    <s v="No"/>
    <x v="0"/>
    <s v="No"/>
    <n v="1328"/>
    <n v="0"/>
    <n v="0"/>
    <n v="0"/>
    <n v="25"/>
    <n v="19"/>
    <n v="18"/>
    <n v="11"/>
    <n v="6"/>
    <n v="4"/>
    <n v="2"/>
    <n v="1328"/>
  </r>
  <r>
    <n v="2025"/>
    <n v="5"/>
    <x v="25"/>
    <s v="whole journey"/>
    <x v="47"/>
    <x v="0"/>
    <s v="No"/>
    <x v="0"/>
    <s v="No"/>
    <n v="372"/>
    <n v="0"/>
    <n v="3"/>
    <n v="3"/>
    <n v="159"/>
    <n v="117"/>
    <n v="95"/>
    <n v="52"/>
    <n v="23"/>
    <n v="8"/>
    <n v="2"/>
    <n v="371"/>
  </r>
  <r>
    <n v="2025"/>
    <n v="5"/>
    <x v="26"/>
    <s v="national network"/>
    <x v="3"/>
    <x v="0"/>
    <s v="No"/>
    <x v="1"/>
    <s v="No"/>
    <n v="57"/>
    <n v="0"/>
    <n v="0"/>
    <n v="0"/>
    <n v="43"/>
    <n v="41"/>
    <n v="39"/>
    <n v="31"/>
    <n v="22"/>
    <n v="8"/>
    <n v="2"/>
    <n v="57"/>
  </r>
  <r>
    <n v="2025"/>
    <n v="5"/>
    <x v="26"/>
    <s v="national network"/>
    <x v="4"/>
    <x v="0"/>
    <s v="No"/>
    <x v="0"/>
    <s v="Yes"/>
    <n v="86"/>
    <n v="1"/>
    <n v="0"/>
    <n v="1"/>
    <n v="10"/>
    <n v="6"/>
    <n v="6"/>
    <n v="6"/>
    <n v="4"/>
    <n v="2"/>
    <n v="2"/>
    <n v="85"/>
  </r>
  <r>
    <n v="2025"/>
    <n v="5"/>
    <x v="26"/>
    <s v="national network"/>
    <x v="5"/>
    <x v="0"/>
    <s v="No"/>
    <x v="0"/>
    <s v="Yes"/>
    <n v="1"/>
    <n v="0"/>
    <n v="0"/>
    <n v="0"/>
    <n v="0"/>
    <n v="0"/>
    <n v="0"/>
    <n v="0"/>
    <n v="0"/>
    <n v="0"/>
    <n v="0"/>
    <n v="1"/>
  </r>
  <r>
    <n v="2025"/>
    <n v="5"/>
    <x v="26"/>
    <s v="national network"/>
    <x v="10"/>
    <x v="0"/>
    <s v="Yes"/>
    <x v="0"/>
    <s v="No"/>
    <n v="62"/>
    <n v="0"/>
    <n v="0"/>
    <n v="0"/>
    <n v="6"/>
    <n v="0"/>
    <n v="0"/>
    <n v="0"/>
    <n v="0"/>
    <n v="0"/>
    <n v="0"/>
    <n v="62"/>
  </r>
  <r>
    <n v="2025"/>
    <n v="6"/>
    <x v="0"/>
    <s v="national network"/>
    <x v="0"/>
    <x v="0"/>
    <s v="No"/>
    <x v="0"/>
    <s v="No"/>
    <n v="1131"/>
    <n v="12"/>
    <n v="0"/>
    <n v="12"/>
    <n v="113"/>
    <n v="70"/>
    <n v="61"/>
    <n v="34"/>
    <n v="22"/>
    <n v="4"/>
    <n v="0"/>
    <n v="1119"/>
  </r>
  <r>
    <n v="2025"/>
    <n v="6"/>
    <x v="0"/>
    <s v="national network"/>
    <x v="1"/>
    <x v="0"/>
    <s v="Yes"/>
    <x v="0"/>
    <s v="No"/>
    <n v="69"/>
    <n v="0"/>
    <n v="0"/>
    <n v="0"/>
    <n v="40"/>
    <n v="17"/>
    <n v="17"/>
    <n v="16"/>
    <n v="7"/>
    <n v="3"/>
    <n v="2"/>
    <n v="69"/>
  </r>
  <r>
    <n v="2025"/>
    <n v="6"/>
    <x v="0"/>
    <s v="national network"/>
    <x v="1"/>
    <x v="2"/>
    <s v="Yes"/>
    <x v="0"/>
    <s v="No"/>
    <n v="3"/>
    <n v="0"/>
    <n v="0"/>
    <n v="0"/>
    <n v="0"/>
    <n v="0"/>
    <n v="0"/>
    <n v="0"/>
    <n v="0"/>
    <n v="0"/>
    <n v="0"/>
    <n v="0"/>
  </r>
  <r>
    <n v="2025"/>
    <n v="6"/>
    <x v="1"/>
    <s v="national network"/>
    <x v="2"/>
    <x v="0"/>
    <s v="No"/>
    <x v="1"/>
    <s v="No"/>
    <n v="60"/>
    <n v="0"/>
    <n v="0"/>
    <n v="0"/>
    <n v="6"/>
    <n v="6"/>
    <n v="6"/>
    <n v="2"/>
    <n v="0"/>
    <n v="0"/>
    <n v="0"/>
    <n v="60"/>
  </r>
  <r>
    <n v="2025"/>
    <n v="6"/>
    <x v="2"/>
    <s v="national network"/>
    <x v="3"/>
    <x v="0"/>
    <s v="No"/>
    <x v="1"/>
    <s v="No"/>
    <n v="987"/>
    <n v="3"/>
    <n v="0"/>
    <n v="3"/>
    <n v="333"/>
    <n v="278"/>
    <n v="256"/>
    <n v="174"/>
    <n v="135"/>
    <n v="81"/>
    <n v="30"/>
    <n v="984"/>
  </r>
  <r>
    <n v="2025"/>
    <n v="6"/>
    <x v="2"/>
    <s v="national network"/>
    <x v="4"/>
    <x v="0"/>
    <s v="No"/>
    <x v="0"/>
    <s v="Yes"/>
    <n v="183"/>
    <n v="0"/>
    <n v="0"/>
    <n v="0"/>
    <n v="134"/>
    <n v="116"/>
    <n v="105"/>
    <n v="89"/>
    <n v="79"/>
    <n v="49"/>
    <n v="19"/>
    <n v="183"/>
  </r>
  <r>
    <n v="2025"/>
    <n v="6"/>
    <x v="2"/>
    <s v="national network"/>
    <x v="0"/>
    <x v="0"/>
    <s v="No"/>
    <x v="1"/>
    <s v="No"/>
    <n v="240"/>
    <n v="0"/>
    <n v="0"/>
    <n v="0"/>
    <n v="0"/>
    <n v="0"/>
    <n v="0"/>
    <n v="0"/>
    <n v="0"/>
    <n v="0"/>
    <n v="0"/>
    <n v="240"/>
  </r>
  <r>
    <n v="2025"/>
    <n v="6"/>
    <x v="2"/>
    <s v="national network"/>
    <x v="0"/>
    <x v="0"/>
    <s v="No"/>
    <x v="0"/>
    <s v="No"/>
    <n v="60"/>
    <n v="0"/>
    <n v="0"/>
    <n v="0"/>
    <n v="32"/>
    <n v="29"/>
    <n v="27"/>
    <n v="22"/>
    <n v="17"/>
    <n v="9"/>
    <n v="7"/>
    <n v="60"/>
  </r>
  <r>
    <n v="2025"/>
    <n v="6"/>
    <x v="2"/>
    <s v="national network"/>
    <x v="5"/>
    <x v="0"/>
    <s v="No"/>
    <x v="0"/>
    <s v="Yes"/>
    <n v="60"/>
    <n v="0"/>
    <n v="0"/>
    <n v="0"/>
    <n v="51"/>
    <n v="45"/>
    <n v="43"/>
    <n v="39"/>
    <n v="36"/>
    <n v="22"/>
    <n v="5"/>
    <n v="60"/>
  </r>
  <r>
    <n v="2025"/>
    <n v="6"/>
    <x v="2"/>
    <s v="national network"/>
    <x v="6"/>
    <x v="0"/>
    <s v="No"/>
    <x v="0"/>
    <s v="No"/>
    <n v="480"/>
    <n v="0"/>
    <n v="1"/>
    <n v="1"/>
    <n v="98"/>
    <n v="86"/>
    <n v="81"/>
    <n v="54"/>
    <n v="40"/>
    <n v="23"/>
    <n v="7"/>
    <n v="479"/>
  </r>
  <r>
    <n v="2025"/>
    <n v="6"/>
    <x v="3"/>
    <s v="national network"/>
    <x v="3"/>
    <x v="1"/>
    <s v="No"/>
    <x v="0"/>
    <s v="No"/>
    <n v="4"/>
    <n v="4"/>
    <n v="0"/>
    <n v="4"/>
    <n v="0"/>
    <n v="0"/>
    <n v="0"/>
    <n v="0"/>
    <n v="0"/>
    <n v="0"/>
    <n v="0"/>
    <n v="0"/>
  </r>
  <r>
    <n v="2025"/>
    <n v="6"/>
    <x v="3"/>
    <s v="national network"/>
    <x v="3"/>
    <x v="0"/>
    <s v="No"/>
    <x v="0"/>
    <s v="No"/>
    <n v="2061"/>
    <n v="24"/>
    <n v="108"/>
    <n v="132"/>
    <n v="1357"/>
    <n v="1182"/>
    <n v="1105"/>
    <n v="856"/>
    <n v="678"/>
    <n v="378"/>
    <n v="105"/>
    <n v="1993"/>
  </r>
  <r>
    <n v="2025"/>
    <n v="6"/>
    <x v="3"/>
    <s v="national network"/>
    <x v="7"/>
    <x v="0"/>
    <s v="No"/>
    <x v="0"/>
    <s v="No"/>
    <n v="45"/>
    <n v="2"/>
    <n v="1"/>
    <n v="3"/>
    <n v="34"/>
    <n v="29"/>
    <n v="27"/>
    <n v="23"/>
    <n v="17"/>
    <n v="6"/>
    <n v="3"/>
    <n v="43"/>
  </r>
  <r>
    <n v="2025"/>
    <n v="6"/>
    <x v="3"/>
    <s v="national network"/>
    <x v="4"/>
    <x v="0"/>
    <s v="No"/>
    <x v="0"/>
    <s v="Yes"/>
    <n v="358"/>
    <n v="7"/>
    <n v="4"/>
    <n v="11"/>
    <n v="161"/>
    <n v="139"/>
    <n v="129"/>
    <n v="109"/>
    <n v="98"/>
    <n v="65"/>
    <n v="37"/>
    <n v="350"/>
  </r>
  <r>
    <n v="2025"/>
    <n v="6"/>
    <x v="3"/>
    <s v="national network"/>
    <x v="0"/>
    <x v="1"/>
    <s v="No"/>
    <x v="0"/>
    <s v="No"/>
    <n v="4670"/>
    <n v="364"/>
    <n v="545"/>
    <n v="909"/>
    <n v="2534"/>
    <n v="2175"/>
    <n v="2039"/>
    <n v="1576"/>
    <n v="1183"/>
    <n v="553"/>
    <n v="146"/>
    <n v="4083"/>
  </r>
  <r>
    <n v="2025"/>
    <n v="6"/>
    <x v="3"/>
    <s v="national network"/>
    <x v="0"/>
    <x v="0"/>
    <s v="No"/>
    <x v="0"/>
    <s v="No"/>
    <n v="1925"/>
    <n v="155"/>
    <n v="204"/>
    <n v="359"/>
    <n v="952"/>
    <n v="801"/>
    <n v="746"/>
    <n v="562"/>
    <n v="425"/>
    <n v="208"/>
    <n v="58"/>
    <n v="1672"/>
  </r>
  <r>
    <n v="2025"/>
    <n v="6"/>
    <x v="3"/>
    <s v="national network"/>
    <x v="8"/>
    <x v="1"/>
    <s v="Yes"/>
    <x v="0"/>
    <s v="No"/>
    <n v="14859"/>
    <n v="1023"/>
    <n v="1578"/>
    <n v="2601"/>
    <n v="8714"/>
    <n v="7644"/>
    <n v="7246"/>
    <n v="5874"/>
    <n v="4637"/>
    <n v="2439"/>
    <n v="766"/>
    <n v="13164"/>
  </r>
  <r>
    <n v="2025"/>
    <n v="6"/>
    <x v="3"/>
    <s v="national network"/>
    <x v="8"/>
    <x v="0"/>
    <s v="Yes"/>
    <x v="0"/>
    <s v="No"/>
    <n v="3485"/>
    <n v="86"/>
    <n v="291"/>
    <n v="377"/>
    <n v="2290"/>
    <n v="1986"/>
    <n v="1909"/>
    <n v="1569"/>
    <n v="1262"/>
    <n v="676"/>
    <n v="224"/>
    <n v="3269"/>
  </r>
  <r>
    <n v="2025"/>
    <n v="6"/>
    <x v="3"/>
    <s v="national network"/>
    <x v="8"/>
    <x v="2"/>
    <s v="Yes"/>
    <x v="0"/>
    <s v="No"/>
    <n v="4"/>
    <n v="0"/>
    <n v="0"/>
    <n v="0"/>
    <n v="0"/>
    <n v="0"/>
    <n v="0"/>
    <n v="0"/>
    <n v="0"/>
    <n v="0"/>
    <n v="0"/>
    <n v="0"/>
  </r>
  <r>
    <n v="2025"/>
    <n v="6"/>
    <x v="3"/>
    <s v="national network"/>
    <x v="9"/>
    <x v="0"/>
    <s v="No"/>
    <x v="0"/>
    <s v="No"/>
    <n v="487"/>
    <n v="15"/>
    <n v="0"/>
    <n v="15"/>
    <n v="24"/>
    <n v="17"/>
    <n v="14"/>
    <n v="6"/>
    <n v="1"/>
    <n v="0"/>
    <n v="0"/>
    <n v="472"/>
  </r>
  <r>
    <n v="2025"/>
    <n v="6"/>
    <x v="3"/>
    <s v="national network"/>
    <x v="5"/>
    <x v="1"/>
    <s v="No"/>
    <x v="0"/>
    <s v="Yes"/>
    <n v="29"/>
    <n v="0"/>
    <n v="4"/>
    <n v="4"/>
    <n v="13"/>
    <n v="11"/>
    <n v="11"/>
    <n v="9"/>
    <n v="8"/>
    <n v="6"/>
    <n v="5"/>
    <n v="26"/>
  </r>
  <r>
    <n v="2025"/>
    <n v="6"/>
    <x v="3"/>
    <s v="national network"/>
    <x v="5"/>
    <x v="0"/>
    <s v="No"/>
    <x v="0"/>
    <s v="Yes"/>
    <n v="579"/>
    <n v="3"/>
    <n v="46"/>
    <n v="49"/>
    <n v="362"/>
    <n v="320"/>
    <n v="305"/>
    <n v="268"/>
    <n v="233"/>
    <n v="167"/>
    <n v="86"/>
    <n v="564"/>
  </r>
  <r>
    <n v="2025"/>
    <n v="6"/>
    <x v="3"/>
    <s v="national network"/>
    <x v="6"/>
    <x v="0"/>
    <s v="No"/>
    <x v="0"/>
    <s v="No"/>
    <n v="590"/>
    <n v="8"/>
    <n v="22"/>
    <n v="30"/>
    <n v="281"/>
    <n v="232"/>
    <n v="215"/>
    <n v="166"/>
    <n v="121"/>
    <n v="54"/>
    <n v="13"/>
    <n v="575"/>
  </r>
  <r>
    <n v="2025"/>
    <n v="6"/>
    <x v="3"/>
    <s v="national network"/>
    <x v="10"/>
    <x v="0"/>
    <s v="Yes"/>
    <x v="0"/>
    <s v="No"/>
    <n v="385"/>
    <n v="6"/>
    <n v="19"/>
    <n v="25"/>
    <n v="243"/>
    <n v="216"/>
    <n v="207"/>
    <n v="152"/>
    <n v="122"/>
    <n v="41"/>
    <n v="10"/>
    <n v="373"/>
  </r>
  <r>
    <n v="2025"/>
    <n v="6"/>
    <x v="3"/>
    <s v="national network"/>
    <x v="11"/>
    <x v="0"/>
    <s v="Yes"/>
    <x v="0"/>
    <s v="No"/>
    <n v="153"/>
    <n v="2"/>
    <n v="2"/>
    <n v="4"/>
    <n v="100"/>
    <n v="86"/>
    <n v="83"/>
    <n v="59"/>
    <n v="43"/>
    <n v="21"/>
    <n v="12"/>
    <n v="150"/>
  </r>
  <r>
    <n v="2025"/>
    <n v="6"/>
    <x v="3"/>
    <s v="national network"/>
    <x v="1"/>
    <x v="0"/>
    <s v="Yes"/>
    <x v="0"/>
    <s v="No"/>
    <n v="4"/>
    <n v="2"/>
    <n v="0"/>
    <n v="2"/>
    <n v="0"/>
    <n v="0"/>
    <n v="0"/>
    <n v="0"/>
    <n v="0"/>
    <n v="0"/>
    <n v="0"/>
    <n v="2"/>
  </r>
  <r>
    <n v="2025"/>
    <n v="6"/>
    <x v="3"/>
    <s v="national network"/>
    <x v="1"/>
    <x v="2"/>
    <s v="Yes"/>
    <x v="0"/>
    <s v="No"/>
    <n v="1"/>
    <n v="0"/>
    <n v="0"/>
    <n v="0"/>
    <n v="0"/>
    <n v="0"/>
    <n v="0"/>
    <n v="0"/>
    <n v="0"/>
    <n v="0"/>
    <n v="0"/>
    <n v="0"/>
  </r>
  <r>
    <n v="2025"/>
    <n v="6"/>
    <x v="4"/>
    <s v="national network"/>
    <x v="3"/>
    <x v="0"/>
    <s v="No"/>
    <x v="1"/>
    <s v="No"/>
    <n v="469"/>
    <n v="6"/>
    <n v="5"/>
    <n v="11"/>
    <n v="173"/>
    <n v="145"/>
    <n v="135"/>
    <n v="97"/>
    <n v="72"/>
    <n v="29"/>
    <n v="6"/>
    <n v="460"/>
  </r>
  <r>
    <n v="2025"/>
    <n v="6"/>
    <x v="4"/>
    <s v="national network"/>
    <x v="4"/>
    <x v="0"/>
    <s v="No"/>
    <x v="0"/>
    <s v="Yes"/>
    <n v="58"/>
    <n v="0"/>
    <n v="0"/>
    <n v="0"/>
    <n v="37"/>
    <n v="36"/>
    <n v="34"/>
    <n v="30"/>
    <n v="27"/>
    <n v="19"/>
    <n v="15"/>
    <n v="58"/>
  </r>
  <r>
    <n v="2025"/>
    <n v="6"/>
    <x v="4"/>
    <s v="national network"/>
    <x v="0"/>
    <x v="0"/>
    <s v="No"/>
    <x v="0"/>
    <s v="No"/>
    <n v="509"/>
    <n v="0"/>
    <n v="4"/>
    <n v="4"/>
    <n v="114"/>
    <n v="69"/>
    <n v="58"/>
    <n v="32"/>
    <n v="21"/>
    <n v="3"/>
    <n v="0"/>
    <n v="507"/>
  </r>
  <r>
    <n v="2025"/>
    <n v="6"/>
    <x v="5"/>
    <s v="whole journey"/>
    <x v="12"/>
    <x v="0"/>
    <s v="No"/>
    <x v="0"/>
    <s v="Yes"/>
    <n v="25"/>
    <n v="0"/>
    <n v="4"/>
    <n v="4"/>
    <n v="12"/>
    <n v="11"/>
    <n v="11"/>
    <n v="11"/>
    <n v="10"/>
    <n v="7"/>
    <n v="4"/>
    <n v="24"/>
  </r>
  <r>
    <n v="2025"/>
    <n v="6"/>
    <x v="5"/>
    <s v="whole journey"/>
    <x v="12"/>
    <x v="2"/>
    <s v="No"/>
    <x v="0"/>
    <s v="Yes"/>
    <n v="1"/>
    <n v="0"/>
    <n v="0"/>
    <n v="0"/>
    <n v="0"/>
    <n v="0"/>
    <n v="0"/>
    <n v="0"/>
    <n v="0"/>
    <n v="0"/>
    <n v="0"/>
    <n v="0"/>
  </r>
  <r>
    <n v="2025"/>
    <n v="6"/>
    <x v="6"/>
    <s v="whole journey"/>
    <x v="13"/>
    <x v="0"/>
    <s v="Yes"/>
    <x v="0"/>
    <s v="No"/>
    <n v="3719"/>
    <n v="166"/>
    <n v="183"/>
    <n v="349"/>
    <n v="1089"/>
    <n v="1071"/>
    <n v="1060"/>
    <n v="807"/>
    <n v="645"/>
    <n v="332"/>
    <n v="128"/>
    <n v="3497"/>
  </r>
  <r>
    <n v="2025"/>
    <n v="6"/>
    <x v="7"/>
    <s v="whole journey"/>
    <x v="14"/>
    <x v="1"/>
    <s v="No"/>
    <x v="0"/>
    <s v="No"/>
    <n v="523"/>
    <n v="20"/>
    <n v="25"/>
    <n v="45"/>
    <n v="329"/>
    <n v="293"/>
    <n v="284"/>
    <n v="230"/>
    <n v="190"/>
    <n v="110"/>
    <n v="38"/>
    <n v="499"/>
  </r>
  <r>
    <n v="2025"/>
    <n v="6"/>
    <x v="7"/>
    <s v="whole journey"/>
    <x v="14"/>
    <x v="0"/>
    <s v="No"/>
    <x v="0"/>
    <s v="No"/>
    <n v="60"/>
    <n v="2"/>
    <n v="2"/>
    <n v="4"/>
    <n v="32"/>
    <n v="27"/>
    <n v="26"/>
    <n v="21"/>
    <n v="16"/>
    <n v="11"/>
    <n v="5"/>
    <n v="58"/>
  </r>
  <r>
    <n v="2025"/>
    <n v="6"/>
    <x v="8"/>
    <s v="national network"/>
    <x v="2"/>
    <x v="0"/>
    <s v="No"/>
    <x v="1"/>
    <s v="No"/>
    <n v="180"/>
    <n v="0"/>
    <n v="0"/>
    <n v="0"/>
    <n v="0"/>
    <n v="0"/>
    <n v="0"/>
    <n v="0"/>
    <n v="0"/>
    <n v="0"/>
    <n v="0"/>
    <n v="180"/>
  </r>
  <r>
    <n v="2025"/>
    <n v="6"/>
    <x v="8"/>
    <s v="national network"/>
    <x v="4"/>
    <x v="0"/>
    <s v="No"/>
    <x v="0"/>
    <s v="Yes"/>
    <n v="150"/>
    <n v="3"/>
    <n v="0"/>
    <n v="3"/>
    <n v="21"/>
    <n v="14"/>
    <n v="13"/>
    <n v="12"/>
    <n v="6"/>
    <n v="4"/>
    <n v="1"/>
    <n v="147"/>
  </r>
  <r>
    <n v="2025"/>
    <n v="6"/>
    <x v="9"/>
    <s v="national network"/>
    <x v="2"/>
    <x v="0"/>
    <s v="No"/>
    <x v="1"/>
    <s v="No"/>
    <n v="120"/>
    <n v="0"/>
    <n v="0"/>
    <n v="0"/>
    <n v="6"/>
    <n v="6"/>
    <n v="6"/>
    <n v="3"/>
    <n v="1"/>
    <n v="1"/>
    <n v="0"/>
    <n v="120"/>
  </r>
  <r>
    <n v="2025"/>
    <n v="6"/>
    <x v="9"/>
    <s v="national network"/>
    <x v="3"/>
    <x v="0"/>
    <s v="No"/>
    <x v="0"/>
    <s v="No"/>
    <n v="535"/>
    <n v="1"/>
    <n v="0"/>
    <n v="1"/>
    <n v="117"/>
    <n v="107"/>
    <n v="98"/>
    <n v="72"/>
    <n v="58"/>
    <n v="32"/>
    <n v="10"/>
    <n v="534"/>
  </r>
  <r>
    <n v="2025"/>
    <n v="6"/>
    <x v="9"/>
    <s v="national network"/>
    <x v="4"/>
    <x v="0"/>
    <s v="No"/>
    <x v="0"/>
    <s v="Yes"/>
    <n v="179"/>
    <n v="3"/>
    <n v="0"/>
    <n v="3"/>
    <n v="16"/>
    <n v="9"/>
    <n v="9"/>
    <n v="5"/>
    <n v="4"/>
    <n v="2"/>
    <n v="0"/>
    <n v="176"/>
  </r>
  <r>
    <n v="2025"/>
    <n v="6"/>
    <x v="9"/>
    <s v="national network"/>
    <x v="0"/>
    <x v="0"/>
    <s v="No"/>
    <x v="0"/>
    <s v="No"/>
    <n v="240"/>
    <n v="0"/>
    <n v="0"/>
    <n v="0"/>
    <n v="3"/>
    <n v="1"/>
    <n v="1"/>
    <n v="1"/>
    <n v="1"/>
    <n v="1"/>
    <n v="0"/>
    <n v="240"/>
  </r>
  <r>
    <n v="2025"/>
    <n v="6"/>
    <x v="9"/>
    <s v="national network"/>
    <x v="5"/>
    <x v="0"/>
    <s v="No"/>
    <x v="0"/>
    <s v="Yes"/>
    <n v="1"/>
    <n v="0"/>
    <n v="0"/>
    <n v="0"/>
    <n v="0"/>
    <n v="0"/>
    <n v="0"/>
    <n v="0"/>
    <n v="0"/>
    <n v="0"/>
    <n v="0"/>
    <n v="1"/>
  </r>
  <r>
    <n v="2025"/>
    <n v="6"/>
    <x v="9"/>
    <s v="national network"/>
    <x v="6"/>
    <x v="0"/>
    <s v="No"/>
    <x v="0"/>
    <s v="No"/>
    <n v="70"/>
    <n v="0"/>
    <n v="0"/>
    <n v="0"/>
    <n v="14"/>
    <n v="11"/>
    <n v="11"/>
    <n v="6"/>
    <n v="5"/>
    <n v="0"/>
    <n v="0"/>
    <n v="70"/>
  </r>
  <r>
    <n v="2025"/>
    <n v="6"/>
    <x v="9"/>
    <s v="national network"/>
    <x v="10"/>
    <x v="0"/>
    <s v="Yes"/>
    <x v="0"/>
    <s v="No"/>
    <n v="410"/>
    <n v="1"/>
    <n v="0"/>
    <n v="1"/>
    <n v="146"/>
    <n v="128"/>
    <n v="114"/>
    <n v="88"/>
    <n v="58"/>
    <n v="19"/>
    <n v="4"/>
    <n v="409"/>
  </r>
  <r>
    <n v="2025"/>
    <n v="6"/>
    <x v="10"/>
    <s v="national network"/>
    <x v="15"/>
    <x v="0"/>
    <s v="No"/>
    <x v="0"/>
    <s v="No"/>
    <n v="703"/>
    <n v="13"/>
    <n v="2"/>
    <n v="15"/>
    <n v="68"/>
    <n v="42"/>
    <n v="36"/>
    <n v="22"/>
    <n v="13"/>
    <n v="4"/>
    <n v="1"/>
    <n v="690"/>
  </r>
  <r>
    <n v="2025"/>
    <n v="6"/>
    <x v="10"/>
    <s v="national network"/>
    <x v="16"/>
    <x v="1"/>
    <s v="No"/>
    <x v="0"/>
    <s v="No"/>
    <n v="2"/>
    <n v="0"/>
    <n v="1"/>
    <n v="1"/>
    <n v="0"/>
    <n v="0"/>
    <n v="0"/>
    <n v="0"/>
    <n v="0"/>
    <n v="0"/>
    <n v="0"/>
    <n v="1"/>
  </r>
  <r>
    <n v="2025"/>
    <n v="6"/>
    <x v="10"/>
    <s v="national network"/>
    <x v="16"/>
    <x v="0"/>
    <s v="No"/>
    <x v="0"/>
    <s v="No"/>
    <n v="148"/>
    <n v="0"/>
    <n v="0"/>
    <n v="0"/>
    <n v="9"/>
    <n v="7"/>
    <n v="7"/>
    <n v="3"/>
    <n v="2"/>
    <n v="0"/>
    <n v="0"/>
    <n v="148"/>
  </r>
  <r>
    <n v="2025"/>
    <n v="6"/>
    <x v="10"/>
    <s v="national network"/>
    <x v="0"/>
    <x v="1"/>
    <s v="No"/>
    <x v="0"/>
    <s v="No"/>
    <n v="35035"/>
    <n v="0"/>
    <n v="8081"/>
    <n v="8081"/>
    <n v="3179"/>
    <n v="1762"/>
    <n v="1385"/>
    <n v="681"/>
    <n v="284"/>
    <n v="21"/>
    <n v="0"/>
    <n v="28280"/>
  </r>
  <r>
    <n v="2025"/>
    <n v="6"/>
    <x v="10"/>
    <s v="national network"/>
    <x v="0"/>
    <x v="0"/>
    <s v="No"/>
    <x v="0"/>
    <s v="No"/>
    <n v="439"/>
    <n v="61"/>
    <n v="5"/>
    <n v="66"/>
    <n v="191"/>
    <n v="178"/>
    <n v="173"/>
    <n v="157"/>
    <n v="121"/>
    <n v="64"/>
    <n v="17"/>
    <n v="375"/>
  </r>
  <r>
    <n v="2025"/>
    <n v="6"/>
    <x v="10"/>
    <s v="national network"/>
    <x v="17"/>
    <x v="1"/>
    <s v="No"/>
    <x v="0"/>
    <s v="No"/>
    <n v="2962"/>
    <n v="0"/>
    <n v="1022"/>
    <n v="1022"/>
    <n v="332"/>
    <n v="207"/>
    <n v="189"/>
    <n v="97"/>
    <n v="46"/>
    <n v="5"/>
    <n v="0"/>
    <n v="2114"/>
  </r>
  <r>
    <n v="2025"/>
    <n v="6"/>
    <x v="10"/>
    <s v="national network"/>
    <x v="8"/>
    <x v="0"/>
    <s v="Yes"/>
    <x v="0"/>
    <s v="No"/>
    <n v="450"/>
    <n v="18"/>
    <n v="14"/>
    <n v="32"/>
    <n v="176"/>
    <n v="156"/>
    <n v="148"/>
    <n v="132"/>
    <n v="104"/>
    <n v="40"/>
    <n v="10"/>
    <n v="427"/>
  </r>
  <r>
    <n v="2025"/>
    <n v="6"/>
    <x v="10"/>
    <s v="national network"/>
    <x v="5"/>
    <x v="0"/>
    <s v="No"/>
    <x v="0"/>
    <s v="Yes"/>
    <n v="180"/>
    <n v="17"/>
    <n v="2"/>
    <n v="19"/>
    <n v="115"/>
    <n v="100"/>
    <n v="95"/>
    <n v="86"/>
    <n v="69"/>
    <n v="57"/>
    <n v="38"/>
    <n v="162"/>
  </r>
  <r>
    <n v="2025"/>
    <n v="6"/>
    <x v="10"/>
    <s v="national network"/>
    <x v="18"/>
    <x v="1"/>
    <s v="No"/>
    <x v="0"/>
    <s v="Yes"/>
    <n v="15"/>
    <n v="0"/>
    <n v="0"/>
    <n v="0"/>
    <n v="6"/>
    <n v="4"/>
    <n v="4"/>
    <n v="2"/>
    <n v="1"/>
    <n v="0"/>
    <n v="0"/>
    <n v="15"/>
  </r>
  <r>
    <n v="2025"/>
    <n v="6"/>
    <x v="10"/>
    <s v="national network"/>
    <x v="19"/>
    <x v="1"/>
    <s v="No"/>
    <x v="1"/>
    <s v="No"/>
    <n v="3432"/>
    <n v="0"/>
    <n v="49"/>
    <n v="49"/>
    <n v="232"/>
    <n v="109"/>
    <n v="83"/>
    <n v="36"/>
    <n v="16"/>
    <n v="0"/>
    <n v="0"/>
    <n v="3389"/>
  </r>
  <r>
    <n v="2025"/>
    <n v="6"/>
    <x v="10"/>
    <s v="national network"/>
    <x v="20"/>
    <x v="1"/>
    <s v="No"/>
    <x v="1"/>
    <s v="No"/>
    <n v="73819"/>
    <n v="0"/>
    <n v="10469"/>
    <n v="10469"/>
    <n v="4345"/>
    <n v="2128"/>
    <n v="1614"/>
    <n v="636"/>
    <n v="261"/>
    <n v="33"/>
    <n v="0"/>
    <n v="64632"/>
  </r>
  <r>
    <n v="2025"/>
    <n v="6"/>
    <x v="10"/>
    <s v="national network"/>
    <x v="21"/>
    <x v="1"/>
    <s v="No"/>
    <x v="1"/>
    <s v="No"/>
    <n v="36440"/>
    <n v="1"/>
    <n v="1049"/>
    <n v="1050"/>
    <n v="2085"/>
    <n v="798"/>
    <n v="535"/>
    <n v="202"/>
    <n v="87"/>
    <n v="10"/>
    <n v="0"/>
    <n v="35648"/>
  </r>
  <r>
    <n v="2025"/>
    <n v="6"/>
    <x v="11"/>
    <s v="national network"/>
    <x v="2"/>
    <x v="1"/>
    <s v="No"/>
    <x v="0"/>
    <s v="No"/>
    <n v="886"/>
    <n v="26"/>
    <n v="9"/>
    <n v="35"/>
    <n v="205"/>
    <n v="150"/>
    <n v="134"/>
    <n v="99"/>
    <n v="71"/>
    <n v="31"/>
    <n v="10"/>
    <n v="854"/>
  </r>
  <r>
    <n v="2025"/>
    <n v="6"/>
    <x v="11"/>
    <s v="national network"/>
    <x v="2"/>
    <x v="0"/>
    <s v="No"/>
    <x v="0"/>
    <s v="No"/>
    <n v="930"/>
    <n v="1"/>
    <n v="7"/>
    <n v="8"/>
    <n v="249"/>
    <n v="179"/>
    <n v="150"/>
    <n v="92"/>
    <n v="55"/>
    <n v="19"/>
    <n v="6"/>
    <n v="925"/>
  </r>
  <r>
    <n v="2025"/>
    <n v="6"/>
    <x v="11"/>
    <s v="national network"/>
    <x v="3"/>
    <x v="0"/>
    <s v="No"/>
    <x v="0"/>
    <s v="No"/>
    <n v="1477"/>
    <n v="19"/>
    <n v="1"/>
    <n v="20"/>
    <n v="706"/>
    <n v="600"/>
    <n v="556"/>
    <n v="440"/>
    <n v="344"/>
    <n v="126"/>
    <n v="37"/>
    <n v="1457"/>
  </r>
  <r>
    <n v="2025"/>
    <n v="6"/>
    <x v="11"/>
    <s v="national network"/>
    <x v="4"/>
    <x v="0"/>
    <s v="No"/>
    <x v="0"/>
    <s v="Yes"/>
    <n v="360"/>
    <n v="6"/>
    <n v="0"/>
    <n v="6"/>
    <n v="75"/>
    <n v="60"/>
    <n v="56"/>
    <n v="52"/>
    <n v="39"/>
    <n v="23"/>
    <n v="12"/>
    <n v="354"/>
  </r>
  <r>
    <n v="2025"/>
    <n v="6"/>
    <x v="11"/>
    <s v="national network"/>
    <x v="0"/>
    <x v="1"/>
    <s v="No"/>
    <x v="0"/>
    <s v="No"/>
    <n v="1758"/>
    <n v="1"/>
    <n v="17"/>
    <n v="18"/>
    <n v="329"/>
    <n v="240"/>
    <n v="204"/>
    <n v="136"/>
    <n v="104"/>
    <n v="53"/>
    <n v="13"/>
    <n v="1743"/>
  </r>
  <r>
    <n v="2025"/>
    <n v="6"/>
    <x v="11"/>
    <s v="national network"/>
    <x v="0"/>
    <x v="0"/>
    <s v="No"/>
    <x v="0"/>
    <s v="No"/>
    <n v="537"/>
    <n v="2"/>
    <n v="0"/>
    <n v="2"/>
    <n v="103"/>
    <n v="80"/>
    <n v="73"/>
    <n v="61"/>
    <n v="47"/>
    <n v="23"/>
    <n v="10"/>
    <n v="535"/>
  </r>
  <r>
    <n v="2025"/>
    <n v="6"/>
    <x v="11"/>
    <s v="national network"/>
    <x v="8"/>
    <x v="1"/>
    <s v="Yes"/>
    <x v="0"/>
    <s v="No"/>
    <n v="30"/>
    <n v="0"/>
    <n v="0"/>
    <n v="0"/>
    <n v="6"/>
    <n v="5"/>
    <n v="2"/>
    <n v="1"/>
    <n v="0"/>
    <n v="0"/>
    <n v="0"/>
    <n v="30"/>
  </r>
  <r>
    <n v="2025"/>
    <n v="6"/>
    <x v="11"/>
    <s v="national network"/>
    <x v="8"/>
    <x v="0"/>
    <s v="Yes"/>
    <x v="0"/>
    <s v="No"/>
    <n v="742"/>
    <n v="37"/>
    <n v="5"/>
    <n v="42"/>
    <n v="310"/>
    <n v="252"/>
    <n v="223"/>
    <n v="177"/>
    <n v="149"/>
    <n v="82"/>
    <n v="24"/>
    <n v="702"/>
  </r>
  <r>
    <n v="2025"/>
    <n v="6"/>
    <x v="11"/>
    <s v="national network"/>
    <x v="5"/>
    <x v="1"/>
    <s v="No"/>
    <x v="0"/>
    <s v="Yes"/>
    <n v="60"/>
    <n v="0"/>
    <n v="0"/>
    <n v="0"/>
    <n v="9"/>
    <n v="6"/>
    <n v="5"/>
    <n v="4"/>
    <n v="3"/>
    <n v="3"/>
    <n v="2"/>
    <n v="60"/>
  </r>
  <r>
    <n v="2025"/>
    <n v="6"/>
    <x v="11"/>
    <s v="national network"/>
    <x v="5"/>
    <x v="0"/>
    <s v="No"/>
    <x v="0"/>
    <s v="Yes"/>
    <n v="683"/>
    <n v="4"/>
    <n v="0"/>
    <n v="4"/>
    <n v="258"/>
    <n v="204"/>
    <n v="184"/>
    <n v="155"/>
    <n v="137"/>
    <n v="112"/>
    <n v="51"/>
    <n v="679"/>
  </r>
  <r>
    <n v="2025"/>
    <n v="6"/>
    <x v="11"/>
    <s v="national network"/>
    <x v="6"/>
    <x v="1"/>
    <s v="No"/>
    <x v="0"/>
    <s v="No"/>
    <n v="1983"/>
    <n v="12"/>
    <n v="119"/>
    <n v="131"/>
    <n v="369"/>
    <n v="226"/>
    <n v="182"/>
    <n v="92"/>
    <n v="60"/>
    <n v="25"/>
    <n v="5"/>
    <n v="1907"/>
  </r>
  <r>
    <n v="2025"/>
    <n v="6"/>
    <x v="11"/>
    <s v="national network"/>
    <x v="6"/>
    <x v="0"/>
    <s v="No"/>
    <x v="0"/>
    <s v="No"/>
    <n v="1136"/>
    <n v="4"/>
    <n v="3"/>
    <n v="7"/>
    <n v="404"/>
    <n v="323"/>
    <n v="296"/>
    <n v="232"/>
    <n v="183"/>
    <n v="96"/>
    <n v="29"/>
    <n v="1131"/>
  </r>
  <r>
    <n v="2025"/>
    <n v="6"/>
    <x v="11"/>
    <s v="national network"/>
    <x v="10"/>
    <x v="1"/>
    <s v="Yes"/>
    <x v="0"/>
    <s v="No"/>
    <n v="886"/>
    <n v="5"/>
    <n v="80"/>
    <n v="85"/>
    <n v="401"/>
    <n v="324"/>
    <n v="296"/>
    <n v="219"/>
    <n v="173"/>
    <n v="86"/>
    <n v="17"/>
    <n v="849"/>
  </r>
  <r>
    <n v="2025"/>
    <n v="6"/>
    <x v="11"/>
    <s v="national network"/>
    <x v="10"/>
    <x v="0"/>
    <s v="Yes"/>
    <x v="0"/>
    <s v="No"/>
    <n v="1009"/>
    <n v="3"/>
    <n v="20"/>
    <n v="23"/>
    <n v="487"/>
    <n v="402"/>
    <n v="367"/>
    <n v="277"/>
    <n v="212"/>
    <n v="100"/>
    <n v="22"/>
    <n v="998"/>
  </r>
  <r>
    <n v="2025"/>
    <n v="6"/>
    <x v="12"/>
    <s v="national network"/>
    <x v="9"/>
    <x v="1"/>
    <s v="No"/>
    <x v="1"/>
    <s v="No"/>
    <n v="10883"/>
    <n v="6"/>
    <n v="155"/>
    <n v="161"/>
    <n v="9"/>
    <n v="5"/>
    <n v="4"/>
    <n v="2"/>
    <n v="2"/>
    <n v="0"/>
    <n v="0"/>
    <n v="10755"/>
  </r>
  <r>
    <n v="2025"/>
    <n v="6"/>
    <x v="12"/>
    <s v="national network"/>
    <x v="9"/>
    <x v="0"/>
    <s v="No"/>
    <x v="1"/>
    <s v="No"/>
    <n v="40"/>
    <n v="0"/>
    <n v="0"/>
    <n v="0"/>
    <n v="0"/>
    <n v="0"/>
    <n v="0"/>
    <n v="0"/>
    <n v="0"/>
    <n v="0"/>
    <n v="0"/>
    <n v="40"/>
  </r>
  <r>
    <n v="2025"/>
    <n v="6"/>
    <x v="13"/>
    <s v="whole journey"/>
    <x v="22"/>
    <x v="0"/>
    <s v="No"/>
    <x v="1"/>
    <s v="No"/>
    <n v="98"/>
    <n v="0"/>
    <n v="0"/>
    <n v="0"/>
    <n v="16"/>
    <n v="12"/>
    <n v="12"/>
    <n v="10"/>
    <n v="6"/>
    <n v="3"/>
    <n v="0"/>
    <n v="98"/>
  </r>
  <r>
    <n v="2025"/>
    <n v="6"/>
    <x v="13"/>
    <s v="whole journey"/>
    <x v="23"/>
    <x v="1"/>
    <s v="Yes"/>
    <x v="0"/>
    <s v="No"/>
    <n v="1598"/>
    <n v="14"/>
    <n v="15"/>
    <n v="29"/>
    <n v="418"/>
    <n v="381"/>
    <n v="381"/>
    <n v="282"/>
    <n v="234"/>
    <n v="126"/>
    <n v="52"/>
    <n v="1577"/>
  </r>
  <r>
    <n v="2025"/>
    <n v="6"/>
    <x v="13"/>
    <s v="whole journey"/>
    <x v="23"/>
    <x v="2"/>
    <s v="Yes"/>
    <x v="0"/>
    <s v="No"/>
    <n v="55"/>
    <n v="0"/>
    <n v="0"/>
    <n v="0"/>
    <n v="0"/>
    <n v="0"/>
    <n v="0"/>
    <n v="0"/>
    <n v="0"/>
    <n v="0"/>
    <n v="0"/>
    <n v="0"/>
  </r>
  <r>
    <n v="2025"/>
    <n v="6"/>
    <x v="13"/>
    <s v="whole journey"/>
    <x v="52"/>
    <x v="0"/>
    <s v="No"/>
    <x v="1"/>
    <s v="No"/>
    <n v="15"/>
    <n v="0"/>
    <n v="0"/>
    <n v="0"/>
    <n v="2"/>
    <n v="2"/>
    <n v="2"/>
    <n v="2"/>
    <n v="2"/>
    <n v="2"/>
    <n v="0"/>
    <n v="15"/>
  </r>
  <r>
    <n v="2025"/>
    <n v="6"/>
    <x v="14"/>
    <s v="national network"/>
    <x v="3"/>
    <x v="0"/>
    <s v="No"/>
    <x v="1"/>
    <s v="No"/>
    <n v="881"/>
    <n v="3"/>
    <n v="0"/>
    <n v="3"/>
    <n v="382"/>
    <n v="307"/>
    <n v="273"/>
    <n v="187"/>
    <n v="123"/>
    <n v="54"/>
    <n v="21"/>
    <n v="878"/>
  </r>
  <r>
    <n v="2025"/>
    <n v="6"/>
    <x v="14"/>
    <s v="national network"/>
    <x v="4"/>
    <x v="0"/>
    <s v="No"/>
    <x v="0"/>
    <s v="Yes"/>
    <n v="64"/>
    <n v="0"/>
    <n v="0"/>
    <n v="0"/>
    <n v="25"/>
    <n v="21"/>
    <n v="18"/>
    <n v="16"/>
    <n v="14"/>
    <n v="5"/>
    <n v="3"/>
    <n v="64"/>
  </r>
  <r>
    <n v="2025"/>
    <n v="6"/>
    <x v="14"/>
    <s v="national network"/>
    <x v="0"/>
    <x v="0"/>
    <s v="No"/>
    <x v="0"/>
    <s v="No"/>
    <n v="61"/>
    <n v="0"/>
    <n v="0"/>
    <n v="0"/>
    <n v="24"/>
    <n v="20"/>
    <n v="17"/>
    <n v="15"/>
    <n v="13"/>
    <n v="5"/>
    <n v="3"/>
    <n v="61"/>
  </r>
  <r>
    <n v="2025"/>
    <n v="6"/>
    <x v="15"/>
    <s v="national network"/>
    <x v="24"/>
    <x v="1"/>
    <s v="No"/>
    <x v="1"/>
    <s v="No"/>
    <n v="1556"/>
    <n v="0"/>
    <n v="0"/>
    <n v="0"/>
    <n v="0"/>
    <n v="0"/>
    <n v="0"/>
    <n v="0"/>
    <n v="0"/>
    <n v="0"/>
    <n v="0"/>
    <n v="1556"/>
  </r>
  <r>
    <n v="2025"/>
    <n v="6"/>
    <x v="15"/>
    <s v="national network"/>
    <x v="24"/>
    <x v="0"/>
    <s v="No"/>
    <x v="1"/>
    <s v="No"/>
    <n v="180"/>
    <n v="0"/>
    <n v="0"/>
    <n v="0"/>
    <n v="0"/>
    <n v="0"/>
    <n v="0"/>
    <n v="0"/>
    <n v="0"/>
    <n v="0"/>
    <n v="0"/>
    <n v="180"/>
  </r>
  <r>
    <n v="2025"/>
    <n v="6"/>
    <x v="16"/>
    <s v="national network"/>
    <x v="3"/>
    <x v="1"/>
    <s v="No"/>
    <x v="0"/>
    <s v="No"/>
    <n v="98"/>
    <n v="1"/>
    <n v="1"/>
    <n v="2"/>
    <n v="1"/>
    <n v="1"/>
    <n v="1"/>
    <n v="0"/>
    <n v="0"/>
    <n v="0"/>
    <n v="0"/>
    <n v="96"/>
  </r>
  <r>
    <n v="2025"/>
    <n v="6"/>
    <x v="16"/>
    <s v="national network"/>
    <x v="3"/>
    <x v="0"/>
    <s v="No"/>
    <x v="0"/>
    <s v="No"/>
    <n v="1693"/>
    <n v="15"/>
    <n v="35"/>
    <n v="50"/>
    <n v="402"/>
    <n v="335"/>
    <n v="323"/>
    <n v="278"/>
    <n v="243"/>
    <n v="148"/>
    <n v="22"/>
    <n v="1663"/>
  </r>
  <r>
    <n v="2025"/>
    <n v="6"/>
    <x v="16"/>
    <s v="national network"/>
    <x v="7"/>
    <x v="0"/>
    <s v="No"/>
    <x v="1"/>
    <s v="No"/>
    <n v="263"/>
    <n v="3"/>
    <n v="3"/>
    <n v="6"/>
    <n v="208"/>
    <n v="202"/>
    <n v="192"/>
    <n v="155"/>
    <n v="86"/>
    <n v="22"/>
    <n v="7"/>
    <n v="259"/>
  </r>
  <r>
    <n v="2025"/>
    <n v="6"/>
    <x v="16"/>
    <s v="national network"/>
    <x v="4"/>
    <x v="0"/>
    <s v="No"/>
    <x v="0"/>
    <s v="Yes"/>
    <n v="180"/>
    <n v="0"/>
    <n v="0"/>
    <n v="0"/>
    <n v="40"/>
    <n v="33"/>
    <n v="29"/>
    <n v="24"/>
    <n v="21"/>
    <n v="16"/>
    <n v="7"/>
    <n v="180"/>
  </r>
  <r>
    <n v="2025"/>
    <n v="6"/>
    <x v="16"/>
    <s v="national network"/>
    <x v="0"/>
    <x v="1"/>
    <s v="No"/>
    <x v="0"/>
    <s v="No"/>
    <n v="11425"/>
    <n v="40"/>
    <n v="214"/>
    <n v="254"/>
    <n v="23"/>
    <n v="19"/>
    <n v="17"/>
    <n v="12"/>
    <n v="8"/>
    <n v="3"/>
    <n v="3"/>
    <n v="11206"/>
  </r>
  <r>
    <n v="2025"/>
    <n v="6"/>
    <x v="16"/>
    <s v="national network"/>
    <x v="0"/>
    <x v="0"/>
    <s v="No"/>
    <x v="0"/>
    <s v="No"/>
    <n v="1188"/>
    <n v="200"/>
    <n v="39"/>
    <n v="239"/>
    <n v="300"/>
    <n v="241"/>
    <n v="222"/>
    <n v="177"/>
    <n v="138"/>
    <n v="43"/>
    <n v="11"/>
    <n v="971"/>
  </r>
  <r>
    <n v="2025"/>
    <n v="6"/>
    <x v="16"/>
    <s v="national network"/>
    <x v="8"/>
    <x v="1"/>
    <s v="Yes"/>
    <x v="0"/>
    <s v="No"/>
    <n v="47"/>
    <n v="1"/>
    <n v="0"/>
    <n v="1"/>
    <n v="0"/>
    <n v="0"/>
    <n v="0"/>
    <n v="0"/>
    <n v="0"/>
    <n v="0"/>
    <n v="0"/>
    <n v="46"/>
  </r>
  <r>
    <n v="2025"/>
    <n v="6"/>
    <x v="16"/>
    <s v="national network"/>
    <x v="8"/>
    <x v="0"/>
    <s v="Yes"/>
    <x v="0"/>
    <s v="No"/>
    <n v="1162"/>
    <n v="84"/>
    <n v="195"/>
    <n v="279"/>
    <n v="314"/>
    <n v="245"/>
    <n v="216"/>
    <n v="150"/>
    <n v="109"/>
    <n v="48"/>
    <n v="10"/>
    <n v="956"/>
  </r>
  <r>
    <n v="2025"/>
    <n v="6"/>
    <x v="16"/>
    <s v="national network"/>
    <x v="9"/>
    <x v="1"/>
    <s v="No"/>
    <x v="0"/>
    <s v="No"/>
    <n v="12796"/>
    <n v="46"/>
    <n v="118"/>
    <n v="164"/>
    <n v="6"/>
    <n v="3"/>
    <n v="3"/>
    <n v="2"/>
    <n v="2"/>
    <n v="0"/>
    <n v="0"/>
    <n v="12673"/>
  </r>
  <r>
    <n v="2025"/>
    <n v="6"/>
    <x v="16"/>
    <s v="national network"/>
    <x v="9"/>
    <x v="0"/>
    <s v="No"/>
    <x v="0"/>
    <s v="No"/>
    <n v="1043"/>
    <n v="3"/>
    <n v="29"/>
    <n v="32"/>
    <n v="29"/>
    <n v="20"/>
    <n v="16"/>
    <n v="8"/>
    <n v="1"/>
    <n v="0"/>
    <n v="0"/>
    <n v="1014"/>
  </r>
  <r>
    <n v="2025"/>
    <n v="6"/>
    <x v="16"/>
    <s v="national network"/>
    <x v="9"/>
    <x v="2"/>
    <s v="No"/>
    <x v="0"/>
    <s v="No"/>
    <n v="2"/>
    <n v="0"/>
    <n v="0"/>
    <n v="0"/>
    <n v="0"/>
    <n v="0"/>
    <n v="0"/>
    <n v="0"/>
    <n v="0"/>
    <n v="0"/>
    <n v="0"/>
    <n v="0"/>
  </r>
  <r>
    <n v="2025"/>
    <n v="6"/>
    <x v="16"/>
    <s v="national network"/>
    <x v="25"/>
    <x v="1"/>
    <s v="Yes"/>
    <x v="0"/>
    <s v="No"/>
    <n v="102"/>
    <n v="1"/>
    <n v="0"/>
    <n v="1"/>
    <n v="0"/>
    <n v="0"/>
    <n v="0"/>
    <n v="0"/>
    <n v="0"/>
    <n v="0"/>
    <n v="0"/>
    <n v="101"/>
  </r>
  <r>
    <n v="2025"/>
    <n v="6"/>
    <x v="16"/>
    <s v="national network"/>
    <x v="25"/>
    <x v="0"/>
    <s v="Yes"/>
    <x v="0"/>
    <s v="No"/>
    <n v="786"/>
    <n v="1"/>
    <n v="24"/>
    <n v="25"/>
    <n v="144"/>
    <n v="112"/>
    <n v="105"/>
    <n v="82"/>
    <n v="65"/>
    <n v="32"/>
    <n v="6"/>
    <n v="774"/>
  </r>
  <r>
    <n v="2025"/>
    <n v="6"/>
    <x v="16"/>
    <s v="national network"/>
    <x v="25"/>
    <x v="2"/>
    <s v="Yes"/>
    <x v="0"/>
    <s v="No"/>
    <n v="4"/>
    <n v="0"/>
    <n v="0"/>
    <n v="0"/>
    <n v="0"/>
    <n v="0"/>
    <n v="0"/>
    <n v="0"/>
    <n v="0"/>
    <n v="0"/>
    <n v="0"/>
    <n v="0"/>
  </r>
  <r>
    <n v="2025"/>
    <n v="6"/>
    <x v="16"/>
    <s v="national network"/>
    <x v="5"/>
    <x v="0"/>
    <s v="No"/>
    <x v="0"/>
    <s v="Yes"/>
    <n v="300"/>
    <n v="0"/>
    <n v="1"/>
    <n v="1"/>
    <n v="100"/>
    <n v="82"/>
    <n v="70"/>
    <n v="53"/>
    <n v="42"/>
    <n v="28"/>
    <n v="11"/>
    <n v="299"/>
  </r>
  <r>
    <n v="2025"/>
    <n v="6"/>
    <x v="16"/>
    <s v="national network"/>
    <x v="10"/>
    <x v="0"/>
    <s v="Yes"/>
    <x v="0"/>
    <s v="No"/>
    <n v="360"/>
    <n v="0"/>
    <n v="10"/>
    <n v="10"/>
    <n v="72"/>
    <n v="53"/>
    <n v="50"/>
    <n v="48"/>
    <n v="47"/>
    <n v="34"/>
    <n v="4"/>
    <n v="355"/>
  </r>
  <r>
    <n v="2025"/>
    <n v="6"/>
    <x v="17"/>
    <s v="national network"/>
    <x v="4"/>
    <x v="0"/>
    <s v="No"/>
    <x v="0"/>
    <s v="Yes"/>
    <n v="56"/>
    <n v="0"/>
    <n v="0"/>
    <n v="0"/>
    <n v="35"/>
    <n v="34"/>
    <n v="32"/>
    <n v="28"/>
    <n v="25"/>
    <n v="16"/>
    <n v="12"/>
    <n v="56"/>
  </r>
  <r>
    <n v="2025"/>
    <n v="6"/>
    <x v="18"/>
    <s v="national network"/>
    <x v="15"/>
    <x v="0"/>
    <s v="No"/>
    <x v="1"/>
    <s v="No"/>
    <n v="703"/>
    <n v="6"/>
    <n v="15"/>
    <n v="21"/>
    <n v="229"/>
    <n v="155"/>
    <n v="135"/>
    <n v="71"/>
    <n v="39"/>
    <n v="14"/>
    <n v="3"/>
    <n v="688"/>
  </r>
  <r>
    <n v="2025"/>
    <n v="6"/>
    <x v="18"/>
    <s v="national network"/>
    <x v="16"/>
    <x v="0"/>
    <s v="No"/>
    <x v="1"/>
    <s v="No"/>
    <n v="148"/>
    <n v="0"/>
    <n v="0"/>
    <n v="0"/>
    <n v="32"/>
    <n v="20"/>
    <n v="15"/>
    <n v="9"/>
    <n v="6"/>
    <n v="2"/>
    <n v="0"/>
    <n v="148"/>
  </r>
  <r>
    <n v="2025"/>
    <n v="6"/>
    <x v="18"/>
    <s v="national network"/>
    <x v="0"/>
    <x v="1"/>
    <s v="No"/>
    <x v="0"/>
    <s v="No"/>
    <n v="25757"/>
    <n v="68"/>
    <n v="444"/>
    <n v="512"/>
    <n v="5664"/>
    <n v="3526"/>
    <n v="2903"/>
    <n v="1521"/>
    <n v="812"/>
    <n v="139"/>
    <n v="11"/>
    <n v="25419"/>
  </r>
  <r>
    <n v="2025"/>
    <n v="6"/>
    <x v="18"/>
    <s v="national network"/>
    <x v="0"/>
    <x v="0"/>
    <s v="No"/>
    <x v="0"/>
    <s v="No"/>
    <n v="3082"/>
    <n v="12"/>
    <n v="40"/>
    <n v="52"/>
    <n v="593"/>
    <n v="364"/>
    <n v="299"/>
    <n v="146"/>
    <n v="71"/>
    <n v="12"/>
    <n v="1"/>
    <n v="3045"/>
  </r>
  <r>
    <n v="2025"/>
    <n v="6"/>
    <x v="18"/>
    <s v="national network"/>
    <x v="0"/>
    <x v="2"/>
    <s v="No"/>
    <x v="0"/>
    <s v="No"/>
    <n v="2"/>
    <n v="1"/>
    <n v="0"/>
    <n v="1"/>
    <n v="0"/>
    <n v="0"/>
    <n v="0"/>
    <n v="0"/>
    <n v="0"/>
    <n v="0"/>
    <n v="0"/>
    <n v="0"/>
  </r>
  <r>
    <n v="2025"/>
    <n v="6"/>
    <x v="18"/>
    <s v="national network"/>
    <x v="8"/>
    <x v="0"/>
    <s v="Yes"/>
    <x v="0"/>
    <s v="No"/>
    <n v="468"/>
    <n v="6"/>
    <n v="4"/>
    <n v="10"/>
    <n v="197"/>
    <n v="138"/>
    <n v="123"/>
    <n v="81"/>
    <n v="63"/>
    <n v="30"/>
    <n v="4"/>
    <n v="460"/>
  </r>
  <r>
    <n v="2025"/>
    <n v="6"/>
    <x v="18"/>
    <s v="national network"/>
    <x v="26"/>
    <x v="1"/>
    <s v="No"/>
    <x v="1"/>
    <s v="No"/>
    <n v="15793"/>
    <n v="9"/>
    <n v="66"/>
    <n v="75"/>
    <n v="2587"/>
    <n v="1392"/>
    <n v="1072"/>
    <n v="426"/>
    <n v="209"/>
    <n v="27"/>
    <n v="2"/>
    <n v="15737"/>
  </r>
  <r>
    <n v="2025"/>
    <n v="6"/>
    <x v="18"/>
    <s v="national network"/>
    <x v="26"/>
    <x v="0"/>
    <s v="No"/>
    <x v="1"/>
    <s v="No"/>
    <n v="4285"/>
    <n v="36"/>
    <n v="1"/>
    <n v="37"/>
    <n v="179"/>
    <n v="100"/>
    <n v="76"/>
    <n v="28"/>
    <n v="19"/>
    <n v="7"/>
    <n v="2"/>
    <n v="4249"/>
  </r>
  <r>
    <n v="2025"/>
    <n v="6"/>
    <x v="18"/>
    <s v="national network"/>
    <x v="26"/>
    <x v="2"/>
    <s v="No"/>
    <x v="1"/>
    <s v="No"/>
    <n v="1"/>
    <n v="0"/>
    <n v="0"/>
    <n v="0"/>
    <n v="0"/>
    <n v="0"/>
    <n v="0"/>
    <n v="0"/>
    <n v="0"/>
    <n v="0"/>
    <n v="0"/>
    <n v="0"/>
  </r>
  <r>
    <n v="2025"/>
    <n v="6"/>
    <x v="18"/>
    <s v="national network"/>
    <x v="5"/>
    <x v="0"/>
    <s v="No"/>
    <x v="0"/>
    <s v="Yes"/>
    <n v="43"/>
    <n v="0"/>
    <n v="0"/>
    <n v="0"/>
    <n v="18"/>
    <n v="15"/>
    <n v="11"/>
    <n v="7"/>
    <n v="5"/>
    <n v="2"/>
    <n v="2"/>
    <n v="43"/>
  </r>
  <r>
    <n v="2025"/>
    <n v="6"/>
    <x v="18"/>
    <s v="national network"/>
    <x v="27"/>
    <x v="1"/>
    <s v="No"/>
    <x v="1"/>
    <s v="No"/>
    <n v="4937"/>
    <n v="21"/>
    <n v="24"/>
    <n v="45"/>
    <n v="1011"/>
    <n v="575"/>
    <n v="476"/>
    <n v="218"/>
    <n v="104"/>
    <n v="25"/>
    <n v="1"/>
    <n v="4898"/>
  </r>
  <r>
    <n v="2025"/>
    <n v="6"/>
    <x v="18"/>
    <s v="national network"/>
    <x v="27"/>
    <x v="0"/>
    <s v="No"/>
    <x v="1"/>
    <s v="No"/>
    <n v="241"/>
    <n v="0"/>
    <n v="0"/>
    <n v="0"/>
    <n v="19"/>
    <n v="13"/>
    <n v="13"/>
    <n v="9"/>
    <n v="5"/>
    <n v="2"/>
    <n v="1"/>
    <n v="241"/>
  </r>
  <r>
    <n v="2025"/>
    <n v="6"/>
    <x v="18"/>
    <s v="national network"/>
    <x v="19"/>
    <x v="1"/>
    <s v="No"/>
    <x v="1"/>
    <s v="No"/>
    <n v="25827"/>
    <n v="45"/>
    <n v="224"/>
    <n v="269"/>
    <n v="4141"/>
    <n v="2252"/>
    <n v="1771"/>
    <n v="778"/>
    <n v="397"/>
    <n v="80"/>
    <n v="5"/>
    <n v="25640"/>
  </r>
  <r>
    <n v="2025"/>
    <n v="6"/>
    <x v="18"/>
    <s v="national network"/>
    <x v="19"/>
    <x v="0"/>
    <s v="No"/>
    <x v="1"/>
    <s v="No"/>
    <n v="2883"/>
    <n v="17"/>
    <n v="40"/>
    <n v="57"/>
    <n v="403"/>
    <n v="256"/>
    <n v="188"/>
    <n v="91"/>
    <n v="38"/>
    <n v="11"/>
    <n v="0"/>
    <n v="2838"/>
  </r>
  <r>
    <n v="2025"/>
    <n v="6"/>
    <x v="18"/>
    <s v="national network"/>
    <x v="19"/>
    <x v="2"/>
    <s v="No"/>
    <x v="1"/>
    <s v="No"/>
    <n v="2"/>
    <n v="1"/>
    <n v="0"/>
    <n v="1"/>
    <n v="0"/>
    <n v="0"/>
    <n v="0"/>
    <n v="0"/>
    <n v="0"/>
    <n v="0"/>
    <n v="0"/>
    <n v="0"/>
  </r>
  <r>
    <n v="2025"/>
    <n v="6"/>
    <x v="18"/>
    <s v="national network"/>
    <x v="1"/>
    <x v="0"/>
    <s v="Yes"/>
    <x v="0"/>
    <s v="No"/>
    <n v="113"/>
    <n v="2"/>
    <n v="0"/>
    <n v="2"/>
    <n v="74"/>
    <n v="35"/>
    <n v="35"/>
    <n v="34"/>
    <n v="14"/>
    <n v="7"/>
    <n v="0"/>
    <n v="111"/>
  </r>
  <r>
    <n v="2025"/>
    <n v="6"/>
    <x v="18"/>
    <s v="national network"/>
    <x v="1"/>
    <x v="2"/>
    <s v="Yes"/>
    <x v="0"/>
    <s v="No"/>
    <n v="23"/>
    <n v="0"/>
    <n v="0"/>
    <n v="0"/>
    <n v="0"/>
    <n v="0"/>
    <n v="0"/>
    <n v="0"/>
    <n v="0"/>
    <n v="0"/>
    <n v="0"/>
    <n v="0"/>
  </r>
  <r>
    <n v="2025"/>
    <n v="6"/>
    <x v="19"/>
    <s v="national network"/>
    <x v="0"/>
    <x v="0"/>
    <s v="No"/>
    <x v="0"/>
    <s v="No"/>
    <n v="1717"/>
    <n v="9"/>
    <n v="2"/>
    <n v="11"/>
    <n v="22"/>
    <n v="13"/>
    <n v="11"/>
    <n v="3"/>
    <n v="0"/>
    <n v="0"/>
    <n v="0"/>
    <n v="1708"/>
  </r>
  <r>
    <n v="2025"/>
    <n v="6"/>
    <x v="19"/>
    <s v="national network"/>
    <x v="8"/>
    <x v="0"/>
    <s v="Yes"/>
    <x v="0"/>
    <s v="No"/>
    <n v="678"/>
    <n v="13"/>
    <n v="7"/>
    <n v="20"/>
    <n v="286"/>
    <n v="219"/>
    <n v="213"/>
    <n v="166"/>
    <n v="119"/>
    <n v="58"/>
    <n v="18"/>
    <n v="659"/>
  </r>
  <r>
    <n v="2025"/>
    <n v="6"/>
    <x v="19"/>
    <s v="national network"/>
    <x v="8"/>
    <x v="2"/>
    <s v="Yes"/>
    <x v="0"/>
    <s v="No"/>
    <n v="2"/>
    <n v="0"/>
    <n v="0"/>
    <n v="0"/>
    <n v="0"/>
    <n v="0"/>
    <n v="0"/>
    <n v="0"/>
    <n v="0"/>
    <n v="0"/>
    <n v="0"/>
    <n v="0"/>
  </r>
  <r>
    <n v="2025"/>
    <n v="6"/>
    <x v="19"/>
    <s v="national network"/>
    <x v="29"/>
    <x v="1"/>
    <s v="No"/>
    <x v="0"/>
    <s v="No"/>
    <n v="2010"/>
    <n v="55"/>
    <n v="31"/>
    <n v="86"/>
    <n v="767"/>
    <n v="537"/>
    <n v="536"/>
    <n v="406"/>
    <n v="349"/>
    <n v="218"/>
    <n v="90"/>
    <n v="1944"/>
  </r>
  <r>
    <n v="2025"/>
    <n v="6"/>
    <x v="19"/>
    <s v="national network"/>
    <x v="29"/>
    <x v="2"/>
    <s v="No"/>
    <x v="0"/>
    <s v="No"/>
    <n v="30"/>
    <n v="1"/>
    <n v="0"/>
    <n v="1"/>
    <n v="0"/>
    <n v="0"/>
    <n v="0"/>
    <n v="0"/>
    <n v="0"/>
    <n v="0"/>
    <n v="0"/>
    <n v="0"/>
  </r>
  <r>
    <n v="2025"/>
    <n v="6"/>
    <x v="19"/>
    <s v="national network"/>
    <x v="30"/>
    <x v="1"/>
    <s v="No"/>
    <x v="0"/>
    <s v="Yes"/>
    <n v="134"/>
    <n v="1"/>
    <n v="4"/>
    <n v="5"/>
    <n v="54"/>
    <n v="34"/>
    <n v="34"/>
    <n v="33"/>
    <n v="28"/>
    <n v="15"/>
    <n v="5"/>
    <n v="131"/>
  </r>
  <r>
    <n v="2025"/>
    <n v="6"/>
    <x v="19"/>
    <s v="national network"/>
    <x v="30"/>
    <x v="2"/>
    <s v="No"/>
    <x v="0"/>
    <s v="Yes"/>
    <n v="65"/>
    <n v="1"/>
    <n v="0"/>
    <n v="1"/>
    <n v="0"/>
    <n v="0"/>
    <n v="0"/>
    <n v="0"/>
    <n v="0"/>
    <n v="0"/>
    <n v="0"/>
    <n v="0"/>
  </r>
  <r>
    <n v="2025"/>
    <n v="6"/>
    <x v="19"/>
    <s v="national network"/>
    <x v="25"/>
    <x v="1"/>
    <s v="Yes"/>
    <x v="0"/>
    <s v="No"/>
    <n v="2"/>
    <n v="0"/>
    <n v="0"/>
    <n v="0"/>
    <n v="1"/>
    <n v="1"/>
    <n v="1"/>
    <n v="0"/>
    <n v="0"/>
    <n v="0"/>
    <n v="0"/>
    <n v="2"/>
  </r>
  <r>
    <n v="2025"/>
    <n v="6"/>
    <x v="19"/>
    <s v="national network"/>
    <x v="25"/>
    <x v="0"/>
    <s v="Yes"/>
    <x v="0"/>
    <s v="No"/>
    <n v="1002"/>
    <n v="1"/>
    <n v="4"/>
    <n v="5"/>
    <n v="226"/>
    <n v="136"/>
    <n v="136"/>
    <n v="104"/>
    <n v="78"/>
    <n v="36"/>
    <n v="13"/>
    <n v="1001"/>
  </r>
  <r>
    <n v="2025"/>
    <n v="6"/>
    <x v="19"/>
    <s v="national network"/>
    <x v="25"/>
    <x v="2"/>
    <s v="Yes"/>
    <x v="0"/>
    <s v="No"/>
    <n v="22"/>
    <n v="0"/>
    <n v="0"/>
    <n v="0"/>
    <n v="0"/>
    <n v="0"/>
    <n v="0"/>
    <n v="0"/>
    <n v="0"/>
    <n v="0"/>
    <n v="0"/>
    <n v="0"/>
  </r>
  <r>
    <n v="2025"/>
    <n v="6"/>
    <x v="19"/>
    <s v="national network"/>
    <x v="5"/>
    <x v="0"/>
    <s v="No"/>
    <x v="0"/>
    <s v="Yes"/>
    <n v="52"/>
    <n v="0"/>
    <n v="2"/>
    <n v="2"/>
    <n v="14"/>
    <n v="14"/>
    <n v="12"/>
    <n v="12"/>
    <n v="12"/>
    <n v="8"/>
    <n v="6"/>
    <n v="50"/>
  </r>
  <r>
    <n v="2025"/>
    <n v="6"/>
    <x v="19"/>
    <s v="national network"/>
    <x v="11"/>
    <x v="0"/>
    <s v="Yes"/>
    <x v="0"/>
    <s v="No"/>
    <n v="43"/>
    <n v="0"/>
    <n v="0"/>
    <n v="0"/>
    <n v="25"/>
    <n v="17"/>
    <n v="15"/>
    <n v="13"/>
    <n v="8"/>
    <n v="5"/>
    <n v="2"/>
    <n v="43"/>
  </r>
  <r>
    <n v="2025"/>
    <n v="6"/>
    <x v="19"/>
    <s v="national network"/>
    <x v="1"/>
    <x v="1"/>
    <s v="Yes"/>
    <x v="0"/>
    <s v="No"/>
    <n v="13210"/>
    <n v="19"/>
    <n v="110"/>
    <n v="129"/>
    <n v="3869"/>
    <n v="2369"/>
    <n v="2369"/>
    <n v="1705"/>
    <n v="1325"/>
    <n v="663"/>
    <n v="213"/>
    <n v="13165"/>
  </r>
  <r>
    <n v="2025"/>
    <n v="6"/>
    <x v="19"/>
    <s v="national network"/>
    <x v="1"/>
    <x v="0"/>
    <s v="Yes"/>
    <x v="0"/>
    <s v="No"/>
    <n v="961"/>
    <n v="9"/>
    <n v="5"/>
    <n v="14"/>
    <n v="443"/>
    <n v="265"/>
    <n v="265"/>
    <n v="199"/>
    <n v="139"/>
    <n v="60"/>
    <n v="17"/>
    <n v="949"/>
  </r>
  <r>
    <n v="2025"/>
    <n v="6"/>
    <x v="19"/>
    <s v="national network"/>
    <x v="1"/>
    <x v="2"/>
    <s v="Yes"/>
    <x v="0"/>
    <s v="No"/>
    <n v="1008"/>
    <n v="1"/>
    <n v="0"/>
    <n v="1"/>
    <n v="0"/>
    <n v="0"/>
    <n v="0"/>
    <n v="0"/>
    <n v="0"/>
    <n v="0"/>
    <n v="0"/>
    <n v="0"/>
  </r>
  <r>
    <n v="2025"/>
    <n v="6"/>
    <x v="20"/>
    <s v="national network"/>
    <x v="2"/>
    <x v="0"/>
    <s v="No"/>
    <x v="1"/>
    <s v="No"/>
    <n v="690"/>
    <n v="0"/>
    <n v="0"/>
    <n v="0"/>
    <n v="17"/>
    <n v="12"/>
    <n v="10"/>
    <n v="6"/>
    <n v="5"/>
    <n v="2"/>
    <n v="0"/>
    <n v="690"/>
  </r>
  <r>
    <n v="2025"/>
    <n v="6"/>
    <x v="20"/>
    <s v="national network"/>
    <x v="4"/>
    <x v="0"/>
    <s v="No"/>
    <x v="0"/>
    <s v="Yes"/>
    <n v="151"/>
    <n v="3"/>
    <n v="0"/>
    <n v="3"/>
    <n v="20"/>
    <n v="15"/>
    <n v="14"/>
    <n v="12"/>
    <n v="7"/>
    <n v="4"/>
    <n v="1"/>
    <n v="148"/>
  </r>
  <r>
    <n v="2025"/>
    <n v="6"/>
    <x v="20"/>
    <s v="national network"/>
    <x v="0"/>
    <x v="0"/>
    <s v="No"/>
    <x v="1"/>
    <s v="No"/>
    <n v="60"/>
    <n v="0"/>
    <n v="0"/>
    <n v="0"/>
    <n v="10"/>
    <n v="9"/>
    <n v="9"/>
    <n v="7"/>
    <n v="5"/>
    <n v="3"/>
    <n v="1"/>
    <n v="60"/>
  </r>
  <r>
    <n v="2025"/>
    <n v="6"/>
    <x v="21"/>
    <s v="national network"/>
    <x v="2"/>
    <x v="0"/>
    <s v="No"/>
    <x v="1"/>
    <s v="No"/>
    <n v="120"/>
    <n v="0"/>
    <n v="0"/>
    <n v="0"/>
    <n v="17"/>
    <n v="14"/>
    <n v="10"/>
    <n v="8"/>
    <n v="5"/>
    <n v="1"/>
    <n v="1"/>
    <n v="120"/>
  </r>
  <r>
    <n v="2025"/>
    <n v="6"/>
    <x v="21"/>
    <s v="national network"/>
    <x v="3"/>
    <x v="1"/>
    <s v="No"/>
    <x v="1"/>
    <s v="No"/>
    <n v="42"/>
    <n v="0"/>
    <n v="1"/>
    <n v="1"/>
    <n v="33"/>
    <n v="28"/>
    <n v="24"/>
    <n v="19"/>
    <n v="13"/>
    <n v="4"/>
    <n v="3"/>
    <n v="42"/>
  </r>
  <r>
    <n v="2025"/>
    <n v="6"/>
    <x v="21"/>
    <s v="national network"/>
    <x v="3"/>
    <x v="0"/>
    <s v="No"/>
    <x v="1"/>
    <s v="No"/>
    <n v="1260"/>
    <n v="2"/>
    <n v="17"/>
    <n v="19"/>
    <n v="467"/>
    <n v="395"/>
    <n v="352"/>
    <n v="241"/>
    <n v="175"/>
    <n v="80"/>
    <n v="26"/>
    <n v="1243"/>
  </r>
  <r>
    <n v="2025"/>
    <n v="6"/>
    <x v="21"/>
    <s v="national network"/>
    <x v="7"/>
    <x v="0"/>
    <s v="No"/>
    <x v="0"/>
    <s v="No"/>
    <n v="1"/>
    <n v="0"/>
    <n v="0"/>
    <n v="0"/>
    <n v="1"/>
    <n v="1"/>
    <n v="1"/>
    <n v="1"/>
    <n v="0"/>
    <n v="0"/>
    <n v="0"/>
    <n v="1"/>
  </r>
  <r>
    <n v="2025"/>
    <n v="6"/>
    <x v="21"/>
    <s v="national network"/>
    <x v="4"/>
    <x v="1"/>
    <s v="No"/>
    <x v="0"/>
    <s v="Yes"/>
    <n v="1"/>
    <n v="0"/>
    <n v="0"/>
    <n v="0"/>
    <n v="0"/>
    <n v="0"/>
    <n v="0"/>
    <n v="0"/>
    <n v="0"/>
    <n v="0"/>
    <n v="0"/>
    <n v="1"/>
  </r>
  <r>
    <n v="2025"/>
    <n v="6"/>
    <x v="21"/>
    <s v="national network"/>
    <x v="4"/>
    <x v="0"/>
    <s v="No"/>
    <x v="0"/>
    <s v="Yes"/>
    <n v="30"/>
    <n v="0"/>
    <n v="0"/>
    <n v="0"/>
    <n v="1"/>
    <n v="1"/>
    <n v="1"/>
    <n v="1"/>
    <n v="1"/>
    <n v="1"/>
    <n v="0"/>
    <n v="30"/>
  </r>
  <r>
    <n v="2025"/>
    <n v="6"/>
    <x v="21"/>
    <s v="national network"/>
    <x v="28"/>
    <x v="1"/>
    <s v="No"/>
    <x v="0"/>
    <s v="No"/>
    <n v="39"/>
    <n v="0"/>
    <n v="4"/>
    <n v="4"/>
    <n v="18"/>
    <n v="17"/>
    <n v="17"/>
    <n v="14"/>
    <n v="10"/>
    <n v="2"/>
    <n v="0"/>
    <n v="36"/>
  </r>
  <r>
    <n v="2025"/>
    <n v="6"/>
    <x v="21"/>
    <s v="national network"/>
    <x v="28"/>
    <x v="2"/>
    <s v="No"/>
    <x v="0"/>
    <s v="No"/>
    <n v="1"/>
    <n v="0"/>
    <n v="0"/>
    <n v="0"/>
    <n v="0"/>
    <n v="0"/>
    <n v="0"/>
    <n v="0"/>
    <n v="0"/>
    <n v="0"/>
    <n v="0"/>
    <n v="0"/>
  </r>
  <r>
    <n v="2025"/>
    <n v="6"/>
    <x v="21"/>
    <s v="national network"/>
    <x v="31"/>
    <x v="1"/>
    <s v="No"/>
    <x v="0"/>
    <s v="No"/>
    <n v="507"/>
    <n v="0"/>
    <n v="16"/>
    <n v="16"/>
    <n v="332"/>
    <n v="289"/>
    <n v="267"/>
    <n v="198"/>
    <n v="155"/>
    <n v="68"/>
    <n v="33"/>
    <n v="491"/>
  </r>
  <r>
    <n v="2025"/>
    <n v="6"/>
    <x v="21"/>
    <s v="national network"/>
    <x v="32"/>
    <x v="1"/>
    <s v="No"/>
    <x v="0"/>
    <s v="No"/>
    <n v="281"/>
    <n v="0"/>
    <n v="8"/>
    <n v="8"/>
    <n v="181"/>
    <n v="159"/>
    <n v="152"/>
    <n v="113"/>
    <n v="82"/>
    <n v="50"/>
    <n v="19"/>
    <n v="273"/>
  </r>
  <r>
    <n v="2025"/>
    <n v="6"/>
    <x v="21"/>
    <s v="national network"/>
    <x v="33"/>
    <x v="1"/>
    <s v="Yes"/>
    <x v="0"/>
    <s v="No"/>
    <n v="6768"/>
    <n v="0"/>
    <n v="180"/>
    <n v="180"/>
    <n v="3461"/>
    <n v="2862"/>
    <n v="2654"/>
    <n v="2053"/>
    <n v="1578"/>
    <n v="899"/>
    <n v="353"/>
    <n v="6627"/>
  </r>
  <r>
    <n v="2025"/>
    <n v="6"/>
    <x v="21"/>
    <s v="national network"/>
    <x v="0"/>
    <x v="1"/>
    <s v="No"/>
    <x v="0"/>
    <s v="No"/>
    <n v="3068"/>
    <n v="0"/>
    <n v="78"/>
    <n v="78"/>
    <n v="1533"/>
    <n v="1298"/>
    <n v="1202"/>
    <n v="893"/>
    <n v="655"/>
    <n v="357"/>
    <n v="138"/>
    <n v="3016"/>
  </r>
  <r>
    <n v="2025"/>
    <n v="6"/>
    <x v="21"/>
    <s v="national network"/>
    <x v="0"/>
    <x v="0"/>
    <s v="No"/>
    <x v="0"/>
    <s v="No"/>
    <n v="1"/>
    <n v="0"/>
    <n v="0"/>
    <n v="0"/>
    <n v="1"/>
    <n v="1"/>
    <n v="1"/>
    <n v="1"/>
    <n v="1"/>
    <n v="1"/>
    <n v="1"/>
    <n v="1"/>
  </r>
  <r>
    <n v="2025"/>
    <n v="6"/>
    <x v="21"/>
    <s v="national network"/>
    <x v="34"/>
    <x v="1"/>
    <s v="No"/>
    <x v="0"/>
    <s v="Yes"/>
    <n v="607"/>
    <n v="0"/>
    <n v="0"/>
    <n v="0"/>
    <n v="178"/>
    <n v="151"/>
    <n v="145"/>
    <n v="117"/>
    <n v="98"/>
    <n v="62"/>
    <n v="28"/>
    <n v="607"/>
  </r>
  <r>
    <n v="2025"/>
    <n v="6"/>
    <x v="21"/>
    <s v="national network"/>
    <x v="9"/>
    <x v="1"/>
    <s v="No"/>
    <x v="0"/>
    <s v="No"/>
    <n v="9"/>
    <n v="0"/>
    <n v="2"/>
    <n v="2"/>
    <n v="5"/>
    <n v="4"/>
    <n v="4"/>
    <n v="4"/>
    <n v="4"/>
    <n v="3"/>
    <n v="2"/>
    <n v="8"/>
  </r>
  <r>
    <n v="2025"/>
    <n v="6"/>
    <x v="21"/>
    <s v="national network"/>
    <x v="9"/>
    <x v="0"/>
    <s v="No"/>
    <x v="0"/>
    <s v="No"/>
    <n v="52"/>
    <n v="0"/>
    <n v="0"/>
    <n v="0"/>
    <n v="0"/>
    <n v="0"/>
    <n v="0"/>
    <n v="0"/>
    <n v="0"/>
    <n v="0"/>
    <n v="0"/>
    <n v="52"/>
  </r>
  <r>
    <n v="2025"/>
    <n v="6"/>
    <x v="21"/>
    <s v="national network"/>
    <x v="35"/>
    <x v="1"/>
    <s v="No"/>
    <x v="1"/>
    <s v="No"/>
    <n v="6666"/>
    <n v="0"/>
    <n v="246"/>
    <n v="246"/>
    <n v="506"/>
    <n v="237"/>
    <n v="184"/>
    <n v="91"/>
    <n v="47"/>
    <n v="16"/>
    <n v="3"/>
    <n v="6460"/>
  </r>
  <r>
    <n v="2025"/>
    <n v="6"/>
    <x v="21"/>
    <s v="national network"/>
    <x v="36"/>
    <x v="1"/>
    <s v="No"/>
    <x v="1"/>
    <s v="No"/>
    <n v="9"/>
    <n v="0"/>
    <n v="0"/>
    <n v="0"/>
    <n v="5"/>
    <n v="4"/>
    <n v="4"/>
    <n v="3"/>
    <n v="2"/>
    <n v="2"/>
    <n v="1"/>
    <n v="9"/>
  </r>
  <r>
    <n v="2025"/>
    <n v="6"/>
    <x v="21"/>
    <s v="national network"/>
    <x v="5"/>
    <x v="1"/>
    <s v="No"/>
    <x v="0"/>
    <s v="Yes"/>
    <n v="1"/>
    <n v="0"/>
    <n v="0"/>
    <n v="0"/>
    <n v="0"/>
    <n v="0"/>
    <n v="0"/>
    <n v="0"/>
    <n v="0"/>
    <n v="0"/>
    <n v="0"/>
    <n v="1"/>
  </r>
  <r>
    <n v="2025"/>
    <n v="6"/>
    <x v="21"/>
    <s v="national network"/>
    <x v="5"/>
    <x v="0"/>
    <s v="No"/>
    <x v="0"/>
    <s v="Yes"/>
    <n v="210"/>
    <n v="1"/>
    <n v="2"/>
    <n v="3"/>
    <n v="61"/>
    <n v="52"/>
    <n v="50"/>
    <n v="38"/>
    <n v="31"/>
    <n v="17"/>
    <n v="8"/>
    <n v="208"/>
  </r>
  <r>
    <n v="2025"/>
    <n v="6"/>
    <x v="21"/>
    <s v="national network"/>
    <x v="37"/>
    <x v="1"/>
    <s v="No"/>
    <x v="1"/>
    <s v="No"/>
    <n v="216599"/>
    <n v="190"/>
    <n v="8739"/>
    <n v="8929"/>
    <n v="42648"/>
    <n v="24776"/>
    <n v="19910"/>
    <n v="10605"/>
    <n v="6348"/>
    <n v="2140"/>
    <n v="420"/>
    <n v="208992"/>
  </r>
  <r>
    <n v="2025"/>
    <n v="6"/>
    <x v="21"/>
    <s v="national network"/>
    <x v="37"/>
    <x v="0"/>
    <s v="No"/>
    <x v="1"/>
    <s v="No"/>
    <n v="5434"/>
    <n v="290"/>
    <n v="132"/>
    <n v="422"/>
    <n v="1191"/>
    <n v="745"/>
    <n v="623"/>
    <n v="328"/>
    <n v="201"/>
    <n v="61"/>
    <n v="8"/>
    <n v="5026"/>
  </r>
  <r>
    <n v="2025"/>
    <n v="6"/>
    <x v="21"/>
    <s v="national network"/>
    <x v="37"/>
    <x v="2"/>
    <s v="No"/>
    <x v="1"/>
    <s v="No"/>
    <n v="3"/>
    <n v="0"/>
    <n v="0"/>
    <n v="0"/>
    <n v="0"/>
    <n v="0"/>
    <n v="0"/>
    <n v="0"/>
    <n v="0"/>
    <n v="0"/>
    <n v="0"/>
    <n v="0"/>
  </r>
  <r>
    <n v="2025"/>
    <n v="6"/>
    <x v="21"/>
    <s v="national network"/>
    <x v="6"/>
    <x v="0"/>
    <s v="No"/>
    <x v="0"/>
    <s v="No"/>
    <n v="151"/>
    <n v="0"/>
    <n v="5"/>
    <n v="5"/>
    <n v="33"/>
    <n v="29"/>
    <n v="26"/>
    <n v="21"/>
    <n v="17"/>
    <n v="15"/>
    <n v="5"/>
    <n v="148"/>
  </r>
  <r>
    <n v="2025"/>
    <n v="6"/>
    <x v="21"/>
    <s v="national network"/>
    <x v="10"/>
    <x v="0"/>
    <s v="Yes"/>
    <x v="0"/>
    <s v="No"/>
    <n v="3"/>
    <n v="0"/>
    <n v="0"/>
    <n v="0"/>
    <n v="1"/>
    <n v="1"/>
    <n v="1"/>
    <n v="1"/>
    <n v="0"/>
    <n v="0"/>
    <n v="0"/>
    <n v="3"/>
  </r>
  <r>
    <n v="2025"/>
    <n v="6"/>
    <x v="22"/>
    <s v="whole journey"/>
    <x v="33"/>
    <x v="1"/>
    <s v="Yes"/>
    <x v="0"/>
    <s v="No"/>
    <n v="354"/>
    <n v="0"/>
    <n v="0"/>
    <n v="0"/>
    <n v="101"/>
    <n v="73"/>
    <n v="68"/>
    <n v="43"/>
    <n v="34"/>
    <n v="9"/>
    <n v="5"/>
    <n v="354"/>
  </r>
  <r>
    <n v="2025"/>
    <n v="6"/>
    <x v="22"/>
    <s v="whole journey"/>
    <x v="33"/>
    <x v="0"/>
    <s v="Yes"/>
    <x v="0"/>
    <s v="No"/>
    <n v="117"/>
    <n v="0"/>
    <n v="1"/>
    <n v="1"/>
    <n v="46"/>
    <n v="32"/>
    <n v="27"/>
    <n v="20"/>
    <n v="14"/>
    <n v="7"/>
    <n v="1"/>
    <n v="117"/>
  </r>
  <r>
    <n v="2025"/>
    <n v="6"/>
    <x v="23"/>
    <s v="national network"/>
    <x v="39"/>
    <x v="1"/>
    <s v="No"/>
    <x v="1"/>
    <s v="No"/>
    <n v="3775"/>
    <n v="1"/>
    <n v="0"/>
    <n v="1"/>
    <n v="23"/>
    <n v="22"/>
    <n v="21"/>
    <n v="16"/>
    <n v="15"/>
    <n v="13"/>
    <n v="8"/>
    <n v="3774"/>
  </r>
  <r>
    <n v="2025"/>
    <n v="6"/>
    <x v="23"/>
    <s v="national network"/>
    <x v="39"/>
    <x v="0"/>
    <s v="No"/>
    <x v="1"/>
    <s v="No"/>
    <n v="1272"/>
    <n v="0"/>
    <n v="0"/>
    <n v="0"/>
    <n v="6"/>
    <n v="5"/>
    <n v="5"/>
    <n v="5"/>
    <n v="4"/>
    <n v="2"/>
    <n v="0"/>
    <n v="1272"/>
  </r>
  <r>
    <n v="2025"/>
    <n v="6"/>
    <x v="23"/>
    <s v="national network"/>
    <x v="40"/>
    <x v="1"/>
    <s v="No"/>
    <x v="1"/>
    <s v="No"/>
    <n v="2160"/>
    <n v="0"/>
    <n v="0"/>
    <n v="0"/>
    <n v="0"/>
    <n v="0"/>
    <n v="0"/>
    <n v="0"/>
    <n v="0"/>
    <n v="0"/>
    <n v="0"/>
    <n v="2160"/>
  </r>
  <r>
    <n v="2025"/>
    <n v="6"/>
    <x v="23"/>
    <s v="national network"/>
    <x v="2"/>
    <x v="0"/>
    <s v="No"/>
    <x v="1"/>
    <s v="No"/>
    <n v="265"/>
    <n v="0"/>
    <n v="0"/>
    <n v="0"/>
    <n v="59"/>
    <n v="50"/>
    <n v="47"/>
    <n v="40"/>
    <n v="38"/>
    <n v="16"/>
    <n v="9"/>
    <n v="265"/>
  </r>
  <r>
    <n v="2025"/>
    <n v="6"/>
    <x v="23"/>
    <s v="national network"/>
    <x v="51"/>
    <x v="1"/>
    <s v="No"/>
    <x v="1"/>
    <s v="No"/>
    <n v="2"/>
    <n v="0"/>
    <n v="0"/>
    <n v="0"/>
    <n v="1"/>
    <n v="1"/>
    <n v="1"/>
    <n v="0"/>
    <n v="0"/>
    <n v="0"/>
    <n v="0"/>
    <n v="2"/>
  </r>
  <r>
    <n v="2025"/>
    <n v="6"/>
    <x v="23"/>
    <s v="national network"/>
    <x v="41"/>
    <x v="1"/>
    <s v="No"/>
    <x v="1"/>
    <s v="No"/>
    <n v="1"/>
    <n v="0"/>
    <n v="0"/>
    <n v="0"/>
    <n v="1"/>
    <n v="0"/>
    <n v="0"/>
    <n v="0"/>
    <n v="0"/>
    <n v="0"/>
    <n v="0"/>
    <n v="1"/>
  </r>
  <r>
    <n v="2025"/>
    <n v="6"/>
    <x v="23"/>
    <s v="national network"/>
    <x v="43"/>
    <x v="1"/>
    <s v="No"/>
    <x v="1"/>
    <s v="No"/>
    <n v="60"/>
    <n v="0"/>
    <n v="0"/>
    <n v="0"/>
    <n v="0"/>
    <n v="0"/>
    <n v="0"/>
    <n v="0"/>
    <n v="0"/>
    <n v="0"/>
    <n v="0"/>
    <n v="60"/>
  </r>
  <r>
    <n v="2025"/>
    <n v="6"/>
    <x v="23"/>
    <s v="national network"/>
    <x v="43"/>
    <x v="0"/>
    <s v="No"/>
    <x v="1"/>
    <s v="No"/>
    <n v="90"/>
    <n v="0"/>
    <n v="0"/>
    <n v="0"/>
    <n v="0"/>
    <n v="0"/>
    <n v="0"/>
    <n v="0"/>
    <n v="0"/>
    <n v="0"/>
    <n v="0"/>
    <n v="90"/>
  </r>
  <r>
    <n v="2025"/>
    <n v="6"/>
    <x v="23"/>
    <s v="national network"/>
    <x v="0"/>
    <x v="0"/>
    <s v="No"/>
    <x v="1"/>
    <s v="No"/>
    <n v="44"/>
    <n v="0"/>
    <n v="0"/>
    <n v="0"/>
    <n v="2"/>
    <n v="2"/>
    <n v="2"/>
    <n v="1"/>
    <n v="1"/>
    <n v="0"/>
    <n v="0"/>
    <n v="44"/>
  </r>
  <r>
    <n v="2025"/>
    <n v="6"/>
    <x v="23"/>
    <s v="national network"/>
    <x v="0"/>
    <x v="2"/>
    <s v="No"/>
    <x v="1"/>
    <s v="No"/>
    <n v="1"/>
    <n v="0"/>
    <n v="0"/>
    <n v="0"/>
    <n v="0"/>
    <n v="0"/>
    <n v="0"/>
    <n v="0"/>
    <n v="0"/>
    <n v="0"/>
    <n v="0"/>
    <n v="0"/>
  </r>
  <r>
    <n v="2025"/>
    <n v="6"/>
    <x v="23"/>
    <s v="national network"/>
    <x v="49"/>
    <x v="0"/>
    <s v="No"/>
    <x v="1"/>
    <s v="No"/>
    <n v="4"/>
    <n v="0"/>
    <n v="0"/>
    <n v="0"/>
    <n v="2"/>
    <n v="2"/>
    <n v="2"/>
    <n v="2"/>
    <n v="2"/>
    <n v="1"/>
    <n v="0"/>
    <n v="4"/>
  </r>
  <r>
    <n v="2025"/>
    <n v="6"/>
    <x v="23"/>
    <s v="national network"/>
    <x v="53"/>
    <x v="1"/>
    <s v="No"/>
    <x v="1"/>
    <s v="No"/>
    <n v="17"/>
    <n v="0"/>
    <n v="0"/>
    <n v="0"/>
    <n v="11"/>
    <n v="10"/>
    <n v="10"/>
    <n v="7"/>
    <n v="7"/>
    <n v="4"/>
    <n v="1"/>
    <n v="17"/>
  </r>
  <r>
    <n v="2025"/>
    <n v="6"/>
    <x v="23"/>
    <s v="national network"/>
    <x v="45"/>
    <x v="1"/>
    <s v="No"/>
    <x v="1"/>
    <s v="No"/>
    <n v="10"/>
    <n v="1"/>
    <n v="2"/>
    <n v="3"/>
    <n v="4"/>
    <n v="4"/>
    <n v="4"/>
    <n v="3"/>
    <n v="2"/>
    <n v="1"/>
    <n v="0"/>
    <n v="9"/>
  </r>
  <r>
    <n v="2025"/>
    <n v="6"/>
    <x v="23"/>
    <s v="national network"/>
    <x v="45"/>
    <x v="0"/>
    <s v="No"/>
    <x v="1"/>
    <s v="No"/>
    <n v="24"/>
    <n v="2"/>
    <n v="0"/>
    <n v="2"/>
    <n v="15"/>
    <n v="15"/>
    <n v="15"/>
    <n v="15"/>
    <n v="14"/>
    <n v="10"/>
    <n v="4"/>
    <n v="22"/>
  </r>
  <r>
    <n v="2025"/>
    <n v="6"/>
    <x v="23"/>
    <s v="national network"/>
    <x v="46"/>
    <x v="1"/>
    <s v="No"/>
    <x v="1"/>
    <s v="No"/>
    <n v="57"/>
    <n v="0"/>
    <n v="6"/>
    <n v="6"/>
    <n v="17"/>
    <n v="12"/>
    <n v="11"/>
    <n v="8"/>
    <n v="5"/>
    <n v="4"/>
    <n v="3"/>
    <n v="51"/>
  </r>
  <r>
    <n v="2025"/>
    <n v="6"/>
    <x v="24"/>
    <s v="national network"/>
    <x v="2"/>
    <x v="0"/>
    <s v="No"/>
    <x v="1"/>
    <s v="No"/>
    <n v="60"/>
    <n v="0"/>
    <n v="0"/>
    <n v="0"/>
    <n v="0"/>
    <n v="0"/>
    <n v="0"/>
    <n v="0"/>
    <n v="0"/>
    <n v="0"/>
    <n v="0"/>
    <n v="60"/>
  </r>
  <r>
    <n v="2025"/>
    <n v="6"/>
    <x v="24"/>
    <s v="national network"/>
    <x v="3"/>
    <x v="0"/>
    <s v="No"/>
    <x v="1"/>
    <s v="No"/>
    <n v="6"/>
    <n v="1"/>
    <n v="0"/>
    <n v="1"/>
    <n v="0"/>
    <n v="0"/>
    <n v="0"/>
    <n v="0"/>
    <n v="0"/>
    <n v="0"/>
    <n v="0"/>
    <n v="5"/>
  </r>
  <r>
    <n v="2025"/>
    <n v="6"/>
    <x v="25"/>
    <s v="whole journey"/>
    <x v="47"/>
    <x v="1"/>
    <s v="No"/>
    <x v="0"/>
    <s v="No"/>
    <n v="1400"/>
    <n v="0"/>
    <n v="0"/>
    <n v="0"/>
    <n v="36"/>
    <n v="26"/>
    <n v="25"/>
    <n v="9"/>
    <n v="6"/>
    <n v="4"/>
    <n v="2"/>
    <n v="1400"/>
  </r>
  <r>
    <n v="2025"/>
    <n v="6"/>
    <x v="25"/>
    <s v="whole journey"/>
    <x v="47"/>
    <x v="0"/>
    <s v="No"/>
    <x v="0"/>
    <s v="No"/>
    <n v="360"/>
    <n v="0"/>
    <n v="3"/>
    <n v="3"/>
    <n v="183"/>
    <n v="127"/>
    <n v="109"/>
    <n v="75"/>
    <n v="43"/>
    <n v="17"/>
    <n v="9"/>
    <n v="359"/>
  </r>
  <r>
    <n v="2025"/>
    <n v="6"/>
    <x v="26"/>
    <s v="national network"/>
    <x v="3"/>
    <x v="0"/>
    <s v="No"/>
    <x v="1"/>
    <s v="No"/>
    <n v="56"/>
    <n v="0"/>
    <n v="0"/>
    <n v="0"/>
    <n v="33"/>
    <n v="29"/>
    <n v="29"/>
    <n v="25"/>
    <n v="19"/>
    <n v="13"/>
    <n v="3"/>
    <n v="56"/>
  </r>
  <r>
    <n v="2025"/>
    <n v="6"/>
    <x v="26"/>
    <s v="national network"/>
    <x v="4"/>
    <x v="0"/>
    <s v="No"/>
    <x v="0"/>
    <s v="Yes"/>
    <n v="85"/>
    <n v="0"/>
    <n v="0"/>
    <n v="0"/>
    <n v="17"/>
    <n v="11"/>
    <n v="11"/>
    <n v="7"/>
    <n v="5"/>
    <n v="3"/>
    <n v="0"/>
    <n v="85"/>
  </r>
  <r>
    <n v="2025"/>
    <n v="6"/>
    <x v="26"/>
    <s v="national network"/>
    <x v="5"/>
    <x v="0"/>
    <s v="No"/>
    <x v="0"/>
    <s v="Yes"/>
    <n v="1"/>
    <n v="0"/>
    <n v="0"/>
    <n v="0"/>
    <n v="0"/>
    <n v="0"/>
    <n v="0"/>
    <n v="0"/>
    <n v="0"/>
    <n v="0"/>
    <n v="0"/>
    <n v="1"/>
  </r>
  <r>
    <n v="2025"/>
    <n v="6"/>
    <x v="26"/>
    <s v="national network"/>
    <x v="10"/>
    <x v="0"/>
    <s v="Yes"/>
    <x v="0"/>
    <s v="No"/>
    <n v="60"/>
    <n v="0"/>
    <n v="0"/>
    <n v="0"/>
    <n v="4"/>
    <n v="2"/>
    <n v="2"/>
    <n v="2"/>
    <n v="2"/>
    <n v="0"/>
    <n v="0"/>
    <n v="60"/>
  </r>
  <r>
    <n v="2025"/>
    <n v="7"/>
    <x v="0"/>
    <s v="national network"/>
    <x v="0"/>
    <x v="0"/>
    <s v="No"/>
    <x v="0"/>
    <s v="No"/>
    <n v="1376"/>
    <n v="16"/>
    <n v="0"/>
    <n v="16"/>
    <n v="96"/>
    <n v="57"/>
    <n v="46"/>
    <n v="28"/>
    <n v="20"/>
    <n v="8"/>
    <n v="1"/>
    <n v="1360"/>
  </r>
  <r>
    <n v="2025"/>
    <n v="7"/>
    <x v="0"/>
    <s v="national network"/>
    <x v="1"/>
    <x v="0"/>
    <s v="Yes"/>
    <x v="0"/>
    <s v="No"/>
    <n v="41"/>
    <n v="0"/>
    <n v="0"/>
    <n v="0"/>
    <n v="19"/>
    <n v="7"/>
    <n v="7"/>
    <n v="6"/>
    <n v="5"/>
    <n v="4"/>
    <n v="1"/>
    <n v="41"/>
  </r>
  <r>
    <n v="2025"/>
    <n v="7"/>
    <x v="1"/>
    <s v="national network"/>
    <x v="2"/>
    <x v="0"/>
    <s v="No"/>
    <x v="1"/>
    <s v="No"/>
    <n v="62"/>
    <n v="0"/>
    <n v="0"/>
    <n v="0"/>
    <n v="4"/>
    <n v="2"/>
    <n v="1"/>
    <n v="0"/>
    <n v="0"/>
    <n v="0"/>
    <n v="0"/>
    <n v="62"/>
  </r>
  <r>
    <n v="2025"/>
    <n v="7"/>
    <x v="2"/>
    <s v="national network"/>
    <x v="3"/>
    <x v="0"/>
    <s v="No"/>
    <x v="1"/>
    <s v="No"/>
    <n v="1012"/>
    <n v="1"/>
    <n v="0"/>
    <n v="1"/>
    <n v="340"/>
    <n v="289"/>
    <n v="266"/>
    <n v="204"/>
    <n v="148"/>
    <n v="73"/>
    <n v="32"/>
    <n v="1011"/>
  </r>
  <r>
    <n v="2025"/>
    <n v="7"/>
    <x v="2"/>
    <s v="national network"/>
    <x v="4"/>
    <x v="0"/>
    <s v="No"/>
    <x v="0"/>
    <s v="Yes"/>
    <n v="217"/>
    <n v="1"/>
    <n v="1"/>
    <n v="2"/>
    <n v="113"/>
    <n v="107"/>
    <n v="102"/>
    <n v="77"/>
    <n v="56"/>
    <n v="35"/>
    <n v="21"/>
    <n v="216"/>
  </r>
  <r>
    <n v="2025"/>
    <n v="7"/>
    <x v="2"/>
    <s v="national network"/>
    <x v="0"/>
    <x v="0"/>
    <s v="No"/>
    <x v="1"/>
    <s v="No"/>
    <n v="248"/>
    <n v="0"/>
    <n v="0"/>
    <n v="0"/>
    <n v="0"/>
    <n v="0"/>
    <n v="0"/>
    <n v="0"/>
    <n v="0"/>
    <n v="0"/>
    <n v="0"/>
    <n v="248"/>
  </r>
  <r>
    <n v="2025"/>
    <n v="7"/>
    <x v="2"/>
    <s v="national network"/>
    <x v="0"/>
    <x v="0"/>
    <s v="No"/>
    <x v="0"/>
    <s v="No"/>
    <n v="62"/>
    <n v="0"/>
    <n v="0"/>
    <n v="0"/>
    <n v="12"/>
    <n v="12"/>
    <n v="10"/>
    <n v="9"/>
    <n v="6"/>
    <n v="3"/>
    <n v="2"/>
    <n v="62"/>
  </r>
  <r>
    <n v="2025"/>
    <n v="7"/>
    <x v="2"/>
    <s v="national network"/>
    <x v="5"/>
    <x v="0"/>
    <s v="No"/>
    <x v="0"/>
    <s v="Yes"/>
    <n v="62"/>
    <n v="0"/>
    <n v="0"/>
    <n v="0"/>
    <n v="50"/>
    <n v="48"/>
    <n v="48"/>
    <n v="33"/>
    <n v="28"/>
    <n v="15"/>
    <n v="8"/>
    <n v="62"/>
  </r>
  <r>
    <n v="2025"/>
    <n v="7"/>
    <x v="2"/>
    <s v="national network"/>
    <x v="6"/>
    <x v="0"/>
    <s v="No"/>
    <x v="0"/>
    <s v="No"/>
    <n v="496"/>
    <n v="0"/>
    <n v="0"/>
    <n v="0"/>
    <n v="89"/>
    <n v="69"/>
    <n v="61"/>
    <n v="38"/>
    <n v="32"/>
    <n v="12"/>
    <n v="3"/>
    <n v="496"/>
  </r>
  <r>
    <n v="2025"/>
    <n v="7"/>
    <x v="3"/>
    <s v="national network"/>
    <x v="3"/>
    <x v="1"/>
    <s v="No"/>
    <x v="0"/>
    <s v="No"/>
    <n v="6"/>
    <n v="3"/>
    <n v="1"/>
    <n v="4"/>
    <n v="2"/>
    <n v="2"/>
    <n v="2"/>
    <n v="2"/>
    <n v="2"/>
    <n v="1"/>
    <n v="1"/>
    <n v="3"/>
  </r>
  <r>
    <n v="2025"/>
    <n v="7"/>
    <x v="3"/>
    <s v="national network"/>
    <x v="3"/>
    <x v="0"/>
    <s v="No"/>
    <x v="0"/>
    <s v="No"/>
    <n v="1990"/>
    <n v="41"/>
    <n v="84"/>
    <n v="125"/>
    <n v="1169"/>
    <n v="1004"/>
    <n v="943"/>
    <n v="739"/>
    <n v="580"/>
    <n v="330"/>
    <n v="143"/>
    <n v="1916"/>
  </r>
  <r>
    <n v="2025"/>
    <n v="7"/>
    <x v="3"/>
    <s v="national network"/>
    <x v="7"/>
    <x v="0"/>
    <s v="No"/>
    <x v="1"/>
    <s v="No"/>
    <n v="1"/>
    <n v="0"/>
    <n v="0"/>
    <n v="0"/>
    <n v="1"/>
    <n v="1"/>
    <n v="1"/>
    <n v="1"/>
    <n v="1"/>
    <n v="1"/>
    <n v="1"/>
    <n v="1"/>
  </r>
  <r>
    <n v="2025"/>
    <n v="7"/>
    <x v="3"/>
    <s v="national network"/>
    <x v="7"/>
    <x v="0"/>
    <s v="No"/>
    <x v="0"/>
    <s v="No"/>
    <n v="62"/>
    <n v="3"/>
    <n v="1"/>
    <n v="4"/>
    <n v="45"/>
    <n v="41"/>
    <n v="40"/>
    <n v="33"/>
    <n v="19"/>
    <n v="8"/>
    <n v="2"/>
    <n v="58"/>
  </r>
  <r>
    <n v="2025"/>
    <n v="7"/>
    <x v="3"/>
    <s v="national network"/>
    <x v="4"/>
    <x v="0"/>
    <s v="No"/>
    <x v="0"/>
    <s v="Yes"/>
    <n v="335"/>
    <n v="7"/>
    <n v="9"/>
    <n v="16"/>
    <n v="185"/>
    <n v="157"/>
    <n v="144"/>
    <n v="123"/>
    <n v="100"/>
    <n v="66"/>
    <n v="45"/>
    <n v="328"/>
  </r>
  <r>
    <n v="2025"/>
    <n v="7"/>
    <x v="3"/>
    <s v="national network"/>
    <x v="0"/>
    <x v="1"/>
    <s v="No"/>
    <x v="0"/>
    <s v="No"/>
    <n v="4567"/>
    <n v="263"/>
    <n v="603"/>
    <n v="866"/>
    <n v="2386"/>
    <n v="2050"/>
    <n v="1929"/>
    <n v="1562"/>
    <n v="1238"/>
    <n v="647"/>
    <n v="214"/>
    <n v="4037"/>
  </r>
  <r>
    <n v="2025"/>
    <n v="7"/>
    <x v="3"/>
    <s v="national network"/>
    <x v="0"/>
    <x v="0"/>
    <s v="No"/>
    <x v="0"/>
    <s v="No"/>
    <n v="1910"/>
    <n v="46"/>
    <n v="79"/>
    <n v="125"/>
    <n v="1002"/>
    <n v="859"/>
    <n v="801"/>
    <n v="642"/>
    <n v="478"/>
    <n v="208"/>
    <n v="65"/>
    <n v="1836"/>
  </r>
  <r>
    <n v="2025"/>
    <n v="7"/>
    <x v="3"/>
    <s v="national network"/>
    <x v="8"/>
    <x v="1"/>
    <s v="Yes"/>
    <x v="0"/>
    <s v="No"/>
    <n v="13857"/>
    <n v="1184"/>
    <n v="1796"/>
    <n v="2980"/>
    <n v="8137"/>
    <n v="7303"/>
    <n v="6965"/>
    <n v="5855"/>
    <n v="4760"/>
    <n v="2809"/>
    <n v="1212"/>
    <n v="12006"/>
  </r>
  <r>
    <n v="2025"/>
    <n v="7"/>
    <x v="3"/>
    <s v="national network"/>
    <x v="8"/>
    <x v="0"/>
    <s v="Yes"/>
    <x v="0"/>
    <s v="No"/>
    <n v="3744"/>
    <n v="56"/>
    <n v="396"/>
    <n v="452"/>
    <n v="2474"/>
    <n v="2177"/>
    <n v="2084"/>
    <n v="1707"/>
    <n v="1392"/>
    <n v="804"/>
    <n v="284"/>
    <n v="3515"/>
  </r>
  <r>
    <n v="2025"/>
    <n v="7"/>
    <x v="3"/>
    <s v="national network"/>
    <x v="8"/>
    <x v="2"/>
    <s v="Yes"/>
    <x v="0"/>
    <s v="No"/>
    <n v="4"/>
    <n v="0"/>
    <n v="0"/>
    <n v="0"/>
    <n v="0"/>
    <n v="0"/>
    <n v="0"/>
    <n v="0"/>
    <n v="0"/>
    <n v="0"/>
    <n v="0"/>
    <n v="0"/>
  </r>
  <r>
    <n v="2025"/>
    <n v="7"/>
    <x v="3"/>
    <s v="national network"/>
    <x v="9"/>
    <x v="0"/>
    <s v="No"/>
    <x v="0"/>
    <s v="No"/>
    <n v="504"/>
    <n v="7"/>
    <n v="0"/>
    <n v="7"/>
    <n v="24"/>
    <n v="13"/>
    <n v="8"/>
    <n v="3"/>
    <n v="0"/>
    <n v="0"/>
    <n v="0"/>
    <n v="497"/>
  </r>
  <r>
    <n v="2025"/>
    <n v="7"/>
    <x v="3"/>
    <s v="national network"/>
    <x v="5"/>
    <x v="1"/>
    <s v="No"/>
    <x v="0"/>
    <s v="Yes"/>
    <n v="28"/>
    <n v="0"/>
    <n v="5"/>
    <n v="5"/>
    <n v="13"/>
    <n v="13"/>
    <n v="12"/>
    <n v="11"/>
    <n v="9"/>
    <n v="6"/>
    <n v="3"/>
    <n v="24"/>
  </r>
  <r>
    <n v="2025"/>
    <n v="7"/>
    <x v="3"/>
    <s v="national network"/>
    <x v="5"/>
    <x v="0"/>
    <s v="No"/>
    <x v="0"/>
    <s v="Yes"/>
    <n v="705"/>
    <n v="8"/>
    <n v="31"/>
    <n v="39"/>
    <n v="412"/>
    <n v="374"/>
    <n v="359"/>
    <n v="306"/>
    <n v="278"/>
    <n v="214"/>
    <n v="99"/>
    <n v="692"/>
  </r>
  <r>
    <n v="2025"/>
    <n v="7"/>
    <x v="3"/>
    <s v="national network"/>
    <x v="6"/>
    <x v="0"/>
    <s v="No"/>
    <x v="0"/>
    <s v="No"/>
    <n v="525"/>
    <n v="6"/>
    <n v="26"/>
    <n v="32"/>
    <n v="244"/>
    <n v="199"/>
    <n v="177"/>
    <n v="121"/>
    <n v="96"/>
    <n v="36"/>
    <n v="12"/>
    <n v="506"/>
  </r>
  <r>
    <n v="2025"/>
    <n v="7"/>
    <x v="3"/>
    <s v="national network"/>
    <x v="10"/>
    <x v="0"/>
    <s v="Yes"/>
    <x v="0"/>
    <s v="No"/>
    <n v="392"/>
    <n v="7"/>
    <n v="18"/>
    <n v="25"/>
    <n v="256"/>
    <n v="212"/>
    <n v="193"/>
    <n v="137"/>
    <n v="114"/>
    <n v="43"/>
    <n v="13"/>
    <n v="376"/>
  </r>
  <r>
    <n v="2025"/>
    <n v="7"/>
    <x v="3"/>
    <s v="national network"/>
    <x v="11"/>
    <x v="0"/>
    <s v="Yes"/>
    <x v="0"/>
    <s v="No"/>
    <n v="196"/>
    <n v="1"/>
    <n v="4"/>
    <n v="5"/>
    <n v="126"/>
    <n v="106"/>
    <n v="100"/>
    <n v="82"/>
    <n v="64"/>
    <n v="41"/>
    <n v="14"/>
    <n v="192"/>
  </r>
  <r>
    <n v="2025"/>
    <n v="7"/>
    <x v="3"/>
    <s v="national network"/>
    <x v="1"/>
    <x v="0"/>
    <s v="Yes"/>
    <x v="0"/>
    <s v="No"/>
    <n v="3"/>
    <n v="3"/>
    <n v="0"/>
    <n v="3"/>
    <n v="0"/>
    <n v="0"/>
    <n v="0"/>
    <n v="0"/>
    <n v="0"/>
    <n v="0"/>
    <n v="0"/>
    <n v="0"/>
  </r>
  <r>
    <n v="2025"/>
    <n v="7"/>
    <x v="4"/>
    <s v="national network"/>
    <x v="3"/>
    <x v="0"/>
    <s v="No"/>
    <x v="1"/>
    <s v="No"/>
    <n v="471"/>
    <n v="9"/>
    <n v="0"/>
    <n v="9"/>
    <n v="125"/>
    <n v="105"/>
    <n v="101"/>
    <n v="76"/>
    <n v="58"/>
    <n v="33"/>
    <n v="18"/>
    <n v="462"/>
  </r>
  <r>
    <n v="2025"/>
    <n v="7"/>
    <x v="4"/>
    <s v="national network"/>
    <x v="4"/>
    <x v="0"/>
    <s v="No"/>
    <x v="0"/>
    <s v="Yes"/>
    <n v="43"/>
    <n v="3"/>
    <n v="0"/>
    <n v="3"/>
    <n v="26"/>
    <n v="25"/>
    <n v="24"/>
    <n v="23"/>
    <n v="23"/>
    <n v="19"/>
    <n v="18"/>
    <n v="40"/>
  </r>
  <r>
    <n v="2025"/>
    <n v="7"/>
    <x v="4"/>
    <s v="national network"/>
    <x v="0"/>
    <x v="0"/>
    <s v="No"/>
    <x v="0"/>
    <s v="No"/>
    <n v="539"/>
    <n v="4"/>
    <n v="1"/>
    <n v="5"/>
    <n v="127"/>
    <n v="81"/>
    <n v="73"/>
    <n v="34"/>
    <n v="15"/>
    <n v="1"/>
    <n v="1"/>
    <n v="535"/>
  </r>
  <r>
    <n v="2025"/>
    <n v="7"/>
    <x v="5"/>
    <s v="whole journey"/>
    <x v="12"/>
    <x v="0"/>
    <s v="No"/>
    <x v="0"/>
    <s v="Yes"/>
    <n v="26"/>
    <n v="0"/>
    <n v="2"/>
    <n v="2"/>
    <n v="16"/>
    <n v="16"/>
    <n v="15"/>
    <n v="15"/>
    <n v="13"/>
    <n v="10"/>
    <n v="5"/>
    <n v="26"/>
  </r>
  <r>
    <n v="2025"/>
    <n v="7"/>
    <x v="5"/>
    <s v="whole journey"/>
    <x v="12"/>
    <x v="2"/>
    <s v="No"/>
    <x v="0"/>
    <s v="Yes"/>
    <n v="1"/>
    <n v="0"/>
    <n v="0"/>
    <n v="0"/>
    <n v="0"/>
    <n v="0"/>
    <n v="0"/>
    <n v="0"/>
    <n v="0"/>
    <n v="0"/>
    <n v="0"/>
    <n v="0"/>
  </r>
  <r>
    <n v="2025"/>
    <n v="7"/>
    <x v="6"/>
    <s v="whole journey"/>
    <x v="13"/>
    <x v="0"/>
    <s v="Yes"/>
    <x v="0"/>
    <s v="No"/>
    <n v="3780"/>
    <n v="138"/>
    <n v="120"/>
    <n v="258"/>
    <n v="1033"/>
    <n v="1023"/>
    <n v="1020"/>
    <n v="792"/>
    <n v="683"/>
    <n v="362"/>
    <n v="142"/>
    <n v="3624"/>
  </r>
  <r>
    <n v="2025"/>
    <n v="7"/>
    <x v="7"/>
    <s v="whole journey"/>
    <x v="14"/>
    <x v="1"/>
    <s v="No"/>
    <x v="0"/>
    <s v="No"/>
    <n v="518"/>
    <n v="21"/>
    <n v="29"/>
    <n v="50"/>
    <n v="316"/>
    <n v="285"/>
    <n v="273"/>
    <n v="221"/>
    <n v="181"/>
    <n v="109"/>
    <n v="47"/>
    <n v="495"/>
  </r>
  <r>
    <n v="2025"/>
    <n v="7"/>
    <x v="7"/>
    <s v="whole journey"/>
    <x v="14"/>
    <x v="0"/>
    <s v="No"/>
    <x v="0"/>
    <s v="No"/>
    <n v="62"/>
    <n v="4"/>
    <n v="7"/>
    <n v="11"/>
    <n v="29"/>
    <n v="25"/>
    <n v="24"/>
    <n v="19"/>
    <n v="17"/>
    <n v="12"/>
    <n v="7"/>
    <n v="56"/>
  </r>
  <r>
    <n v="2025"/>
    <n v="7"/>
    <x v="8"/>
    <s v="national network"/>
    <x v="2"/>
    <x v="0"/>
    <s v="No"/>
    <x v="1"/>
    <s v="No"/>
    <n v="185"/>
    <n v="0"/>
    <n v="0"/>
    <n v="0"/>
    <n v="2"/>
    <n v="2"/>
    <n v="2"/>
    <n v="1"/>
    <n v="1"/>
    <n v="1"/>
    <n v="1"/>
    <n v="185"/>
  </r>
  <r>
    <n v="2025"/>
    <n v="7"/>
    <x v="8"/>
    <s v="national network"/>
    <x v="4"/>
    <x v="0"/>
    <s v="No"/>
    <x v="0"/>
    <s v="Yes"/>
    <n v="144"/>
    <n v="0"/>
    <n v="0"/>
    <n v="0"/>
    <n v="10"/>
    <n v="9"/>
    <n v="9"/>
    <n v="7"/>
    <n v="5"/>
    <n v="4"/>
    <n v="2"/>
    <n v="144"/>
  </r>
  <r>
    <n v="2025"/>
    <n v="7"/>
    <x v="9"/>
    <s v="national network"/>
    <x v="2"/>
    <x v="0"/>
    <s v="No"/>
    <x v="1"/>
    <s v="No"/>
    <n v="124"/>
    <n v="0"/>
    <n v="0"/>
    <n v="0"/>
    <n v="6"/>
    <n v="3"/>
    <n v="2"/>
    <n v="1"/>
    <n v="1"/>
    <n v="0"/>
    <n v="0"/>
    <n v="124"/>
  </r>
  <r>
    <n v="2025"/>
    <n v="7"/>
    <x v="9"/>
    <s v="national network"/>
    <x v="3"/>
    <x v="0"/>
    <s v="No"/>
    <x v="0"/>
    <s v="No"/>
    <n v="550"/>
    <n v="0"/>
    <n v="0"/>
    <n v="0"/>
    <n v="118"/>
    <n v="108"/>
    <n v="104"/>
    <n v="89"/>
    <n v="74"/>
    <n v="41"/>
    <n v="11"/>
    <n v="550"/>
  </r>
  <r>
    <n v="2025"/>
    <n v="7"/>
    <x v="9"/>
    <s v="national network"/>
    <x v="4"/>
    <x v="0"/>
    <s v="No"/>
    <x v="0"/>
    <s v="Yes"/>
    <n v="180"/>
    <n v="1"/>
    <n v="0"/>
    <n v="1"/>
    <n v="11"/>
    <n v="9"/>
    <n v="8"/>
    <n v="7"/>
    <n v="6"/>
    <n v="4"/>
    <n v="3"/>
    <n v="179"/>
  </r>
  <r>
    <n v="2025"/>
    <n v="7"/>
    <x v="9"/>
    <s v="national network"/>
    <x v="0"/>
    <x v="0"/>
    <s v="No"/>
    <x v="0"/>
    <s v="No"/>
    <n v="150"/>
    <n v="0"/>
    <n v="0"/>
    <n v="0"/>
    <n v="0"/>
    <n v="0"/>
    <n v="0"/>
    <n v="0"/>
    <n v="0"/>
    <n v="0"/>
    <n v="0"/>
    <n v="150"/>
  </r>
  <r>
    <n v="2025"/>
    <n v="7"/>
    <x v="9"/>
    <s v="national network"/>
    <x v="10"/>
    <x v="0"/>
    <s v="Yes"/>
    <x v="0"/>
    <s v="No"/>
    <n v="496"/>
    <n v="0"/>
    <n v="0"/>
    <n v="0"/>
    <n v="248"/>
    <n v="221"/>
    <n v="202"/>
    <n v="151"/>
    <n v="106"/>
    <n v="42"/>
    <n v="6"/>
    <n v="496"/>
  </r>
  <r>
    <n v="2025"/>
    <n v="7"/>
    <x v="10"/>
    <s v="national network"/>
    <x v="15"/>
    <x v="0"/>
    <s v="No"/>
    <x v="0"/>
    <s v="No"/>
    <n v="846"/>
    <n v="13"/>
    <n v="2"/>
    <n v="15"/>
    <n v="45"/>
    <n v="30"/>
    <n v="25"/>
    <n v="16"/>
    <n v="12"/>
    <n v="3"/>
    <n v="0"/>
    <n v="833"/>
  </r>
  <r>
    <n v="2025"/>
    <n v="7"/>
    <x v="10"/>
    <s v="national network"/>
    <x v="16"/>
    <x v="1"/>
    <s v="No"/>
    <x v="0"/>
    <s v="No"/>
    <n v="13"/>
    <n v="0"/>
    <n v="2"/>
    <n v="2"/>
    <n v="1"/>
    <n v="1"/>
    <n v="0"/>
    <n v="0"/>
    <n v="0"/>
    <n v="0"/>
    <n v="0"/>
    <n v="11"/>
  </r>
  <r>
    <n v="2025"/>
    <n v="7"/>
    <x v="10"/>
    <s v="national network"/>
    <x v="0"/>
    <x v="1"/>
    <s v="No"/>
    <x v="0"/>
    <s v="No"/>
    <n v="36144"/>
    <n v="0"/>
    <n v="3385"/>
    <n v="3385"/>
    <n v="3792"/>
    <n v="2245"/>
    <n v="1773"/>
    <n v="916"/>
    <n v="435"/>
    <n v="67"/>
    <n v="2"/>
    <n v="33540"/>
  </r>
  <r>
    <n v="2025"/>
    <n v="7"/>
    <x v="10"/>
    <s v="national network"/>
    <x v="0"/>
    <x v="0"/>
    <s v="No"/>
    <x v="0"/>
    <s v="No"/>
    <n v="499"/>
    <n v="19"/>
    <n v="5"/>
    <n v="24"/>
    <n v="207"/>
    <n v="183"/>
    <n v="178"/>
    <n v="169"/>
    <n v="132"/>
    <n v="60"/>
    <n v="16"/>
    <n v="476"/>
  </r>
  <r>
    <n v="2025"/>
    <n v="7"/>
    <x v="10"/>
    <s v="national network"/>
    <x v="17"/>
    <x v="1"/>
    <s v="No"/>
    <x v="0"/>
    <s v="No"/>
    <n v="3601"/>
    <n v="0"/>
    <n v="716"/>
    <n v="716"/>
    <n v="451"/>
    <n v="289"/>
    <n v="251"/>
    <n v="160"/>
    <n v="86"/>
    <n v="8"/>
    <n v="0"/>
    <n v="3132"/>
  </r>
  <r>
    <n v="2025"/>
    <n v="7"/>
    <x v="10"/>
    <s v="national network"/>
    <x v="8"/>
    <x v="0"/>
    <s v="Yes"/>
    <x v="0"/>
    <s v="No"/>
    <n v="466"/>
    <n v="5"/>
    <n v="4"/>
    <n v="9"/>
    <n v="184"/>
    <n v="166"/>
    <n v="159"/>
    <n v="131"/>
    <n v="103"/>
    <n v="55"/>
    <n v="14"/>
    <n v="459"/>
  </r>
  <r>
    <n v="2025"/>
    <n v="7"/>
    <x v="10"/>
    <s v="national network"/>
    <x v="5"/>
    <x v="0"/>
    <s v="No"/>
    <x v="0"/>
    <s v="Yes"/>
    <n v="186"/>
    <n v="6"/>
    <n v="0"/>
    <n v="6"/>
    <n v="116"/>
    <n v="102"/>
    <n v="93"/>
    <n v="85"/>
    <n v="73"/>
    <n v="60"/>
    <n v="29"/>
    <n v="180"/>
  </r>
  <r>
    <n v="2025"/>
    <n v="7"/>
    <x v="10"/>
    <s v="national network"/>
    <x v="18"/>
    <x v="1"/>
    <s v="No"/>
    <x v="0"/>
    <s v="Yes"/>
    <n v="15"/>
    <n v="0"/>
    <n v="2"/>
    <n v="2"/>
    <n v="6"/>
    <n v="2"/>
    <n v="1"/>
    <n v="0"/>
    <n v="0"/>
    <n v="0"/>
    <n v="0"/>
    <n v="14"/>
  </r>
  <r>
    <n v="2025"/>
    <n v="7"/>
    <x v="10"/>
    <s v="national network"/>
    <x v="19"/>
    <x v="1"/>
    <s v="No"/>
    <x v="1"/>
    <s v="No"/>
    <n v="3732"/>
    <n v="0"/>
    <n v="94"/>
    <n v="94"/>
    <n v="269"/>
    <n v="114"/>
    <n v="84"/>
    <n v="30"/>
    <n v="13"/>
    <n v="1"/>
    <n v="0"/>
    <n v="3660"/>
  </r>
  <r>
    <n v="2025"/>
    <n v="7"/>
    <x v="10"/>
    <s v="national network"/>
    <x v="20"/>
    <x v="1"/>
    <s v="No"/>
    <x v="1"/>
    <s v="No"/>
    <n v="78112"/>
    <n v="0"/>
    <n v="3262"/>
    <n v="3262"/>
    <n v="4510"/>
    <n v="2075"/>
    <n v="1501"/>
    <n v="584"/>
    <n v="228"/>
    <n v="36"/>
    <n v="2"/>
    <n v="75593"/>
  </r>
  <r>
    <n v="2025"/>
    <n v="7"/>
    <x v="10"/>
    <s v="national network"/>
    <x v="21"/>
    <x v="1"/>
    <s v="No"/>
    <x v="1"/>
    <s v="No"/>
    <n v="36189"/>
    <n v="0"/>
    <n v="1186"/>
    <n v="1186"/>
    <n v="1788"/>
    <n v="739"/>
    <n v="524"/>
    <n v="184"/>
    <n v="74"/>
    <n v="10"/>
    <n v="0"/>
    <n v="35245"/>
  </r>
  <r>
    <n v="2025"/>
    <n v="7"/>
    <x v="11"/>
    <s v="national network"/>
    <x v="2"/>
    <x v="1"/>
    <s v="No"/>
    <x v="0"/>
    <s v="No"/>
    <n v="542"/>
    <n v="1"/>
    <n v="4"/>
    <n v="5"/>
    <n v="108"/>
    <n v="74"/>
    <n v="64"/>
    <n v="40"/>
    <n v="26"/>
    <n v="12"/>
    <n v="3"/>
    <n v="539"/>
  </r>
  <r>
    <n v="2025"/>
    <n v="7"/>
    <x v="11"/>
    <s v="national network"/>
    <x v="2"/>
    <x v="0"/>
    <s v="No"/>
    <x v="0"/>
    <s v="No"/>
    <n v="946"/>
    <n v="0"/>
    <n v="2"/>
    <n v="2"/>
    <n v="222"/>
    <n v="157"/>
    <n v="137"/>
    <n v="88"/>
    <n v="57"/>
    <n v="21"/>
    <n v="7"/>
    <n v="946"/>
  </r>
  <r>
    <n v="2025"/>
    <n v="7"/>
    <x v="11"/>
    <s v="national network"/>
    <x v="3"/>
    <x v="0"/>
    <s v="No"/>
    <x v="0"/>
    <s v="No"/>
    <n v="1607"/>
    <n v="9"/>
    <n v="1"/>
    <n v="10"/>
    <n v="747"/>
    <n v="616"/>
    <n v="572"/>
    <n v="442"/>
    <n v="325"/>
    <n v="125"/>
    <n v="54"/>
    <n v="1597"/>
  </r>
  <r>
    <n v="2025"/>
    <n v="7"/>
    <x v="11"/>
    <s v="national network"/>
    <x v="4"/>
    <x v="1"/>
    <s v="No"/>
    <x v="0"/>
    <s v="Yes"/>
    <n v="17"/>
    <n v="0"/>
    <n v="0"/>
    <n v="0"/>
    <n v="1"/>
    <n v="1"/>
    <n v="1"/>
    <n v="1"/>
    <n v="1"/>
    <n v="1"/>
    <n v="0"/>
    <n v="17"/>
  </r>
  <r>
    <n v="2025"/>
    <n v="7"/>
    <x v="11"/>
    <s v="national network"/>
    <x v="4"/>
    <x v="0"/>
    <s v="No"/>
    <x v="0"/>
    <s v="Yes"/>
    <n v="361"/>
    <n v="0"/>
    <n v="0"/>
    <n v="0"/>
    <n v="102"/>
    <n v="88"/>
    <n v="82"/>
    <n v="67"/>
    <n v="54"/>
    <n v="39"/>
    <n v="26"/>
    <n v="361"/>
  </r>
  <r>
    <n v="2025"/>
    <n v="7"/>
    <x v="11"/>
    <s v="national network"/>
    <x v="0"/>
    <x v="1"/>
    <s v="No"/>
    <x v="0"/>
    <s v="No"/>
    <n v="1570"/>
    <n v="5"/>
    <n v="110"/>
    <n v="115"/>
    <n v="255"/>
    <n v="172"/>
    <n v="152"/>
    <n v="107"/>
    <n v="75"/>
    <n v="34"/>
    <n v="16"/>
    <n v="1503"/>
  </r>
  <r>
    <n v="2025"/>
    <n v="7"/>
    <x v="11"/>
    <s v="national network"/>
    <x v="0"/>
    <x v="0"/>
    <s v="No"/>
    <x v="0"/>
    <s v="No"/>
    <n v="474"/>
    <n v="4"/>
    <n v="1"/>
    <n v="5"/>
    <n v="50"/>
    <n v="41"/>
    <n v="39"/>
    <n v="33"/>
    <n v="27"/>
    <n v="11"/>
    <n v="7"/>
    <n v="470"/>
  </r>
  <r>
    <n v="2025"/>
    <n v="7"/>
    <x v="11"/>
    <s v="national network"/>
    <x v="8"/>
    <x v="1"/>
    <s v="Yes"/>
    <x v="0"/>
    <s v="No"/>
    <n v="31"/>
    <n v="0"/>
    <n v="0"/>
    <n v="0"/>
    <n v="7"/>
    <n v="2"/>
    <n v="2"/>
    <n v="2"/>
    <n v="2"/>
    <n v="2"/>
    <n v="0"/>
    <n v="31"/>
  </r>
  <r>
    <n v="2025"/>
    <n v="7"/>
    <x v="11"/>
    <s v="national network"/>
    <x v="8"/>
    <x v="0"/>
    <s v="Yes"/>
    <x v="0"/>
    <s v="No"/>
    <n v="762"/>
    <n v="30"/>
    <n v="1"/>
    <n v="31"/>
    <n v="298"/>
    <n v="262"/>
    <n v="236"/>
    <n v="199"/>
    <n v="161"/>
    <n v="91"/>
    <n v="42"/>
    <n v="731"/>
  </r>
  <r>
    <n v="2025"/>
    <n v="7"/>
    <x v="11"/>
    <s v="national network"/>
    <x v="5"/>
    <x v="1"/>
    <s v="No"/>
    <x v="0"/>
    <s v="Yes"/>
    <n v="62"/>
    <n v="0"/>
    <n v="1"/>
    <n v="1"/>
    <n v="12"/>
    <n v="9"/>
    <n v="9"/>
    <n v="7"/>
    <n v="5"/>
    <n v="3"/>
    <n v="1"/>
    <n v="62"/>
  </r>
  <r>
    <n v="2025"/>
    <n v="7"/>
    <x v="11"/>
    <s v="national network"/>
    <x v="5"/>
    <x v="0"/>
    <s v="No"/>
    <x v="0"/>
    <s v="Yes"/>
    <n v="788"/>
    <n v="5"/>
    <n v="2"/>
    <n v="7"/>
    <n v="328"/>
    <n v="280"/>
    <n v="262"/>
    <n v="231"/>
    <n v="197"/>
    <n v="149"/>
    <n v="101"/>
    <n v="781"/>
  </r>
  <r>
    <n v="2025"/>
    <n v="7"/>
    <x v="11"/>
    <s v="national network"/>
    <x v="6"/>
    <x v="1"/>
    <s v="No"/>
    <x v="0"/>
    <s v="No"/>
    <n v="2062"/>
    <n v="1"/>
    <n v="32"/>
    <n v="33"/>
    <n v="416"/>
    <n v="280"/>
    <n v="223"/>
    <n v="121"/>
    <n v="74"/>
    <n v="23"/>
    <n v="6"/>
    <n v="2044"/>
  </r>
  <r>
    <n v="2025"/>
    <n v="7"/>
    <x v="11"/>
    <s v="national network"/>
    <x v="6"/>
    <x v="0"/>
    <s v="No"/>
    <x v="0"/>
    <s v="No"/>
    <n v="1087"/>
    <n v="6"/>
    <n v="3"/>
    <n v="9"/>
    <n v="471"/>
    <n v="392"/>
    <n v="360"/>
    <n v="266"/>
    <n v="200"/>
    <n v="103"/>
    <n v="41"/>
    <n v="1081"/>
  </r>
  <r>
    <n v="2025"/>
    <n v="7"/>
    <x v="11"/>
    <s v="national network"/>
    <x v="10"/>
    <x v="1"/>
    <s v="Yes"/>
    <x v="0"/>
    <s v="No"/>
    <n v="923"/>
    <n v="1"/>
    <n v="15"/>
    <n v="16"/>
    <n v="345"/>
    <n v="285"/>
    <n v="262"/>
    <n v="204"/>
    <n v="169"/>
    <n v="73"/>
    <n v="9"/>
    <n v="916"/>
  </r>
  <r>
    <n v="2025"/>
    <n v="7"/>
    <x v="11"/>
    <s v="national network"/>
    <x v="10"/>
    <x v="0"/>
    <s v="Yes"/>
    <x v="0"/>
    <s v="No"/>
    <n v="1052"/>
    <n v="2"/>
    <n v="9"/>
    <n v="11"/>
    <n v="487"/>
    <n v="409"/>
    <n v="366"/>
    <n v="278"/>
    <n v="218"/>
    <n v="104"/>
    <n v="15"/>
    <n v="1047"/>
  </r>
  <r>
    <n v="2025"/>
    <n v="7"/>
    <x v="12"/>
    <s v="national network"/>
    <x v="9"/>
    <x v="1"/>
    <s v="No"/>
    <x v="1"/>
    <s v="No"/>
    <n v="11351"/>
    <n v="17"/>
    <n v="234"/>
    <n v="251"/>
    <n v="13"/>
    <n v="8"/>
    <n v="7"/>
    <n v="6"/>
    <n v="4"/>
    <n v="1"/>
    <n v="0"/>
    <n v="11121"/>
  </r>
  <r>
    <n v="2025"/>
    <n v="7"/>
    <x v="12"/>
    <s v="national network"/>
    <x v="9"/>
    <x v="0"/>
    <s v="No"/>
    <x v="1"/>
    <s v="No"/>
    <n v="23"/>
    <n v="2"/>
    <n v="0"/>
    <n v="2"/>
    <n v="1"/>
    <n v="1"/>
    <n v="1"/>
    <n v="1"/>
    <n v="0"/>
    <n v="0"/>
    <n v="0"/>
    <n v="21"/>
  </r>
  <r>
    <n v="2025"/>
    <n v="7"/>
    <x v="13"/>
    <s v="whole journey"/>
    <x v="22"/>
    <x v="0"/>
    <s v="No"/>
    <x v="1"/>
    <s v="No"/>
    <n v="121"/>
    <n v="0"/>
    <n v="0"/>
    <n v="0"/>
    <n v="18"/>
    <n v="12"/>
    <n v="11"/>
    <n v="9"/>
    <n v="7"/>
    <n v="2"/>
    <n v="0"/>
    <n v="121"/>
  </r>
  <r>
    <n v="2025"/>
    <n v="7"/>
    <x v="13"/>
    <s v="whole journey"/>
    <x v="23"/>
    <x v="1"/>
    <s v="Yes"/>
    <x v="0"/>
    <s v="No"/>
    <n v="1642"/>
    <n v="22"/>
    <n v="34"/>
    <n v="56"/>
    <n v="367"/>
    <n v="334"/>
    <n v="334"/>
    <n v="244"/>
    <n v="201"/>
    <n v="119"/>
    <n v="54"/>
    <n v="1607"/>
  </r>
  <r>
    <n v="2025"/>
    <n v="7"/>
    <x v="13"/>
    <s v="whole journey"/>
    <x v="23"/>
    <x v="2"/>
    <s v="Yes"/>
    <x v="0"/>
    <s v="No"/>
    <n v="42"/>
    <n v="1"/>
    <n v="0"/>
    <n v="1"/>
    <n v="0"/>
    <n v="0"/>
    <n v="0"/>
    <n v="0"/>
    <n v="0"/>
    <n v="0"/>
    <n v="0"/>
    <n v="0"/>
  </r>
  <r>
    <n v="2025"/>
    <n v="7"/>
    <x v="14"/>
    <s v="national network"/>
    <x v="3"/>
    <x v="0"/>
    <s v="No"/>
    <x v="1"/>
    <s v="No"/>
    <n v="914"/>
    <n v="3"/>
    <n v="1"/>
    <n v="4"/>
    <n v="409"/>
    <n v="332"/>
    <n v="300"/>
    <n v="200"/>
    <n v="151"/>
    <n v="71"/>
    <n v="22"/>
    <n v="910"/>
  </r>
  <r>
    <n v="2025"/>
    <n v="7"/>
    <x v="14"/>
    <s v="national network"/>
    <x v="4"/>
    <x v="0"/>
    <s v="No"/>
    <x v="0"/>
    <s v="Yes"/>
    <n v="92"/>
    <n v="0"/>
    <n v="0"/>
    <n v="0"/>
    <n v="22"/>
    <n v="18"/>
    <n v="16"/>
    <n v="15"/>
    <n v="9"/>
    <n v="5"/>
    <n v="1"/>
    <n v="92"/>
  </r>
  <r>
    <n v="2025"/>
    <n v="7"/>
    <x v="14"/>
    <s v="national network"/>
    <x v="0"/>
    <x v="0"/>
    <s v="No"/>
    <x v="0"/>
    <s v="No"/>
    <n v="62"/>
    <n v="0"/>
    <n v="0"/>
    <n v="0"/>
    <n v="18"/>
    <n v="14"/>
    <n v="12"/>
    <n v="11"/>
    <n v="6"/>
    <n v="3"/>
    <n v="1"/>
    <n v="62"/>
  </r>
  <r>
    <n v="2025"/>
    <n v="7"/>
    <x v="15"/>
    <s v="national network"/>
    <x v="24"/>
    <x v="1"/>
    <s v="No"/>
    <x v="1"/>
    <s v="No"/>
    <n v="1609"/>
    <n v="0"/>
    <n v="0"/>
    <n v="0"/>
    <n v="0"/>
    <n v="0"/>
    <n v="0"/>
    <n v="0"/>
    <n v="0"/>
    <n v="0"/>
    <n v="0"/>
    <n v="1609"/>
  </r>
  <r>
    <n v="2025"/>
    <n v="7"/>
    <x v="15"/>
    <s v="national network"/>
    <x v="24"/>
    <x v="0"/>
    <s v="No"/>
    <x v="1"/>
    <s v="No"/>
    <n v="186"/>
    <n v="0"/>
    <n v="0"/>
    <n v="0"/>
    <n v="0"/>
    <n v="0"/>
    <n v="0"/>
    <n v="0"/>
    <n v="0"/>
    <n v="0"/>
    <n v="0"/>
    <n v="186"/>
  </r>
  <r>
    <n v="2025"/>
    <n v="7"/>
    <x v="16"/>
    <s v="national network"/>
    <x v="3"/>
    <x v="1"/>
    <s v="No"/>
    <x v="0"/>
    <s v="No"/>
    <n v="143"/>
    <n v="0"/>
    <n v="2"/>
    <n v="2"/>
    <n v="6"/>
    <n v="5"/>
    <n v="5"/>
    <n v="3"/>
    <n v="2"/>
    <n v="1"/>
    <n v="0"/>
    <n v="143"/>
  </r>
  <r>
    <n v="2025"/>
    <n v="7"/>
    <x v="16"/>
    <s v="national network"/>
    <x v="3"/>
    <x v="0"/>
    <s v="No"/>
    <x v="0"/>
    <s v="No"/>
    <n v="1711"/>
    <n v="24"/>
    <n v="59"/>
    <n v="83"/>
    <n v="384"/>
    <n v="329"/>
    <n v="310"/>
    <n v="255"/>
    <n v="206"/>
    <n v="137"/>
    <n v="31"/>
    <n v="1660"/>
  </r>
  <r>
    <n v="2025"/>
    <n v="7"/>
    <x v="16"/>
    <s v="national network"/>
    <x v="7"/>
    <x v="0"/>
    <s v="No"/>
    <x v="1"/>
    <s v="No"/>
    <n v="283"/>
    <n v="8"/>
    <n v="8"/>
    <n v="16"/>
    <n v="214"/>
    <n v="184"/>
    <n v="174"/>
    <n v="116"/>
    <n v="46"/>
    <n v="10"/>
    <n v="6"/>
    <n v="273"/>
  </r>
  <r>
    <n v="2025"/>
    <n v="7"/>
    <x v="16"/>
    <s v="national network"/>
    <x v="4"/>
    <x v="0"/>
    <s v="No"/>
    <x v="0"/>
    <s v="Yes"/>
    <n v="183"/>
    <n v="0"/>
    <n v="0"/>
    <n v="0"/>
    <n v="33"/>
    <n v="27"/>
    <n v="25"/>
    <n v="21"/>
    <n v="20"/>
    <n v="17"/>
    <n v="3"/>
    <n v="183"/>
  </r>
  <r>
    <n v="2025"/>
    <n v="7"/>
    <x v="16"/>
    <s v="national network"/>
    <x v="0"/>
    <x v="1"/>
    <s v="No"/>
    <x v="0"/>
    <s v="No"/>
    <n v="11659"/>
    <n v="47"/>
    <n v="267"/>
    <n v="314"/>
    <n v="30"/>
    <n v="24"/>
    <n v="22"/>
    <n v="16"/>
    <n v="13"/>
    <n v="5"/>
    <n v="1"/>
    <n v="11402"/>
  </r>
  <r>
    <n v="2025"/>
    <n v="7"/>
    <x v="16"/>
    <s v="national network"/>
    <x v="0"/>
    <x v="0"/>
    <s v="No"/>
    <x v="0"/>
    <s v="No"/>
    <n v="1235"/>
    <n v="61"/>
    <n v="35"/>
    <n v="96"/>
    <n v="256"/>
    <n v="210"/>
    <n v="195"/>
    <n v="153"/>
    <n v="111"/>
    <n v="28"/>
    <n v="5"/>
    <n v="1157"/>
  </r>
  <r>
    <n v="2025"/>
    <n v="7"/>
    <x v="16"/>
    <s v="national network"/>
    <x v="0"/>
    <x v="2"/>
    <s v="No"/>
    <x v="0"/>
    <s v="No"/>
    <n v="1"/>
    <n v="0"/>
    <n v="0"/>
    <n v="0"/>
    <n v="0"/>
    <n v="0"/>
    <n v="0"/>
    <n v="0"/>
    <n v="0"/>
    <n v="0"/>
    <n v="0"/>
    <n v="0"/>
  </r>
  <r>
    <n v="2025"/>
    <n v="7"/>
    <x v="16"/>
    <s v="national network"/>
    <x v="8"/>
    <x v="1"/>
    <s v="Yes"/>
    <x v="0"/>
    <s v="No"/>
    <n v="66"/>
    <n v="0"/>
    <n v="0"/>
    <n v="0"/>
    <n v="0"/>
    <n v="0"/>
    <n v="0"/>
    <n v="0"/>
    <n v="0"/>
    <n v="0"/>
    <n v="0"/>
    <n v="66"/>
  </r>
  <r>
    <n v="2025"/>
    <n v="7"/>
    <x v="16"/>
    <s v="national network"/>
    <x v="8"/>
    <x v="0"/>
    <s v="Yes"/>
    <x v="0"/>
    <s v="No"/>
    <n v="1349"/>
    <n v="89"/>
    <n v="233"/>
    <n v="322"/>
    <n v="316"/>
    <n v="243"/>
    <n v="219"/>
    <n v="138"/>
    <n v="109"/>
    <n v="40"/>
    <n v="9"/>
    <n v="1122"/>
  </r>
  <r>
    <n v="2025"/>
    <n v="7"/>
    <x v="16"/>
    <s v="national network"/>
    <x v="9"/>
    <x v="1"/>
    <s v="No"/>
    <x v="0"/>
    <s v="No"/>
    <n v="13224"/>
    <n v="53"/>
    <n v="176"/>
    <n v="229"/>
    <n v="17"/>
    <n v="9"/>
    <n v="6"/>
    <n v="6"/>
    <n v="5"/>
    <n v="3"/>
    <n v="1"/>
    <n v="13054"/>
  </r>
  <r>
    <n v="2025"/>
    <n v="7"/>
    <x v="16"/>
    <s v="national network"/>
    <x v="9"/>
    <x v="0"/>
    <s v="No"/>
    <x v="0"/>
    <s v="No"/>
    <n v="1081"/>
    <n v="2"/>
    <n v="26"/>
    <n v="28"/>
    <n v="32"/>
    <n v="15"/>
    <n v="14"/>
    <n v="7"/>
    <n v="0"/>
    <n v="0"/>
    <n v="0"/>
    <n v="1057"/>
  </r>
  <r>
    <n v="2025"/>
    <n v="7"/>
    <x v="16"/>
    <s v="national network"/>
    <x v="25"/>
    <x v="1"/>
    <s v="Yes"/>
    <x v="0"/>
    <s v="No"/>
    <n v="12"/>
    <n v="0"/>
    <n v="0"/>
    <n v="0"/>
    <n v="0"/>
    <n v="0"/>
    <n v="0"/>
    <n v="0"/>
    <n v="0"/>
    <n v="0"/>
    <n v="0"/>
    <n v="12"/>
  </r>
  <r>
    <n v="2025"/>
    <n v="7"/>
    <x v="16"/>
    <s v="national network"/>
    <x v="25"/>
    <x v="0"/>
    <s v="Yes"/>
    <x v="0"/>
    <s v="No"/>
    <n v="869"/>
    <n v="4"/>
    <n v="5"/>
    <n v="9"/>
    <n v="163"/>
    <n v="133"/>
    <n v="123"/>
    <n v="106"/>
    <n v="86"/>
    <n v="43"/>
    <n v="18"/>
    <n v="863"/>
  </r>
  <r>
    <n v="2025"/>
    <n v="7"/>
    <x v="16"/>
    <s v="national network"/>
    <x v="25"/>
    <x v="2"/>
    <s v="Yes"/>
    <x v="0"/>
    <s v="No"/>
    <n v="3"/>
    <n v="0"/>
    <n v="0"/>
    <n v="0"/>
    <n v="0"/>
    <n v="0"/>
    <n v="0"/>
    <n v="0"/>
    <n v="0"/>
    <n v="0"/>
    <n v="0"/>
    <n v="0"/>
  </r>
  <r>
    <n v="2025"/>
    <n v="7"/>
    <x v="16"/>
    <s v="national network"/>
    <x v="5"/>
    <x v="0"/>
    <s v="No"/>
    <x v="0"/>
    <s v="Yes"/>
    <n v="310"/>
    <n v="2"/>
    <n v="0"/>
    <n v="2"/>
    <n v="102"/>
    <n v="85"/>
    <n v="77"/>
    <n v="59"/>
    <n v="51"/>
    <n v="37"/>
    <n v="17"/>
    <n v="308"/>
  </r>
  <r>
    <n v="2025"/>
    <n v="7"/>
    <x v="16"/>
    <s v="national network"/>
    <x v="10"/>
    <x v="0"/>
    <s v="Yes"/>
    <x v="0"/>
    <s v="No"/>
    <n v="372"/>
    <n v="0"/>
    <n v="4"/>
    <n v="4"/>
    <n v="70"/>
    <n v="51"/>
    <n v="48"/>
    <n v="43"/>
    <n v="42"/>
    <n v="24"/>
    <n v="6"/>
    <n v="370"/>
  </r>
  <r>
    <n v="2025"/>
    <n v="7"/>
    <x v="17"/>
    <s v="national network"/>
    <x v="4"/>
    <x v="0"/>
    <s v="No"/>
    <x v="0"/>
    <s v="Yes"/>
    <n v="43"/>
    <n v="2"/>
    <n v="1"/>
    <n v="3"/>
    <n v="25"/>
    <n v="24"/>
    <n v="23"/>
    <n v="22"/>
    <n v="22"/>
    <n v="18"/>
    <n v="17"/>
    <n v="41"/>
  </r>
  <r>
    <n v="2025"/>
    <n v="7"/>
    <x v="18"/>
    <s v="national network"/>
    <x v="15"/>
    <x v="0"/>
    <s v="No"/>
    <x v="1"/>
    <s v="No"/>
    <n v="876"/>
    <n v="10"/>
    <n v="20"/>
    <n v="30"/>
    <n v="201"/>
    <n v="127"/>
    <n v="108"/>
    <n v="60"/>
    <n v="40"/>
    <n v="14"/>
    <n v="1"/>
    <n v="856"/>
  </r>
  <r>
    <n v="2025"/>
    <n v="7"/>
    <x v="18"/>
    <s v="national network"/>
    <x v="0"/>
    <x v="1"/>
    <s v="No"/>
    <x v="0"/>
    <s v="No"/>
    <n v="28881"/>
    <n v="73"/>
    <n v="466"/>
    <n v="539"/>
    <n v="4673"/>
    <n v="2846"/>
    <n v="2355"/>
    <n v="1237"/>
    <n v="683"/>
    <n v="155"/>
    <n v="10"/>
    <n v="28525"/>
  </r>
  <r>
    <n v="2025"/>
    <n v="7"/>
    <x v="18"/>
    <s v="national network"/>
    <x v="0"/>
    <x v="0"/>
    <s v="No"/>
    <x v="0"/>
    <s v="No"/>
    <n v="3813"/>
    <n v="16"/>
    <n v="60"/>
    <n v="76"/>
    <n v="546"/>
    <n v="313"/>
    <n v="253"/>
    <n v="115"/>
    <n v="63"/>
    <n v="14"/>
    <n v="1"/>
    <n v="3758"/>
  </r>
  <r>
    <n v="2025"/>
    <n v="7"/>
    <x v="18"/>
    <s v="national network"/>
    <x v="0"/>
    <x v="2"/>
    <s v="No"/>
    <x v="0"/>
    <s v="No"/>
    <n v="3"/>
    <n v="0"/>
    <n v="0"/>
    <n v="0"/>
    <n v="0"/>
    <n v="0"/>
    <n v="0"/>
    <n v="0"/>
    <n v="0"/>
    <n v="0"/>
    <n v="0"/>
    <n v="0"/>
  </r>
  <r>
    <n v="2025"/>
    <n v="7"/>
    <x v="18"/>
    <s v="national network"/>
    <x v="8"/>
    <x v="0"/>
    <s v="Yes"/>
    <x v="0"/>
    <s v="No"/>
    <n v="487"/>
    <n v="15"/>
    <n v="19"/>
    <n v="34"/>
    <n v="184"/>
    <n v="139"/>
    <n v="121"/>
    <n v="83"/>
    <n v="63"/>
    <n v="34"/>
    <n v="6"/>
    <n v="463"/>
  </r>
  <r>
    <n v="2025"/>
    <n v="7"/>
    <x v="18"/>
    <s v="national network"/>
    <x v="26"/>
    <x v="1"/>
    <s v="No"/>
    <x v="1"/>
    <s v="No"/>
    <n v="18325"/>
    <n v="30"/>
    <n v="93"/>
    <n v="123"/>
    <n v="2027"/>
    <n v="1063"/>
    <n v="844"/>
    <n v="367"/>
    <n v="189"/>
    <n v="26"/>
    <n v="2"/>
    <n v="18232"/>
  </r>
  <r>
    <n v="2025"/>
    <n v="7"/>
    <x v="18"/>
    <s v="national network"/>
    <x v="26"/>
    <x v="0"/>
    <s v="No"/>
    <x v="1"/>
    <s v="No"/>
    <n v="5434"/>
    <n v="31"/>
    <n v="0"/>
    <n v="31"/>
    <n v="180"/>
    <n v="93"/>
    <n v="72"/>
    <n v="31"/>
    <n v="12"/>
    <n v="0"/>
    <n v="0"/>
    <n v="5403"/>
  </r>
  <r>
    <n v="2025"/>
    <n v="7"/>
    <x v="18"/>
    <s v="national network"/>
    <x v="26"/>
    <x v="2"/>
    <s v="No"/>
    <x v="1"/>
    <s v="No"/>
    <n v="11"/>
    <n v="0"/>
    <n v="0"/>
    <n v="0"/>
    <n v="0"/>
    <n v="0"/>
    <n v="0"/>
    <n v="0"/>
    <n v="0"/>
    <n v="0"/>
    <n v="0"/>
    <n v="0"/>
  </r>
  <r>
    <n v="2025"/>
    <n v="7"/>
    <x v="18"/>
    <s v="national network"/>
    <x v="5"/>
    <x v="0"/>
    <s v="No"/>
    <x v="0"/>
    <s v="Yes"/>
    <n v="46"/>
    <n v="2"/>
    <n v="2"/>
    <n v="4"/>
    <n v="18"/>
    <n v="14"/>
    <n v="10"/>
    <n v="8"/>
    <n v="6"/>
    <n v="3"/>
    <n v="2"/>
    <n v="44"/>
  </r>
  <r>
    <n v="2025"/>
    <n v="7"/>
    <x v="18"/>
    <s v="national network"/>
    <x v="27"/>
    <x v="1"/>
    <s v="No"/>
    <x v="1"/>
    <s v="No"/>
    <n v="2785"/>
    <n v="22"/>
    <n v="10"/>
    <n v="32"/>
    <n v="385"/>
    <n v="214"/>
    <n v="166"/>
    <n v="80"/>
    <n v="38"/>
    <n v="12"/>
    <n v="2"/>
    <n v="2755"/>
  </r>
  <r>
    <n v="2025"/>
    <n v="7"/>
    <x v="18"/>
    <s v="national network"/>
    <x v="27"/>
    <x v="0"/>
    <s v="No"/>
    <x v="1"/>
    <s v="No"/>
    <n v="238"/>
    <n v="0"/>
    <n v="0"/>
    <n v="0"/>
    <n v="7"/>
    <n v="5"/>
    <n v="5"/>
    <n v="3"/>
    <n v="3"/>
    <n v="0"/>
    <n v="0"/>
    <n v="238"/>
  </r>
  <r>
    <n v="2025"/>
    <n v="7"/>
    <x v="18"/>
    <s v="national network"/>
    <x v="19"/>
    <x v="1"/>
    <s v="No"/>
    <x v="1"/>
    <s v="No"/>
    <n v="26259"/>
    <n v="54"/>
    <n v="148"/>
    <n v="202"/>
    <n v="2634"/>
    <n v="1431"/>
    <n v="1146"/>
    <n v="542"/>
    <n v="305"/>
    <n v="59"/>
    <n v="6"/>
    <n v="26113"/>
  </r>
  <r>
    <n v="2025"/>
    <n v="7"/>
    <x v="18"/>
    <s v="national network"/>
    <x v="19"/>
    <x v="0"/>
    <s v="No"/>
    <x v="1"/>
    <s v="No"/>
    <n v="3569"/>
    <n v="27"/>
    <n v="54"/>
    <n v="81"/>
    <n v="644"/>
    <n v="424"/>
    <n v="340"/>
    <n v="172"/>
    <n v="84"/>
    <n v="17"/>
    <n v="2"/>
    <n v="3509"/>
  </r>
  <r>
    <n v="2025"/>
    <n v="7"/>
    <x v="18"/>
    <s v="national network"/>
    <x v="1"/>
    <x v="0"/>
    <s v="Yes"/>
    <x v="0"/>
    <s v="No"/>
    <n v="109"/>
    <n v="3"/>
    <n v="0"/>
    <n v="3"/>
    <n v="79"/>
    <n v="40"/>
    <n v="40"/>
    <n v="38"/>
    <n v="20"/>
    <n v="13"/>
    <n v="0"/>
    <n v="106"/>
  </r>
  <r>
    <n v="2025"/>
    <n v="7"/>
    <x v="19"/>
    <s v="national network"/>
    <x v="28"/>
    <x v="0"/>
    <s v="No"/>
    <x v="0"/>
    <s v="No"/>
    <n v="1"/>
    <n v="0"/>
    <n v="0"/>
    <n v="0"/>
    <n v="0"/>
    <n v="0"/>
    <n v="0"/>
    <n v="0"/>
    <n v="0"/>
    <n v="0"/>
    <n v="0"/>
    <n v="1"/>
  </r>
  <r>
    <n v="2025"/>
    <n v="7"/>
    <x v="19"/>
    <s v="national network"/>
    <x v="0"/>
    <x v="0"/>
    <s v="No"/>
    <x v="0"/>
    <s v="No"/>
    <n v="2179"/>
    <n v="27"/>
    <n v="0"/>
    <n v="27"/>
    <n v="8"/>
    <n v="7"/>
    <n v="6"/>
    <n v="2"/>
    <n v="0"/>
    <n v="0"/>
    <n v="0"/>
    <n v="2152"/>
  </r>
  <r>
    <n v="2025"/>
    <n v="7"/>
    <x v="19"/>
    <s v="national network"/>
    <x v="8"/>
    <x v="0"/>
    <s v="Yes"/>
    <x v="0"/>
    <s v="No"/>
    <n v="660"/>
    <n v="9"/>
    <n v="2"/>
    <n v="11"/>
    <n v="276"/>
    <n v="192"/>
    <n v="186"/>
    <n v="138"/>
    <n v="112"/>
    <n v="49"/>
    <n v="18"/>
    <n v="649"/>
  </r>
  <r>
    <n v="2025"/>
    <n v="7"/>
    <x v="19"/>
    <s v="national network"/>
    <x v="8"/>
    <x v="2"/>
    <s v="Yes"/>
    <x v="0"/>
    <s v="No"/>
    <n v="3"/>
    <n v="0"/>
    <n v="0"/>
    <n v="0"/>
    <n v="0"/>
    <n v="0"/>
    <n v="0"/>
    <n v="0"/>
    <n v="0"/>
    <n v="0"/>
    <n v="0"/>
    <n v="0"/>
  </r>
  <r>
    <n v="2025"/>
    <n v="7"/>
    <x v="19"/>
    <s v="national network"/>
    <x v="29"/>
    <x v="1"/>
    <s v="No"/>
    <x v="0"/>
    <s v="No"/>
    <n v="1885"/>
    <n v="29"/>
    <n v="10"/>
    <n v="39"/>
    <n v="602"/>
    <n v="409"/>
    <n v="409"/>
    <n v="309"/>
    <n v="251"/>
    <n v="155"/>
    <n v="55"/>
    <n v="1851"/>
  </r>
  <r>
    <n v="2025"/>
    <n v="7"/>
    <x v="19"/>
    <s v="national network"/>
    <x v="29"/>
    <x v="2"/>
    <s v="No"/>
    <x v="0"/>
    <s v="No"/>
    <n v="12"/>
    <n v="0"/>
    <n v="0"/>
    <n v="0"/>
    <n v="0"/>
    <n v="0"/>
    <n v="0"/>
    <n v="0"/>
    <n v="0"/>
    <n v="0"/>
    <n v="0"/>
    <n v="0"/>
  </r>
  <r>
    <n v="2025"/>
    <n v="7"/>
    <x v="19"/>
    <s v="national network"/>
    <x v="30"/>
    <x v="1"/>
    <s v="No"/>
    <x v="0"/>
    <s v="Yes"/>
    <n v="168"/>
    <n v="6"/>
    <n v="2"/>
    <n v="8"/>
    <n v="48"/>
    <n v="33"/>
    <n v="33"/>
    <n v="24"/>
    <n v="19"/>
    <n v="11"/>
    <n v="3"/>
    <n v="161"/>
  </r>
  <r>
    <n v="2025"/>
    <n v="7"/>
    <x v="19"/>
    <s v="national network"/>
    <x v="30"/>
    <x v="2"/>
    <s v="No"/>
    <x v="0"/>
    <s v="Yes"/>
    <n v="104"/>
    <n v="3"/>
    <n v="0"/>
    <n v="3"/>
    <n v="0"/>
    <n v="0"/>
    <n v="0"/>
    <n v="0"/>
    <n v="0"/>
    <n v="0"/>
    <n v="0"/>
    <n v="0"/>
  </r>
  <r>
    <n v="2025"/>
    <n v="7"/>
    <x v="19"/>
    <s v="national network"/>
    <x v="25"/>
    <x v="0"/>
    <s v="Yes"/>
    <x v="0"/>
    <s v="No"/>
    <n v="1106"/>
    <n v="0"/>
    <n v="4"/>
    <n v="4"/>
    <n v="210"/>
    <n v="137"/>
    <n v="137"/>
    <n v="109"/>
    <n v="86"/>
    <n v="40"/>
    <n v="19"/>
    <n v="1106"/>
  </r>
  <r>
    <n v="2025"/>
    <n v="7"/>
    <x v="19"/>
    <s v="national network"/>
    <x v="25"/>
    <x v="2"/>
    <s v="Yes"/>
    <x v="0"/>
    <s v="No"/>
    <n v="7"/>
    <n v="0"/>
    <n v="0"/>
    <n v="0"/>
    <n v="0"/>
    <n v="0"/>
    <n v="0"/>
    <n v="0"/>
    <n v="0"/>
    <n v="0"/>
    <n v="0"/>
    <n v="0"/>
  </r>
  <r>
    <n v="2025"/>
    <n v="7"/>
    <x v="19"/>
    <s v="national network"/>
    <x v="5"/>
    <x v="0"/>
    <s v="No"/>
    <x v="0"/>
    <s v="Yes"/>
    <n v="52"/>
    <n v="2"/>
    <n v="0"/>
    <n v="2"/>
    <n v="5"/>
    <n v="5"/>
    <n v="5"/>
    <n v="5"/>
    <n v="5"/>
    <n v="1"/>
    <n v="0"/>
    <n v="50"/>
  </r>
  <r>
    <n v="2025"/>
    <n v="7"/>
    <x v="19"/>
    <s v="national network"/>
    <x v="11"/>
    <x v="0"/>
    <s v="Yes"/>
    <x v="0"/>
    <s v="No"/>
    <n v="89"/>
    <n v="0"/>
    <n v="0"/>
    <n v="0"/>
    <n v="31"/>
    <n v="26"/>
    <n v="26"/>
    <n v="20"/>
    <n v="14"/>
    <n v="8"/>
    <n v="5"/>
    <n v="89"/>
  </r>
  <r>
    <n v="2025"/>
    <n v="7"/>
    <x v="19"/>
    <s v="national network"/>
    <x v="1"/>
    <x v="1"/>
    <s v="Yes"/>
    <x v="0"/>
    <s v="No"/>
    <n v="12249"/>
    <n v="36"/>
    <n v="133"/>
    <n v="169"/>
    <n v="3508"/>
    <n v="2185"/>
    <n v="2182"/>
    <n v="1606"/>
    <n v="1238"/>
    <n v="660"/>
    <n v="273"/>
    <n v="12173"/>
  </r>
  <r>
    <n v="2025"/>
    <n v="7"/>
    <x v="19"/>
    <s v="national network"/>
    <x v="1"/>
    <x v="0"/>
    <s v="Yes"/>
    <x v="0"/>
    <s v="No"/>
    <n v="862"/>
    <n v="20"/>
    <n v="12"/>
    <n v="32"/>
    <n v="388"/>
    <n v="255"/>
    <n v="255"/>
    <n v="196"/>
    <n v="136"/>
    <n v="61"/>
    <n v="25"/>
    <n v="836"/>
  </r>
  <r>
    <n v="2025"/>
    <n v="7"/>
    <x v="19"/>
    <s v="national network"/>
    <x v="1"/>
    <x v="2"/>
    <s v="Yes"/>
    <x v="0"/>
    <s v="No"/>
    <n v="812"/>
    <n v="4"/>
    <n v="0"/>
    <n v="4"/>
    <n v="0"/>
    <n v="0"/>
    <n v="0"/>
    <n v="0"/>
    <n v="0"/>
    <n v="0"/>
    <n v="0"/>
    <n v="0"/>
  </r>
  <r>
    <n v="2025"/>
    <n v="7"/>
    <x v="20"/>
    <s v="national network"/>
    <x v="2"/>
    <x v="0"/>
    <s v="No"/>
    <x v="1"/>
    <s v="No"/>
    <n v="675"/>
    <n v="0"/>
    <n v="0"/>
    <n v="0"/>
    <n v="22"/>
    <n v="20"/>
    <n v="19"/>
    <n v="13"/>
    <n v="10"/>
    <n v="5"/>
    <n v="2"/>
    <n v="675"/>
  </r>
  <r>
    <n v="2025"/>
    <n v="7"/>
    <x v="20"/>
    <s v="national network"/>
    <x v="4"/>
    <x v="0"/>
    <s v="No"/>
    <x v="0"/>
    <s v="Yes"/>
    <n v="162"/>
    <n v="0"/>
    <n v="0"/>
    <n v="0"/>
    <n v="10"/>
    <n v="9"/>
    <n v="9"/>
    <n v="7"/>
    <n v="5"/>
    <n v="4"/>
    <n v="2"/>
    <n v="162"/>
  </r>
  <r>
    <n v="2025"/>
    <n v="7"/>
    <x v="20"/>
    <s v="national network"/>
    <x v="0"/>
    <x v="0"/>
    <s v="No"/>
    <x v="1"/>
    <s v="No"/>
    <n v="62"/>
    <n v="0"/>
    <n v="0"/>
    <n v="0"/>
    <n v="3"/>
    <n v="3"/>
    <n v="3"/>
    <n v="2"/>
    <n v="2"/>
    <n v="2"/>
    <n v="1"/>
    <n v="62"/>
  </r>
  <r>
    <n v="2025"/>
    <n v="7"/>
    <x v="21"/>
    <s v="national network"/>
    <x v="2"/>
    <x v="0"/>
    <s v="No"/>
    <x v="1"/>
    <s v="No"/>
    <n v="124"/>
    <n v="0"/>
    <n v="0"/>
    <n v="0"/>
    <n v="18"/>
    <n v="18"/>
    <n v="16"/>
    <n v="11"/>
    <n v="7"/>
    <n v="2"/>
    <n v="1"/>
    <n v="124"/>
  </r>
  <r>
    <n v="2025"/>
    <n v="7"/>
    <x v="21"/>
    <s v="national network"/>
    <x v="48"/>
    <x v="1"/>
    <s v="No"/>
    <x v="1"/>
    <s v="No"/>
    <n v="1"/>
    <n v="0"/>
    <n v="0"/>
    <n v="0"/>
    <n v="0"/>
    <n v="0"/>
    <n v="0"/>
    <n v="0"/>
    <n v="0"/>
    <n v="0"/>
    <n v="0"/>
    <n v="1"/>
  </r>
  <r>
    <n v="2025"/>
    <n v="7"/>
    <x v="21"/>
    <s v="national network"/>
    <x v="3"/>
    <x v="1"/>
    <s v="No"/>
    <x v="1"/>
    <s v="No"/>
    <n v="52"/>
    <n v="0"/>
    <n v="0"/>
    <n v="0"/>
    <n v="38"/>
    <n v="35"/>
    <n v="28"/>
    <n v="20"/>
    <n v="13"/>
    <n v="8"/>
    <n v="1"/>
    <n v="52"/>
  </r>
  <r>
    <n v="2025"/>
    <n v="7"/>
    <x v="21"/>
    <s v="national network"/>
    <x v="3"/>
    <x v="0"/>
    <s v="No"/>
    <x v="1"/>
    <s v="No"/>
    <n v="1271"/>
    <n v="9"/>
    <n v="19"/>
    <n v="28"/>
    <n v="499"/>
    <n v="418"/>
    <n v="377"/>
    <n v="284"/>
    <n v="201"/>
    <n v="96"/>
    <n v="18"/>
    <n v="1243"/>
  </r>
  <r>
    <n v="2025"/>
    <n v="7"/>
    <x v="21"/>
    <s v="national network"/>
    <x v="7"/>
    <x v="0"/>
    <s v="No"/>
    <x v="0"/>
    <s v="No"/>
    <n v="4"/>
    <n v="0"/>
    <n v="0"/>
    <n v="0"/>
    <n v="1"/>
    <n v="1"/>
    <n v="1"/>
    <n v="1"/>
    <n v="1"/>
    <n v="1"/>
    <n v="0"/>
    <n v="4"/>
  </r>
  <r>
    <n v="2025"/>
    <n v="7"/>
    <x v="21"/>
    <s v="national network"/>
    <x v="4"/>
    <x v="1"/>
    <s v="No"/>
    <x v="0"/>
    <s v="Yes"/>
    <n v="4"/>
    <n v="0"/>
    <n v="0"/>
    <n v="0"/>
    <n v="2"/>
    <n v="2"/>
    <n v="2"/>
    <n v="1"/>
    <n v="1"/>
    <n v="0"/>
    <n v="0"/>
    <n v="4"/>
  </r>
  <r>
    <n v="2025"/>
    <n v="7"/>
    <x v="21"/>
    <s v="national network"/>
    <x v="4"/>
    <x v="0"/>
    <s v="No"/>
    <x v="0"/>
    <s v="Yes"/>
    <n v="30"/>
    <n v="0"/>
    <n v="0"/>
    <n v="0"/>
    <n v="3"/>
    <n v="3"/>
    <n v="3"/>
    <n v="3"/>
    <n v="3"/>
    <n v="3"/>
    <n v="3"/>
    <n v="30"/>
  </r>
  <r>
    <n v="2025"/>
    <n v="7"/>
    <x v="21"/>
    <s v="national network"/>
    <x v="28"/>
    <x v="1"/>
    <s v="No"/>
    <x v="0"/>
    <s v="No"/>
    <n v="48"/>
    <n v="0"/>
    <n v="2"/>
    <n v="2"/>
    <n v="19"/>
    <n v="17"/>
    <n v="17"/>
    <n v="14"/>
    <n v="10"/>
    <n v="8"/>
    <n v="3"/>
    <n v="47"/>
  </r>
  <r>
    <n v="2025"/>
    <n v="7"/>
    <x v="21"/>
    <s v="national network"/>
    <x v="28"/>
    <x v="0"/>
    <s v="No"/>
    <x v="0"/>
    <s v="No"/>
    <n v="1"/>
    <n v="0"/>
    <n v="0"/>
    <n v="0"/>
    <n v="1"/>
    <n v="1"/>
    <n v="1"/>
    <n v="1"/>
    <n v="1"/>
    <n v="0"/>
    <n v="0"/>
    <n v="1"/>
  </r>
  <r>
    <n v="2025"/>
    <n v="7"/>
    <x v="21"/>
    <s v="national network"/>
    <x v="28"/>
    <x v="2"/>
    <s v="No"/>
    <x v="0"/>
    <s v="No"/>
    <n v="1"/>
    <n v="0"/>
    <n v="0"/>
    <n v="0"/>
    <n v="0"/>
    <n v="0"/>
    <n v="0"/>
    <n v="0"/>
    <n v="0"/>
    <n v="0"/>
    <n v="0"/>
    <n v="0"/>
  </r>
  <r>
    <n v="2025"/>
    <n v="7"/>
    <x v="21"/>
    <s v="national network"/>
    <x v="31"/>
    <x v="1"/>
    <s v="No"/>
    <x v="0"/>
    <s v="No"/>
    <n v="567"/>
    <n v="0"/>
    <n v="13"/>
    <n v="13"/>
    <n v="339"/>
    <n v="292"/>
    <n v="266"/>
    <n v="208"/>
    <n v="166"/>
    <n v="96"/>
    <n v="37"/>
    <n v="555"/>
  </r>
  <r>
    <n v="2025"/>
    <n v="7"/>
    <x v="21"/>
    <s v="national network"/>
    <x v="32"/>
    <x v="1"/>
    <s v="No"/>
    <x v="0"/>
    <s v="No"/>
    <n v="298"/>
    <n v="0"/>
    <n v="6"/>
    <n v="6"/>
    <n v="171"/>
    <n v="141"/>
    <n v="132"/>
    <n v="88"/>
    <n v="67"/>
    <n v="27"/>
    <n v="8"/>
    <n v="292"/>
  </r>
  <r>
    <n v="2025"/>
    <n v="7"/>
    <x v="21"/>
    <s v="national network"/>
    <x v="33"/>
    <x v="1"/>
    <s v="Yes"/>
    <x v="0"/>
    <s v="No"/>
    <n v="6805"/>
    <n v="0"/>
    <n v="169"/>
    <n v="169"/>
    <n v="3438"/>
    <n v="2834"/>
    <n v="2614"/>
    <n v="1912"/>
    <n v="1431"/>
    <n v="789"/>
    <n v="293"/>
    <n v="6660"/>
  </r>
  <r>
    <n v="2025"/>
    <n v="7"/>
    <x v="21"/>
    <s v="national network"/>
    <x v="0"/>
    <x v="1"/>
    <s v="No"/>
    <x v="0"/>
    <s v="No"/>
    <n v="3056"/>
    <n v="0"/>
    <n v="125"/>
    <n v="125"/>
    <n v="1509"/>
    <n v="1303"/>
    <n v="1220"/>
    <n v="935"/>
    <n v="717"/>
    <n v="387"/>
    <n v="147"/>
    <n v="2956"/>
  </r>
  <r>
    <n v="2025"/>
    <n v="7"/>
    <x v="21"/>
    <s v="national network"/>
    <x v="0"/>
    <x v="0"/>
    <s v="No"/>
    <x v="0"/>
    <s v="No"/>
    <n v="3"/>
    <n v="0"/>
    <n v="0"/>
    <n v="0"/>
    <n v="2"/>
    <n v="2"/>
    <n v="2"/>
    <n v="0"/>
    <n v="0"/>
    <n v="0"/>
    <n v="0"/>
    <n v="3"/>
  </r>
  <r>
    <n v="2025"/>
    <n v="7"/>
    <x v="21"/>
    <s v="national network"/>
    <x v="34"/>
    <x v="1"/>
    <s v="No"/>
    <x v="0"/>
    <s v="Yes"/>
    <n v="582"/>
    <n v="0"/>
    <n v="0"/>
    <n v="0"/>
    <n v="198"/>
    <n v="166"/>
    <n v="154"/>
    <n v="115"/>
    <n v="90"/>
    <n v="58"/>
    <n v="24"/>
    <n v="582"/>
  </r>
  <r>
    <n v="2025"/>
    <n v="7"/>
    <x v="21"/>
    <s v="national network"/>
    <x v="9"/>
    <x v="1"/>
    <s v="No"/>
    <x v="0"/>
    <s v="No"/>
    <n v="11"/>
    <n v="0"/>
    <n v="2"/>
    <n v="2"/>
    <n v="6"/>
    <n v="6"/>
    <n v="6"/>
    <n v="4"/>
    <n v="4"/>
    <n v="4"/>
    <n v="1"/>
    <n v="10"/>
  </r>
  <r>
    <n v="2025"/>
    <n v="7"/>
    <x v="21"/>
    <s v="national network"/>
    <x v="9"/>
    <x v="0"/>
    <s v="No"/>
    <x v="0"/>
    <s v="No"/>
    <n v="53"/>
    <n v="0"/>
    <n v="0"/>
    <n v="0"/>
    <n v="0"/>
    <n v="0"/>
    <n v="0"/>
    <n v="0"/>
    <n v="0"/>
    <n v="0"/>
    <n v="0"/>
    <n v="53"/>
  </r>
  <r>
    <n v="2025"/>
    <n v="7"/>
    <x v="21"/>
    <s v="national network"/>
    <x v="35"/>
    <x v="1"/>
    <s v="No"/>
    <x v="1"/>
    <s v="No"/>
    <n v="6572"/>
    <n v="0"/>
    <n v="536"/>
    <n v="536"/>
    <n v="504"/>
    <n v="253"/>
    <n v="217"/>
    <n v="138"/>
    <n v="71"/>
    <n v="19"/>
    <n v="6"/>
    <n v="6177"/>
  </r>
  <r>
    <n v="2025"/>
    <n v="7"/>
    <x v="21"/>
    <s v="national network"/>
    <x v="36"/>
    <x v="1"/>
    <s v="No"/>
    <x v="1"/>
    <s v="No"/>
    <n v="7"/>
    <n v="0"/>
    <n v="3"/>
    <n v="3"/>
    <n v="4"/>
    <n v="3"/>
    <n v="3"/>
    <n v="3"/>
    <n v="1"/>
    <n v="1"/>
    <n v="1"/>
    <n v="5"/>
  </r>
  <r>
    <n v="2025"/>
    <n v="7"/>
    <x v="21"/>
    <s v="national network"/>
    <x v="36"/>
    <x v="2"/>
    <s v="No"/>
    <x v="1"/>
    <s v="No"/>
    <n v="6"/>
    <n v="1"/>
    <n v="0"/>
    <n v="1"/>
    <n v="0"/>
    <n v="0"/>
    <n v="0"/>
    <n v="0"/>
    <n v="0"/>
    <n v="0"/>
    <n v="0"/>
    <n v="0"/>
  </r>
  <r>
    <n v="2025"/>
    <n v="7"/>
    <x v="21"/>
    <s v="national network"/>
    <x v="5"/>
    <x v="1"/>
    <s v="No"/>
    <x v="0"/>
    <s v="Yes"/>
    <n v="3"/>
    <n v="0"/>
    <n v="0"/>
    <n v="0"/>
    <n v="3"/>
    <n v="3"/>
    <n v="3"/>
    <n v="2"/>
    <n v="1"/>
    <n v="1"/>
    <n v="0"/>
    <n v="3"/>
  </r>
  <r>
    <n v="2025"/>
    <n v="7"/>
    <x v="21"/>
    <s v="national network"/>
    <x v="5"/>
    <x v="0"/>
    <s v="No"/>
    <x v="0"/>
    <s v="Yes"/>
    <n v="286"/>
    <n v="0"/>
    <n v="1"/>
    <n v="1"/>
    <n v="104"/>
    <n v="94"/>
    <n v="87"/>
    <n v="67"/>
    <n v="62"/>
    <n v="48"/>
    <n v="19"/>
    <n v="285"/>
  </r>
  <r>
    <n v="2025"/>
    <n v="7"/>
    <x v="21"/>
    <s v="national network"/>
    <x v="37"/>
    <x v="1"/>
    <s v="No"/>
    <x v="1"/>
    <s v="No"/>
    <n v="218878"/>
    <n v="226"/>
    <n v="8275"/>
    <n v="8501"/>
    <n v="40618"/>
    <n v="23528"/>
    <n v="18835"/>
    <n v="9907"/>
    <n v="5933"/>
    <n v="2082"/>
    <n v="479"/>
    <n v="211615"/>
  </r>
  <r>
    <n v="2025"/>
    <n v="7"/>
    <x v="21"/>
    <s v="national network"/>
    <x v="37"/>
    <x v="0"/>
    <s v="No"/>
    <x v="1"/>
    <s v="No"/>
    <n v="5464"/>
    <n v="233"/>
    <n v="136"/>
    <n v="369"/>
    <n v="1221"/>
    <n v="744"/>
    <n v="614"/>
    <n v="302"/>
    <n v="173"/>
    <n v="40"/>
    <n v="3"/>
    <n v="5119"/>
  </r>
  <r>
    <n v="2025"/>
    <n v="7"/>
    <x v="21"/>
    <s v="national network"/>
    <x v="37"/>
    <x v="2"/>
    <s v="No"/>
    <x v="1"/>
    <s v="No"/>
    <n v="7"/>
    <n v="0"/>
    <n v="0"/>
    <n v="0"/>
    <n v="0"/>
    <n v="0"/>
    <n v="0"/>
    <n v="0"/>
    <n v="0"/>
    <n v="0"/>
    <n v="0"/>
    <n v="0"/>
  </r>
  <r>
    <n v="2025"/>
    <n v="7"/>
    <x v="21"/>
    <s v="national network"/>
    <x v="6"/>
    <x v="0"/>
    <s v="No"/>
    <x v="0"/>
    <s v="No"/>
    <n v="142"/>
    <n v="2"/>
    <n v="0"/>
    <n v="2"/>
    <n v="29"/>
    <n v="26"/>
    <n v="25"/>
    <n v="24"/>
    <n v="20"/>
    <n v="12"/>
    <n v="6"/>
    <n v="140"/>
  </r>
  <r>
    <n v="2025"/>
    <n v="7"/>
    <x v="21"/>
    <s v="national network"/>
    <x v="10"/>
    <x v="0"/>
    <s v="Yes"/>
    <x v="0"/>
    <s v="No"/>
    <n v="5"/>
    <n v="0"/>
    <n v="0"/>
    <n v="0"/>
    <n v="0"/>
    <n v="0"/>
    <n v="0"/>
    <n v="0"/>
    <n v="0"/>
    <n v="0"/>
    <n v="0"/>
    <n v="5"/>
  </r>
  <r>
    <n v="2025"/>
    <n v="7"/>
    <x v="22"/>
    <s v="whole journey"/>
    <x v="33"/>
    <x v="1"/>
    <s v="Yes"/>
    <x v="0"/>
    <s v="No"/>
    <n v="517"/>
    <n v="0"/>
    <n v="0"/>
    <n v="0"/>
    <n v="122"/>
    <n v="95"/>
    <n v="85"/>
    <n v="64"/>
    <n v="49"/>
    <n v="28"/>
    <n v="14"/>
    <n v="517"/>
  </r>
  <r>
    <n v="2025"/>
    <n v="7"/>
    <x v="22"/>
    <s v="whole journey"/>
    <x v="33"/>
    <x v="0"/>
    <s v="Yes"/>
    <x v="0"/>
    <s v="No"/>
    <n v="121"/>
    <n v="0"/>
    <n v="20"/>
    <n v="20"/>
    <n v="66"/>
    <n v="53"/>
    <n v="48"/>
    <n v="33"/>
    <n v="21"/>
    <n v="12"/>
    <n v="7"/>
    <n v="116"/>
  </r>
  <r>
    <n v="2025"/>
    <n v="7"/>
    <x v="23"/>
    <s v="national network"/>
    <x v="54"/>
    <x v="1"/>
    <s v="No"/>
    <x v="1"/>
    <s v="No"/>
    <n v="1"/>
    <n v="0"/>
    <n v="0"/>
    <n v="0"/>
    <n v="1"/>
    <n v="1"/>
    <n v="1"/>
    <n v="1"/>
    <n v="1"/>
    <n v="0"/>
    <n v="0"/>
    <n v="1"/>
  </r>
  <r>
    <n v="2025"/>
    <n v="7"/>
    <x v="23"/>
    <s v="national network"/>
    <x v="39"/>
    <x v="1"/>
    <s v="No"/>
    <x v="1"/>
    <s v="No"/>
    <n v="4384"/>
    <n v="3"/>
    <n v="0"/>
    <n v="3"/>
    <n v="59"/>
    <n v="56"/>
    <n v="54"/>
    <n v="50"/>
    <n v="40"/>
    <n v="16"/>
    <n v="5"/>
    <n v="4381"/>
  </r>
  <r>
    <n v="2025"/>
    <n v="7"/>
    <x v="23"/>
    <s v="national network"/>
    <x v="39"/>
    <x v="0"/>
    <s v="No"/>
    <x v="1"/>
    <s v="No"/>
    <n v="1448"/>
    <n v="0"/>
    <n v="0"/>
    <n v="0"/>
    <n v="16"/>
    <n v="11"/>
    <n v="11"/>
    <n v="8"/>
    <n v="6"/>
    <n v="4"/>
    <n v="2"/>
    <n v="1448"/>
  </r>
  <r>
    <n v="2025"/>
    <n v="7"/>
    <x v="23"/>
    <s v="national network"/>
    <x v="40"/>
    <x v="1"/>
    <s v="No"/>
    <x v="1"/>
    <s v="No"/>
    <n v="2232"/>
    <n v="0"/>
    <n v="0"/>
    <n v="0"/>
    <n v="0"/>
    <n v="0"/>
    <n v="0"/>
    <n v="0"/>
    <n v="0"/>
    <n v="0"/>
    <n v="0"/>
    <n v="2232"/>
  </r>
  <r>
    <n v="2025"/>
    <n v="7"/>
    <x v="23"/>
    <s v="national network"/>
    <x v="2"/>
    <x v="0"/>
    <s v="No"/>
    <x v="1"/>
    <s v="No"/>
    <n v="143"/>
    <n v="0"/>
    <n v="0"/>
    <n v="0"/>
    <n v="71"/>
    <n v="70"/>
    <n v="69"/>
    <n v="61"/>
    <n v="59"/>
    <n v="27"/>
    <n v="10"/>
    <n v="143"/>
  </r>
  <r>
    <n v="2025"/>
    <n v="7"/>
    <x v="23"/>
    <s v="national network"/>
    <x v="51"/>
    <x v="1"/>
    <s v="No"/>
    <x v="1"/>
    <s v="No"/>
    <n v="2"/>
    <n v="0"/>
    <n v="0"/>
    <n v="0"/>
    <n v="2"/>
    <n v="2"/>
    <n v="2"/>
    <n v="2"/>
    <n v="2"/>
    <n v="1"/>
    <n v="1"/>
    <n v="2"/>
  </r>
  <r>
    <n v="2025"/>
    <n v="7"/>
    <x v="23"/>
    <s v="national network"/>
    <x v="41"/>
    <x v="0"/>
    <s v="No"/>
    <x v="1"/>
    <s v="No"/>
    <n v="1"/>
    <n v="0"/>
    <n v="0"/>
    <n v="0"/>
    <n v="0"/>
    <n v="0"/>
    <n v="0"/>
    <n v="0"/>
    <n v="0"/>
    <n v="0"/>
    <n v="0"/>
    <n v="1"/>
  </r>
  <r>
    <n v="2025"/>
    <n v="7"/>
    <x v="23"/>
    <s v="national network"/>
    <x v="7"/>
    <x v="0"/>
    <s v="No"/>
    <x v="1"/>
    <s v="No"/>
    <n v="4"/>
    <n v="0"/>
    <n v="0"/>
    <n v="0"/>
    <n v="0"/>
    <n v="0"/>
    <n v="0"/>
    <n v="0"/>
    <n v="0"/>
    <n v="0"/>
    <n v="0"/>
    <n v="4"/>
  </r>
  <r>
    <n v="2025"/>
    <n v="7"/>
    <x v="23"/>
    <s v="national network"/>
    <x v="43"/>
    <x v="1"/>
    <s v="No"/>
    <x v="1"/>
    <s v="No"/>
    <n v="62"/>
    <n v="0"/>
    <n v="0"/>
    <n v="0"/>
    <n v="0"/>
    <n v="0"/>
    <n v="0"/>
    <n v="0"/>
    <n v="0"/>
    <n v="0"/>
    <n v="0"/>
    <n v="62"/>
  </r>
  <r>
    <n v="2025"/>
    <n v="7"/>
    <x v="23"/>
    <s v="national network"/>
    <x v="43"/>
    <x v="0"/>
    <s v="No"/>
    <x v="1"/>
    <s v="No"/>
    <n v="93"/>
    <n v="0"/>
    <n v="0"/>
    <n v="0"/>
    <n v="0"/>
    <n v="0"/>
    <n v="0"/>
    <n v="0"/>
    <n v="0"/>
    <n v="0"/>
    <n v="0"/>
    <n v="93"/>
  </r>
  <r>
    <n v="2025"/>
    <n v="7"/>
    <x v="23"/>
    <s v="national network"/>
    <x v="0"/>
    <x v="0"/>
    <s v="No"/>
    <x v="1"/>
    <s v="No"/>
    <n v="44"/>
    <n v="0"/>
    <n v="0"/>
    <n v="0"/>
    <n v="1"/>
    <n v="1"/>
    <n v="1"/>
    <n v="0"/>
    <n v="0"/>
    <n v="0"/>
    <n v="0"/>
    <n v="44"/>
  </r>
  <r>
    <n v="2025"/>
    <n v="7"/>
    <x v="23"/>
    <s v="national network"/>
    <x v="53"/>
    <x v="1"/>
    <s v="No"/>
    <x v="1"/>
    <s v="No"/>
    <n v="24"/>
    <n v="0"/>
    <n v="0"/>
    <n v="0"/>
    <n v="16"/>
    <n v="15"/>
    <n v="13"/>
    <n v="12"/>
    <n v="12"/>
    <n v="11"/>
    <n v="6"/>
    <n v="24"/>
  </r>
  <r>
    <n v="2025"/>
    <n v="7"/>
    <x v="23"/>
    <s v="national network"/>
    <x v="45"/>
    <x v="1"/>
    <s v="No"/>
    <x v="1"/>
    <s v="No"/>
    <n v="16"/>
    <n v="1"/>
    <n v="3"/>
    <n v="4"/>
    <n v="9"/>
    <n v="6"/>
    <n v="6"/>
    <n v="6"/>
    <n v="6"/>
    <n v="3"/>
    <n v="0"/>
    <n v="15"/>
  </r>
  <r>
    <n v="2025"/>
    <n v="7"/>
    <x v="23"/>
    <s v="national network"/>
    <x v="45"/>
    <x v="0"/>
    <s v="No"/>
    <x v="1"/>
    <s v="No"/>
    <n v="34"/>
    <n v="0"/>
    <n v="1"/>
    <n v="1"/>
    <n v="17"/>
    <n v="17"/>
    <n v="17"/>
    <n v="16"/>
    <n v="15"/>
    <n v="10"/>
    <n v="4"/>
    <n v="34"/>
  </r>
  <r>
    <n v="2025"/>
    <n v="7"/>
    <x v="23"/>
    <s v="national network"/>
    <x v="46"/>
    <x v="1"/>
    <s v="No"/>
    <x v="1"/>
    <s v="No"/>
    <n v="26"/>
    <n v="0"/>
    <n v="3"/>
    <n v="3"/>
    <n v="12"/>
    <n v="10"/>
    <n v="8"/>
    <n v="5"/>
    <n v="5"/>
    <n v="3"/>
    <n v="3"/>
    <n v="23"/>
  </r>
  <r>
    <n v="2025"/>
    <n v="7"/>
    <x v="24"/>
    <s v="national network"/>
    <x v="2"/>
    <x v="0"/>
    <s v="No"/>
    <x v="1"/>
    <s v="No"/>
    <n v="62"/>
    <n v="0"/>
    <n v="0"/>
    <n v="0"/>
    <n v="1"/>
    <n v="0"/>
    <n v="0"/>
    <n v="0"/>
    <n v="0"/>
    <n v="0"/>
    <n v="0"/>
    <n v="62"/>
  </r>
  <r>
    <n v="2025"/>
    <n v="7"/>
    <x v="24"/>
    <s v="national network"/>
    <x v="3"/>
    <x v="0"/>
    <s v="No"/>
    <x v="1"/>
    <s v="No"/>
    <n v="15"/>
    <n v="0"/>
    <n v="0"/>
    <n v="0"/>
    <n v="0"/>
    <n v="0"/>
    <n v="0"/>
    <n v="0"/>
    <n v="0"/>
    <n v="0"/>
    <n v="0"/>
    <n v="15"/>
  </r>
  <r>
    <n v="2025"/>
    <n v="7"/>
    <x v="25"/>
    <s v="whole journey"/>
    <x v="47"/>
    <x v="1"/>
    <s v="No"/>
    <x v="0"/>
    <s v="No"/>
    <n v="1488"/>
    <n v="0"/>
    <n v="0"/>
    <n v="0"/>
    <n v="0"/>
    <n v="0"/>
    <n v="0"/>
    <n v="0"/>
    <n v="0"/>
    <n v="0"/>
    <n v="0"/>
    <n v="1488"/>
  </r>
  <r>
    <n v="2025"/>
    <n v="7"/>
    <x v="25"/>
    <s v="whole journey"/>
    <x v="47"/>
    <x v="0"/>
    <s v="No"/>
    <x v="0"/>
    <s v="No"/>
    <n v="372"/>
    <n v="0"/>
    <n v="0"/>
    <n v="0"/>
    <n v="191"/>
    <n v="136"/>
    <n v="116"/>
    <n v="70"/>
    <n v="32"/>
    <n v="9"/>
    <n v="1"/>
    <n v="372"/>
  </r>
  <r>
    <n v="2025"/>
    <n v="7"/>
    <x v="26"/>
    <s v="national network"/>
    <x v="3"/>
    <x v="0"/>
    <s v="No"/>
    <x v="1"/>
    <s v="No"/>
    <n v="52"/>
    <n v="0"/>
    <n v="0"/>
    <n v="0"/>
    <n v="36"/>
    <n v="33"/>
    <n v="32"/>
    <n v="27"/>
    <n v="21"/>
    <n v="11"/>
    <n v="1"/>
    <n v="52"/>
  </r>
  <r>
    <n v="2025"/>
    <n v="7"/>
    <x v="26"/>
    <s v="national network"/>
    <x v="4"/>
    <x v="0"/>
    <s v="No"/>
    <x v="0"/>
    <s v="Yes"/>
    <n v="88"/>
    <n v="1"/>
    <n v="0"/>
    <n v="1"/>
    <n v="10"/>
    <n v="8"/>
    <n v="7"/>
    <n v="6"/>
    <n v="6"/>
    <n v="4"/>
    <n v="3"/>
    <n v="87"/>
  </r>
  <r>
    <n v="2025"/>
    <n v="7"/>
    <x v="26"/>
    <s v="national network"/>
    <x v="10"/>
    <x v="0"/>
    <s v="Yes"/>
    <x v="0"/>
    <s v="No"/>
    <n v="62"/>
    <n v="0"/>
    <n v="0"/>
    <n v="0"/>
    <n v="2"/>
    <n v="2"/>
    <n v="1"/>
    <n v="1"/>
    <n v="1"/>
    <n v="1"/>
    <n v="0"/>
    <n v="62"/>
  </r>
  <r>
    <n v="2025"/>
    <n v="8"/>
    <x v="0"/>
    <s v="national network"/>
    <x v="0"/>
    <x v="0"/>
    <s v="No"/>
    <x v="0"/>
    <s v="No"/>
    <n v="1416"/>
    <n v="22"/>
    <n v="0"/>
    <n v="22"/>
    <n v="18"/>
    <n v="14"/>
    <n v="12"/>
    <n v="8"/>
    <n v="7"/>
    <n v="2"/>
    <n v="2"/>
    <n v="1394"/>
  </r>
  <r>
    <n v="2025"/>
    <n v="8"/>
    <x v="0"/>
    <s v="national network"/>
    <x v="1"/>
    <x v="0"/>
    <s v="Yes"/>
    <x v="0"/>
    <s v="No"/>
    <n v="37"/>
    <n v="1"/>
    <n v="0"/>
    <n v="1"/>
    <n v="9"/>
    <n v="4"/>
    <n v="4"/>
    <n v="3"/>
    <n v="3"/>
    <n v="3"/>
    <n v="1"/>
    <n v="36"/>
  </r>
  <r>
    <n v="2025"/>
    <n v="8"/>
    <x v="0"/>
    <s v="national network"/>
    <x v="1"/>
    <x v="2"/>
    <s v="Yes"/>
    <x v="0"/>
    <s v="No"/>
    <n v="2"/>
    <n v="0"/>
    <n v="0"/>
    <n v="0"/>
    <n v="0"/>
    <n v="0"/>
    <n v="0"/>
    <n v="0"/>
    <n v="0"/>
    <n v="0"/>
    <n v="0"/>
    <n v="0"/>
  </r>
  <r>
    <n v="2025"/>
    <n v="8"/>
    <x v="1"/>
    <s v="national network"/>
    <x v="2"/>
    <x v="0"/>
    <s v="No"/>
    <x v="1"/>
    <s v="No"/>
    <n v="62"/>
    <n v="0"/>
    <n v="0"/>
    <n v="0"/>
    <n v="9"/>
    <n v="5"/>
    <n v="4"/>
    <n v="2"/>
    <n v="1"/>
    <n v="1"/>
    <n v="0"/>
    <n v="62"/>
  </r>
  <r>
    <n v="2025"/>
    <n v="8"/>
    <x v="2"/>
    <s v="national network"/>
    <x v="3"/>
    <x v="0"/>
    <s v="No"/>
    <x v="1"/>
    <s v="No"/>
    <n v="1053"/>
    <n v="1"/>
    <n v="1"/>
    <n v="2"/>
    <n v="384"/>
    <n v="324"/>
    <n v="300"/>
    <n v="208"/>
    <n v="144"/>
    <n v="65"/>
    <n v="21"/>
    <n v="1051"/>
  </r>
  <r>
    <n v="2025"/>
    <n v="8"/>
    <x v="2"/>
    <s v="national network"/>
    <x v="4"/>
    <x v="0"/>
    <s v="No"/>
    <x v="0"/>
    <s v="Yes"/>
    <n v="213"/>
    <n v="0"/>
    <n v="2"/>
    <n v="2"/>
    <n v="116"/>
    <n v="107"/>
    <n v="101"/>
    <n v="81"/>
    <n v="60"/>
    <n v="32"/>
    <n v="10"/>
    <n v="212"/>
  </r>
  <r>
    <n v="2025"/>
    <n v="8"/>
    <x v="2"/>
    <s v="national network"/>
    <x v="0"/>
    <x v="0"/>
    <s v="No"/>
    <x v="1"/>
    <s v="No"/>
    <n v="248"/>
    <n v="0"/>
    <n v="0"/>
    <n v="0"/>
    <n v="0"/>
    <n v="0"/>
    <n v="0"/>
    <n v="0"/>
    <n v="0"/>
    <n v="0"/>
    <n v="0"/>
    <n v="248"/>
  </r>
  <r>
    <n v="2025"/>
    <n v="8"/>
    <x v="2"/>
    <s v="national network"/>
    <x v="0"/>
    <x v="0"/>
    <s v="No"/>
    <x v="0"/>
    <s v="No"/>
    <n v="62"/>
    <n v="0"/>
    <n v="0"/>
    <n v="0"/>
    <n v="18"/>
    <n v="14"/>
    <n v="11"/>
    <n v="9"/>
    <n v="6"/>
    <n v="2"/>
    <n v="2"/>
    <n v="62"/>
  </r>
  <r>
    <n v="2025"/>
    <n v="8"/>
    <x v="2"/>
    <s v="national network"/>
    <x v="5"/>
    <x v="0"/>
    <s v="No"/>
    <x v="0"/>
    <s v="Yes"/>
    <n v="62"/>
    <n v="0"/>
    <n v="0"/>
    <n v="0"/>
    <n v="52"/>
    <n v="51"/>
    <n v="50"/>
    <n v="41"/>
    <n v="36"/>
    <n v="20"/>
    <n v="4"/>
    <n v="62"/>
  </r>
  <r>
    <n v="2025"/>
    <n v="8"/>
    <x v="2"/>
    <s v="national network"/>
    <x v="6"/>
    <x v="0"/>
    <s v="No"/>
    <x v="0"/>
    <s v="No"/>
    <n v="496"/>
    <n v="0"/>
    <n v="0"/>
    <n v="0"/>
    <n v="114"/>
    <n v="85"/>
    <n v="74"/>
    <n v="44"/>
    <n v="28"/>
    <n v="10"/>
    <n v="4"/>
    <n v="496"/>
  </r>
  <r>
    <n v="2025"/>
    <n v="8"/>
    <x v="3"/>
    <s v="national network"/>
    <x v="3"/>
    <x v="1"/>
    <s v="No"/>
    <x v="0"/>
    <s v="No"/>
    <n v="2"/>
    <n v="0"/>
    <n v="1"/>
    <n v="1"/>
    <n v="2"/>
    <n v="2"/>
    <n v="2"/>
    <n v="1"/>
    <n v="1"/>
    <n v="1"/>
    <n v="1"/>
    <n v="2"/>
  </r>
  <r>
    <n v="2025"/>
    <n v="8"/>
    <x v="3"/>
    <s v="national network"/>
    <x v="3"/>
    <x v="0"/>
    <s v="No"/>
    <x v="0"/>
    <s v="No"/>
    <n v="2172"/>
    <n v="22"/>
    <n v="69"/>
    <n v="91"/>
    <n v="1135"/>
    <n v="989"/>
    <n v="899"/>
    <n v="690"/>
    <n v="544"/>
    <n v="282"/>
    <n v="96"/>
    <n v="2115"/>
  </r>
  <r>
    <n v="2025"/>
    <n v="8"/>
    <x v="3"/>
    <s v="national network"/>
    <x v="7"/>
    <x v="0"/>
    <s v="No"/>
    <x v="0"/>
    <s v="No"/>
    <n v="56"/>
    <n v="2"/>
    <n v="0"/>
    <n v="2"/>
    <n v="36"/>
    <n v="24"/>
    <n v="20"/>
    <n v="9"/>
    <n v="5"/>
    <n v="2"/>
    <n v="0"/>
    <n v="54"/>
  </r>
  <r>
    <n v="2025"/>
    <n v="8"/>
    <x v="3"/>
    <s v="national network"/>
    <x v="4"/>
    <x v="0"/>
    <s v="No"/>
    <x v="0"/>
    <s v="Yes"/>
    <n v="354"/>
    <n v="5"/>
    <n v="28"/>
    <n v="33"/>
    <n v="156"/>
    <n v="124"/>
    <n v="116"/>
    <n v="99"/>
    <n v="86"/>
    <n v="54"/>
    <n v="25"/>
    <n v="345"/>
  </r>
  <r>
    <n v="2025"/>
    <n v="8"/>
    <x v="3"/>
    <s v="national network"/>
    <x v="0"/>
    <x v="1"/>
    <s v="No"/>
    <x v="0"/>
    <s v="No"/>
    <n v="4399"/>
    <n v="191"/>
    <n v="534"/>
    <n v="725"/>
    <n v="2336"/>
    <n v="2009"/>
    <n v="1885"/>
    <n v="1517"/>
    <n v="1181"/>
    <n v="595"/>
    <n v="171"/>
    <n v="4015"/>
  </r>
  <r>
    <n v="2025"/>
    <n v="8"/>
    <x v="3"/>
    <s v="national network"/>
    <x v="0"/>
    <x v="0"/>
    <s v="No"/>
    <x v="0"/>
    <s v="No"/>
    <n v="2011"/>
    <n v="25"/>
    <n v="70"/>
    <n v="95"/>
    <n v="1118"/>
    <n v="895"/>
    <n v="806"/>
    <n v="599"/>
    <n v="429"/>
    <n v="167"/>
    <n v="46"/>
    <n v="1958"/>
  </r>
  <r>
    <n v="2025"/>
    <n v="8"/>
    <x v="3"/>
    <s v="national network"/>
    <x v="8"/>
    <x v="1"/>
    <s v="Yes"/>
    <x v="0"/>
    <s v="No"/>
    <n v="14240"/>
    <n v="450"/>
    <n v="1321"/>
    <n v="1771"/>
    <n v="8392"/>
    <n v="7372"/>
    <n v="6929"/>
    <n v="5503"/>
    <n v="4291"/>
    <n v="2196"/>
    <n v="691"/>
    <n v="13251"/>
  </r>
  <r>
    <n v="2025"/>
    <n v="8"/>
    <x v="3"/>
    <s v="national network"/>
    <x v="8"/>
    <x v="0"/>
    <s v="Yes"/>
    <x v="0"/>
    <s v="No"/>
    <n v="3897"/>
    <n v="42"/>
    <n v="217"/>
    <n v="259"/>
    <n v="2555"/>
    <n v="2204"/>
    <n v="2064"/>
    <n v="1620"/>
    <n v="1192"/>
    <n v="575"/>
    <n v="175"/>
    <n v="3765"/>
  </r>
  <r>
    <n v="2025"/>
    <n v="8"/>
    <x v="3"/>
    <s v="national network"/>
    <x v="8"/>
    <x v="2"/>
    <s v="Yes"/>
    <x v="0"/>
    <s v="No"/>
    <n v="2"/>
    <n v="0"/>
    <n v="0"/>
    <n v="0"/>
    <n v="0"/>
    <n v="0"/>
    <n v="0"/>
    <n v="0"/>
    <n v="0"/>
    <n v="0"/>
    <n v="0"/>
    <n v="0"/>
  </r>
  <r>
    <n v="2025"/>
    <n v="8"/>
    <x v="3"/>
    <s v="national network"/>
    <x v="9"/>
    <x v="0"/>
    <s v="No"/>
    <x v="0"/>
    <s v="No"/>
    <n v="506"/>
    <n v="8"/>
    <n v="0"/>
    <n v="8"/>
    <n v="29"/>
    <n v="19"/>
    <n v="14"/>
    <n v="6"/>
    <n v="1"/>
    <n v="0"/>
    <n v="0"/>
    <n v="498"/>
  </r>
  <r>
    <n v="2025"/>
    <n v="8"/>
    <x v="3"/>
    <s v="national network"/>
    <x v="5"/>
    <x v="1"/>
    <s v="No"/>
    <x v="0"/>
    <s v="Yes"/>
    <n v="26"/>
    <n v="0"/>
    <n v="4"/>
    <n v="4"/>
    <n v="8"/>
    <n v="7"/>
    <n v="7"/>
    <n v="7"/>
    <n v="6"/>
    <n v="3"/>
    <n v="0"/>
    <n v="23"/>
  </r>
  <r>
    <n v="2025"/>
    <n v="8"/>
    <x v="3"/>
    <s v="national network"/>
    <x v="5"/>
    <x v="0"/>
    <s v="No"/>
    <x v="0"/>
    <s v="Yes"/>
    <n v="800"/>
    <n v="10"/>
    <n v="30"/>
    <n v="40"/>
    <n v="408"/>
    <n v="350"/>
    <n v="326"/>
    <n v="281"/>
    <n v="244"/>
    <n v="176"/>
    <n v="77"/>
    <n v="785"/>
  </r>
  <r>
    <n v="2025"/>
    <n v="8"/>
    <x v="3"/>
    <s v="national network"/>
    <x v="6"/>
    <x v="1"/>
    <s v="No"/>
    <x v="0"/>
    <s v="No"/>
    <n v="59"/>
    <n v="0"/>
    <n v="0"/>
    <n v="0"/>
    <n v="19"/>
    <n v="16"/>
    <n v="15"/>
    <n v="13"/>
    <n v="9"/>
    <n v="1"/>
    <n v="1"/>
    <n v="59"/>
  </r>
  <r>
    <n v="2025"/>
    <n v="8"/>
    <x v="3"/>
    <s v="national network"/>
    <x v="6"/>
    <x v="0"/>
    <s v="No"/>
    <x v="0"/>
    <s v="No"/>
    <n v="390"/>
    <n v="7"/>
    <n v="15"/>
    <n v="22"/>
    <n v="200"/>
    <n v="154"/>
    <n v="142"/>
    <n v="117"/>
    <n v="84"/>
    <n v="32"/>
    <n v="4"/>
    <n v="377"/>
  </r>
  <r>
    <n v="2025"/>
    <n v="8"/>
    <x v="3"/>
    <s v="national network"/>
    <x v="10"/>
    <x v="0"/>
    <s v="Yes"/>
    <x v="0"/>
    <s v="No"/>
    <n v="418"/>
    <n v="9"/>
    <n v="22"/>
    <n v="31"/>
    <n v="269"/>
    <n v="240"/>
    <n v="228"/>
    <n v="176"/>
    <n v="119"/>
    <n v="53"/>
    <n v="16"/>
    <n v="405"/>
  </r>
  <r>
    <n v="2025"/>
    <n v="8"/>
    <x v="3"/>
    <s v="national network"/>
    <x v="11"/>
    <x v="1"/>
    <s v="Yes"/>
    <x v="0"/>
    <s v="No"/>
    <n v="2"/>
    <n v="0"/>
    <n v="0"/>
    <n v="0"/>
    <n v="2"/>
    <n v="2"/>
    <n v="1"/>
    <n v="1"/>
    <n v="1"/>
    <n v="0"/>
    <n v="0"/>
    <n v="2"/>
  </r>
  <r>
    <n v="2025"/>
    <n v="8"/>
    <x v="3"/>
    <s v="national network"/>
    <x v="11"/>
    <x v="0"/>
    <s v="Yes"/>
    <x v="0"/>
    <s v="No"/>
    <n v="147"/>
    <n v="0"/>
    <n v="3"/>
    <n v="3"/>
    <n v="79"/>
    <n v="64"/>
    <n v="59"/>
    <n v="39"/>
    <n v="24"/>
    <n v="12"/>
    <n v="3"/>
    <n v="144"/>
  </r>
  <r>
    <n v="2025"/>
    <n v="8"/>
    <x v="3"/>
    <s v="national network"/>
    <x v="1"/>
    <x v="0"/>
    <s v="Yes"/>
    <x v="0"/>
    <s v="No"/>
    <n v="2"/>
    <n v="1"/>
    <n v="0"/>
    <n v="1"/>
    <n v="0"/>
    <n v="0"/>
    <n v="0"/>
    <n v="0"/>
    <n v="0"/>
    <n v="0"/>
    <n v="0"/>
    <n v="1"/>
  </r>
  <r>
    <n v="2025"/>
    <n v="8"/>
    <x v="4"/>
    <s v="national network"/>
    <x v="3"/>
    <x v="0"/>
    <s v="No"/>
    <x v="1"/>
    <s v="No"/>
    <n v="484"/>
    <n v="4"/>
    <n v="1"/>
    <n v="5"/>
    <n v="228"/>
    <n v="186"/>
    <n v="172"/>
    <n v="111"/>
    <n v="83"/>
    <n v="28"/>
    <n v="10"/>
    <n v="479"/>
  </r>
  <r>
    <n v="2025"/>
    <n v="8"/>
    <x v="4"/>
    <s v="national network"/>
    <x v="4"/>
    <x v="0"/>
    <s v="No"/>
    <x v="0"/>
    <s v="Yes"/>
    <n v="55"/>
    <n v="2"/>
    <n v="0"/>
    <n v="2"/>
    <n v="30"/>
    <n v="30"/>
    <n v="30"/>
    <n v="29"/>
    <n v="28"/>
    <n v="25"/>
    <n v="17"/>
    <n v="53"/>
  </r>
  <r>
    <n v="2025"/>
    <n v="8"/>
    <x v="4"/>
    <s v="national network"/>
    <x v="0"/>
    <x v="0"/>
    <s v="No"/>
    <x v="0"/>
    <s v="No"/>
    <n v="531"/>
    <n v="0"/>
    <n v="0"/>
    <n v="0"/>
    <n v="130"/>
    <n v="72"/>
    <n v="59"/>
    <n v="40"/>
    <n v="26"/>
    <n v="5"/>
    <n v="1"/>
    <n v="531"/>
  </r>
  <r>
    <n v="2025"/>
    <n v="8"/>
    <x v="4"/>
    <s v="national network"/>
    <x v="5"/>
    <x v="0"/>
    <s v="No"/>
    <x v="0"/>
    <s v="Yes"/>
    <n v="8"/>
    <n v="0"/>
    <n v="0"/>
    <n v="0"/>
    <n v="7"/>
    <n v="7"/>
    <n v="7"/>
    <n v="7"/>
    <n v="7"/>
    <n v="7"/>
    <n v="5"/>
    <n v="8"/>
  </r>
  <r>
    <n v="2025"/>
    <n v="8"/>
    <x v="5"/>
    <s v="whole journey"/>
    <x v="12"/>
    <x v="0"/>
    <s v="No"/>
    <x v="0"/>
    <s v="Yes"/>
    <n v="26"/>
    <n v="0"/>
    <n v="2"/>
    <n v="2"/>
    <n v="9"/>
    <n v="9"/>
    <n v="9"/>
    <n v="8"/>
    <n v="7"/>
    <n v="5"/>
    <n v="4"/>
    <n v="25"/>
  </r>
  <r>
    <n v="2025"/>
    <n v="8"/>
    <x v="6"/>
    <s v="whole journey"/>
    <x v="13"/>
    <x v="0"/>
    <s v="Yes"/>
    <x v="0"/>
    <s v="No"/>
    <n v="3775"/>
    <n v="367"/>
    <n v="205"/>
    <n v="572"/>
    <n v="878"/>
    <n v="867"/>
    <n v="864"/>
    <n v="650"/>
    <n v="526"/>
    <n v="277"/>
    <n v="117"/>
    <n v="3349"/>
  </r>
  <r>
    <n v="2025"/>
    <n v="8"/>
    <x v="7"/>
    <s v="whole journey"/>
    <x v="14"/>
    <x v="1"/>
    <s v="No"/>
    <x v="0"/>
    <s v="No"/>
    <n v="544"/>
    <n v="7"/>
    <n v="30"/>
    <n v="37"/>
    <n v="352"/>
    <n v="316"/>
    <n v="302"/>
    <n v="245"/>
    <n v="195"/>
    <n v="101"/>
    <n v="31"/>
    <n v="533"/>
  </r>
  <r>
    <n v="2025"/>
    <n v="8"/>
    <x v="7"/>
    <s v="whole journey"/>
    <x v="14"/>
    <x v="0"/>
    <s v="No"/>
    <x v="0"/>
    <s v="No"/>
    <n v="62"/>
    <n v="1"/>
    <n v="13"/>
    <n v="14"/>
    <n v="27"/>
    <n v="25"/>
    <n v="24"/>
    <n v="21"/>
    <n v="16"/>
    <n v="11"/>
    <n v="5"/>
    <n v="55"/>
  </r>
  <r>
    <n v="2025"/>
    <n v="8"/>
    <x v="8"/>
    <s v="national network"/>
    <x v="2"/>
    <x v="0"/>
    <s v="No"/>
    <x v="1"/>
    <s v="No"/>
    <n v="202"/>
    <n v="0"/>
    <n v="0"/>
    <n v="0"/>
    <n v="1"/>
    <n v="1"/>
    <n v="1"/>
    <n v="1"/>
    <n v="1"/>
    <n v="0"/>
    <n v="0"/>
    <n v="202"/>
  </r>
  <r>
    <n v="2025"/>
    <n v="8"/>
    <x v="8"/>
    <s v="national network"/>
    <x v="4"/>
    <x v="0"/>
    <s v="No"/>
    <x v="0"/>
    <s v="Yes"/>
    <n v="129"/>
    <n v="0"/>
    <n v="1"/>
    <n v="1"/>
    <n v="0"/>
    <n v="0"/>
    <n v="0"/>
    <n v="0"/>
    <n v="0"/>
    <n v="0"/>
    <n v="0"/>
    <n v="129"/>
  </r>
  <r>
    <n v="2025"/>
    <n v="8"/>
    <x v="9"/>
    <s v="national network"/>
    <x v="2"/>
    <x v="0"/>
    <s v="No"/>
    <x v="1"/>
    <s v="No"/>
    <n v="125"/>
    <n v="0"/>
    <n v="0"/>
    <n v="0"/>
    <n v="9"/>
    <n v="6"/>
    <n v="5"/>
    <n v="3"/>
    <n v="3"/>
    <n v="2"/>
    <n v="0"/>
    <n v="125"/>
  </r>
  <r>
    <n v="2025"/>
    <n v="8"/>
    <x v="9"/>
    <s v="national network"/>
    <x v="3"/>
    <x v="0"/>
    <s v="No"/>
    <x v="0"/>
    <s v="No"/>
    <n v="557"/>
    <n v="1"/>
    <n v="0"/>
    <n v="1"/>
    <n v="103"/>
    <n v="90"/>
    <n v="84"/>
    <n v="65"/>
    <n v="56"/>
    <n v="29"/>
    <n v="9"/>
    <n v="556"/>
  </r>
  <r>
    <n v="2025"/>
    <n v="8"/>
    <x v="9"/>
    <s v="national network"/>
    <x v="4"/>
    <x v="0"/>
    <s v="No"/>
    <x v="0"/>
    <s v="Yes"/>
    <n v="184"/>
    <n v="0"/>
    <n v="0"/>
    <n v="0"/>
    <n v="19"/>
    <n v="18"/>
    <n v="18"/>
    <n v="13"/>
    <n v="11"/>
    <n v="6"/>
    <n v="2"/>
    <n v="184"/>
  </r>
  <r>
    <n v="2025"/>
    <n v="8"/>
    <x v="9"/>
    <s v="national network"/>
    <x v="0"/>
    <x v="0"/>
    <s v="No"/>
    <x v="0"/>
    <s v="No"/>
    <n v="124"/>
    <n v="0"/>
    <n v="0"/>
    <n v="0"/>
    <n v="0"/>
    <n v="0"/>
    <n v="0"/>
    <n v="0"/>
    <n v="0"/>
    <n v="0"/>
    <n v="0"/>
    <n v="124"/>
  </r>
  <r>
    <n v="2025"/>
    <n v="8"/>
    <x v="9"/>
    <s v="national network"/>
    <x v="5"/>
    <x v="0"/>
    <s v="No"/>
    <x v="0"/>
    <s v="Yes"/>
    <n v="4"/>
    <n v="0"/>
    <n v="0"/>
    <n v="0"/>
    <n v="0"/>
    <n v="0"/>
    <n v="0"/>
    <n v="0"/>
    <n v="0"/>
    <n v="0"/>
    <n v="0"/>
    <n v="4"/>
  </r>
  <r>
    <n v="2025"/>
    <n v="8"/>
    <x v="9"/>
    <s v="national network"/>
    <x v="10"/>
    <x v="0"/>
    <s v="Yes"/>
    <x v="0"/>
    <s v="No"/>
    <n v="496"/>
    <n v="1"/>
    <n v="0"/>
    <n v="1"/>
    <n v="228"/>
    <n v="194"/>
    <n v="179"/>
    <n v="139"/>
    <n v="95"/>
    <n v="56"/>
    <n v="15"/>
    <n v="495"/>
  </r>
  <r>
    <n v="2025"/>
    <n v="8"/>
    <x v="10"/>
    <s v="national network"/>
    <x v="15"/>
    <x v="0"/>
    <s v="No"/>
    <x v="0"/>
    <s v="No"/>
    <n v="852"/>
    <n v="16"/>
    <n v="0"/>
    <n v="16"/>
    <n v="2"/>
    <n v="2"/>
    <n v="2"/>
    <n v="2"/>
    <n v="2"/>
    <n v="1"/>
    <n v="1"/>
    <n v="836"/>
  </r>
  <r>
    <n v="2025"/>
    <n v="8"/>
    <x v="10"/>
    <s v="national network"/>
    <x v="0"/>
    <x v="1"/>
    <s v="No"/>
    <x v="0"/>
    <s v="No"/>
    <n v="37280"/>
    <n v="0"/>
    <n v="3360"/>
    <n v="3360"/>
    <n v="3845"/>
    <n v="2234"/>
    <n v="1805"/>
    <n v="892"/>
    <n v="371"/>
    <n v="39"/>
    <n v="2"/>
    <n v="34632"/>
  </r>
  <r>
    <n v="2025"/>
    <n v="8"/>
    <x v="10"/>
    <s v="national network"/>
    <x v="0"/>
    <x v="0"/>
    <s v="No"/>
    <x v="0"/>
    <s v="No"/>
    <n v="489"/>
    <n v="14"/>
    <n v="7"/>
    <n v="21"/>
    <n v="184"/>
    <n v="164"/>
    <n v="161"/>
    <n v="148"/>
    <n v="106"/>
    <n v="49"/>
    <n v="17"/>
    <n v="471"/>
  </r>
  <r>
    <n v="2025"/>
    <n v="8"/>
    <x v="10"/>
    <s v="national network"/>
    <x v="17"/>
    <x v="1"/>
    <s v="No"/>
    <x v="0"/>
    <s v="No"/>
    <n v="3373"/>
    <n v="0"/>
    <n v="375"/>
    <n v="375"/>
    <n v="425"/>
    <n v="255"/>
    <n v="219"/>
    <n v="113"/>
    <n v="42"/>
    <n v="7"/>
    <n v="0"/>
    <n v="3109"/>
  </r>
  <r>
    <n v="2025"/>
    <n v="8"/>
    <x v="10"/>
    <s v="national network"/>
    <x v="8"/>
    <x v="0"/>
    <s v="Yes"/>
    <x v="0"/>
    <s v="No"/>
    <n v="464"/>
    <n v="1"/>
    <n v="3"/>
    <n v="4"/>
    <n v="179"/>
    <n v="155"/>
    <n v="150"/>
    <n v="114"/>
    <n v="88"/>
    <n v="28"/>
    <n v="10"/>
    <n v="462"/>
  </r>
  <r>
    <n v="2025"/>
    <n v="8"/>
    <x v="10"/>
    <s v="national network"/>
    <x v="5"/>
    <x v="0"/>
    <s v="No"/>
    <x v="0"/>
    <s v="Yes"/>
    <n v="186"/>
    <n v="3"/>
    <n v="3"/>
    <n v="6"/>
    <n v="115"/>
    <n v="98"/>
    <n v="93"/>
    <n v="77"/>
    <n v="68"/>
    <n v="48"/>
    <n v="19"/>
    <n v="182"/>
  </r>
  <r>
    <n v="2025"/>
    <n v="8"/>
    <x v="10"/>
    <s v="national network"/>
    <x v="18"/>
    <x v="1"/>
    <s v="No"/>
    <x v="0"/>
    <s v="Yes"/>
    <n v="18"/>
    <n v="0"/>
    <n v="1"/>
    <n v="1"/>
    <n v="5"/>
    <n v="5"/>
    <n v="5"/>
    <n v="3"/>
    <n v="2"/>
    <n v="0"/>
    <n v="0"/>
    <n v="17"/>
  </r>
  <r>
    <n v="2025"/>
    <n v="8"/>
    <x v="10"/>
    <s v="national network"/>
    <x v="19"/>
    <x v="1"/>
    <s v="No"/>
    <x v="1"/>
    <s v="No"/>
    <n v="3628"/>
    <n v="0"/>
    <n v="211"/>
    <n v="211"/>
    <n v="224"/>
    <n v="101"/>
    <n v="78"/>
    <n v="31"/>
    <n v="10"/>
    <n v="0"/>
    <n v="0"/>
    <n v="3475"/>
  </r>
  <r>
    <n v="2025"/>
    <n v="8"/>
    <x v="10"/>
    <s v="national network"/>
    <x v="20"/>
    <x v="1"/>
    <s v="No"/>
    <x v="1"/>
    <s v="No"/>
    <n v="77195"/>
    <n v="12"/>
    <n v="4050"/>
    <n v="4062"/>
    <n v="4913"/>
    <n v="2302"/>
    <n v="1705"/>
    <n v="672"/>
    <n v="242"/>
    <n v="24"/>
    <n v="2"/>
    <n v="74169"/>
  </r>
  <r>
    <n v="2025"/>
    <n v="8"/>
    <x v="10"/>
    <s v="national network"/>
    <x v="20"/>
    <x v="2"/>
    <s v="No"/>
    <x v="1"/>
    <s v="No"/>
    <n v="1"/>
    <n v="1"/>
    <n v="0"/>
    <n v="1"/>
    <n v="0"/>
    <n v="0"/>
    <n v="0"/>
    <n v="0"/>
    <n v="0"/>
    <n v="0"/>
    <n v="0"/>
    <n v="0"/>
  </r>
  <r>
    <n v="2025"/>
    <n v="8"/>
    <x v="10"/>
    <s v="national network"/>
    <x v="21"/>
    <x v="1"/>
    <s v="No"/>
    <x v="1"/>
    <s v="No"/>
    <n v="35589"/>
    <n v="0"/>
    <n v="899"/>
    <n v="899"/>
    <n v="1374"/>
    <n v="550"/>
    <n v="375"/>
    <n v="163"/>
    <n v="57"/>
    <n v="8"/>
    <n v="0"/>
    <n v="34896"/>
  </r>
  <r>
    <n v="2025"/>
    <n v="8"/>
    <x v="11"/>
    <s v="national network"/>
    <x v="2"/>
    <x v="1"/>
    <s v="No"/>
    <x v="0"/>
    <s v="No"/>
    <n v="582"/>
    <n v="3"/>
    <n v="1"/>
    <n v="4"/>
    <n v="125"/>
    <n v="89"/>
    <n v="78"/>
    <n v="45"/>
    <n v="28"/>
    <n v="13"/>
    <n v="4"/>
    <n v="578"/>
  </r>
  <r>
    <n v="2025"/>
    <n v="8"/>
    <x v="11"/>
    <s v="national network"/>
    <x v="2"/>
    <x v="0"/>
    <s v="No"/>
    <x v="0"/>
    <s v="No"/>
    <n v="928"/>
    <n v="0"/>
    <n v="2"/>
    <n v="2"/>
    <n v="291"/>
    <n v="221"/>
    <n v="206"/>
    <n v="150"/>
    <n v="102"/>
    <n v="41"/>
    <n v="3"/>
    <n v="927"/>
  </r>
  <r>
    <n v="2025"/>
    <n v="8"/>
    <x v="11"/>
    <s v="national network"/>
    <x v="3"/>
    <x v="1"/>
    <s v="No"/>
    <x v="0"/>
    <s v="No"/>
    <n v="74"/>
    <n v="0"/>
    <n v="0"/>
    <n v="0"/>
    <n v="20"/>
    <n v="17"/>
    <n v="16"/>
    <n v="10"/>
    <n v="8"/>
    <n v="2"/>
    <n v="0"/>
    <n v="74"/>
  </r>
  <r>
    <n v="2025"/>
    <n v="8"/>
    <x v="11"/>
    <s v="national network"/>
    <x v="3"/>
    <x v="0"/>
    <s v="No"/>
    <x v="0"/>
    <s v="No"/>
    <n v="1541"/>
    <n v="10"/>
    <n v="0"/>
    <n v="10"/>
    <n v="566"/>
    <n v="435"/>
    <n v="400"/>
    <n v="264"/>
    <n v="196"/>
    <n v="74"/>
    <n v="16"/>
    <n v="1531"/>
  </r>
  <r>
    <n v="2025"/>
    <n v="8"/>
    <x v="11"/>
    <s v="national network"/>
    <x v="4"/>
    <x v="1"/>
    <s v="No"/>
    <x v="0"/>
    <s v="Yes"/>
    <n v="35"/>
    <n v="0"/>
    <n v="0"/>
    <n v="0"/>
    <n v="1"/>
    <n v="1"/>
    <n v="1"/>
    <n v="1"/>
    <n v="1"/>
    <n v="1"/>
    <n v="0"/>
    <n v="35"/>
  </r>
  <r>
    <n v="2025"/>
    <n v="8"/>
    <x v="11"/>
    <s v="national network"/>
    <x v="4"/>
    <x v="0"/>
    <s v="No"/>
    <x v="0"/>
    <s v="Yes"/>
    <n v="360"/>
    <n v="1"/>
    <n v="0"/>
    <n v="1"/>
    <n v="90"/>
    <n v="72"/>
    <n v="69"/>
    <n v="55"/>
    <n v="46"/>
    <n v="23"/>
    <n v="7"/>
    <n v="359"/>
  </r>
  <r>
    <n v="2025"/>
    <n v="8"/>
    <x v="11"/>
    <s v="national network"/>
    <x v="0"/>
    <x v="1"/>
    <s v="No"/>
    <x v="0"/>
    <s v="No"/>
    <n v="1383"/>
    <n v="2"/>
    <n v="176"/>
    <n v="178"/>
    <n v="357"/>
    <n v="251"/>
    <n v="214"/>
    <n v="137"/>
    <n v="93"/>
    <n v="43"/>
    <n v="12"/>
    <n v="1292"/>
  </r>
  <r>
    <n v="2025"/>
    <n v="8"/>
    <x v="11"/>
    <s v="national network"/>
    <x v="0"/>
    <x v="0"/>
    <s v="No"/>
    <x v="0"/>
    <s v="No"/>
    <n v="454"/>
    <n v="1"/>
    <n v="1"/>
    <n v="2"/>
    <n v="48"/>
    <n v="42"/>
    <n v="40"/>
    <n v="29"/>
    <n v="24"/>
    <n v="9"/>
    <n v="2"/>
    <n v="453"/>
  </r>
  <r>
    <n v="2025"/>
    <n v="8"/>
    <x v="11"/>
    <s v="national network"/>
    <x v="8"/>
    <x v="1"/>
    <s v="Yes"/>
    <x v="0"/>
    <s v="No"/>
    <n v="43"/>
    <n v="0"/>
    <n v="0"/>
    <n v="0"/>
    <n v="2"/>
    <n v="2"/>
    <n v="2"/>
    <n v="1"/>
    <n v="1"/>
    <n v="1"/>
    <n v="1"/>
    <n v="43"/>
  </r>
  <r>
    <n v="2025"/>
    <n v="8"/>
    <x v="11"/>
    <s v="national network"/>
    <x v="8"/>
    <x v="0"/>
    <s v="Yes"/>
    <x v="0"/>
    <s v="No"/>
    <n v="718"/>
    <n v="17"/>
    <n v="2"/>
    <n v="19"/>
    <n v="289"/>
    <n v="257"/>
    <n v="235"/>
    <n v="200"/>
    <n v="178"/>
    <n v="92"/>
    <n v="30"/>
    <n v="699"/>
  </r>
  <r>
    <n v="2025"/>
    <n v="8"/>
    <x v="11"/>
    <s v="national network"/>
    <x v="9"/>
    <x v="1"/>
    <s v="No"/>
    <x v="0"/>
    <s v="No"/>
    <n v="38"/>
    <n v="0"/>
    <n v="0"/>
    <n v="0"/>
    <n v="0"/>
    <n v="0"/>
    <n v="0"/>
    <n v="0"/>
    <n v="0"/>
    <n v="0"/>
    <n v="0"/>
    <n v="38"/>
  </r>
  <r>
    <n v="2025"/>
    <n v="8"/>
    <x v="11"/>
    <s v="national network"/>
    <x v="5"/>
    <x v="1"/>
    <s v="No"/>
    <x v="0"/>
    <s v="Yes"/>
    <n v="62"/>
    <n v="0"/>
    <n v="0"/>
    <n v="0"/>
    <n v="10"/>
    <n v="5"/>
    <n v="4"/>
    <n v="4"/>
    <n v="2"/>
    <n v="1"/>
    <n v="0"/>
    <n v="62"/>
  </r>
  <r>
    <n v="2025"/>
    <n v="8"/>
    <x v="11"/>
    <s v="national network"/>
    <x v="5"/>
    <x v="0"/>
    <s v="No"/>
    <x v="0"/>
    <s v="Yes"/>
    <n v="864"/>
    <n v="2"/>
    <n v="0"/>
    <n v="2"/>
    <n v="349"/>
    <n v="272"/>
    <n v="249"/>
    <n v="199"/>
    <n v="169"/>
    <n v="122"/>
    <n v="62"/>
    <n v="862"/>
  </r>
  <r>
    <n v="2025"/>
    <n v="8"/>
    <x v="11"/>
    <s v="national network"/>
    <x v="6"/>
    <x v="1"/>
    <s v="No"/>
    <x v="0"/>
    <s v="No"/>
    <n v="2108"/>
    <n v="3"/>
    <n v="108"/>
    <n v="111"/>
    <n v="434"/>
    <n v="257"/>
    <n v="210"/>
    <n v="116"/>
    <n v="78"/>
    <n v="27"/>
    <n v="10"/>
    <n v="2041"/>
  </r>
  <r>
    <n v="2025"/>
    <n v="8"/>
    <x v="11"/>
    <s v="national network"/>
    <x v="6"/>
    <x v="0"/>
    <s v="No"/>
    <x v="0"/>
    <s v="No"/>
    <n v="966"/>
    <n v="2"/>
    <n v="5"/>
    <n v="7"/>
    <n v="403"/>
    <n v="311"/>
    <n v="284"/>
    <n v="202"/>
    <n v="145"/>
    <n v="63"/>
    <n v="22"/>
    <n v="961"/>
  </r>
  <r>
    <n v="2025"/>
    <n v="8"/>
    <x v="11"/>
    <s v="national network"/>
    <x v="10"/>
    <x v="1"/>
    <s v="Yes"/>
    <x v="0"/>
    <s v="No"/>
    <n v="919"/>
    <n v="2"/>
    <n v="16"/>
    <n v="18"/>
    <n v="332"/>
    <n v="278"/>
    <n v="255"/>
    <n v="199"/>
    <n v="157"/>
    <n v="78"/>
    <n v="17"/>
    <n v="909"/>
  </r>
  <r>
    <n v="2025"/>
    <n v="8"/>
    <x v="11"/>
    <s v="national network"/>
    <x v="10"/>
    <x v="0"/>
    <s v="Yes"/>
    <x v="0"/>
    <s v="No"/>
    <n v="1008"/>
    <n v="1"/>
    <n v="6"/>
    <n v="7"/>
    <n v="449"/>
    <n v="367"/>
    <n v="344"/>
    <n v="271"/>
    <n v="212"/>
    <n v="120"/>
    <n v="26"/>
    <n v="1004"/>
  </r>
  <r>
    <n v="2025"/>
    <n v="8"/>
    <x v="12"/>
    <s v="national network"/>
    <x v="9"/>
    <x v="1"/>
    <s v="No"/>
    <x v="1"/>
    <s v="No"/>
    <n v="11339"/>
    <n v="20"/>
    <n v="161"/>
    <n v="181"/>
    <n v="4"/>
    <n v="1"/>
    <n v="1"/>
    <n v="1"/>
    <n v="0"/>
    <n v="0"/>
    <n v="0"/>
    <n v="11177"/>
  </r>
  <r>
    <n v="2025"/>
    <n v="8"/>
    <x v="12"/>
    <s v="national network"/>
    <x v="9"/>
    <x v="0"/>
    <s v="No"/>
    <x v="1"/>
    <s v="No"/>
    <n v="35"/>
    <n v="0"/>
    <n v="1"/>
    <n v="1"/>
    <n v="2"/>
    <n v="1"/>
    <n v="1"/>
    <n v="0"/>
    <n v="0"/>
    <n v="0"/>
    <n v="0"/>
    <n v="35"/>
  </r>
  <r>
    <n v="2025"/>
    <n v="8"/>
    <x v="13"/>
    <s v="whole journey"/>
    <x v="22"/>
    <x v="0"/>
    <s v="No"/>
    <x v="1"/>
    <s v="No"/>
    <n v="138"/>
    <n v="0"/>
    <n v="0"/>
    <n v="0"/>
    <n v="11"/>
    <n v="8"/>
    <n v="7"/>
    <n v="6"/>
    <n v="5"/>
    <n v="1"/>
    <n v="0"/>
    <n v="138"/>
  </r>
  <r>
    <n v="2025"/>
    <n v="8"/>
    <x v="13"/>
    <s v="whole journey"/>
    <x v="23"/>
    <x v="1"/>
    <s v="Yes"/>
    <x v="0"/>
    <s v="No"/>
    <n v="1855"/>
    <n v="16"/>
    <n v="15"/>
    <n v="31"/>
    <n v="415"/>
    <n v="382"/>
    <n v="382"/>
    <n v="295"/>
    <n v="240"/>
    <n v="146"/>
    <n v="70"/>
    <n v="1836"/>
  </r>
  <r>
    <n v="2025"/>
    <n v="8"/>
    <x v="13"/>
    <s v="whole journey"/>
    <x v="23"/>
    <x v="2"/>
    <s v="Yes"/>
    <x v="0"/>
    <s v="No"/>
    <n v="53"/>
    <n v="0"/>
    <n v="0"/>
    <n v="0"/>
    <n v="0"/>
    <n v="0"/>
    <n v="0"/>
    <n v="0"/>
    <n v="0"/>
    <n v="0"/>
    <n v="0"/>
    <n v="0"/>
  </r>
  <r>
    <n v="2025"/>
    <n v="8"/>
    <x v="14"/>
    <s v="national network"/>
    <x v="3"/>
    <x v="0"/>
    <s v="No"/>
    <x v="1"/>
    <s v="No"/>
    <n v="910"/>
    <n v="0"/>
    <n v="0"/>
    <n v="0"/>
    <n v="352"/>
    <n v="281"/>
    <n v="250"/>
    <n v="187"/>
    <n v="149"/>
    <n v="63"/>
    <n v="27"/>
    <n v="910"/>
  </r>
  <r>
    <n v="2025"/>
    <n v="8"/>
    <x v="14"/>
    <s v="national network"/>
    <x v="4"/>
    <x v="0"/>
    <s v="No"/>
    <x v="0"/>
    <s v="Yes"/>
    <n v="89"/>
    <n v="0"/>
    <n v="0"/>
    <n v="0"/>
    <n v="12"/>
    <n v="11"/>
    <n v="10"/>
    <n v="8"/>
    <n v="8"/>
    <n v="5"/>
    <n v="1"/>
    <n v="89"/>
  </r>
  <r>
    <n v="2025"/>
    <n v="8"/>
    <x v="14"/>
    <s v="national network"/>
    <x v="0"/>
    <x v="0"/>
    <s v="No"/>
    <x v="0"/>
    <s v="No"/>
    <n v="62"/>
    <n v="0"/>
    <n v="0"/>
    <n v="0"/>
    <n v="10"/>
    <n v="9"/>
    <n v="8"/>
    <n v="6"/>
    <n v="6"/>
    <n v="3"/>
    <n v="0"/>
    <n v="62"/>
  </r>
  <r>
    <n v="2025"/>
    <n v="8"/>
    <x v="15"/>
    <s v="national network"/>
    <x v="24"/>
    <x v="1"/>
    <s v="No"/>
    <x v="1"/>
    <s v="No"/>
    <n v="1608"/>
    <n v="0"/>
    <n v="0"/>
    <n v="0"/>
    <n v="0"/>
    <n v="0"/>
    <n v="0"/>
    <n v="0"/>
    <n v="0"/>
    <n v="0"/>
    <n v="0"/>
    <n v="1608"/>
  </r>
  <r>
    <n v="2025"/>
    <n v="8"/>
    <x v="15"/>
    <s v="national network"/>
    <x v="24"/>
    <x v="0"/>
    <s v="No"/>
    <x v="1"/>
    <s v="No"/>
    <n v="186"/>
    <n v="0"/>
    <n v="0"/>
    <n v="0"/>
    <n v="0"/>
    <n v="0"/>
    <n v="0"/>
    <n v="0"/>
    <n v="0"/>
    <n v="0"/>
    <n v="0"/>
    <n v="186"/>
  </r>
  <r>
    <n v="2025"/>
    <n v="8"/>
    <x v="16"/>
    <s v="national network"/>
    <x v="3"/>
    <x v="1"/>
    <s v="No"/>
    <x v="0"/>
    <s v="No"/>
    <n v="109"/>
    <n v="0"/>
    <n v="1"/>
    <n v="1"/>
    <n v="2"/>
    <n v="1"/>
    <n v="1"/>
    <n v="0"/>
    <n v="0"/>
    <n v="0"/>
    <n v="0"/>
    <n v="108"/>
  </r>
  <r>
    <n v="2025"/>
    <n v="8"/>
    <x v="16"/>
    <s v="national network"/>
    <x v="3"/>
    <x v="0"/>
    <s v="No"/>
    <x v="0"/>
    <s v="No"/>
    <n v="1848"/>
    <n v="20"/>
    <n v="37"/>
    <n v="57"/>
    <n v="351"/>
    <n v="274"/>
    <n v="250"/>
    <n v="199"/>
    <n v="150"/>
    <n v="97"/>
    <n v="21"/>
    <n v="1808"/>
  </r>
  <r>
    <n v="2025"/>
    <n v="8"/>
    <x v="16"/>
    <s v="national network"/>
    <x v="7"/>
    <x v="0"/>
    <s v="No"/>
    <x v="1"/>
    <s v="No"/>
    <n v="276"/>
    <n v="2"/>
    <n v="0"/>
    <n v="2"/>
    <n v="145"/>
    <n v="102"/>
    <n v="91"/>
    <n v="44"/>
    <n v="18"/>
    <n v="9"/>
    <n v="4"/>
    <n v="274"/>
  </r>
  <r>
    <n v="2025"/>
    <n v="8"/>
    <x v="16"/>
    <s v="national network"/>
    <x v="4"/>
    <x v="0"/>
    <s v="No"/>
    <x v="0"/>
    <s v="Yes"/>
    <n v="181"/>
    <n v="1"/>
    <n v="0"/>
    <n v="1"/>
    <n v="26"/>
    <n v="20"/>
    <n v="17"/>
    <n v="12"/>
    <n v="9"/>
    <n v="7"/>
    <n v="4"/>
    <n v="180"/>
  </r>
  <r>
    <n v="2025"/>
    <n v="8"/>
    <x v="16"/>
    <s v="national network"/>
    <x v="0"/>
    <x v="1"/>
    <s v="No"/>
    <x v="0"/>
    <s v="No"/>
    <n v="11772"/>
    <n v="26"/>
    <n v="204"/>
    <n v="230"/>
    <n v="17"/>
    <n v="13"/>
    <n v="12"/>
    <n v="6"/>
    <n v="3"/>
    <n v="2"/>
    <n v="1"/>
    <n v="11581"/>
  </r>
  <r>
    <n v="2025"/>
    <n v="8"/>
    <x v="16"/>
    <s v="national network"/>
    <x v="0"/>
    <x v="0"/>
    <s v="No"/>
    <x v="0"/>
    <s v="No"/>
    <n v="1200"/>
    <n v="60"/>
    <n v="22"/>
    <n v="82"/>
    <n v="338"/>
    <n v="269"/>
    <n v="253"/>
    <n v="194"/>
    <n v="136"/>
    <n v="21"/>
    <n v="7"/>
    <n v="1128"/>
  </r>
  <r>
    <n v="2025"/>
    <n v="8"/>
    <x v="16"/>
    <s v="national network"/>
    <x v="8"/>
    <x v="1"/>
    <s v="Yes"/>
    <x v="0"/>
    <s v="No"/>
    <n v="44"/>
    <n v="1"/>
    <n v="0"/>
    <n v="1"/>
    <n v="0"/>
    <n v="0"/>
    <n v="0"/>
    <n v="0"/>
    <n v="0"/>
    <n v="0"/>
    <n v="0"/>
    <n v="43"/>
  </r>
  <r>
    <n v="2025"/>
    <n v="8"/>
    <x v="16"/>
    <s v="national network"/>
    <x v="8"/>
    <x v="0"/>
    <s v="Yes"/>
    <x v="0"/>
    <s v="No"/>
    <n v="1468"/>
    <n v="99"/>
    <n v="193"/>
    <n v="292"/>
    <n v="331"/>
    <n v="263"/>
    <n v="235"/>
    <n v="159"/>
    <n v="115"/>
    <n v="52"/>
    <n v="10"/>
    <n v="1262"/>
  </r>
  <r>
    <n v="2025"/>
    <n v="8"/>
    <x v="16"/>
    <s v="national network"/>
    <x v="8"/>
    <x v="2"/>
    <s v="Yes"/>
    <x v="0"/>
    <s v="No"/>
    <n v="2"/>
    <n v="2"/>
    <n v="0"/>
    <n v="2"/>
    <n v="0"/>
    <n v="0"/>
    <n v="0"/>
    <n v="0"/>
    <n v="0"/>
    <n v="0"/>
    <n v="0"/>
    <n v="0"/>
  </r>
  <r>
    <n v="2025"/>
    <n v="8"/>
    <x v="16"/>
    <s v="national network"/>
    <x v="9"/>
    <x v="1"/>
    <s v="No"/>
    <x v="0"/>
    <s v="No"/>
    <n v="13118"/>
    <n v="47"/>
    <n v="186"/>
    <n v="233"/>
    <n v="21"/>
    <n v="10"/>
    <n v="8"/>
    <n v="4"/>
    <n v="2"/>
    <n v="0"/>
    <n v="0"/>
    <n v="12955"/>
  </r>
  <r>
    <n v="2025"/>
    <n v="8"/>
    <x v="16"/>
    <s v="national network"/>
    <x v="9"/>
    <x v="0"/>
    <s v="No"/>
    <x v="0"/>
    <s v="No"/>
    <n v="1082"/>
    <n v="1"/>
    <n v="16"/>
    <n v="17"/>
    <n v="50"/>
    <n v="22"/>
    <n v="18"/>
    <n v="11"/>
    <n v="2"/>
    <n v="0"/>
    <n v="0"/>
    <n v="1067"/>
  </r>
  <r>
    <n v="2025"/>
    <n v="8"/>
    <x v="16"/>
    <s v="national network"/>
    <x v="25"/>
    <x v="1"/>
    <s v="Yes"/>
    <x v="0"/>
    <s v="No"/>
    <n v="10"/>
    <n v="0"/>
    <n v="0"/>
    <n v="0"/>
    <n v="0"/>
    <n v="0"/>
    <n v="0"/>
    <n v="0"/>
    <n v="0"/>
    <n v="0"/>
    <n v="0"/>
    <n v="10"/>
  </r>
  <r>
    <n v="2025"/>
    <n v="8"/>
    <x v="16"/>
    <s v="national network"/>
    <x v="25"/>
    <x v="0"/>
    <s v="Yes"/>
    <x v="0"/>
    <s v="No"/>
    <n v="806"/>
    <n v="1"/>
    <n v="12"/>
    <n v="13"/>
    <n v="114"/>
    <n v="85"/>
    <n v="78"/>
    <n v="64"/>
    <n v="52"/>
    <n v="20"/>
    <n v="11"/>
    <n v="799"/>
  </r>
  <r>
    <n v="2025"/>
    <n v="8"/>
    <x v="16"/>
    <s v="national network"/>
    <x v="25"/>
    <x v="2"/>
    <s v="Yes"/>
    <x v="0"/>
    <s v="No"/>
    <n v="5"/>
    <n v="0"/>
    <n v="0"/>
    <n v="0"/>
    <n v="0"/>
    <n v="0"/>
    <n v="0"/>
    <n v="0"/>
    <n v="0"/>
    <n v="0"/>
    <n v="0"/>
    <n v="0"/>
  </r>
  <r>
    <n v="2025"/>
    <n v="8"/>
    <x v="16"/>
    <s v="national network"/>
    <x v="5"/>
    <x v="1"/>
    <s v="No"/>
    <x v="0"/>
    <s v="Yes"/>
    <n v="1"/>
    <n v="0"/>
    <n v="0"/>
    <n v="0"/>
    <n v="0"/>
    <n v="0"/>
    <n v="0"/>
    <n v="0"/>
    <n v="0"/>
    <n v="0"/>
    <n v="0"/>
    <n v="1"/>
  </r>
  <r>
    <n v="2025"/>
    <n v="8"/>
    <x v="16"/>
    <s v="national network"/>
    <x v="5"/>
    <x v="0"/>
    <s v="No"/>
    <x v="0"/>
    <s v="Yes"/>
    <n v="303"/>
    <n v="7"/>
    <n v="0"/>
    <n v="7"/>
    <n v="90"/>
    <n v="67"/>
    <n v="60"/>
    <n v="44"/>
    <n v="35"/>
    <n v="19"/>
    <n v="9"/>
    <n v="296"/>
  </r>
  <r>
    <n v="2025"/>
    <n v="8"/>
    <x v="16"/>
    <s v="national network"/>
    <x v="10"/>
    <x v="1"/>
    <s v="Yes"/>
    <x v="0"/>
    <s v="No"/>
    <n v="16"/>
    <n v="0"/>
    <n v="0"/>
    <n v="0"/>
    <n v="0"/>
    <n v="0"/>
    <n v="0"/>
    <n v="0"/>
    <n v="0"/>
    <n v="0"/>
    <n v="0"/>
    <n v="16"/>
  </r>
  <r>
    <n v="2025"/>
    <n v="8"/>
    <x v="16"/>
    <s v="national network"/>
    <x v="10"/>
    <x v="0"/>
    <s v="Yes"/>
    <x v="0"/>
    <s v="No"/>
    <n v="324"/>
    <n v="0"/>
    <n v="7"/>
    <n v="7"/>
    <n v="63"/>
    <n v="51"/>
    <n v="49"/>
    <n v="39"/>
    <n v="34"/>
    <n v="22"/>
    <n v="3"/>
    <n v="320"/>
  </r>
  <r>
    <n v="2025"/>
    <n v="8"/>
    <x v="17"/>
    <s v="national network"/>
    <x v="4"/>
    <x v="0"/>
    <s v="No"/>
    <x v="0"/>
    <s v="Yes"/>
    <n v="54"/>
    <n v="1"/>
    <n v="1"/>
    <n v="2"/>
    <n v="30"/>
    <n v="30"/>
    <n v="30"/>
    <n v="29"/>
    <n v="28"/>
    <n v="25"/>
    <n v="18"/>
    <n v="53"/>
  </r>
  <r>
    <n v="2025"/>
    <n v="8"/>
    <x v="17"/>
    <s v="national network"/>
    <x v="5"/>
    <x v="0"/>
    <s v="No"/>
    <x v="0"/>
    <s v="Yes"/>
    <n v="8"/>
    <n v="0"/>
    <n v="0"/>
    <n v="0"/>
    <n v="7"/>
    <n v="7"/>
    <n v="7"/>
    <n v="7"/>
    <n v="7"/>
    <n v="7"/>
    <n v="5"/>
    <n v="8"/>
  </r>
  <r>
    <n v="2025"/>
    <n v="8"/>
    <x v="18"/>
    <s v="national network"/>
    <x v="15"/>
    <x v="0"/>
    <s v="No"/>
    <x v="1"/>
    <s v="No"/>
    <n v="852"/>
    <n v="7"/>
    <n v="16"/>
    <n v="23"/>
    <n v="184"/>
    <n v="110"/>
    <n v="93"/>
    <n v="54"/>
    <n v="40"/>
    <n v="13"/>
    <n v="0"/>
    <n v="839"/>
  </r>
  <r>
    <n v="2025"/>
    <n v="8"/>
    <x v="18"/>
    <s v="national network"/>
    <x v="0"/>
    <x v="1"/>
    <s v="No"/>
    <x v="0"/>
    <s v="No"/>
    <n v="28718"/>
    <n v="31"/>
    <n v="403"/>
    <n v="434"/>
    <n v="4431"/>
    <n v="2659"/>
    <n v="2200"/>
    <n v="1163"/>
    <n v="636"/>
    <n v="151"/>
    <n v="25"/>
    <n v="28452"/>
  </r>
  <r>
    <n v="2025"/>
    <n v="8"/>
    <x v="18"/>
    <s v="national network"/>
    <x v="0"/>
    <x v="0"/>
    <s v="No"/>
    <x v="0"/>
    <s v="No"/>
    <n v="3926"/>
    <n v="8"/>
    <n v="54"/>
    <n v="62"/>
    <n v="639"/>
    <n v="428"/>
    <n v="352"/>
    <n v="184"/>
    <n v="69"/>
    <n v="15"/>
    <n v="1"/>
    <n v="3886"/>
  </r>
  <r>
    <n v="2025"/>
    <n v="8"/>
    <x v="18"/>
    <s v="national network"/>
    <x v="0"/>
    <x v="2"/>
    <s v="No"/>
    <x v="0"/>
    <s v="No"/>
    <n v="3"/>
    <n v="0"/>
    <n v="0"/>
    <n v="0"/>
    <n v="0"/>
    <n v="0"/>
    <n v="0"/>
    <n v="0"/>
    <n v="0"/>
    <n v="0"/>
    <n v="0"/>
    <n v="0"/>
  </r>
  <r>
    <n v="2025"/>
    <n v="8"/>
    <x v="18"/>
    <s v="national network"/>
    <x v="8"/>
    <x v="0"/>
    <s v="Yes"/>
    <x v="0"/>
    <s v="No"/>
    <n v="484"/>
    <n v="4"/>
    <n v="3"/>
    <n v="7"/>
    <n v="287"/>
    <n v="258"/>
    <n v="241"/>
    <n v="175"/>
    <n v="106"/>
    <n v="24"/>
    <n v="3"/>
    <n v="479"/>
  </r>
  <r>
    <n v="2025"/>
    <n v="8"/>
    <x v="18"/>
    <s v="national network"/>
    <x v="26"/>
    <x v="1"/>
    <s v="No"/>
    <x v="1"/>
    <s v="No"/>
    <n v="17210"/>
    <n v="18"/>
    <n v="55"/>
    <n v="73"/>
    <n v="1709"/>
    <n v="869"/>
    <n v="670"/>
    <n v="308"/>
    <n v="141"/>
    <n v="34"/>
    <n v="0"/>
    <n v="17151"/>
  </r>
  <r>
    <n v="2025"/>
    <n v="8"/>
    <x v="18"/>
    <s v="national network"/>
    <x v="26"/>
    <x v="0"/>
    <s v="No"/>
    <x v="1"/>
    <s v="No"/>
    <n v="5199"/>
    <n v="13"/>
    <n v="1"/>
    <n v="14"/>
    <n v="156"/>
    <n v="85"/>
    <n v="73"/>
    <n v="35"/>
    <n v="11"/>
    <n v="5"/>
    <n v="5"/>
    <n v="5185"/>
  </r>
  <r>
    <n v="2025"/>
    <n v="8"/>
    <x v="18"/>
    <s v="national network"/>
    <x v="26"/>
    <x v="2"/>
    <s v="No"/>
    <x v="1"/>
    <s v="No"/>
    <n v="29"/>
    <n v="0"/>
    <n v="0"/>
    <n v="0"/>
    <n v="0"/>
    <n v="0"/>
    <n v="0"/>
    <n v="0"/>
    <n v="0"/>
    <n v="0"/>
    <n v="0"/>
    <n v="0"/>
  </r>
  <r>
    <n v="2025"/>
    <n v="8"/>
    <x v="18"/>
    <s v="national network"/>
    <x v="5"/>
    <x v="0"/>
    <s v="No"/>
    <x v="0"/>
    <s v="Yes"/>
    <n v="52"/>
    <n v="4"/>
    <n v="0"/>
    <n v="4"/>
    <n v="19"/>
    <n v="16"/>
    <n v="14"/>
    <n v="11"/>
    <n v="9"/>
    <n v="4"/>
    <n v="0"/>
    <n v="48"/>
  </r>
  <r>
    <n v="2025"/>
    <n v="8"/>
    <x v="18"/>
    <s v="national network"/>
    <x v="27"/>
    <x v="1"/>
    <s v="No"/>
    <x v="1"/>
    <s v="No"/>
    <n v="2596"/>
    <n v="14"/>
    <n v="14"/>
    <n v="28"/>
    <n v="325"/>
    <n v="165"/>
    <n v="139"/>
    <n v="61"/>
    <n v="32"/>
    <n v="10"/>
    <n v="2"/>
    <n v="2574"/>
  </r>
  <r>
    <n v="2025"/>
    <n v="8"/>
    <x v="18"/>
    <s v="national network"/>
    <x v="27"/>
    <x v="0"/>
    <s v="No"/>
    <x v="1"/>
    <s v="No"/>
    <n v="208"/>
    <n v="0"/>
    <n v="0"/>
    <n v="0"/>
    <n v="5"/>
    <n v="2"/>
    <n v="2"/>
    <n v="2"/>
    <n v="2"/>
    <n v="0"/>
    <n v="0"/>
    <n v="208"/>
  </r>
  <r>
    <n v="2025"/>
    <n v="8"/>
    <x v="18"/>
    <s v="national network"/>
    <x v="19"/>
    <x v="1"/>
    <s v="No"/>
    <x v="1"/>
    <s v="No"/>
    <n v="25783"/>
    <n v="32"/>
    <n v="138"/>
    <n v="170"/>
    <n v="2355"/>
    <n v="1237"/>
    <n v="965"/>
    <n v="457"/>
    <n v="244"/>
    <n v="63"/>
    <n v="8"/>
    <n v="25688"/>
  </r>
  <r>
    <n v="2025"/>
    <n v="8"/>
    <x v="18"/>
    <s v="national network"/>
    <x v="19"/>
    <x v="0"/>
    <s v="No"/>
    <x v="1"/>
    <s v="No"/>
    <n v="3702"/>
    <n v="13"/>
    <n v="29"/>
    <n v="42"/>
    <n v="480"/>
    <n v="307"/>
    <n v="251"/>
    <n v="114"/>
    <n v="45"/>
    <n v="6"/>
    <n v="0"/>
    <n v="3670"/>
  </r>
  <r>
    <n v="2025"/>
    <n v="8"/>
    <x v="18"/>
    <s v="national network"/>
    <x v="19"/>
    <x v="2"/>
    <s v="No"/>
    <x v="1"/>
    <s v="No"/>
    <n v="1"/>
    <n v="0"/>
    <n v="0"/>
    <n v="0"/>
    <n v="0"/>
    <n v="0"/>
    <n v="0"/>
    <n v="0"/>
    <n v="0"/>
    <n v="0"/>
    <n v="0"/>
    <n v="0"/>
  </r>
  <r>
    <n v="2025"/>
    <n v="8"/>
    <x v="18"/>
    <s v="national network"/>
    <x v="1"/>
    <x v="0"/>
    <s v="Yes"/>
    <x v="0"/>
    <s v="No"/>
    <n v="113"/>
    <n v="2"/>
    <n v="0"/>
    <n v="2"/>
    <n v="70"/>
    <n v="30"/>
    <n v="30"/>
    <n v="28"/>
    <n v="21"/>
    <n v="11"/>
    <n v="2"/>
    <n v="111"/>
  </r>
  <r>
    <n v="2025"/>
    <n v="8"/>
    <x v="18"/>
    <s v="national network"/>
    <x v="1"/>
    <x v="2"/>
    <s v="Yes"/>
    <x v="0"/>
    <s v="No"/>
    <n v="1"/>
    <n v="0"/>
    <n v="0"/>
    <n v="0"/>
    <n v="0"/>
    <n v="0"/>
    <n v="0"/>
    <n v="0"/>
    <n v="0"/>
    <n v="0"/>
    <n v="0"/>
    <n v="0"/>
  </r>
  <r>
    <n v="2025"/>
    <n v="8"/>
    <x v="19"/>
    <s v="national network"/>
    <x v="0"/>
    <x v="0"/>
    <s v="No"/>
    <x v="0"/>
    <s v="No"/>
    <n v="2199"/>
    <n v="10"/>
    <n v="0"/>
    <n v="10"/>
    <n v="9"/>
    <n v="9"/>
    <n v="7"/>
    <n v="4"/>
    <n v="1"/>
    <n v="0"/>
    <n v="0"/>
    <n v="2189"/>
  </r>
  <r>
    <n v="2025"/>
    <n v="8"/>
    <x v="19"/>
    <s v="national network"/>
    <x v="8"/>
    <x v="1"/>
    <s v="Yes"/>
    <x v="0"/>
    <s v="No"/>
    <n v="1"/>
    <n v="0"/>
    <n v="0"/>
    <n v="0"/>
    <n v="1"/>
    <n v="1"/>
    <n v="1"/>
    <n v="1"/>
    <n v="1"/>
    <n v="1"/>
    <n v="1"/>
    <n v="1"/>
  </r>
  <r>
    <n v="2025"/>
    <n v="8"/>
    <x v="19"/>
    <s v="national network"/>
    <x v="8"/>
    <x v="0"/>
    <s v="Yes"/>
    <x v="0"/>
    <s v="No"/>
    <n v="693"/>
    <n v="2"/>
    <n v="4"/>
    <n v="6"/>
    <n v="239"/>
    <n v="167"/>
    <n v="165"/>
    <n v="115"/>
    <n v="72"/>
    <n v="34"/>
    <n v="12"/>
    <n v="688"/>
  </r>
  <r>
    <n v="2025"/>
    <n v="8"/>
    <x v="19"/>
    <s v="national network"/>
    <x v="8"/>
    <x v="2"/>
    <s v="Yes"/>
    <x v="0"/>
    <s v="No"/>
    <n v="1"/>
    <n v="0"/>
    <n v="0"/>
    <n v="0"/>
    <n v="0"/>
    <n v="0"/>
    <n v="0"/>
    <n v="0"/>
    <n v="0"/>
    <n v="0"/>
    <n v="0"/>
    <n v="0"/>
  </r>
  <r>
    <n v="2025"/>
    <n v="8"/>
    <x v="19"/>
    <s v="national network"/>
    <x v="29"/>
    <x v="1"/>
    <s v="No"/>
    <x v="0"/>
    <s v="No"/>
    <n v="1956"/>
    <n v="18"/>
    <n v="19"/>
    <n v="37"/>
    <n v="674"/>
    <n v="471"/>
    <n v="470"/>
    <n v="367"/>
    <n v="307"/>
    <n v="180"/>
    <n v="74"/>
    <n v="1930"/>
  </r>
  <r>
    <n v="2025"/>
    <n v="8"/>
    <x v="19"/>
    <s v="national network"/>
    <x v="29"/>
    <x v="2"/>
    <s v="No"/>
    <x v="0"/>
    <s v="No"/>
    <n v="10"/>
    <n v="1"/>
    <n v="0"/>
    <n v="1"/>
    <n v="0"/>
    <n v="0"/>
    <n v="0"/>
    <n v="0"/>
    <n v="0"/>
    <n v="0"/>
    <n v="0"/>
    <n v="0"/>
  </r>
  <r>
    <n v="2025"/>
    <n v="8"/>
    <x v="19"/>
    <s v="national network"/>
    <x v="30"/>
    <x v="1"/>
    <s v="No"/>
    <x v="0"/>
    <s v="Yes"/>
    <n v="190"/>
    <n v="3"/>
    <n v="2"/>
    <n v="5"/>
    <n v="67"/>
    <n v="45"/>
    <n v="45"/>
    <n v="30"/>
    <n v="24"/>
    <n v="14"/>
    <n v="3"/>
    <n v="187"/>
  </r>
  <r>
    <n v="2025"/>
    <n v="8"/>
    <x v="19"/>
    <s v="national network"/>
    <x v="30"/>
    <x v="2"/>
    <s v="No"/>
    <x v="0"/>
    <s v="Yes"/>
    <n v="121"/>
    <n v="0"/>
    <n v="0"/>
    <n v="0"/>
    <n v="0"/>
    <n v="0"/>
    <n v="0"/>
    <n v="0"/>
    <n v="0"/>
    <n v="0"/>
    <n v="0"/>
    <n v="0"/>
  </r>
  <r>
    <n v="2025"/>
    <n v="8"/>
    <x v="19"/>
    <s v="national network"/>
    <x v="25"/>
    <x v="0"/>
    <s v="Yes"/>
    <x v="0"/>
    <s v="No"/>
    <n v="998"/>
    <n v="0"/>
    <n v="3"/>
    <n v="3"/>
    <n v="166"/>
    <n v="89"/>
    <n v="88"/>
    <n v="70"/>
    <n v="46"/>
    <n v="23"/>
    <n v="9"/>
    <n v="998"/>
  </r>
  <r>
    <n v="2025"/>
    <n v="8"/>
    <x v="19"/>
    <s v="national network"/>
    <x v="25"/>
    <x v="2"/>
    <s v="Yes"/>
    <x v="0"/>
    <s v="No"/>
    <n v="11"/>
    <n v="0"/>
    <n v="0"/>
    <n v="0"/>
    <n v="0"/>
    <n v="0"/>
    <n v="0"/>
    <n v="0"/>
    <n v="0"/>
    <n v="0"/>
    <n v="0"/>
    <n v="0"/>
  </r>
  <r>
    <n v="2025"/>
    <n v="8"/>
    <x v="19"/>
    <s v="national network"/>
    <x v="5"/>
    <x v="0"/>
    <s v="No"/>
    <x v="0"/>
    <s v="Yes"/>
    <n v="52"/>
    <n v="0"/>
    <n v="0"/>
    <n v="0"/>
    <n v="16"/>
    <n v="16"/>
    <n v="16"/>
    <n v="16"/>
    <n v="16"/>
    <n v="10"/>
    <n v="10"/>
    <n v="52"/>
  </r>
  <r>
    <n v="2025"/>
    <n v="8"/>
    <x v="19"/>
    <s v="national network"/>
    <x v="11"/>
    <x v="0"/>
    <s v="Yes"/>
    <x v="0"/>
    <s v="No"/>
    <n v="39"/>
    <n v="0"/>
    <n v="0"/>
    <n v="0"/>
    <n v="14"/>
    <n v="12"/>
    <n v="11"/>
    <n v="7"/>
    <n v="5"/>
    <n v="0"/>
    <n v="0"/>
    <n v="39"/>
  </r>
  <r>
    <n v="2025"/>
    <n v="8"/>
    <x v="19"/>
    <s v="national network"/>
    <x v="1"/>
    <x v="1"/>
    <s v="Yes"/>
    <x v="0"/>
    <s v="No"/>
    <n v="13670"/>
    <n v="35"/>
    <n v="122"/>
    <n v="157"/>
    <n v="3729"/>
    <n v="2322"/>
    <n v="2321"/>
    <n v="1723"/>
    <n v="1344"/>
    <n v="712"/>
    <n v="296"/>
    <n v="13609"/>
  </r>
  <r>
    <n v="2025"/>
    <n v="8"/>
    <x v="19"/>
    <s v="national network"/>
    <x v="1"/>
    <x v="0"/>
    <s v="Yes"/>
    <x v="0"/>
    <s v="No"/>
    <n v="933"/>
    <n v="4"/>
    <n v="9"/>
    <n v="13"/>
    <n v="407"/>
    <n v="244"/>
    <n v="243"/>
    <n v="184"/>
    <n v="142"/>
    <n v="80"/>
    <n v="28"/>
    <n v="927"/>
  </r>
  <r>
    <n v="2025"/>
    <n v="8"/>
    <x v="19"/>
    <s v="national network"/>
    <x v="1"/>
    <x v="2"/>
    <s v="Yes"/>
    <x v="0"/>
    <s v="No"/>
    <n v="726"/>
    <n v="3"/>
    <n v="0"/>
    <n v="3"/>
    <n v="0"/>
    <n v="0"/>
    <n v="0"/>
    <n v="0"/>
    <n v="0"/>
    <n v="0"/>
    <n v="0"/>
    <n v="0"/>
  </r>
  <r>
    <n v="2025"/>
    <n v="8"/>
    <x v="20"/>
    <s v="national network"/>
    <x v="2"/>
    <x v="0"/>
    <s v="No"/>
    <x v="1"/>
    <s v="No"/>
    <n v="665"/>
    <n v="0"/>
    <n v="0"/>
    <n v="0"/>
    <n v="22"/>
    <n v="17"/>
    <n v="13"/>
    <n v="6"/>
    <n v="4"/>
    <n v="1"/>
    <n v="0"/>
    <n v="665"/>
  </r>
  <r>
    <n v="2025"/>
    <n v="8"/>
    <x v="20"/>
    <s v="national network"/>
    <x v="4"/>
    <x v="0"/>
    <s v="No"/>
    <x v="0"/>
    <s v="Yes"/>
    <n v="143"/>
    <n v="1"/>
    <n v="0"/>
    <n v="1"/>
    <n v="0"/>
    <n v="0"/>
    <n v="0"/>
    <n v="0"/>
    <n v="0"/>
    <n v="0"/>
    <n v="0"/>
    <n v="142"/>
  </r>
  <r>
    <n v="2025"/>
    <n v="8"/>
    <x v="20"/>
    <s v="national network"/>
    <x v="0"/>
    <x v="0"/>
    <s v="No"/>
    <x v="1"/>
    <s v="No"/>
    <n v="62"/>
    <n v="0"/>
    <n v="0"/>
    <n v="0"/>
    <n v="1"/>
    <n v="0"/>
    <n v="0"/>
    <n v="0"/>
    <n v="0"/>
    <n v="0"/>
    <n v="0"/>
    <n v="62"/>
  </r>
  <r>
    <n v="2025"/>
    <n v="8"/>
    <x v="21"/>
    <s v="national network"/>
    <x v="2"/>
    <x v="0"/>
    <s v="No"/>
    <x v="1"/>
    <s v="No"/>
    <n v="124"/>
    <n v="0"/>
    <n v="0"/>
    <n v="0"/>
    <n v="16"/>
    <n v="15"/>
    <n v="14"/>
    <n v="8"/>
    <n v="7"/>
    <n v="3"/>
    <n v="1"/>
    <n v="124"/>
  </r>
  <r>
    <n v="2025"/>
    <n v="8"/>
    <x v="21"/>
    <s v="national network"/>
    <x v="3"/>
    <x v="1"/>
    <s v="No"/>
    <x v="1"/>
    <s v="No"/>
    <n v="78"/>
    <n v="0"/>
    <n v="6"/>
    <n v="6"/>
    <n v="37"/>
    <n v="33"/>
    <n v="32"/>
    <n v="25"/>
    <n v="21"/>
    <n v="14"/>
    <n v="6"/>
    <n v="74"/>
  </r>
  <r>
    <n v="2025"/>
    <n v="8"/>
    <x v="21"/>
    <s v="national network"/>
    <x v="3"/>
    <x v="0"/>
    <s v="No"/>
    <x v="1"/>
    <s v="No"/>
    <n v="1332"/>
    <n v="0"/>
    <n v="13"/>
    <n v="13"/>
    <n v="424"/>
    <n v="350"/>
    <n v="302"/>
    <n v="171"/>
    <n v="98"/>
    <n v="31"/>
    <n v="9"/>
    <n v="1323"/>
  </r>
  <r>
    <n v="2025"/>
    <n v="8"/>
    <x v="21"/>
    <s v="national network"/>
    <x v="4"/>
    <x v="1"/>
    <s v="No"/>
    <x v="0"/>
    <s v="Yes"/>
    <n v="2"/>
    <n v="0"/>
    <n v="0"/>
    <n v="0"/>
    <n v="2"/>
    <n v="2"/>
    <n v="2"/>
    <n v="1"/>
    <n v="1"/>
    <n v="1"/>
    <n v="1"/>
    <n v="2"/>
  </r>
  <r>
    <n v="2025"/>
    <n v="8"/>
    <x v="21"/>
    <s v="national network"/>
    <x v="4"/>
    <x v="0"/>
    <s v="No"/>
    <x v="0"/>
    <s v="Yes"/>
    <n v="29"/>
    <n v="0"/>
    <n v="0"/>
    <n v="0"/>
    <n v="4"/>
    <n v="4"/>
    <n v="4"/>
    <n v="4"/>
    <n v="4"/>
    <n v="4"/>
    <n v="4"/>
    <n v="29"/>
  </r>
  <r>
    <n v="2025"/>
    <n v="8"/>
    <x v="21"/>
    <s v="national network"/>
    <x v="28"/>
    <x v="1"/>
    <s v="No"/>
    <x v="0"/>
    <s v="No"/>
    <n v="49"/>
    <n v="0"/>
    <n v="6"/>
    <n v="6"/>
    <n v="22"/>
    <n v="20"/>
    <n v="18"/>
    <n v="15"/>
    <n v="14"/>
    <n v="7"/>
    <n v="3"/>
    <n v="46"/>
  </r>
  <r>
    <n v="2025"/>
    <n v="8"/>
    <x v="21"/>
    <s v="national network"/>
    <x v="31"/>
    <x v="1"/>
    <s v="No"/>
    <x v="0"/>
    <s v="No"/>
    <n v="538"/>
    <n v="0"/>
    <n v="4"/>
    <n v="4"/>
    <n v="223"/>
    <n v="177"/>
    <n v="158"/>
    <n v="102"/>
    <n v="70"/>
    <n v="38"/>
    <n v="10"/>
    <n v="537"/>
  </r>
  <r>
    <n v="2025"/>
    <n v="8"/>
    <x v="21"/>
    <s v="national network"/>
    <x v="32"/>
    <x v="1"/>
    <s v="No"/>
    <x v="0"/>
    <s v="No"/>
    <n v="292"/>
    <n v="0"/>
    <n v="3"/>
    <n v="3"/>
    <n v="206"/>
    <n v="184"/>
    <n v="165"/>
    <n v="129"/>
    <n v="102"/>
    <n v="52"/>
    <n v="19"/>
    <n v="290"/>
  </r>
  <r>
    <n v="2025"/>
    <n v="8"/>
    <x v="21"/>
    <s v="national network"/>
    <x v="33"/>
    <x v="1"/>
    <s v="Yes"/>
    <x v="0"/>
    <s v="No"/>
    <n v="5785"/>
    <n v="0"/>
    <n v="26"/>
    <n v="26"/>
    <n v="1897"/>
    <n v="1443"/>
    <n v="1287"/>
    <n v="892"/>
    <n v="607"/>
    <n v="288"/>
    <n v="90"/>
    <n v="5769"/>
  </r>
  <r>
    <n v="2025"/>
    <n v="8"/>
    <x v="21"/>
    <s v="national network"/>
    <x v="0"/>
    <x v="1"/>
    <s v="No"/>
    <x v="0"/>
    <s v="No"/>
    <n v="3039"/>
    <n v="0"/>
    <n v="47"/>
    <n v="47"/>
    <n v="1286"/>
    <n v="1054"/>
    <n v="988"/>
    <n v="741"/>
    <n v="519"/>
    <n v="270"/>
    <n v="106"/>
    <n v="3006"/>
  </r>
  <r>
    <n v="2025"/>
    <n v="8"/>
    <x v="21"/>
    <s v="national network"/>
    <x v="0"/>
    <x v="0"/>
    <s v="No"/>
    <x v="0"/>
    <s v="No"/>
    <n v="1"/>
    <n v="0"/>
    <n v="0"/>
    <n v="0"/>
    <n v="0"/>
    <n v="0"/>
    <n v="0"/>
    <n v="0"/>
    <n v="0"/>
    <n v="0"/>
    <n v="0"/>
    <n v="1"/>
  </r>
  <r>
    <n v="2025"/>
    <n v="8"/>
    <x v="21"/>
    <s v="national network"/>
    <x v="34"/>
    <x v="1"/>
    <s v="No"/>
    <x v="0"/>
    <s v="Yes"/>
    <n v="652"/>
    <n v="0"/>
    <n v="0"/>
    <n v="0"/>
    <n v="165"/>
    <n v="126"/>
    <n v="113"/>
    <n v="70"/>
    <n v="54"/>
    <n v="31"/>
    <n v="11"/>
    <n v="652"/>
  </r>
  <r>
    <n v="2025"/>
    <n v="8"/>
    <x v="21"/>
    <s v="national network"/>
    <x v="9"/>
    <x v="1"/>
    <s v="No"/>
    <x v="0"/>
    <s v="No"/>
    <n v="1"/>
    <n v="0"/>
    <n v="1"/>
    <n v="1"/>
    <n v="0"/>
    <n v="0"/>
    <n v="0"/>
    <n v="0"/>
    <n v="0"/>
    <n v="0"/>
    <n v="0"/>
    <n v="1"/>
  </r>
  <r>
    <n v="2025"/>
    <n v="8"/>
    <x v="21"/>
    <s v="national network"/>
    <x v="9"/>
    <x v="0"/>
    <s v="No"/>
    <x v="0"/>
    <s v="No"/>
    <n v="54"/>
    <n v="0"/>
    <n v="0"/>
    <n v="0"/>
    <n v="0"/>
    <n v="0"/>
    <n v="0"/>
    <n v="0"/>
    <n v="0"/>
    <n v="0"/>
    <n v="0"/>
    <n v="54"/>
  </r>
  <r>
    <n v="2025"/>
    <n v="8"/>
    <x v="21"/>
    <s v="national network"/>
    <x v="35"/>
    <x v="1"/>
    <s v="No"/>
    <x v="1"/>
    <s v="No"/>
    <n v="6565"/>
    <n v="0"/>
    <n v="104"/>
    <n v="104"/>
    <n v="284"/>
    <n v="93"/>
    <n v="67"/>
    <n v="35"/>
    <n v="20"/>
    <n v="2"/>
    <n v="0"/>
    <n v="6490"/>
  </r>
  <r>
    <n v="2025"/>
    <n v="8"/>
    <x v="21"/>
    <s v="national network"/>
    <x v="36"/>
    <x v="1"/>
    <s v="No"/>
    <x v="1"/>
    <s v="No"/>
    <n v="22"/>
    <n v="0"/>
    <n v="1"/>
    <n v="1"/>
    <n v="16"/>
    <n v="15"/>
    <n v="13"/>
    <n v="12"/>
    <n v="12"/>
    <n v="10"/>
    <n v="6"/>
    <n v="22"/>
  </r>
  <r>
    <n v="2025"/>
    <n v="8"/>
    <x v="21"/>
    <s v="national network"/>
    <x v="36"/>
    <x v="0"/>
    <s v="No"/>
    <x v="1"/>
    <s v="No"/>
    <n v="1"/>
    <n v="0"/>
    <n v="0"/>
    <n v="0"/>
    <n v="0"/>
    <n v="0"/>
    <n v="0"/>
    <n v="0"/>
    <n v="0"/>
    <n v="0"/>
    <n v="0"/>
    <n v="1"/>
  </r>
  <r>
    <n v="2025"/>
    <n v="8"/>
    <x v="21"/>
    <s v="national network"/>
    <x v="5"/>
    <x v="1"/>
    <s v="No"/>
    <x v="0"/>
    <s v="Yes"/>
    <n v="2"/>
    <n v="0"/>
    <n v="0"/>
    <n v="0"/>
    <n v="2"/>
    <n v="2"/>
    <n v="2"/>
    <n v="2"/>
    <n v="2"/>
    <n v="1"/>
    <n v="0"/>
    <n v="2"/>
  </r>
  <r>
    <n v="2025"/>
    <n v="8"/>
    <x v="21"/>
    <s v="national network"/>
    <x v="5"/>
    <x v="0"/>
    <s v="No"/>
    <x v="0"/>
    <s v="Yes"/>
    <n v="342"/>
    <n v="0"/>
    <n v="0"/>
    <n v="0"/>
    <n v="104"/>
    <n v="94"/>
    <n v="86"/>
    <n v="74"/>
    <n v="59"/>
    <n v="33"/>
    <n v="12"/>
    <n v="342"/>
  </r>
  <r>
    <n v="2025"/>
    <n v="8"/>
    <x v="21"/>
    <s v="national network"/>
    <x v="37"/>
    <x v="1"/>
    <s v="No"/>
    <x v="1"/>
    <s v="No"/>
    <n v="204400"/>
    <n v="23"/>
    <n v="3758"/>
    <n v="3781"/>
    <n v="31452"/>
    <n v="17130"/>
    <n v="13499"/>
    <n v="7093"/>
    <n v="4313"/>
    <n v="1524"/>
    <n v="336"/>
    <n v="201345"/>
  </r>
  <r>
    <n v="2025"/>
    <n v="8"/>
    <x v="21"/>
    <s v="national network"/>
    <x v="37"/>
    <x v="0"/>
    <s v="No"/>
    <x v="1"/>
    <s v="No"/>
    <n v="4437"/>
    <n v="186"/>
    <n v="62"/>
    <n v="248"/>
    <n v="798"/>
    <n v="428"/>
    <n v="333"/>
    <n v="154"/>
    <n v="75"/>
    <n v="16"/>
    <n v="5"/>
    <n v="4205"/>
  </r>
  <r>
    <n v="2025"/>
    <n v="8"/>
    <x v="21"/>
    <s v="national network"/>
    <x v="37"/>
    <x v="2"/>
    <s v="No"/>
    <x v="1"/>
    <s v="No"/>
    <n v="15"/>
    <n v="0"/>
    <n v="0"/>
    <n v="0"/>
    <n v="0"/>
    <n v="0"/>
    <n v="0"/>
    <n v="0"/>
    <n v="0"/>
    <n v="0"/>
    <n v="0"/>
    <n v="0"/>
  </r>
  <r>
    <n v="2025"/>
    <n v="8"/>
    <x v="21"/>
    <s v="national network"/>
    <x v="6"/>
    <x v="0"/>
    <s v="No"/>
    <x v="0"/>
    <s v="No"/>
    <n v="203"/>
    <n v="1"/>
    <n v="0"/>
    <n v="1"/>
    <n v="53"/>
    <n v="42"/>
    <n v="40"/>
    <n v="32"/>
    <n v="31"/>
    <n v="17"/>
    <n v="7"/>
    <n v="202"/>
  </r>
  <r>
    <n v="2025"/>
    <n v="8"/>
    <x v="21"/>
    <s v="national network"/>
    <x v="10"/>
    <x v="0"/>
    <s v="Yes"/>
    <x v="0"/>
    <s v="No"/>
    <n v="3"/>
    <n v="0"/>
    <n v="0"/>
    <n v="0"/>
    <n v="0"/>
    <n v="0"/>
    <n v="0"/>
    <n v="0"/>
    <n v="0"/>
    <n v="0"/>
    <n v="0"/>
    <n v="3"/>
  </r>
  <r>
    <n v="2025"/>
    <n v="8"/>
    <x v="22"/>
    <s v="whole journey"/>
    <x v="33"/>
    <x v="1"/>
    <s v="Yes"/>
    <x v="0"/>
    <s v="No"/>
    <n v="497"/>
    <n v="0"/>
    <n v="0"/>
    <n v="0"/>
    <n v="104"/>
    <n v="75"/>
    <n v="68"/>
    <n v="52"/>
    <n v="38"/>
    <n v="23"/>
    <n v="13"/>
    <n v="497"/>
  </r>
  <r>
    <n v="2025"/>
    <n v="8"/>
    <x v="22"/>
    <s v="whole journey"/>
    <x v="33"/>
    <x v="0"/>
    <s v="Yes"/>
    <x v="0"/>
    <s v="No"/>
    <n v="122"/>
    <n v="0"/>
    <n v="0"/>
    <n v="0"/>
    <n v="50"/>
    <n v="41"/>
    <n v="31"/>
    <n v="20"/>
    <n v="16"/>
    <n v="9"/>
    <n v="3"/>
    <n v="122"/>
  </r>
  <r>
    <n v="2025"/>
    <n v="8"/>
    <x v="23"/>
    <s v="national network"/>
    <x v="39"/>
    <x v="1"/>
    <s v="No"/>
    <x v="1"/>
    <s v="No"/>
    <n v="4028"/>
    <n v="0"/>
    <n v="1"/>
    <n v="1"/>
    <n v="2"/>
    <n v="1"/>
    <n v="1"/>
    <n v="1"/>
    <n v="0"/>
    <n v="0"/>
    <n v="0"/>
    <n v="4028"/>
  </r>
  <r>
    <n v="2025"/>
    <n v="8"/>
    <x v="23"/>
    <s v="national network"/>
    <x v="39"/>
    <x v="0"/>
    <s v="No"/>
    <x v="1"/>
    <s v="No"/>
    <n v="1274"/>
    <n v="0"/>
    <n v="1"/>
    <n v="1"/>
    <n v="1"/>
    <n v="1"/>
    <n v="1"/>
    <n v="1"/>
    <n v="1"/>
    <n v="1"/>
    <n v="1"/>
    <n v="1274"/>
  </r>
  <r>
    <n v="2025"/>
    <n v="8"/>
    <x v="23"/>
    <s v="national network"/>
    <x v="40"/>
    <x v="1"/>
    <s v="No"/>
    <x v="1"/>
    <s v="No"/>
    <n v="2232"/>
    <n v="0"/>
    <n v="0"/>
    <n v="0"/>
    <n v="0"/>
    <n v="0"/>
    <n v="0"/>
    <n v="0"/>
    <n v="0"/>
    <n v="0"/>
    <n v="0"/>
    <n v="2232"/>
  </r>
  <r>
    <n v="2025"/>
    <n v="8"/>
    <x v="23"/>
    <s v="national network"/>
    <x v="2"/>
    <x v="0"/>
    <s v="No"/>
    <x v="1"/>
    <s v="No"/>
    <n v="268"/>
    <n v="0"/>
    <n v="8"/>
    <n v="8"/>
    <n v="66"/>
    <n v="63"/>
    <n v="56"/>
    <n v="45"/>
    <n v="42"/>
    <n v="15"/>
    <n v="8"/>
    <n v="267"/>
  </r>
  <r>
    <n v="2025"/>
    <n v="8"/>
    <x v="23"/>
    <s v="national network"/>
    <x v="33"/>
    <x v="1"/>
    <s v="Yes"/>
    <x v="0"/>
    <s v="No"/>
    <n v="2"/>
    <n v="0"/>
    <n v="0"/>
    <n v="0"/>
    <n v="0"/>
    <n v="0"/>
    <n v="0"/>
    <n v="0"/>
    <n v="0"/>
    <n v="0"/>
    <n v="0"/>
    <n v="2"/>
  </r>
  <r>
    <n v="2025"/>
    <n v="8"/>
    <x v="23"/>
    <s v="national network"/>
    <x v="43"/>
    <x v="1"/>
    <s v="No"/>
    <x v="1"/>
    <s v="No"/>
    <n v="62"/>
    <n v="0"/>
    <n v="0"/>
    <n v="0"/>
    <n v="0"/>
    <n v="0"/>
    <n v="0"/>
    <n v="0"/>
    <n v="0"/>
    <n v="0"/>
    <n v="0"/>
    <n v="62"/>
  </r>
  <r>
    <n v="2025"/>
    <n v="8"/>
    <x v="23"/>
    <s v="national network"/>
    <x v="43"/>
    <x v="0"/>
    <s v="No"/>
    <x v="1"/>
    <s v="No"/>
    <n v="117"/>
    <n v="0"/>
    <n v="0"/>
    <n v="0"/>
    <n v="0"/>
    <n v="0"/>
    <n v="0"/>
    <n v="0"/>
    <n v="0"/>
    <n v="0"/>
    <n v="0"/>
    <n v="117"/>
  </r>
  <r>
    <n v="2025"/>
    <n v="8"/>
    <x v="23"/>
    <s v="national network"/>
    <x v="0"/>
    <x v="0"/>
    <s v="No"/>
    <x v="1"/>
    <s v="No"/>
    <n v="44"/>
    <n v="1"/>
    <n v="0"/>
    <n v="1"/>
    <n v="0"/>
    <n v="0"/>
    <n v="0"/>
    <n v="0"/>
    <n v="0"/>
    <n v="0"/>
    <n v="0"/>
    <n v="43"/>
  </r>
  <r>
    <n v="2025"/>
    <n v="8"/>
    <x v="23"/>
    <s v="national network"/>
    <x v="49"/>
    <x v="1"/>
    <s v="No"/>
    <x v="1"/>
    <s v="No"/>
    <n v="2"/>
    <n v="0"/>
    <n v="0"/>
    <n v="0"/>
    <n v="2"/>
    <n v="1"/>
    <n v="1"/>
    <n v="1"/>
    <n v="0"/>
    <n v="0"/>
    <n v="0"/>
    <n v="2"/>
  </r>
  <r>
    <n v="2025"/>
    <n v="8"/>
    <x v="23"/>
    <s v="national network"/>
    <x v="53"/>
    <x v="1"/>
    <s v="No"/>
    <x v="1"/>
    <s v="No"/>
    <n v="23"/>
    <n v="1"/>
    <n v="0"/>
    <n v="1"/>
    <n v="15"/>
    <n v="15"/>
    <n v="15"/>
    <n v="10"/>
    <n v="8"/>
    <n v="5"/>
    <n v="4"/>
    <n v="22"/>
  </r>
  <r>
    <n v="2025"/>
    <n v="8"/>
    <x v="23"/>
    <s v="national network"/>
    <x v="45"/>
    <x v="1"/>
    <s v="No"/>
    <x v="1"/>
    <s v="No"/>
    <n v="12"/>
    <n v="0"/>
    <n v="1"/>
    <n v="1"/>
    <n v="3"/>
    <n v="3"/>
    <n v="3"/>
    <n v="3"/>
    <n v="2"/>
    <n v="2"/>
    <n v="1"/>
    <n v="12"/>
  </r>
  <r>
    <n v="2025"/>
    <n v="8"/>
    <x v="23"/>
    <s v="national network"/>
    <x v="45"/>
    <x v="0"/>
    <s v="No"/>
    <x v="1"/>
    <s v="No"/>
    <n v="48"/>
    <n v="0"/>
    <n v="1"/>
    <n v="1"/>
    <n v="34"/>
    <n v="32"/>
    <n v="31"/>
    <n v="30"/>
    <n v="26"/>
    <n v="17"/>
    <n v="8"/>
    <n v="48"/>
  </r>
  <r>
    <n v="2025"/>
    <n v="8"/>
    <x v="23"/>
    <s v="national network"/>
    <x v="46"/>
    <x v="1"/>
    <s v="No"/>
    <x v="1"/>
    <s v="No"/>
    <n v="21"/>
    <n v="0"/>
    <n v="2"/>
    <n v="2"/>
    <n v="7"/>
    <n v="6"/>
    <n v="6"/>
    <n v="6"/>
    <n v="6"/>
    <n v="4"/>
    <n v="1"/>
    <n v="19"/>
  </r>
  <r>
    <n v="2025"/>
    <n v="8"/>
    <x v="23"/>
    <s v="national network"/>
    <x v="46"/>
    <x v="0"/>
    <s v="No"/>
    <x v="1"/>
    <s v="No"/>
    <n v="44"/>
    <n v="0"/>
    <n v="1"/>
    <n v="1"/>
    <n v="0"/>
    <n v="0"/>
    <n v="0"/>
    <n v="0"/>
    <n v="0"/>
    <n v="0"/>
    <n v="0"/>
    <n v="43"/>
  </r>
  <r>
    <n v="2025"/>
    <n v="8"/>
    <x v="24"/>
    <s v="national network"/>
    <x v="2"/>
    <x v="0"/>
    <s v="No"/>
    <x v="1"/>
    <s v="No"/>
    <n v="62"/>
    <n v="0"/>
    <n v="0"/>
    <n v="0"/>
    <n v="0"/>
    <n v="0"/>
    <n v="0"/>
    <n v="0"/>
    <n v="0"/>
    <n v="0"/>
    <n v="0"/>
    <n v="62"/>
  </r>
  <r>
    <n v="2025"/>
    <n v="8"/>
    <x v="24"/>
    <s v="national network"/>
    <x v="3"/>
    <x v="0"/>
    <s v="No"/>
    <x v="1"/>
    <s v="No"/>
    <n v="62"/>
    <n v="0"/>
    <n v="0"/>
    <n v="0"/>
    <n v="2"/>
    <n v="2"/>
    <n v="2"/>
    <n v="1"/>
    <n v="1"/>
    <n v="0"/>
    <n v="0"/>
    <n v="62"/>
  </r>
  <r>
    <n v="2025"/>
    <n v="8"/>
    <x v="25"/>
    <s v="whole journey"/>
    <x v="47"/>
    <x v="1"/>
    <s v="No"/>
    <x v="0"/>
    <s v="No"/>
    <n v="1569"/>
    <n v="0"/>
    <n v="0"/>
    <n v="0"/>
    <n v="1"/>
    <n v="1"/>
    <n v="1"/>
    <n v="1"/>
    <n v="1"/>
    <n v="1"/>
    <n v="1"/>
    <n v="1569"/>
  </r>
  <r>
    <n v="2025"/>
    <n v="8"/>
    <x v="25"/>
    <s v="whole journey"/>
    <x v="47"/>
    <x v="0"/>
    <s v="No"/>
    <x v="0"/>
    <s v="No"/>
    <n v="312"/>
    <n v="0"/>
    <n v="16"/>
    <n v="16"/>
    <n v="172"/>
    <n v="147"/>
    <n v="136"/>
    <n v="104"/>
    <n v="86"/>
    <n v="38"/>
    <n v="16"/>
    <n v="312"/>
  </r>
  <r>
    <n v="2025"/>
    <n v="8"/>
    <x v="26"/>
    <s v="national network"/>
    <x v="3"/>
    <x v="0"/>
    <s v="No"/>
    <x v="1"/>
    <s v="No"/>
    <n v="55"/>
    <n v="1"/>
    <n v="0"/>
    <n v="1"/>
    <n v="53"/>
    <n v="53"/>
    <n v="53"/>
    <n v="48"/>
    <n v="39"/>
    <n v="17"/>
    <n v="3"/>
    <n v="54"/>
  </r>
  <r>
    <n v="2025"/>
    <n v="8"/>
    <x v="26"/>
    <s v="national network"/>
    <x v="4"/>
    <x v="0"/>
    <s v="No"/>
    <x v="0"/>
    <s v="Yes"/>
    <n v="89"/>
    <n v="0"/>
    <n v="0"/>
    <n v="0"/>
    <n v="20"/>
    <n v="19"/>
    <n v="19"/>
    <n v="15"/>
    <n v="13"/>
    <n v="6"/>
    <n v="2"/>
    <n v="89"/>
  </r>
  <r>
    <n v="2025"/>
    <n v="8"/>
    <x v="26"/>
    <s v="national network"/>
    <x v="5"/>
    <x v="0"/>
    <s v="No"/>
    <x v="0"/>
    <s v="Yes"/>
    <n v="4"/>
    <n v="0"/>
    <n v="0"/>
    <n v="0"/>
    <n v="0"/>
    <n v="0"/>
    <n v="0"/>
    <n v="0"/>
    <n v="0"/>
    <n v="0"/>
    <n v="0"/>
    <n v="4"/>
  </r>
  <r>
    <n v="2025"/>
    <n v="8"/>
    <x v="26"/>
    <s v="national network"/>
    <x v="10"/>
    <x v="0"/>
    <s v="Yes"/>
    <x v="0"/>
    <s v="No"/>
    <n v="62"/>
    <n v="0"/>
    <n v="0"/>
    <n v="0"/>
    <n v="5"/>
    <n v="5"/>
    <n v="5"/>
    <n v="4"/>
    <n v="3"/>
    <n v="2"/>
    <n v="0"/>
    <n v="62"/>
  </r>
  <r>
    <n v="2025"/>
    <n v="9"/>
    <x v="0"/>
    <s v="national network"/>
    <x v="0"/>
    <x v="0"/>
    <s v="No"/>
    <x v="0"/>
    <s v="No"/>
    <n v="1324"/>
    <n v="18"/>
    <n v="0"/>
    <n v="18"/>
    <n v="105"/>
    <n v="59"/>
    <n v="44"/>
    <n v="21"/>
    <n v="13"/>
    <n v="5"/>
    <n v="0"/>
    <n v="1306"/>
  </r>
  <r>
    <n v="2025"/>
    <n v="9"/>
    <x v="0"/>
    <s v="national network"/>
    <x v="1"/>
    <x v="0"/>
    <s v="Yes"/>
    <x v="0"/>
    <s v="No"/>
    <n v="75"/>
    <n v="1"/>
    <n v="0"/>
    <n v="1"/>
    <n v="40"/>
    <n v="17"/>
    <n v="17"/>
    <n v="16"/>
    <n v="7"/>
    <n v="2"/>
    <n v="1"/>
    <n v="74"/>
  </r>
  <r>
    <n v="2025"/>
    <n v="9"/>
    <x v="0"/>
    <s v="national network"/>
    <x v="1"/>
    <x v="2"/>
    <s v="Yes"/>
    <x v="0"/>
    <s v="No"/>
    <n v="7"/>
    <n v="0"/>
    <n v="0"/>
    <n v="0"/>
    <n v="0"/>
    <n v="0"/>
    <n v="0"/>
    <n v="0"/>
    <n v="0"/>
    <n v="0"/>
    <n v="0"/>
    <n v="0"/>
  </r>
  <r>
    <n v="2025"/>
    <n v="9"/>
    <x v="1"/>
    <s v="national network"/>
    <x v="2"/>
    <x v="0"/>
    <s v="No"/>
    <x v="1"/>
    <s v="No"/>
    <n v="60"/>
    <n v="0"/>
    <n v="0"/>
    <n v="0"/>
    <n v="1"/>
    <n v="0"/>
    <n v="0"/>
    <n v="0"/>
    <n v="0"/>
    <n v="0"/>
    <n v="0"/>
    <n v="60"/>
  </r>
  <r>
    <n v="2025"/>
    <n v="9"/>
    <x v="2"/>
    <s v="national network"/>
    <x v="3"/>
    <x v="0"/>
    <s v="No"/>
    <x v="1"/>
    <s v="No"/>
    <n v="908"/>
    <n v="0"/>
    <n v="0"/>
    <n v="0"/>
    <n v="280"/>
    <n v="235"/>
    <n v="210"/>
    <n v="157"/>
    <n v="104"/>
    <n v="52"/>
    <n v="16"/>
    <n v="908"/>
  </r>
  <r>
    <n v="2025"/>
    <n v="9"/>
    <x v="2"/>
    <s v="national network"/>
    <x v="4"/>
    <x v="0"/>
    <s v="No"/>
    <x v="0"/>
    <s v="Yes"/>
    <n v="179"/>
    <n v="4"/>
    <n v="0"/>
    <n v="4"/>
    <n v="112"/>
    <n v="102"/>
    <n v="97"/>
    <n v="81"/>
    <n v="62"/>
    <n v="35"/>
    <n v="13"/>
    <n v="175"/>
  </r>
  <r>
    <n v="2025"/>
    <n v="9"/>
    <x v="2"/>
    <s v="national network"/>
    <x v="0"/>
    <x v="0"/>
    <s v="No"/>
    <x v="1"/>
    <s v="No"/>
    <n v="240"/>
    <n v="0"/>
    <n v="0"/>
    <n v="0"/>
    <n v="0"/>
    <n v="0"/>
    <n v="0"/>
    <n v="0"/>
    <n v="0"/>
    <n v="0"/>
    <n v="0"/>
    <n v="240"/>
  </r>
  <r>
    <n v="2025"/>
    <n v="9"/>
    <x v="2"/>
    <s v="national network"/>
    <x v="0"/>
    <x v="0"/>
    <s v="No"/>
    <x v="0"/>
    <s v="No"/>
    <n v="60"/>
    <n v="0"/>
    <n v="0"/>
    <n v="0"/>
    <n v="13"/>
    <n v="10"/>
    <n v="10"/>
    <n v="8"/>
    <n v="8"/>
    <n v="4"/>
    <n v="1"/>
    <n v="60"/>
  </r>
  <r>
    <n v="2025"/>
    <n v="9"/>
    <x v="2"/>
    <s v="national network"/>
    <x v="5"/>
    <x v="0"/>
    <s v="No"/>
    <x v="0"/>
    <s v="Yes"/>
    <n v="60"/>
    <n v="0"/>
    <n v="0"/>
    <n v="0"/>
    <n v="54"/>
    <n v="51"/>
    <n v="48"/>
    <n v="40"/>
    <n v="34"/>
    <n v="20"/>
    <n v="8"/>
    <n v="60"/>
  </r>
  <r>
    <n v="2025"/>
    <n v="9"/>
    <x v="2"/>
    <s v="national network"/>
    <x v="6"/>
    <x v="0"/>
    <s v="No"/>
    <x v="0"/>
    <s v="No"/>
    <n v="480"/>
    <n v="0"/>
    <n v="0"/>
    <n v="0"/>
    <n v="60"/>
    <n v="57"/>
    <n v="55"/>
    <n v="33"/>
    <n v="19"/>
    <n v="7"/>
    <n v="1"/>
    <n v="480"/>
  </r>
  <r>
    <n v="2025"/>
    <n v="9"/>
    <x v="3"/>
    <s v="national network"/>
    <x v="3"/>
    <x v="1"/>
    <s v="No"/>
    <x v="0"/>
    <s v="No"/>
    <n v="1"/>
    <n v="1"/>
    <n v="0"/>
    <n v="1"/>
    <n v="0"/>
    <n v="0"/>
    <n v="0"/>
    <n v="0"/>
    <n v="0"/>
    <n v="0"/>
    <n v="0"/>
    <n v="0"/>
  </r>
  <r>
    <n v="2025"/>
    <n v="9"/>
    <x v="3"/>
    <s v="national network"/>
    <x v="3"/>
    <x v="0"/>
    <s v="No"/>
    <x v="0"/>
    <s v="No"/>
    <n v="1966"/>
    <n v="13"/>
    <n v="49"/>
    <n v="62"/>
    <n v="1091"/>
    <n v="914"/>
    <n v="844"/>
    <n v="647"/>
    <n v="492"/>
    <n v="280"/>
    <n v="78"/>
    <n v="1933"/>
  </r>
  <r>
    <n v="2025"/>
    <n v="9"/>
    <x v="3"/>
    <s v="national network"/>
    <x v="7"/>
    <x v="0"/>
    <s v="No"/>
    <x v="0"/>
    <s v="No"/>
    <n v="54"/>
    <n v="0"/>
    <n v="1"/>
    <n v="1"/>
    <n v="41"/>
    <n v="33"/>
    <n v="32"/>
    <n v="23"/>
    <n v="15"/>
    <n v="9"/>
    <n v="3"/>
    <n v="54"/>
  </r>
  <r>
    <n v="2025"/>
    <n v="9"/>
    <x v="3"/>
    <s v="national network"/>
    <x v="4"/>
    <x v="0"/>
    <s v="No"/>
    <x v="0"/>
    <s v="Yes"/>
    <n v="357"/>
    <n v="3"/>
    <n v="26"/>
    <n v="29"/>
    <n v="167"/>
    <n v="145"/>
    <n v="136"/>
    <n v="119"/>
    <n v="95"/>
    <n v="57"/>
    <n v="24"/>
    <n v="348"/>
  </r>
  <r>
    <n v="2025"/>
    <n v="9"/>
    <x v="3"/>
    <s v="national network"/>
    <x v="0"/>
    <x v="1"/>
    <s v="No"/>
    <x v="0"/>
    <s v="No"/>
    <n v="4468"/>
    <n v="160"/>
    <n v="580"/>
    <n v="740"/>
    <n v="2809"/>
    <n v="2482"/>
    <n v="2347"/>
    <n v="1890"/>
    <n v="1511"/>
    <n v="760"/>
    <n v="209"/>
    <n v="4120"/>
  </r>
  <r>
    <n v="2025"/>
    <n v="9"/>
    <x v="3"/>
    <s v="national network"/>
    <x v="0"/>
    <x v="0"/>
    <s v="No"/>
    <x v="0"/>
    <s v="No"/>
    <n v="1914"/>
    <n v="33"/>
    <n v="99"/>
    <n v="132"/>
    <n v="1177"/>
    <n v="977"/>
    <n v="910"/>
    <n v="702"/>
    <n v="533"/>
    <n v="262"/>
    <n v="99"/>
    <n v="1849"/>
  </r>
  <r>
    <n v="2025"/>
    <n v="9"/>
    <x v="3"/>
    <s v="national network"/>
    <x v="8"/>
    <x v="1"/>
    <s v="Yes"/>
    <x v="0"/>
    <s v="No"/>
    <n v="14239"/>
    <n v="398"/>
    <n v="1420"/>
    <n v="1818"/>
    <n v="8992"/>
    <n v="7949"/>
    <n v="7529"/>
    <n v="6139"/>
    <n v="4867"/>
    <n v="2516"/>
    <n v="812"/>
    <n v="13257"/>
  </r>
  <r>
    <n v="2025"/>
    <n v="9"/>
    <x v="3"/>
    <s v="national network"/>
    <x v="8"/>
    <x v="0"/>
    <s v="Yes"/>
    <x v="0"/>
    <s v="No"/>
    <n v="3705"/>
    <n v="18"/>
    <n v="322"/>
    <n v="340"/>
    <n v="2529"/>
    <n v="2233"/>
    <n v="2130"/>
    <n v="1675"/>
    <n v="1328"/>
    <n v="631"/>
    <n v="166"/>
    <n v="3533"/>
  </r>
  <r>
    <n v="2025"/>
    <n v="9"/>
    <x v="3"/>
    <s v="national network"/>
    <x v="8"/>
    <x v="2"/>
    <s v="Yes"/>
    <x v="0"/>
    <s v="No"/>
    <n v="3"/>
    <n v="0"/>
    <n v="0"/>
    <n v="0"/>
    <n v="0"/>
    <n v="0"/>
    <n v="0"/>
    <n v="0"/>
    <n v="0"/>
    <n v="0"/>
    <n v="0"/>
    <n v="0"/>
  </r>
  <r>
    <n v="2025"/>
    <n v="9"/>
    <x v="3"/>
    <s v="national network"/>
    <x v="9"/>
    <x v="0"/>
    <s v="No"/>
    <x v="0"/>
    <s v="No"/>
    <n v="494"/>
    <n v="13"/>
    <n v="0"/>
    <n v="13"/>
    <n v="29"/>
    <n v="13"/>
    <n v="10"/>
    <n v="3"/>
    <n v="2"/>
    <n v="0"/>
    <n v="0"/>
    <n v="481"/>
  </r>
  <r>
    <n v="2025"/>
    <n v="9"/>
    <x v="3"/>
    <s v="national network"/>
    <x v="5"/>
    <x v="1"/>
    <s v="No"/>
    <x v="0"/>
    <s v="Yes"/>
    <n v="29"/>
    <n v="2"/>
    <n v="3"/>
    <n v="5"/>
    <n v="16"/>
    <n v="11"/>
    <n v="11"/>
    <n v="9"/>
    <n v="7"/>
    <n v="4"/>
    <n v="4"/>
    <n v="25"/>
  </r>
  <r>
    <n v="2025"/>
    <n v="9"/>
    <x v="3"/>
    <s v="national network"/>
    <x v="5"/>
    <x v="0"/>
    <s v="No"/>
    <x v="0"/>
    <s v="Yes"/>
    <n v="780"/>
    <n v="6"/>
    <n v="32"/>
    <n v="38"/>
    <n v="488"/>
    <n v="438"/>
    <n v="418"/>
    <n v="358"/>
    <n v="315"/>
    <n v="223"/>
    <n v="129"/>
    <n v="769"/>
  </r>
  <r>
    <n v="2025"/>
    <n v="9"/>
    <x v="3"/>
    <s v="national network"/>
    <x v="6"/>
    <x v="1"/>
    <s v="No"/>
    <x v="0"/>
    <s v="No"/>
    <n v="60"/>
    <n v="2"/>
    <n v="1"/>
    <n v="3"/>
    <n v="21"/>
    <n v="16"/>
    <n v="16"/>
    <n v="11"/>
    <n v="8"/>
    <n v="1"/>
    <n v="0"/>
    <n v="58"/>
  </r>
  <r>
    <n v="2025"/>
    <n v="9"/>
    <x v="3"/>
    <s v="national network"/>
    <x v="6"/>
    <x v="0"/>
    <s v="No"/>
    <x v="0"/>
    <s v="No"/>
    <n v="470"/>
    <n v="3"/>
    <n v="6"/>
    <n v="9"/>
    <n v="234"/>
    <n v="176"/>
    <n v="156"/>
    <n v="100"/>
    <n v="66"/>
    <n v="27"/>
    <n v="7"/>
    <n v="464"/>
  </r>
  <r>
    <n v="2025"/>
    <n v="9"/>
    <x v="3"/>
    <s v="national network"/>
    <x v="10"/>
    <x v="0"/>
    <s v="Yes"/>
    <x v="0"/>
    <s v="No"/>
    <n v="356"/>
    <n v="0"/>
    <n v="6"/>
    <n v="6"/>
    <n v="232"/>
    <n v="204"/>
    <n v="185"/>
    <n v="141"/>
    <n v="93"/>
    <n v="32"/>
    <n v="5"/>
    <n v="355"/>
  </r>
  <r>
    <n v="2025"/>
    <n v="9"/>
    <x v="3"/>
    <s v="national network"/>
    <x v="11"/>
    <x v="0"/>
    <s v="Yes"/>
    <x v="0"/>
    <s v="No"/>
    <n v="135"/>
    <n v="3"/>
    <n v="3"/>
    <n v="6"/>
    <n v="81"/>
    <n v="65"/>
    <n v="61"/>
    <n v="45"/>
    <n v="35"/>
    <n v="15"/>
    <n v="3"/>
    <n v="129"/>
  </r>
  <r>
    <n v="2025"/>
    <n v="9"/>
    <x v="3"/>
    <s v="national network"/>
    <x v="1"/>
    <x v="0"/>
    <s v="Yes"/>
    <x v="0"/>
    <s v="No"/>
    <n v="4"/>
    <n v="2"/>
    <n v="0"/>
    <n v="2"/>
    <n v="0"/>
    <n v="0"/>
    <n v="0"/>
    <n v="0"/>
    <n v="0"/>
    <n v="0"/>
    <n v="0"/>
    <n v="2"/>
  </r>
  <r>
    <n v="2025"/>
    <n v="9"/>
    <x v="3"/>
    <s v="national network"/>
    <x v="1"/>
    <x v="2"/>
    <s v="Yes"/>
    <x v="0"/>
    <s v="No"/>
    <n v="1"/>
    <n v="0"/>
    <n v="0"/>
    <n v="0"/>
    <n v="0"/>
    <n v="0"/>
    <n v="0"/>
    <n v="0"/>
    <n v="0"/>
    <n v="0"/>
    <n v="0"/>
    <n v="0"/>
  </r>
  <r>
    <n v="2025"/>
    <n v="9"/>
    <x v="4"/>
    <s v="national network"/>
    <x v="3"/>
    <x v="0"/>
    <s v="No"/>
    <x v="1"/>
    <s v="No"/>
    <n v="363"/>
    <n v="1"/>
    <n v="1"/>
    <n v="2"/>
    <n v="182"/>
    <n v="159"/>
    <n v="149"/>
    <n v="95"/>
    <n v="67"/>
    <n v="23"/>
    <n v="7"/>
    <n v="361"/>
  </r>
  <r>
    <n v="2025"/>
    <n v="9"/>
    <x v="4"/>
    <s v="national network"/>
    <x v="4"/>
    <x v="0"/>
    <s v="No"/>
    <x v="0"/>
    <s v="Yes"/>
    <n v="59"/>
    <n v="3"/>
    <n v="1"/>
    <n v="4"/>
    <n v="27"/>
    <n v="26"/>
    <n v="26"/>
    <n v="26"/>
    <n v="19"/>
    <n v="13"/>
    <n v="7"/>
    <n v="55"/>
  </r>
  <r>
    <n v="2025"/>
    <n v="9"/>
    <x v="4"/>
    <s v="national network"/>
    <x v="0"/>
    <x v="0"/>
    <s v="No"/>
    <x v="0"/>
    <s v="No"/>
    <n v="461"/>
    <n v="0"/>
    <n v="0"/>
    <n v="0"/>
    <n v="91"/>
    <n v="50"/>
    <n v="44"/>
    <n v="13"/>
    <n v="9"/>
    <n v="0"/>
    <n v="0"/>
    <n v="461"/>
  </r>
  <r>
    <n v="2025"/>
    <n v="9"/>
    <x v="4"/>
    <s v="national network"/>
    <x v="5"/>
    <x v="0"/>
    <s v="No"/>
    <x v="0"/>
    <s v="Yes"/>
    <n v="19"/>
    <n v="0"/>
    <n v="0"/>
    <n v="0"/>
    <n v="2"/>
    <n v="2"/>
    <n v="2"/>
    <n v="2"/>
    <n v="2"/>
    <n v="2"/>
    <n v="1"/>
    <n v="19"/>
  </r>
  <r>
    <n v="2025"/>
    <n v="9"/>
    <x v="5"/>
    <s v="whole journey"/>
    <x v="12"/>
    <x v="0"/>
    <s v="No"/>
    <x v="0"/>
    <s v="Yes"/>
    <n v="26"/>
    <n v="0"/>
    <n v="7"/>
    <n v="7"/>
    <n v="13"/>
    <n v="12"/>
    <n v="12"/>
    <n v="11"/>
    <n v="9"/>
    <n v="7"/>
    <n v="5"/>
    <n v="23"/>
  </r>
  <r>
    <n v="2025"/>
    <n v="9"/>
    <x v="6"/>
    <s v="whole journey"/>
    <x v="13"/>
    <x v="0"/>
    <s v="Yes"/>
    <x v="0"/>
    <s v="No"/>
    <n v="3580"/>
    <n v="72"/>
    <n v="165"/>
    <n v="237"/>
    <n v="992"/>
    <n v="940"/>
    <n v="935"/>
    <n v="682"/>
    <n v="562"/>
    <n v="243"/>
    <n v="72"/>
    <n v="3497"/>
  </r>
  <r>
    <n v="2025"/>
    <n v="9"/>
    <x v="7"/>
    <s v="whole journey"/>
    <x v="14"/>
    <x v="1"/>
    <s v="No"/>
    <x v="0"/>
    <s v="No"/>
    <n v="470"/>
    <n v="4"/>
    <n v="25"/>
    <n v="29"/>
    <n v="343"/>
    <n v="308"/>
    <n v="293"/>
    <n v="250"/>
    <n v="211"/>
    <n v="135"/>
    <n v="60"/>
    <n v="464"/>
  </r>
  <r>
    <n v="2025"/>
    <n v="9"/>
    <x v="7"/>
    <s v="whole journey"/>
    <x v="14"/>
    <x v="0"/>
    <s v="No"/>
    <x v="0"/>
    <s v="No"/>
    <n v="57"/>
    <n v="0"/>
    <n v="3"/>
    <n v="3"/>
    <n v="29"/>
    <n v="23"/>
    <n v="20"/>
    <n v="16"/>
    <n v="9"/>
    <n v="7"/>
    <n v="3"/>
    <n v="57"/>
  </r>
  <r>
    <n v="2025"/>
    <n v="9"/>
    <x v="8"/>
    <s v="national network"/>
    <x v="2"/>
    <x v="0"/>
    <s v="No"/>
    <x v="1"/>
    <s v="No"/>
    <n v="179"/>
    <n v="0"/>
    <n v="0"/>
    <n v="0"/>
    <n v="0"/>
    <n v="0"/>
    <n v="0"/>
    <n v="0"/>
    <n v="0"/>
    <n v="0"/>
    <n v="0"/>
    <n v="179"/>
  </r>
  <r>
    <n v="2025"/>
    <n v="9"/>
    <x v="8"/>
    <s v="national network"/>
    <x v="4"/>
    <x v="0"/>
    <s v="No"/>
    <x v="0"/>
    <s v="Yes"/>
    <n v="100"/>
    <n v="0"/>
    <n v="0"/>
    <n v="0"/>
    <n v="2"/>
    <n v="2"/>
    <n v="0"/>
    <n v="0"/>
    <n v="0"/>
    <n v="0"/>
    <n v="0"/>
    <n v="100"/>
  </r>
  <r>
    <n v="2025"/>
    <n v="9"/>
    <x v="9"/>
    <s v="national network"/>
    <x v="2"/>
    <x v="0"/>
    <s v="No"/>
    <x v="1"/>
    <s v="No"/>
    <n v="120"/>
    <n v="0"/>
    <n v="0"/>
    <n v="0"/>
    <n v="1"/>
    <n v="0"/>
    <n v="0"/>
    <n v="0"/>
    <n v="0"/>
    <n v="0"/>
    <n v="0"/>
    <n v="120"/>
  </r>
  <r>
    <n v="2025"/>
    <n v="9"/>
    <x v="9"/>
    <s v="national network"/>
    <x v="3"/>
    <x v="0"/>
    <s v="No"/>
    <x v="0"/>
    <s v="No"/>
    <n v="524"/>
    <n v="0"/>
    <n v="0"/>
    <n v="0"/>
    <n v="86"/>
    <n v="74"/>
    <n v="71"/>
    <n v="57"/>
    <n v="42"/>
    <n v="21"/>
    <n v="7"/>
    <n v="524"/>
  </r>
  <r>
    <n v="2025"/>
    <n v="9"/>
    <x v="9"/>
    <s v="national network"/>
    <x v="4"/>
    <x v="0"/>
    <s v="No"/>
    <x v="0"/>
    <s v="Yes"/>
    <n v="178"/>
    <n v="0"/>
    <n v="0"/>
    <n v="0"/>
    <n v="21"/>
    <n v="19"/>
    <n v="17"/>
    <n v="13"/>
    <n v="12"/>
    <n v="7"/>
    <n v="4"/>
    <n v="178"/>
  </r>
  <r>
    <n v="2025"/>
    <n v="9"/>
    <x v="9"/>
    <s v="national network"/>
    <x v="0"/>
    <x v="0"/>
    <s v="No"/>
    <x v="0"/>
    <s v="No"/>
    <n v="209"/>
    <n v="0"/>
    <n v="0"/>
    <n v="0"/>
    <n v="2"/>
    <n v="2"/>
    <n v="1"/>
    <n v="1"/>
    <n v="1"/>
    <n v="1"/>
    <n v="0"/>
    <n v="209"/>
  </r>
  <r>
    <n v="2025"/>
    <n v="9"/>
    <x v="9"/>
    <s v="national network"/>
    <x v="5"/>
    <x v="0"/>
    <s v="No"/>
    <x v="0"/>
    <s v="Yes"/>
    <n v="2"/>
    <n v="0"/>
    <n v="0"/>
    <n v="0"/>
    <n v="0"/>
    <n v="0"/>
    <n v="0"/>
    <n v="0"/>
    <n v="0"/>
    <n v="0"/>
    <n v="0"/>
    <n v="2"/>
  </r>
  <r>
    <n v="2025"/>
    <n v="9"/>
    <x v="9"/>
    <s v="national network"/>
    <x v="10"/>
    <x v="0"/>
    <s v="Yes"/>
    <x v="0"/>
    <s v="No"/>
    <n v="480"/>
    <n v="0"/>
    <n v="0"/>
    <n v="0"/>
    <n v="241"/>
    <n v="221"/>
    <n v="202"/>
    <n v="167"/>
    <n v="130"/>
    <n v="47"/>
    <n v="12"/>
    <n v="480"/>
  </r>
  <r>
    <n v="2025"/>
    <n v="9"/>
    <x v="10"/>
    <s v="national network"/>
    <x v="15"/>
    <x v="0"/>
    <s v="No"/>
    <x v="0"/>
    <s v="No"/>
    <n v="804"/>
    <n v="18"/>
    <n v="1"/>
    <n v="19"/>
    <n v="52"/>
    <n v="33"/>
    <n v="30"/>
    <n v="16"/>
    <n v="7"/>
    <n v="3"/>
    <n v="0"/>
    <n v="786"/>
  </r>
  <r>
    <n v="2025"/>
    <n v="9"/>
    <x v="10"/>
    <s v="national network"/>
    <x v="0"/>
    <x v="1"/>
    <s v="No"/>
    <x v="0"/>
    <s v="No"/>
    <n v="36068"/>
    <n v="0"/>
    <n v="3274"/>
    <n v="3274"/>
    <n v="4301"/>
    <n v="2407"/>
    <n v="1893"/>
    <n v="911"/>
    <n v="419"/>
    <n v="49"/>
    <n v="1"/>
    <n v="33480"/>
  </r>
  <r>
    <n v="2025"/>
    <n v="9"/>
    <x v="10"/>
    <s v="national network"/>
    <x v="0"/>
    <x v="0"/>
    <s v="No"/>
    <x v="0"/>
    <s v="No"/>
    <n v="453"/>
    <n v="40"/>
    <n v="13"/>
    <n v="53"/>
    <n v="227"/>
    <n v="209"/>
    <n v="206"/>
    <n v="190"/>
    <n v="164"/>
    <n v="85"/>
    <n v="30"/>
    <n v="406"/>
  </r>
  <r>
    <n v="2025"/>
    <n v="9"/>
    <x v="10"/>
    <s v="national network"/>
    <x v="17"/>
    <x v="1"/>
    <s v="No"/>
    <x v="0"/>
    <s v="No"/>
    <n v="3095"/>
    <n v="0"/>
    <n v="532"/>
    <n v="532"/>
    <n v="450"/>
    <n v="281"/>
    <n v="249"/>
    <n v="140"/>
    <n v="58"/>
    <n v="10"/>
    <n v="3"/>
    <n v="2742"/>
  </r>
  <r>
    <n v="2025"/>
    <n v="9"/>
    <x v="10"/>
    <s v="national network"/>
    <x v="8"/>
    <x v="0"/>
    <s v="Yes"/>
    <x v="0"/>
    <s v="No"/>
    <n v="447"/>
    <n v="4"/>
    <n v="108"/>
    <n v="112"/>
    <n v="216"/>
    <n v="199"/>
    <n v="196"/>
    <n v="178"/>
    <n v="150"/>
    <n v="56"/>
    <n v="19"/>
    <n v="411"/>
  </r>
  <r>
    <n v="2025"/>
    <n v="9"/>
    <x v="10"/>
    <s v="national network"/>
    <x v="5"/>
    <x v="0"/>
    <s v="No"/>
    <x v="0"/>
    <s v="Yes"/>
    <n v="185"/>
    <n v="2"/>
    <n v="13"/>
    <n v="15"/>
    <n v="131"/>
    <n v="109"/>
    <n v="104"/>
    <n v="91"/>
    <n v="86"/>
    <n v="65"/>
    <n v="51"/>
    <n v="178"/>
  </r>
  <r>
    <n v="2025"/>
    <n v="9"/>
    <x v="10"/>
    <s v="national network"/>
    <x v="18"/>
    <x v="1"/>
    <s v="No"/>
    <x v="0"/>
    <s v="Yes"/>
    <n v="13"/>
    <n v="0"/>
    <n v="0"/>
    <n v="0"/>
    <n v="5"/>
    <n v="4"/>
    <n v="4"/>
    <n v="3"/>
    <n v="2"/>
    <n v="0"/>
    <n v="0"/>
    <n v="13"/>
  </r>
  <r>
    <n v="2025"/>
    <n v="9"/>
    <x v="10"/>
    <s v="national network"/>
    <x v="19"/>
    <x v="1"/>
    <s v="No"/>
    <x v="1"/>
    <s v="No"/>
    <n v="4137"/>
    <n v="0"/>
    <n v="141"/>
    <n v="141"/>
    <n v="349"/>
    <n v="139"/>
    <n v="97"/>
    <n v="37"/>
    <n v="8"/>
    <n v="1"/>
    <n v="0"/>
    <n v="4039"/>
  </r>
  <r>
    <n v="2025"/>
    <n v="9"/>
    <x v="10"/>
    <s v="national network"/>
    <x v="20"/>
    <x v="1"/>
    <s v="No"/>
    <x v="1"/>
    <s v="No"/>
    <n v="78163"/>
    <n v="0"/>
    <n v="3177"/>
    <n v="3177"/>
    <n v="5833"/>
    <n v="2654"/>
    <n v="1951"/>
    <n v="745"/>
    <n v="289"/>
    <n v="27"/>
    <n v="1"/>
    <n v="75830"/>
  </r>
  <r>
    <n v="2025"/>
    <n v="9"/>
    <x v="10"/>
    <s v="national network"/>
    <x v="20"/>
    <x v="2"/>
    <s v="No"/>
    <x v="1"/>
    <s v="No"/>
    <n v="1"/>
    <n v="1"/>
    <n v="0"/>
    <n v="1"/>
    <n v="0"/>
    <n v="0"/>
    <n v="0"/>
    <n v="0"/>
    <n v="0"/>
    <n v="0"/>
    <n v="0"/>
    <n v="0"/>
  </r>
  <r>
    <n v="2025"/>
    <n v="9"/>
    <x v="10"/>
    <s v="national network"/>
    <x v="21"/>
    <x v="1"/>
    <s v="No"/>
    <x v="1"/>
    <s v="No"/>
    <n v="37213"/>
    <n v="0"/>
    <n v="1218"/>
    <n v="1218"/>
    <n v="2900"/>
    <n v="971"/>
    <n v="619"/>
    <n v="213"/>
    <n v="85"/>
    <n v="8"/>
    <n v="1"/>
    <n v="36286"/>
  </r>
  <r>
    <n v="2025"/>
    <n v="9"/>
    <x v="11"/>
    <s v="national network"/>
    <x v="2"/>
    <x v="1"/>
    <s v="No"/>
    <x v="0"/>
    <s v="No"/>
    <n v="476"/>
    <n v="3"/>
    <n v="0"/>
    <n v="3"/>
    <n v="131"/>
    <n v="97"/>
    <n v="80"/>
    <n v="46"/>
    <n v="28"/>
    <n v="13"/>
    <n v="2"/>
    <n v="473"/>
  </r>
  <r>
    <n v="2025"/>
    <n v="9"/>
    <x v="11"/>
    <s v="national network"/>
    <x v="2"/>
    <x v="0"/>
    <s v="No"/>
    <x v="0"/>
    <s v="No"/>
    <n v="899"/>
    <n v="0"/>
    <n v="3"/>
    <n v="3"/>
    <n v="322"/>
    <n v="210"/>
    <n v="182"/>
    <n v="111"/>
    <n v="71"/>
    <n v="29"/>
    <n v="7"/>
    <n v="898"/>
  </r>
  <r>
    <n v="2025"/>
    <n v="9"/>
    <x v="11"/>
    <s v="national network"/>
    <x v="3"/>
    <x v="1"/>
    <s v="No"/>
    <x v="0"/>
    <s v="No"/>
    <n v="97"/>
    <n v="0"/>
    <n v="1"/>
    <n v="1"/>
    <n v="23"/>
    <n v="19"/>
    <n v="16"/>
    <n v="9"/>
    <n v="8"/>
    <n v="3"/>
    <n v="0"/>
    <n v="97"/>
  </r>
  <r>
    <n v="2025"/>
    <n v="9"/>
    <x v="11"/>
    <s v="national network"/>
    <x v="3"/>
    <x v="0"/>
    <s v="No"/>
    <x v="0"/>
    <s v="No"/>
    <n v="1570"/>
    <n v="12"/>
    <n v="0"/>
    <n v="12"/>
    <n v="643"/>
    <n v="488"/>
    <n v="431"/>
    <n v="301"/>
    <n v="224"/>
    <n v="79"/>
    <n v="20"/>
    <n v="1558"/>
  </r>
  <r>
    <n v="2025"/>
    <n v="9"/>
    <x v="11"/>
    <s v="national network"/>
    <x v="4"/>
    <x v="1"/>
    <s v="No"/>
    <x v="0"/>
    <s v="Yes"/>
    <n v="23"/>
    <n v="0"/>
    <n v="0"/>
    <n v="0"/>
    <n v="0"/>
    <n v="0"/>
    <n v="0"/>
    <n v="0"/>
    <n v="0"/>
    <n v="0"/>
    <n v="0"/>
    <n v="23"/>
  </r>
  <r>
    <n v="2025"/>
    <n v="9"/>
    <x v="11"/>
    <s v="national network"/>
    <x v="4"/>
    <x v="0"/>
    <s v="No"/>
    <x v="0"/>
    <s v="Yes"/>
    <n v="332"/>
    <n v="0"/>
    <n v="0"/>
    <n v="0"/>
    <n v="73"/>
    <n v="59"/>
    <n v="54"/>
    <n v="46"/>
    <n v="35"/>
    <n v="26"/>
    <n v="13"/>
    <n v="332"/>
  </r>
  <r>
    <n v="2025"/>
    <n v="9"/>
    <x v="11"/>
    <s v="national network"/>
    <x v="0"/>
    <x v="1"/>
    <s v="No"/>
    <x v="0"/>
    <s v="No"/>
    <n v="1292"/>
    <n v="0"/>
    <n v="175"/>
    <n v="175"/>
    <n v="240"/>
    <n v="167"/>
    <n v="139"/>
    <n v="75"/>
    <n v="44"/>
    <n v="13"/>
    <n v="1"/>
    <n v="1207"/>
  </r>
  <r>
    <n v="2025"/>
    <n v="9"/>
    <x v="11"/>
    <s v="national network"/>
    <x v="0"/>
    <x v="0"/>
    <s v="No"/>
    <x v="0"/>
    <s v="No"/>
    <n v="487"/>
    <n v="0"/>
    <n v="1"/>
    <n v="1"/>
    <n v="75"/>
    <n v="65"/>
    <n v="60"/>
    <n v="53"/>
    <n v="46"/>
    <n v="25"/>
    <n v="11"/>
    <n v="487"/>
  </r>
  <r>
    <n v="2025"/>
    <n v="9"/>
    <x v="11"/>
    <s v="national network"/>
    <x v="8"/>
    <x v="1"/>
    <s v="Yes"/>
    <x v="0"/>
    <s v="No"/>
    <n v="30"/>
    <n v="0"/>
    <n v="0"/>
    <n v="0"/>
    <n v="1"/>
    <n v="0"/>
    <n v="0"/>
    <n v="0"/>
    <n v="0"/>
    <n v="0"/>
    <n v="0"/>
    <n v="30"/>
  </r>
  <r>
    <n v="2025"/>
    <n v="9"/>
    <x v="11"/>
    <s v="national network"/>
    <x v="8"/>
    <x v="0"/>
    <s v="Yes"/>
    <x v="0"/>
    <s v="No"/>
    <n v="666"/>
    <n v="7"/>
    <n v="3"/>
    <n v="10"/>
    <n v="262"/>
    <n v="220"/>
    <n v="208"/>
    <n v="184"/>
    <n v="163"/>
    <n v="84"/>
    <n v="28"/>
    <n v="657"/>
  </r>
  <r>
    <n v="2025"/>
    <n v="9"/>
    <x v="11"/>
    <s v="national network"/>
    <x v="9"/>
    <x v="1"/>
    <s v="No"/>
    <x v="0"/>
    <s v="No"/>
    <n v="44"/>
    <n v="0"/>
    <n v="0"/>
    <n v="0"/>
    <n v="0"/>
    <n v="0"/>
    <n v="0"/>
    <n v="0"/>
    <n v="0"/>
    <n v="0"/>
    <n v="0"/>
    <n v="44"/>
  </r>
  <r>
    <n v="2025"/>
    <n v="9"/>
    <x v="11"/>
    <s v="national network"/>
    <x v="5"/>
    <x v="1"/>
    <s v="No"/>
    <x v="0"/>
    <s v="Yes"/>
    <n v="60"/>
    <n v="0"/>
    <n v="1"/>
    <n v="1"/>
    <n v="3"/>
    <n v="3"/>
    <n v="3"/>
    <n v="3"/>
    <n v="1"/>
    <n v="1"/>
    <n v="1"/>
    <n v="60"/>
  </r>
  <r>
    <n v="2025"/>
    <n v="9"/>
    <x v="11"/>
    <s v="national network"/>
    <x v="5"/>
    <x v="0"/>
    <s v="No"/>
    <x v="0"/>
    <s v="Yes"/>
    <n v="835"/>
    <n v="3"/>
    <n v="2"/>
    <n v="5"/>
    <n v="308"/>
    <n v="267"/>
    <n v="254"/>
    <n v="215"/>
    <n v="162"/>
    <n v="120"/>
    <n v="91"/>
    <n v="830"/>
  </r>
  <r>
    <n v="2025"/>
    <n v="9"/>
    <x v="11"/>
    <s v="national network"/>
    <x v="6"/>
    <x v="1"/>
    <s v="No"/>
    <x v="0"/>
    <s v="No"/>
    <n v="2009"/>
    <n v="7"/>
    <n v="115"/>
    <n v="122"/>
    <n v="452"/>
    <n v="313"/>
    <n v="263"/>
    <n v="145"/>
    <n v="82"/>
    <n v="29"/>
    <n v="11"/>
    <n v="1933"/>
  </r>
  <r>
    <n v="2025"/>
    <n v="9"/>
    <x v="11"/>
    <s v="national network"/>
    <x v="6"/>
    <x v="0"/>
    <s v="No"/>
    <x v="0"/>
    <s v="No"/>
    <n v="1019"/>
    <n v="0"/>
    <n v="6"/>
    <n v="6"/>
    <n v="426"/>
    <n v="349"/>
    <n v="312"/>
    <n v="223"/>
    <n v="157"/>
    <n v="60"/>
    <n v="16"/>
    <n v="1018"/>
  </r>
  <r>
    <n v="2025"/>
    <n v="9"/>
    <x v="11"/>
    <s v="national network"/>
    <x v="10"/>
    <x v="1"/>
    <s v="Yes"/>
    <x v="0"/>
    <s v="No"/>
    <n v="899"/>
    <n v="0"/>
    <n v="27"/>
    <n v="27"/>
    <n v="474"/>
    <n v="384"/>
    <n v="348"/>
    <n v="262"/>
    <n v="208"/>
    <n v="84"/>
    <n v="16"/>
    <n v="888"/>
  </r>
  <r>
    <n v="2025"/>
    <n v="9"/>
    <x v="11"/>
    <s v="national network"/>
    <x v="10"/>
    <x v="0"/>
    <s v="Yes"/>
    <x v="0"/>
    <s v="No"/>
    <n v="1029"/>
    <n v="0"/>
    <n v="7"/>
    <n v="7"/>
    <n v="546"/>
    <n v="463"/>
    <n v="434"/>
    <n v="334"/>
    <n v="242"/>
    <n v="104"/>
    <n v="14"/>
    <n v="1025"/>
  </r>
  <r>
    <n v="2025"/>
    <n v="9"/>
    <x v="12"/>
    <s v="national network"/>
    <x v="9"/>
    <x v="1"/>
    <s v="No"/>
    <x v="1"/>
    <s v="No"/>
    <n v="10995"/>
    <n v="11"/>
    <n v="137"/>
    <n v="148"/>
    <n v="13"/>
    <n v="6"/>
    <n v="4"/>
    <n v="3"/>
    <n v="2"/>
    <n v="0"/>
    <n v="0"/>
    <n v="10871"/>
  </r>
  <r>
    <n v="2025"/>
    <n v="9"/>
    <x v="12"/>
    <s v="national network"/>
    <x v="9"/>
    <x v="0"/>
    <s v="No"/>
    <x v="1"/>
    <s v="No"/>
    <n v="27"/>
    <n v="0"/>
    <n v="0"/>
    <n v="0"/>
    <n v="0"/>
    <n v="0"/>
    <n v="0"/>
    <n v="0"/>
    <n v="0"/>
    <n v="0"/>
    <n v="0"/>
    <n v="27"/>
  </r>
  <r>
    <n v="2025"/>
    <n v="9"/>
    <x v="13"/>
    <s v="whole journey"/>
    <x v="22"/>
    <x v="0"/>
    <s v="No"/>
    <x v="1"/>
    <s v="No"/>
    <n v="127"/>
    <n v="0"/>
    <n v="1"/>
    <n v="1"/>
    <n v="19"/>
    <n v="10"/>
    <n v="10"/>
    <n v="7"/>
    <n v="6"/>
    <n v="3"/>
    <n v="0"/>
    <n v="126"/>
  </r>
  <r>
    <n v="2025"/>
    <n v="9"/>
    <x v="13"/>
    <s v="whole journey"/>
    <x v="23"/>
    <x v="1"/>
    <s v="Yes"/>
    <x v="0"/>
    <s v="No"/>
    <n v="1878"/>
    <n v="12"/>
    <n v="16"/>
    <n v="28"/>
    <n v="376"/>
    <n v="335"/>
    <n v="335"/>
    <n v="223"/>
    <n v="188"/>
    <n v="109"/>
    <n v="55"/>
    <n v="1860"/>
  </r>
  <r>
    <n v="2025"/>
    <n v="9"/>
    <x v="13"/>
    <s v="whole journey"/>
    <x v="23"/>
    <x v="2"/>
    <s v="Yes"/>
    <x v="0"/>
    <s v="No"/>
    <n v="59"/>
    <n v="0"/>
    <n v="0"/>
    <n v="0"/>
    <n v="0"/>
    <n v="0"/>
    <n v="0"/>
    <n v="0"/>
    <n v="0"/>
    <n v="0"/>
    <n v="0"/>
    <n v="0"/>
  </r>
  <r>
    <n v="2025"/>
    <n v="9"/>
    <x v="14"/>
    <s v="national network"/>
    <x v="3"/>
    <x v="0"/>
    <s v="No"/>
    <x v="1"/>
    <s v="No"/>
    <n v="884"/>
    <n v="2"/>
    <n v="0"/>
    <n v="2"/>
    <n v="303"/>
    <n v="243"/>
    <n v="215"/>
    <n v="146"/>
    <n v="108"/>
    <n v="48"/>
    <n v="16"/>
    <n v="882"/>
  </r>
  <r>
    <n v="2025"/>
    <n v="9"/>
    <x v="14"/>
    <s v="national network"/>
    <x v="4"/>
    <x v="0"/>
    <s v="No"/>
    <x v="0"/>
    <s v="Yes"/>
    <n v="60"/>
    <n v="0"/>
    <n v="0"/>
    <n v="0"/>
    <n v="25"/>
    <n v="22"/>
    <n v="21"/>
    <n v="13"/>
    <n v="11"/>
    <n v="4"/>
    <n v="2"/>
    <n v="60"/>
  </r>
  <r>
    <n v="2025"/>
    <n v="9"/>
    <x v="14"/>
    <s v="national network"/>
    <x v="0"/>
    <x v="0"/>
    <s v="No"/>
    <x v="0"/>
    <s v="No"/>
    <n v="60"/>
    <n v="0"/>
    <n v="0"/>
    <n v="0"/>
    <n v="24"/>
    <n v="22"/>
    <n v="21"/>
    <n v="13"/>
    <n v="11"/>
    <n v="4"/>
    <n v="2"/>
    <n v="60"/>
  </r>
  <r>
    <n v="2025"/>
    <n v="9"/>
    <x v="15"/>
    <s v="national network"/>
    <x v="24"/>
    <x v="1"/>
    <s v="No"/>
    <x v="1"/>
    <s v="No"/>
    <n v="1546"/>
    <n v="0"/>
    <n v="0"/>
    <n v="0"/>
    <n v="0"/>
    <n v="0"/>
    <n v="0"/>
    <n v="0"/>
    <n v="0"/>
    <n v="0"/>
    <n v="0"/>
    <n v="1546"/>
  </r>
  <r>
    <n v="2025"/>
    <n v="9"/>
    <x v="15"/>
    <s v="national network"/>
    <x v="24"/>
    <x v="0"/>
    <s v="No"/>
    <x v="1"/>
    <s v="No"/>
    <n v="180"/>
    <n v="0"/>
    <n v="0"/>
    <n v="0"/>
    <n v="0"/>
    <n v="0"/>
    <n v="0"/>
    <n v="0"/>
    <n v="0"/>
    <n v="0"/>
    <n v="0"/>
    <n v="180"/>
  </r>
  <r>
    <n v="2025"/>
    <n v="9"/>
    <x v="16"/>
    <s v="national network"/>
    <x v="3"/>
    <x v="1"/>
    <s v="No"/>
    <x v="0"/>
    <s v="No"/>
    <n v="63"/>
    <n v="1"/>
    <n v="0"/>
    <n v="1"/>
    <n v="1"/>
    <n v="1"/>
    <n v="0"/>
    <n v="0"/>
    <n v="0"/>
    <n v="0"/>
    <n v="0"/>
    <n v="62"/>
  </r>
  <r>
    <n v="2025"/>
    <n v="9"/>
    <x v="16"/>
    <s v="national network"/>
    <x v="3"/>
    <x v="0"/>
    <s v="No"/>
    <x v="0"/>
    <s v="No"/>
    <n v="1788"/>
    <n v="19"/>
    <n v="75"/>
    <n v="94"/>
    <n v="413"/>
    <n v="332"/>
    <n v="308"/>
    <n v="249"/>
    <n v="197"/>
    <n v="129"/>
    <n v="33"/>
    <n v="1742"/>
  </r>
  <r>
    <n v="2025"/>
    <n v="9"/>
    <x v="16"/>
    <s v="national network"/>
    <x v="7"/>
    <x v="0"/>
    <s v="No"/>
    <x v="1"/>
    <s v="No"/>
    <n v="275"/>
    <n v="1"/>
    <n v="1"/>
    <n v="2"/>
    <n v="177"/>
    <n v="151"/>
    <n v="130"/>
    <n v="67"/>
    <n v="36"/>
    <n v="13"/>
    <n v="4"/>
    <n v="274"/>
  </r>
  <r>
    <n v="2025"/>
    <n v="9"/>
    <x v="16"/>
    <s v="national network"/>
    <x v="4"/>
    <x v="0"/>
    <s v="No"/>
    <x v="0"/>
    <s v="Yes"/>
    <n v="176"/>
    <n v="1"/>
    <n v="0"/>
    <n v="1"/>
    <n v="25"/>
    <n v="18"/>
    <n v="15"/>
    <n v="13"/>
    <n v="10"/>
    <n v="8"/>
    <n v="2"/>
    <n v="175"/>
  </r>
  <r>
    <n v="2025"/>
    <n v="9"/>
    <x v="16"/>
    <s v="national network"/>
    <x v="0"/>
    <x v="1"/>
    <s v="No"/>
    <x v="0"/>
    <s v="No"/>
    <n v="11296"/>
    <n v="45"/>
    <n v="231"/>
    <n v="276"/>
    <n v="32"/>
    <n v="24"/>
    <n v="23"/>
    <n v="17"/>
    <n v="16"/>
    <n v="10"/>
    <n v="6"/>
    <n v="11062"/>
  </r>
  <r>
    <n v="2025"/>
    <n v="9"/>
    <x v="16"/>
    <s v="national network"/>
    <x v="0"/>
    <x v="0"/>
    <s v="No"/>
    <x v="0"/>
    <s v="No"/>
    <n v="1164"/>
    <n v="54"/>
    <n v="42"/>
    <n v="96"/>
    <n v="362"/>
    <n v="293"/>
    <n v="274"/>
    <n v="226"/>
    <n v="148"/>
    <n v="23"/>
    <n v="7"/>
    <n v="1089"/>
  </r>
  <r>
    <n v="2025"/>
    <n v="9"/>
    <x v="16"/>
    <s v="national network"/>
    <x v="8"/>
    <x v="1"/>
    <s v="Yes"/>
    <x v="0"/>
    <s v="No"/>
    <n v="44"/>
    <n v="1"/>
    <n v="0"/>
    <n v="1"/>
    <n v="0"/>
    <n v="0"/>
    <n v="0"/>
    <n v="0"/>
    <n v="0"/>
    <n v="0"/>
    <n v="0"/>
    <n v="43"/>
  </r>
  <r>
    <n v="2025"/>
    <n v="9"/>
    <x v="16"/>
    <s v="national network"/>
    <x v="8"/>
    <x v="0"/>
    <s v="Yes"/>
    <x v="0"/>
    <s v="No"/>
    <n v="1397"/>
    <n v="87"/>
    <n v="205"/>
    <n v="292"/>
    <n v="335"/>
    <n v="256"/>
    <n v="231"/>
    <n v="144"/>
    <n v="95"/>
    <n v="34"/>
    <n v="2"/>
    <n v="1199"/>
  </r>
  <r>
    <n v="2025"/>
    <n v="9"/>
    <x v="16"/>
    <s v="national network"/>
    <x v="9"/>
    <x v="1"/>
    <s v="No"/>
    <x v="0"/>
    <s v="No"/>
    <n v="12689"/>
    <n v="46"/>
    <n v="114"/>
    <n v="160"/>
    <n v="18"/>
    <n v="13"/>
    <n v="12"/>
    <n v="8"/>
    <n v="4"/>
    <n v="4"/>
    <n v="3"/>
    <n v="12573"/>
  </r>
  <r>
    <n v="2025"/>
    <n v="9"/>
    <x v="16"/>
    <s v="national network"/>
    <x v="9"/>
    <x v="0"/>
    <s v="No"/>
    <x v="0"/>
    <s v="No"/>
    <n v="1049"/>
    <n v="3"/>
    <n v="23"/>
    <n v="26"/>
    <n v="68"/>
    <n v="25"/>
    <n v="17"/>
    <n v="6"/>
    <n v="1"/>
    <n v="0"/>
    <n v="0"/>
    <n v="1028"/>
  </r>
  <r>
    <n v="2025"/>
    <n v="9"/>
    <x v="16"/>
    <s v="national network"/>
    <x v="25"/>
    <x v="0"/>
    <s v="Yes"/>
    <x v="0"/>
    <s v="No"/>
    <n v="747"/>
    <n v="3"/>
    <n v="5"/>
    <n v="8"/>
    <n v="133"/>
    <n v="105"/>
    <n v="98"/>
    <n v="79"/>
    <n v="69"/>
    <n v="35"/>
    <n v="10"/>
    <n v="741"/>
  </r>
  <r>
    <n v="2025"/>
    <n v="9"/>
    <x v="16"/>
    <s v="national network"/>
    <x v="25"/>
    <x v="2"/>
    <s v="Yes"/>
    <x v="0"/>
    <s v="No"/>
    <n v="4"/>
    <n v="0"/>
    <n v="0"/>
    <n v="0"/>
    <n v="0"/>
    <n v="0"/>
    <n v="0"/>
    <n v="0"/>
    <n v="0"/>
    <n v="0"/>
    <n v="0"/>
    <n v="0"/>
  </r>
  <r>
    <n v="2025"/>
    <n v="9"/>
    <x v="16"/>
    <s v="national network"/>
    <x v="5"/>
    <x v="0"/>
    <s v="No"/>
    <x v="0"/>
    <s v="Yes"/>
    <n v="291"/>
    <n v="2"/>
    <n v="0"/>
    <n v="2"/>
    <n v="106"/>
    <n v="80"/>
    <n v="73"/>
    <n v="57"/>
    <n v="47"/>
    <n v="28"/>
    <n v="15"/>
    <n v="289"/>
  </r>
  <r>
    <n v="2025"/>
    <n v="9"/>
    <x v="16"/>
    <s v="national network"/>
    <x v="10"/>
    <x v="0"/>
    <s v="Yes"/>
    <x v="0"/>
    <s v="No"/>
    <n v="360"/>
    <n v="1"/>
    <n v="17"/>
    <n v="18"/>
    <n v="85"/>
    <n v="72"/>
    <n v="68"/>
    <n v="60"/>
    <n v="58"/>
    <n v="34"/>
    <n v="4"/>
    <n v="352"/>
  </r>
  <r>
    <n v="2025"/>
    <n v="9"/>
    <x v="17"/>
    <s v="national network"/>
    <x v="4"/>
    <x v="0"/>
    <s v="No"/>
    <x v="0"/>
    <s v="Yes"/>
    <n v="59"/>
    <n v="3"/>
    <n v="0"/>
    <n v="3"/>
    <n v="27"/>
    <n v="26"/>
    <n v="26"/>
    <n v="26"/>
    <n v="19"/>
    <n v="12"/>
    <n v="5"/>
    <n v="56"/>
  </r>
  <r>
    <n v="2025"/>
    <n v="9"/>
    <x v="17"/>
    <s v="national network"/>
    <x v="5"/>
    <x v="0"/>
    <s v="No"/>
    <x v="0"/>
    <s v="Yes"/>
    <n v="19"/>
    <n v="0"/>
    <n v="0"/>
    <n v="0"/>
    <n v="3"/>
    <n v="3"/>
    <n v="3"/>
    <n v="3"/>
    <n v="3"/>
    <n v="2"/>
    <n v="1"/>
    <n v="19"/>
  </r>
  <r>
    <n v="2025"/>
    <n v="9"/>
    <x v="18"/>
    <s v="national network"/>
    <x v="15"/>
    <x v="0"/>
    <s v="No"/>
    <x v="1"/>
    <s v="No"/>
    <n v="833"/>
    <n v="11"/>
    <n v="18"/>
    <n v="29"/>
    <n v="241"/>
    <n v="158"/>
    <n v="135"/>
    <n v="62"/>
    <n v="35"/>
    <n v="7"/>
    <n v="1"/>
    <n v="816"/>
  </r>
  <r>
    <n v="2025"/>
    <n v="9"/>
    <x v="18"/>
    <s v="national network"/>
    <x v="0"/>
    <x v="1"/>
    <s v="No"/>
    <x v="0"/>
    <s v="No"/>
    <n v="29674"/>
    <n v="65"/>
    <n v="470"/>
    <n v="535"/>
    <n v="5850"/>
    <n v="3562"/>
    <n v="2874"/>
    <n v="1445"/>
    <n v="751"/>
    <n v="138"/>
    <n v="7"/>
    <n v="29325"/>
  </r>
  <r>
    <n v="2025"/>
    <n v="9"/>
    <x v="18"/>
    <s v="national network"/>
    <x v="0"/>
    <x v="0"/>
    <s v="No"/>
    <x v="0"/>
    <s v="No"/>
    <n v="3614"/>
    <n v="17"/>
    <n v="56"/>
    <n v="73"/>
    <n v="602"/>
    <n v="366"/>
    <n v="302"/>
    <n v="148"/>
    <n v="79"/>
    <n v="16"/>
    <n v="2"/>
    <n v="3563"/>
  </r>
  <r>
    <n v="2025"/>
    <n v="9"/>
    <x v="18"/>
    <s v="national network"/>
    <x v="0"/>
    <x v="2"/>
    <s v="No"/>
    <x v="0"/>
    <s v="No"/>
    <n v="1"/>
    <n v="0"/>
    <n v="0"/>
    <n v="0"/>
    <n v="0"/>
    <n v="0"/>
    <n v="0"/>
    <n v="0"/>
    <n v="0"/>
    <n v="0"/>
    <n v="0"/>
    <n v="0"/>
  </r>
  <r>
    <n v="2025"/>
    <n v="9"/>
    <x v="18"/>
    <s v="national network"/>
    <x v="8"/>
    <x v="0"/>
    <s v="Yes"/>
    <x v="0"/>
    <s v="No"/>
    <n v="462"/>
    <n v="2"/>
    <n v="2"/>
    <n v="4"/>
    <n v="223"/>
    <n v="155"/>
    <n v="120"/>
    <n v="70"/>
    <n v="42"/>
    <n v="13"/>
    <n v="1"/>
    <n v="459"/>
  </r>
  <r>
    <n v="2025"/>
    <n v="9"/>
    <x v="18"/>
    <s v="national network"/>
    <x v="26"/>
    <x v="1"/>
    <s v="No"/>
    <x v="1"/>
    <s v="No"/>
    <n v="18153"/>
    <n v="34"/>
    <n v="88"/>
    <n v="122"/>
    <n v="2531"/>
    <n v="1301"/>
    <n v="971"/>
    <n v="368"/>
    <n v="177"/>
    <n v="28"/>
    <n v="2"/>
    <n v="18058"/>
  </r>
  <r>
    <n v="2025"/>
    <n v="9"/>
    <x v="18"/>
    <s v="national network"/>
    <x v="26"/>
    <x v="0"/>
    <s v="No"/>
    <x v="1"/>
    <s v="No"/>
    <n v="5353"/>
    <n v="14"/>
    <n v="3"/>
    <n v="17"/>
    <n v="279"/>
    <n v="158"/>
    <n v="127"/>
    <n v="53"/>
    <n v="20"/>
    <n v="5"/>
    <n v="3"/>
    <n v="5337"/>
  </r>
  <r>
    <n v="2025"/>
    <n v="9"/>
    <x v="18"/>
    <s v="national network"/>
    <x v="26"/>
    <x v="2"/>
    <s v="No"/>
    <x v="1"/>
    <s v="No"/>
    <n v="6"/>
    <n v="0"/>
    <n v="0"/>
    <n v="0"/>
    <n v="0"/>
    <n v="0"/>
    <n v="0"/>
    <n v="0"/>
    <n v="0"/>
    <n v="0"/>
    <n v="0"/>
    <n v="0"/>
  </r>
  <r>
    <n v="2025"/>
    <n v="9"/>
    <x v="18"/>
    <s v="national network"/>
    <x v="5"/>
    <x v="0"/>
    <s v="No"/>
    <x v="0"/>
    <s v="Yes"/>
    <n v="52"/>
    <n v="0"/>
    <n v="0"/>
    <n v="0"/>
    <n v="27"/>
    <n v="22"/>
    <n v="21"/>
    <n v="18"/>
    <n v="13"/>
    <n v="8"/>
    <n v="4"/>
    <n v="52"/>
  </r>
  <r>
    <n v="2025"/>
    <n v="9"/>
    <x v="18"/>
    <s v="national network"/>
    <x v="27"/>
    <x v="1"/>
    <s v="No"/>
    <x v="1"/>
    <s v="No"/>
    <n v="5690"/>
    <n v="52"/>
    <n v="23"/>
    <n v="75"/>
    <n v="1059"/>
    <n v="576"/>
    <n v="452"/>
    <n v="205"/>
    <n v="93"/>
    <n v="20"/>
    <n v="1"/>
    <n v="5616"/>
  </r>
  <r>
    <n v="2025"/>
    <n v="9"/>
    <x v="18"/>
    <s v="national network"/>
    <x v="27"/>
    <x v="0"/>
    <s v="No"/>
    <x v="1"/>
    <s v="No"/>
    <n v="297"/>
    <n v="2"/>
    <n v="0"/>
    <n v="2"/>
    <n v="16"/>
    <n v="13"/>
    <n v="11"/>
    <n v="11"/>
    <n v="1"/>
    <n v="0"/>
    <n v="0"/>
    <n v="295"/>
  </r>
  <r>
    <n v="2025"/>
    <n v="9"/>
    <x v="18"/>
    <s v="national network"/>
    <x v="19"/>
    <x v="1"/>
    <s v="No"/>
    <x v="1"/>
    <s v="No"/>
    <n v="29357"/>
    <n v="49"/>
    <n v="329"/>
    <n v="378"/>
    <n v="4048"/>
    <n v="2242"/>
    <n v="1736"/>
    <n v="767"/>
    <n v="370"/>
    <n v="57"/>
    <n v="1"/>
    <n v="29155"/>
  </r>
  <r>
    <n v="2025"/>
    <n v="9"/>
    <x v="18"/>
    <s v="national network"/>
    <x v="19"/>
    <x v="0"/>
    <s v="No"/>
    <x v="1"/>
    <s v="No"/>
    <n v="3529"/>
    <n v="14"/>
    <n v="39"/>
    <n v="53"/>
    <n v="574"/>
    <n v="362"/>
    <n v="280"/>
    <n v="127"/>
    <n v="42"/>
    <n v="12"/>
    <n v="1"/>
    <n v="3488"/>
  </r>
  <r>
    <n v="2025"/>
    <n v="9"/>
    <x v="18"/>
    <s v="national network"/>
    <x v="1"/>
    <x v="0"/>
    <s v="Yes"/>
    <x v="0"/>
    <s v="No"/>
    <n v="178"/>
    <n v="1"/>
    <n v="0"/>
    <n v="1"/>
    <n v="62"/>
    <n v="31"/>
    <n v="31"/>
    <n v="26"/>
    <n v="16"/>
    <n v="9"/>
    <n v="8"/>
    <n v="177"/>
  </r>
  <r>
    <n v="2025"/>
    <n v="9"/>
    <x v="18"/>
    <s v="national network"/>
    <x v="1"/>
    <x v="2"/>
    <s v="Yes"/>
    <x v="0"/>
    <s v="No"/>
    <n v="1"/>
    <n v="0"/>
    <n v="0"/>
    <n v="0"/>
    <n v="0"/>
    <n v="0"/>
    <n v="0"/>
    <n v="0"/>
    <n v="0"/>
    <n v="0"/>
    <n v="0"/>
    <n v="0"/>
  </r>
  <r>
    <n v="2025"/>
    <n v="9"/>
    <x v="19"/>
    <s v="national network"/>
    <x v="55"/>
    <x v="1"/>
    <s v="No"/>
    <x v="1"/>
    <s v="No"/>
    <n v="842"/>
    <n v="0"/>
    <n v="0"/>
    <n v="0"/>
    <n v="13"/>
    <n v="3"/>
    <n v="3"/>
    <n v="1"/>
    <n v="0"/>
    <n v="0"/>
    <n v="0"/>
    <n v="842"/>
  </r>
  <r>
    <n v="2025"/>
    <n v="9"/>
    <x v="19"/>
    <s v="national network"/>
    <x v="55"/>
    <x v="0"/>
    <s v="No"/>
    <x v="1"/>
    <s v="No"/>
    <n v="7"/>
    <n v="0"/>
    <n v="0"/>
    <n v="0"/>
    <n v="0"/>
    <n v="0"/>
    <n v="0"/>
    <n v="0"/>
    <n v="0"/>
    <n v="0"/>
    <n v="0"/>
    <n v="7"/>
  </r>
  <r>
    <n v="2025"/>
    <n v="9"/>
    <x v="19"/>
    <s v="national network"/>
    <x v="55"/>
    <x v="2"/>
    <s v="No"/>
    <x v="1"/>
    <s v="No"/>
    <n v="65"/>
    <n v="0"/>
    <n v="0"/>
    <n v="0"/>
    <n v="0"/>
    <n v="0"/>
    <n v="0"/>
    <n v="0"/>
    <n v="0"/>
    <n v="0"/>
    <n v="0"/>
    <n v="0"/>
  </r>
  <r>
    <n v="2025"/>
    <n v="9"/>
    <x v="19"/>
    <s v="national network"/>
    <x v="0"/>
    <x v="0"/>
    <s v="No"/>
    <x v="0"/>
    <s v="No"/>
    <n v="2026"/>
    <n v="28"/>
    <n v="0"/>
    <n v="28"/>
    <n v="6"/>
    <n v="2"/>
    <n v="2"/>
    <n v="1"/>
    <n v="1"/>
    <n v="0"/>
    <n v="0"/>
    <n v="1998"/>
  </r>
  <r>
    <n v="2025"/>
    <n v="9"/>
    <x v="19"/>
    <s v="national network"/>
    <x v="8"/>
    <x v="0"/>
    <s v="Yes"/>
    <x v="0"/>
    <s v="No"/>
    <n v="682"/>
    <n v="5"/>
    <n v="9"/>
    <n v="14"/>
    <n v="261"/>
    <n v="195"/>
    <n v="189"/>
    <n v="138"/>
    <n v="106"/>
    <n v="42"/>
    <n v="10"/>
    <n v="675"/>
  </r>
  <r>
    <n v="2025"/>
    <n v="9"/>
    <x v="19"/>
    <s v="national network"/>
    <x v="29"/>
    <x v="1"/>
    <s v="No"/>
    <x v="0"/>
    <s v="No"/>
    <n v="1984"/>
    <n v="26"/>
    <n v="25"/>
    <n v="51"/>
    <n v="595"/>
    <n v="400"/>
    <n v="398"/>
    <n v="298"/>
    <n v="250"/>
    <n v="151"/>
    <n v="69"/>
    <n v="1949"/>
  </r>
  <r>
    <n v="2025"/>
    <n v="9"/>
    <x v="19"/>
    <s v="national network"/>
    <x v="29"/>
    <x v="2"/>
    <s v="No"/>
    <x v="0"/>
    <s v="No"/>
    <n v="27"/>
    <n v="1"/>
    <n v="0"/>
    <n v="1"/>
    <n v="0"/>
    <n v="0"/>
    <n v="0"/>
    <n v="0"/>
    <n v="0"/>
    <n v="0"/>
    <n v="0"/>
    <n v="0"/>
  </r>
  <r>
    <n v="2025"/>
    <n v="9"/>
    <x v="19"/>
    <s v="national network"/>
    <x v="30"/>
    <x v="1"/>
    <s v="No"/>
    <x v="0"/>
    <s v="Yes"/>
    <n v="264"/>
    <n v="24"/>
    <n v="3"/>
    <n v="27"/>
    <n v="87"/>
    <n v="50"/>
    <n v="50"/>
    <n v="29"/>
    <n v="18"/>
    <n v="14"/>
    <n v="8"/>
    <n v="238"/>
  </r>
  <r>
    <n v="2025"/>
    <n v="9"/>
    <x v="19"/>
    <s v="national network"/>
    <x v="30"/>
    <x v="2"/>
    <s v="No"/>
    <x v="0"/>
    <s v="Yes"/>
    <n v="80"/>
    <n v="11"/>
    <n v="0"/>
    <n v="11"/>
    <n v="0"/>
    <n v="0"/>
    <n v="0"/>
    <n v="0"/>
    <n v="0"/>
    <n v="0"/>
    <n v="0"/>
    <n v="0"/>
  </r>
  <r>
    <n v="2025"/>
    <n v="9"/>
    <x v="19"/>
    <s v="national network"/>
    <x v="25"/>
    <x v="0"/>
    <s v="Yes"/>
    <x v="0"/>
    <s v="No"/>
    <n v="921"/>
    <n v="0"/>
    <n v="3"/>
    <n v="3"/>
    <n v="185"/>
    <n v="108"/>
    <n v="106"/>
    <n v="85"/>
    <n v="69"/>
    <n v="40"/>
    <n v="8"/>
    <n v="921"/>
  </r>
  <r>
    <n v="2025"/>
    <n v="9"/>
    <x v="19"/>
    <s v="national network"/>
    <x v="25"/>
    <x v="2"/>
    <s v="Yes"/>
    <x v="0"/>
    <s v="No"/>
    <n v="13"/>
    <n v="0"/>
    <n v="0"/>
    <n v="0"/>
    <n v="0"/>
    <n v="0"/>
    <n v="0"/>
    <n v="0"/>
    <n v="0"/>
    <n v="0"/>
    <n v="0"/>
    <n v="0"/>
  </r>
  <r>
    <n v="2025"/>
    <n v="9"/>
    <x v="19"/>
    <s v="national network"/>
    <x v="5"/>
    <x v="0"/>
    <s v="No"/>
    <x v="0"/>
    <s v="Yes"/>
    <n v="42"/>
    <n v="2"/>
    <n v="0"/>
    <n v="2"/>
    <n v="18"/>
    <n v="16"/>
    <n v="16"/>
    <n v="16"/>
    <n v="16"/>
    <n v="16"/>
    <n v="8"/>
    <n v="40"/>
  </r>
  <r>
    <n v="2025"/>
    <n v="9"/>
    <x v="19"/>
    <s v="national network"/>
    <x v="56"/>
    <x v="1"/>
    <s v="No"/>
    <x v="1"/>
    <s v="No"/>
    <n v="1"/>
    <n v="0"/>
    <n v="0"/>
    <n v="0"/>
    <n v="0"/>
    <n v="0"/>
    <n v="0"/>
    <n v="0"/>
    <n v="0"/>
    <n v="0"/>
    <n v="0"/>
    <n v="1"/>
  </r>
  <r>
    <n v="2025"/>
    <n v="9"/>
    <x v="19"/>
    <s v="national network"/>
    <x v="11"/>
    <x v="0"/>
    <s v="Yes"/>
    <x v="0"/>
    <s v="No"/>
    <n v="28"/>
    <n v="0"/>
    <n v="0"/>
    <n v="0"/>
    <n v="19"/>
    <n v="19"/>
    <n v="19"/>
    <n v="17"/>
    <n v="16"/>
    <n v="9"/>
    <n v="1"/>
    <n v="28"/>
  </r>
  <r>
    <n v="2025"/>
    <n v="9"/>
    <x v="19"/>
    <s v="national network"/>
    <x v="1"/>
    <x v="1"/>
    <s v="Yes"/>
    <x v="0"/>
    <s v="No"/>
    <n v="13898"/>
    <n v="37"/>
    <n v="134"/>
    <n v="171"/>
    <n v="3339"/>
    <n v="2036"/>
    <n v="2036"/>
    <n v="1512"/>
    <n v="1175"/>
    <n v="700"/>
    <n v="319"/>
    <n v="13822"/>
  </r>
  <r>
    <n v="2025"/>
    <n v="9"/>
    <x v="19"/>
    <s v="national network"/>
    <x v="1"/>
    <x v="0"/>
    <s v="Yes"/>
    <x v="0"/>
    <s v="No"/>
    <n v="1366"/>
    <n v="4"/>
    <n v="11"/>
    <n v="15"/>
    <n v="470"/>
    <n v="272"/>
    <n v="272"/>
    <n v="201"/>
    <n v="147"/>
    <n v="63"/>
    <n v="36"/>
    <n v="1360"/>
  </r>
  <r>
    <n v="2025"/>
    <n v="9"/>
    <x v="19"/>
    <s v="national network"/>
    <x v="1"/>
    <x v="2"/>
    <s v="Yes"/>
    <x v="0"/>
    <s v="No"/>
    <n v="1269"/>
    <n v="6"/>
    <n v="0"/>
    <n v="6"/>
    <n v="0"/>
    <n v="0"/>
    <n v="0"/>
    <n v="0"/>
    <n v="0"/>
    <n v="0"/>
    <n v="0"/>
    <n v="0"/>
  </r>
  <r>
    <n v="2025"/>
    <n v="9"/>
    <x v="20"/>
    <s v="national network"/>
    <x v="2"/>
    <x v="0"/>
    <s v="No"/>
    <x v="1"/>
    <s v="No"/>
    <n v="627"/>
    <n v="0"/>
    <n v="0"/>
    <n v="0"/>
    <n v="23"/>
    <n v="15"/>
    <n v="15"/>
    <n v="10"/>
    <n v="4"/>
    <n v="2"/>
    <n v="0"/>
    <n v="627"/>
  </r>
  <r>
    <n v="2025"/>
    <n v="9"/>
    <x v="20"/>
    <s v="national network"/>
    <x v="4"/>
    <x v="0"/>
    <s v="No"/>
    <x v="0"/>
    <s v="Yes"/>
    <n v="130"/>
    <n v="0"/>
    <n v="0"/>
    <n v="0"/>
    <n v="2"/>
    <n v="2"/>
    <n v="0"/>
    <n v="0"/>
    <n v="0"/>
    <n v="0"/>
    <n v="0"/>
    <n v="130"/>
  </r>
  <r>
    <n v="2025"/>
    <n v="9"/>
    <x v="20"/>
    <s v="national network"/>
    <x v="0"/>
    <x v="0"/>
    <s v="No"/>
    <x v="1"/>
    <s v="No"/>
    <n v="60"/>
    <n v="0"/>
    <n v="0"/>
    <n v="0"/>
    <n v="13"/>
    <n v="11"/>
    <n v="11"/>
    <n v="11"/>
    <n v="10"/>
    <n v="2"/>
    <n v="0"/>
    <n v="60"/>
  </r>
  <r>
    <n v="2025"/>
    <n v="9"/>
    <x v="21"/>
    <s v="national network"/>
    <x v="2"/>
    <x v="0"/>
    <s v="No"/>
    <x v="1"/>
    <s v="No"/>
    <n v="120"/>
    <n v="0"/>
    <n v="0"/>
    <n v="0"/>
    <n v="19"/>
    <n v="18"/>
    <n v="17"/>
    <n v="13"/>
    <n v="8"/>
    <n v="5"/>
    <n v="2"/>
    <n v="120"/>
  </r>
  <r>
    <n v="2025"/>
    <n v="9"/>
    <x v="21"/>
    <s v="national network"/>
    <x v="48"/>
    <x v="1"/>
    <s v="No"/>
    <x v="1"/>
    <s v="No"/>
    <n v="1"/>
    <n v="0"/>
    <n v="0"/>
    <n v="0"/>
    <n v="1"/>
    <n v="1"/>
    <n v="1"/>
    <n v="1"/>
    <n v="1"/>
    <n v="0"/>
    <n v="0"/>
    <n v="1"/>
  </r>
  <r>
    <n v="2025"/>
    <n v="9"/>
    <x v="21"/>
    <s v="national network"/>
    <x v="3"/>
    <x v="1"/>
    <s v="No"/>
    <x v="1"/>
    <s v="No"/>
    <n v="29"/>
    <n v="0"/>
    <n v="1"/>
    <n v="1"/>
    <n v="21"/>
    <n v="17"/>
    <n v="17"/>
    <n v="11"/>
    <n v="9"/>
    <n v="1"/>
    <n v="1"/>
    <n v="28"/>
  </r>
  <r>
    <n v="2025"/>
    <n v="9"/>
    <x v="21"/>
    <s v="national network"/>
    <x v="3"/>
    <x v="0"/>
    <s v="No"/>
    <x v="1"/>
    <s v="No"/>
    <n v="1350"/>
    <n v="24"/>
    <n v="36"/>
    <n v="60"/>
    <n v="547"/>
    <n v="443"/>
    <n v="388"/>
    <n v="254"/>
    <n v="168"/>
    <n v="71"/>
    <n v="19"/>
    <n v="1295"/>
  </r>
  <r>
    <n v="2025"/>
    <n v="9"/>
    <x v="21"/>
    <s v="national network"/>
    <x v="7"/>
    <x v="0"/>
    <s v="No"/>
    <x v="0"/>
    <s v="No"/>
    <n v="3"/>
    <n v="0"/>
    <n v="0"/>
    <n v="0"/>
    <n v="0"/>
    <n v="0"/>
    <n v="0"/>
    <n v="0"/>
    <n v="0"/>
    <n v="0"/>
    <n v="0"/>
    <n v="3"/>
  </r>
  <r>
    <n v="2025"/>
    <n v="9"/>
    <x v="21"/>
    <s v="national network"/>
    <x v="4"/>
    <x v="1"/>
    <s v="No"/>
    <x v="0"/>
    <s v="Yes"/>
    <n v="1"/>
    <n v="0"/>
    <n v="0"/>
    <n v="0"/>
    <n v="1"/>
    <n v="0"/>
    <n v="0"/>
    <n v="0"/>
    <n v="0"/>
    <n v="0"/>
    <n v="0"/>
    <n v="1"/>
  </r>
  <r>
    <n v="2025"/>
    <n v="9"/>
    <x v="21"/>
    <s v="national network"/>
    <x v="4"/>
    <x v="0"/>
    <s v="No"/>
    <x v="0"/>
    <s v="Yes"/>
    <n v="27"/>
    <n v="0"/>
    <n v="0"/>
    <n v="0"/>
    <n v="2"/>
    <n v="2"/>
    <n v="2"/>
    <n v="2"/>
    <n v="2"/>
    <n v="2"/>
    <n v="1"/>
    <n v="27"/>
  </r>
  <r>
    <n v="2025"/>
    <n v="9"/>
    <x v="21"/>
    <s v="national network"/>
    <x v="28"/>
    <x v="1"/>
    <s v="No"/>
    <x v="0"/>
    <s v="No"/>
    <n v="62"/>
    <n v="0"/>
    <n v="22"/>
    <n v="22"/>
    <n v="22"/>
    <n v="19"/>
    <n v="18"/>
    <n v="15"/>
    <n v="15"/>
    <n v="10"/>
    <n v="4"/>
    <n v="45"/>
  </r>
  <r>
    <n v="2025"/>
    <n v="9"/>
    <x v="21"/>
    <s v="national network"/>
    <x v="28"/>
    <x v="2"/>
    <s v="No"/>
    <x v="0"/>
    <s v="No"/>
    <n v="3"/>
    <n v="1"/>
    <n v="0"/>
    <n v="1"/>
    <n v="0"/>
    <n v="0"/>
    <n v="0"/>
    <n v="0"/>
    <n v="0"/>
    <n v="0"/>
    <n v="0"/>
    <n v="0"/>
  </r>
  <r>
    <n v="2025"/>
    <n v="9"/>
    <x v="21"/>
    <s v="national network"/>
    <x v="31"/>
    <x v="1"/>
    <s v="No"/>
    <x v="0"/>
    <s v="No"/>
    <n v="527"/>
    <n v="0"/>
    <n v="19"/>
    <n v="19"/>
    <n v="295"/>
    <n v="248"/>
    <n v="234"/>
    <n v="176"/>
    <n v="117"/>
    <n v="50"/>
    <n v="21"/>
    <n v="511"/>
  </r>
  <r>
    <n v="2025"/>
    <n v="9"/>
    <x v="21"/>
    <s v="national network"/>
    <x v="32"/>
    <x v="1"/>
    <s v="No"/>
    <x v="0"/>
    <s v="No"/>
    <n v="221"/>
    <n v="0"/>
    <n v="5"/>
    <n v="5"/>
    <n v="165"/>
    <n v="147"/>
    <n v="135"/>
    <n v="109"/>
    <n v="81"/>
    <n v="24"/>
    <n v="6"/>
    <n v="216"/>
  </r>
  <r>
    <n v="2025"/>
    <n v="9"/>
    <x v="21"/>
    <s v="national network"/>
    <x v="33"/>
    <x v="1"/>
    <s v="Yes"/>
    <x v="0"/>
    <s v="No"/>
    <n v="6788"/>
    <n v="0"/>
    <n v="178"/>
    <n v="178"/>
    <n v="3417"/>
    <n v="2786"/>
    <n v="2546"/>
    <n v="1834"/>
    <n v="1341"/>
    <n v="695"/>
    <n v="239"/>
    <n v="6650"/>
  </r>
  <r>
    <n v="2025"/>
    <n v="9"/>
    <x v="21"/>
    <s v="national network"/>
    <x v="0"/>
    <x v="1"/>
    <s v="No"/>
    <x v="0"/>
    <s v="No"/>
    <n v="3130"/>
    <n v="0"/>
    <n v="98"/>
    <n v="98"/>
    <n v="1462"/>
    <n v="1211"/>
    <n v="1118"/>
    <n v="832"/>
    <n v="604"/>
    <n v="304"/>
    <n v="107"/>
    <n v="3051"/>
  </r>
  <r>
    <n v="2025"/>
    <n v="9"/>
    <x v="21"/>
    <s v="national network"/>
    <x v="0"/>
    <x v="0"/>
    <s v="No"/>
    <x v="0"/>
    <s v="No"/>
    <n v="1"/>
    <n v="0"/>
    <n v="0"/>
    <n v="0"/>
    <n v="0"/>
    <n v="0"/>
    <n v="0"/>
    <n v="0"/>
    <n v="0"/>
    <n v="0"/>
    <n v="0"/>
    <n v="1"/>
  </r>
  <r>
    <n v="2025"/>
    <n v="9"/>
    <x v="21"/>
    <s v="national network"/>
    <x v="34"/>
    <x v="1"/>
    <s v="No"/>
    <x v="0"/>
    <s v="Yes"/>
    <n v="497"/>
    <n v="0"/>
    <n v="0"/>
    <n v="0"/>
    <n v="151"/>
    <n v="116"/>
    <n v="104"/>
    <n v="69"/>
    <n v="56"/>
    <n v="30"/>
    <n v="17"/>
    <n v="497"/>
  </r>
  <r>
    <n v="2025"/>
    <n v="9"/>
    <x v="21"/>
    <s v="national network"/>
    <x v="9"/>
    <x v="1"/>
    <s v="No"/>
    <x v="0"/>
    <s v="No"/>
    <n v="5"/>
    <n v="0"/>
    <n v="2"/>
    <n v="2"/>
    <n v="3"/>
    <n v="2"/>
    <n v="2"/>
    <n v="2"/>
    <n v="1"/>
    <n v="0"/>
    <n v="0"/>
    <n v="3"/>
  </r>
  <r>
    <n v="2025"/>
    <n v="9"/>
    <x v="21"/>
    <s v="national network"/>
    <x v="9"/>
    <x v="0"/>
    <s v="No"/>
    <x v="0"/>
    <s v="No"/>
    <n v="50"/>
    <n v="0"/>
    <n v="0"/>
    <n v="0"/>
    <n v="0"/>
    <n v="0"/>
    <n v="0"/>
    <n v="0"/>
    <n v="0"/>
    <n v="0"/>
    <n v="0"/>
    <n v="50"/>
  </r>
  <r>
    <n v="2025"/>
    <n v="9"/>
    <x v="21"/>
    <s v="national network"/>
    <x v="35"/>
    <x v="1"/>
    <s v="No"/>
    <x v="1"/>
    <s v="No"/>
    <n v="7389"/>
    <n v="0"/>
    <n v="655"/>
    <n v="655"/>
    <n v="576"/>
    <n v="274"/>
    <n v="212"/>
    <n v="90"/>
    <n v="39"/>
    <n v="10"/>
    <n v="2"/>
    <n v="6823"/>
  </r>
  <r>
    <n v="2025"/>
    <n v="9"/>
    <x v="21"/>
    <s v="national network"/>
    <x v="36"/>
    <x v="1"/>
    <s v="No"/>
    <x v="1"/>
    <s v="No"/>
    <n v="13"/>
    <n v="0"/>
    <n v="1"/>
    <n v="1"/>
    <n v="6"/>
    <n v="6"/>
    <n v="6"/>
    <n v="5"/>
    <n v="5"/>
    <n v="4"/>
    <n v="1"/>
    <n v="13"/>
  </r>
  <r>
    <n v="2025"/>
    <n v="9"/>
    <x v="21"/>
    <s v="national network"/>
    <x v="36"/>
    <x v="2"/>
    <s v="No"/>
    <x v="1"/>
    <s v="No"/>
    <n v="4"/>
    <n v="0"/>
    <n v="0"/>
    <n v="0"/>
    <n v="0"/>
    <n v="0"/>
    <n v="0"/>
    <n v="0"/>
    <n v="0"/>
    <n v="0"/>
    <n v="0"/>
    <n v="0"/>
  </r>
  <r>
    <n v="2025"/>
    <n v="9"/>
    <x v="21"/>
    <s v="national network"/>
    <x v="5"/>
    <x v="1"/>
    <s v="No"/>
    <x v="0"/>
    <s v="Yes"/>
    <n v="2"/>
    <n v="0"/>
    <n v="0"/>
    <n v="0"/>
    <n v="2"/>
    <n v="2"/>
    <n v="2"/>
    <n v="2"/>
    <n v="2"/>
    <n v="2"/>
    <n v="0"/>
    <n v="2"/>
  </r>
  <r>
    <n v="2025"/>
    <n v="9"/>
    <x v="21"/>
    <s v="national network"/>
    <x v="5"/>
    <x v="0"/>
    <s v="No"/>
    <x v="0"/>
    <s v="Yes"/>
    <n v="335"/>
    <n v="0"/>
    <n v="0"/>
    <n v="0"/>
    <n v="89"/>
    <n v="83"/>
    <n v="82"/>
    <n v="71"/>
    <n v="57"/>
    <n v="30"/>
    <n v="18"/>
    <n v="335"/>
  </r>
  <r>
    <n v="2025"/>
    <n v="9"/>
    <x v="21"/>
    <s v="national network"/>
    <x v="37"/>
    <x v="1"/>
    <s v="No"/>
    <x v="1"/>
    <s v="No"/>
    <n v="228685"/>
    <n v="110"/>
    <n v="9910"/>
    <n v="10020"/>
    <n v="48231"/>
    <n v="28097"/>
    <n v="22320"/>
    <n v="11503"/>
    <n v="6671"/>
    <n v="2235"/>
    <n v="488"/>
    <n v="220151"/>
  </r>
  <r>
    <n v="2025"/>
    <n v="9"/>
    <x v="21"/>
    <s v="national network"/>
    <x v="37"/>
    <x v="0"/>
    <s v="No"/>
    <x v="1"/>
    <s v="No"/>
    <n v="5760"/>
    <n v="279"/>
    <n v="202"/>
    <n v="481"/>
    <n v="1267"/>
    <n v="757"/>
    <n v="615"/>
    <n v="286"/>
    <n v="136"/>
    <n v="29"/>
    <n v="5"/>
    <n v="5331"/>
  </r>
  <r>
    <n v="2025"/>
    <n v="9"/>
    <x v="21"/>
    <s v="national network"/>
    <x v="37"/>
    <x v="2"/>
    <s v="No"/>
    <x v="1"/>
    <s v="No"/>
    <n v="1"/>
    <n v="0"/>
    <n v="0"/>
    <n v="0"/>
    <n v="0"/>
    <n v="0"/>
    <n v="0"/>
    <n v="0"/>
    <n v="0"/>
    <n v="0"/>
    <n v="0"/>
    <n v="0"/>
  </r>
  <r>
    <n v="2025"/>
    <n v="9"/>
    <x v="21"/>
    <s v="national network"/>
    <x v="6"/>
    <x v="0"/>
    <s v="No"/>
    <x v="0"/>
    <s v="No"/>
    <n v="137"/>
    <n v="0"/>
    <n v="0"/>
    <n v="0"/>
    <n v="36"/>
    <n v="26"/>
    <n v="24"/>
    <n v="16"/>
    <n v="11"/>
    <n v="5"/>
    <n v="3"/>
    <n v="137"/>
  </r>
  <r>
    <n v="2025"/>
    <n v="9"/>
    <x v="21"/>
    <s v="national network"/>
    <x v="10"/>
    <x v="0"/>
    <s v="Yes"/>
    <x v="0"/>
    <s v="No"/>
    <n v="2"/>
    <n v="0"/>
    <n v="0"/>
    <n v="0"/>
    <n v="0"/>
    <n v="0"/>
    <n v="0"/>
    <n v="0"/>
    <n v="0"/>
    <n v="0"/>
    <n v="0"/>
    <n v="2"/>
  </r>
  <r>
    <n v="2025"/>
    <n v="9"/>
    <x v="22"/>
    <s v="whole journey"/>
    <x v="33"/>
    <x v="1"/>
    <s v="Yes"/>
    <x v="0"/>
    <s v="No"/>
    <n v="482"/>
    <n v="0"/>
    <n v="0"/>
    <n v="0"/>
    <n v="139"/>
    <n v="100"/>
    <n v="86"/>
    <n v="62"/>
    <n v="48"/>
    <n v="26"/>
    <n v="15"/>
    <n v="482"/>
  </r>
  <r>
    <n v="2025"/>
    <n v="9"/>
    <x v="22"/>
    <s v="whole journey"/>
    <x v="33"/>
    <x v="0"/>
    <s v="Yes"/>
    <x v="0"/>
    <s v="No"/>
    <n v="117"/>
    <n v="0"/>
    <n v="0"/>
    <n v="0"/>
    <n v="73"/>
    <n v="67"/>
    <n v="60"/>
    <n v="39"/>
    <n v="28"/>
    <n v="14"/>
    <n v="6"/>
    <n v="117"/>
  </r>
  <r>
    <n v="2025"/>
    <n v="9"/>
    <x v="23"/>
    <s v="national network"/>
    <x v="39"/>
    <x v="1"/>
    <s v="No"/>
    <x v="1"/>
    <s v="No"/>
    <n v="4248"/>
    <n v="0"/>
    <n v="54"/>
    <n v="54"/>
    <n v="48"/>
    <n v="35"/>
    <n v="31"/>
    <n v="19"/>
    <n v="10"/>
    <n v="3"/>
    <n v="1"/>
    <n v="4248"/>
  </r>
  <r>
    <n v="2025"/>
    <n v="9"/>
    <x v="23"/>
    <s v="national network"/>
    <x v="39"/>
    <x v="0"/>
    <s v="No"/>
    <x v="1"/>
    <s v="No"/>
    <n v="1353"/>
    <n v="0"/>
    <n v="0"/>
    <n v="0"/>
    <n v="18"/>
    <n v="14"/>
    <n v="12"/>
    <n v="10"/>
    <n v="6"/>
    <n v="2"/>
    <n v="1"/>
    <n v="1353"/>
  </r>
  <r>
    <n v="2025"/>
    <n v="9"/>
    <x v="23"/>
    <s v="national network"/>
    <x v="40"/>
    <x v="1"/>
    <s v="No"/>
    <x v="1"/>
    <s v="No"/>
    <n v="2160"/>
    <n v="0"/>
    <n v="0"/>
    <n v="0"/>
    <n v="0"/>
    <n v="0"/>
    <n v="0"/>
    <n v="0"/>
    <n v="0"/>
    <n v="0"/>
    <n v="0"/>
    <n v="2160"/>
  </r>
  <r>
    <n v="2025"/>
    <n v="9"/>
    <x v="23"/>
    <s v="national network"/>
    <x v="2"/>
    <x v="0"/>
    <s v="No"/>
    <x v="1"/>
    <s v="No"/>
    <n v="285"/>
    <n v="12"/>
    <n v="0"/>
    <n v="12"/>
    <n v="102"/>
    <n v="95"/>
    <n v="95"/>
    <n v="91"/>
    <n v="75"/>
    <n v="34"/>
    <n v="17"/>
    <n v="273"/>
  </r>
  <r>
    <n v="2025"/>
    <n v="9"/>
    <x v="23"/>
    <s v="national network"/>
    <x v="2"/>
    <x v="2"/>
    <s v="No"/>
    <x v="1"/>
    <s v="No"/>
    <n v="1"/>
    <n v="0"/>
    <n v="0"/>
    <n v="0"/>
    <n v="0"/>
    <n v="0"/>
    <n v="0"/>
    <n v="0"/>
    <n v="0"/>
    <n v="0"/>
    <n v="0"/>
    <n v="0"/>
  </r>
  <r>
    <n v="2025"/>
    <n v="9"/>
    <x v="23"/>
    <s v="national network"/>
    <x v="51"/>
    <x v="1"/>
    <s v="No"/>
    <x v="1"/>
    <s v="No"/>
    <n v="2"/>
    <n v="0"/>
    <n v="0"/>
    <n v="0"/>
    <n v="1"/>
    <n v="1"/>
    <n v="1"/>
    <n v="1"/>
    <n v="0"/>
    <n v="0"/>
    <n v="0"/>
    <n v="2"/>
  </r>
  <r>
    <n v="2025"/>
    <n v="9"/>
    <x v="23"/>
    <s v="national network"/>
    <x v="43"/>
    <x v="1"/>
    <s v="No"/>
    <x v="1"/>
    <s v="No"/>
    <n v="60"/>
    <n v="0"/>
    <n v="0"/>
    <n v="0"/>
    <n v="0"/>
    <n v="0"/>
    <n v="0"/>
    <n v="0"/>
    <n v="0"/>
    <n v="0"/>
    <n v="0"/>
    <n v="60"/>
  </r>
  <r>
    <n v="2025"/>
    <n v="9"/>
    <x v="23"/>
    <s v="national network"/>
    <x v="43"/>
    <x v="0"/>
    <s v="No"/>
    <x v="1"/>
    <s v="No"/>
    <n v="120"/>
    <n v="0"/>
    <n v="0"/>
    <n v="0"/>
    <n v="0"/>
    <n v="0"/>
    <n v="0"/>
    <n v="0"/>
    <n v="0"/>
    <n v="0"/>
    <n v="0"/>
    <n v="120"/>
  </r>
  <r>
    <n v="2025"/>
    <n v="9"/>
    <x v="23"/>
    <s v="national network"/>
    <x v="0"/>
    <x v="0"/>
    <s v="No"/>
    <x v="1"/>
    <s v="No"/>
    <n v="39"/>
    <n v="0"/>
    <n v="0"/>
    <n v="0"/>
    <n v="0"/>
    <n v="0"/>
    <n v="0"/>
    <n v="0"/>
    <n v="0"/>
    <n v="0"/>
    <n v="0"/>
    <n v="39"/>
  </r>
  <r>
    <n v="2025"/>
    <n v="9"/>
    <x v="23"/>
    <s v="national network"/>
    <x v="53"/>
    <x v="1"/>
    <s v="No"/>
    <x v="1"/>
    <s v="No"/>
    <n v="16"/>
    <n v="0"/>
    <n v="0"/>
    <n v="0"/>
    <n v="8"/>
    <n v="6"/>
    <n v="5"/>
    <n v="4"/>
    <n v="4"/>
    <n v="2"/>
    <n v="1"/>
    <n v="16"/>
  </r>
  <r>
    <n v="2025"/>
    <n v="9"/>
    <x v="23"/>
    <s v="national network"/>
    <x v="57"/>
    <x v="0"/>
    <s v="No"/>
    <x v="1"/>
    <s v="No"/>
    <n v="1"/>
    <n v="0"/>
    <n v="0"/>
    <n v="0"/>
    <n v="1"/>
    <n v="1"/>
    <n v="1"/>
    <n v="1"/>
    <n v="1"/>
    <n v="0"/>
    <n v="0"/>
    <n v="1"/>
  </r>
  <r>
    <n v="2025"/>
    <n v="9"/>
    <x v="23"/>
    <s v="national network"/>
    <x v="45"/>
    <x v="1"/>
    <s v="No"/>
    <x v="1"/>
    <s v="No"/>
    <n v="4"/>
    <n v="0"/>
    <n v="0"/>
    <n v="0"/>
    <n v="0"/>
    <n v="0"/>
    <n v="0"/>
    <n v="0"/>
    <n v="0"/>
    <n v="0"/>
    <n v="0"/>
    <n v="4"/>
  </r>
  <r>
    <n v="2025"/>
    <n v="9"/>
    <x v="23"/>
    <s v="national network"/>
    <x v="45"/>
    <x v="0"/>
    <s v="No"/>
    <x v="1"/>
    <s v="No"/>
    <n v="36"/>
    <n v="0"/>
    <n v="8"/>
    <n v="8"/>
    <n v="15"/>
    <n v="15"/>
    <n v="14"/>
    <n v="11"/>
    <n v="9"/>
    <n v="6"/>
    <n v="6"/>
    <n v="36"/>
  </r>
  <r>
    <n v="2025"/>
    <n v="9"/>
    <x v="23"/>
    <s v="national network"/>
    <x v="46"/>
    <x v="1"/>
    <s v="No"/>
    <x v="1"/>
    <s v="No"/>
    <n v="25"/>
    <n v="0"/>
    <n v="7"/>
    <n v="7"/>
    <n v="6"/>
    <n v="5"/>
    <n v="4"/>
    <n v="2"/>
    <n v="1"/>
    <n v="0"/>
    <n v="0"/>
    <n v="18"/>
  </r>
  <r>
    <n v="2025"/>
    <n v="9"/>
    <x v="23"/>
    <s v="national network"/>
    <x v="46"/>
    <x v="2"/>
    <s v="No"/>
    <x v="1"/>
    <s v="No"/>
    <n v="1"/>
    <n v="0"/>
    <n v="0"/>
    <n v="0"/>
    <n v="0"/>
    <n v="0"/>
    <n v="0"/>
    <n v="0"/>
    <n v="0"/>
    <n v="0"/>
    <n v="0"/>
    <n v="0"/>
  </r>
  <r>
    <n v="2025"/>
    <n v="9"/>
    <x v="24"/>
    <s v="national network"/>
    <x v="2"/>
    <x v="0"/>
    <s v="No"/>
    <x v="1"/>
    <s v="No"/>
    <n v="60"/>
    <n v="0"/>
    <n v="0"/>
    <n v="0"/>
    <n v="0"/>
    <n v="0"/>
    <n v="0"/>
    <n v="0"/>
    <n v="0"/>
    <n v="0"/>
    <n v="0"/>
    <n v="60"/>
  </r>
  <r>
    <n v="2025"/>
    <n v="9"/>
    <x v="24"/>
    <s v="national network"/>
    <x v="3"/>
    <x v="0"/>
    <s v="No"/>
    <x v="1"/>
    <s v="No"/>
    <n v="72"/>
    <n v="0"/>
    <n v="0"/>
    <n v="0"/>
    <n v="6"/>
    <n v="5"/>
    <n v="5"/>
    <n v="4"/>
    <n v="3"/>
    <n v="2"/>
    <n v="1"/>
    <n v="72"/>
  </r>
  <r>
    <n v="2025"/>
    <n v="9"/>
    <x v="25"/>
    <s v="whole journey"/>
    <x v="47"/>
    <x v="1"/>
    <s v="No"/>
    <x v="0"/>
    <s v="No"/>
    <n v="1440"/>
    <n v="0"/>
    <n v="0"/>
    <n v="0"/>
    <n v="0"/>
    <n v="0"/>
    <n v="0"/>
    <n v="0"/>
    <n v="0"/>
    <n v="0"/>
    <n v="0"/>
    <n v="1440"/>
  </r>
  <r>
    <n v="2025"/>
    <n v="9"/>
    <x v="25"/>
    <s v="whole journey"/>
    <x v="47"/>
    <x v="0"/>
    <s v="No"/>
    <x v="0"/>
    <s v="No"/>
    <n v="360"/>
    <n v="0"/>
    <n v="47"/>
    <n v="47"/>
    <n v="188"/>
    <n v="146"/>
    <n v="134"/>
    <n v="98"/>
    <n v="75"/>
    <n v="40"/>
    <n v="9"/>
    <n v="360"/>
  </r>
  <r>
    <n v="2025"/>
    <n v="9"/>
    <x v="26"/>
    <s v="national network"/>
    <x v="3"/>
    <x v="0"/>
    <s v="No"/>
    <x v="1"/>
    <s v="No"/>
    <n v="31"/>
    <n v="0"/>
    <n v="0"/>
    <n v="0"/>
    <n v="30"/>
    <n v="29"/>
    <n v="29"/>
    <n v="28"/>
    <n v="23"/>
    <n v="14"/>
    <n v="5"/>
    <n v="31"/>
  </r>
  <r>
    <n v="2025"/>
    <n v="9"/>
    <x v="26"/>
    <s v="national network"/>
    <x v="4"/>
    <x v="0"/>
    <s v="No"/>
    <x v="0"/>
    <s v="Yes"/>
    <n v="84"/>
    <n v="0"/>
    <n v="0"/>
    <n v="0"/>
    <n v="20"/>
    <n v="19"/>
    <n v="18"/>
    <n v="14"/>
    <n v="12"/>
    <n v="8"/>
    <n v="5"/>
    <n v="84"/>
  </r>
  <r>
    <n v="2025"/>
    <n v="9"/>
    <x v="26"/>
    <s v="national network"/>
    <x v="5"/>
    <x v="0"/>
    <s v="No"/>
    <x v="0"/>
    <s v="Yes"/>
    <n v="2"/>
    <n v="0"/>
    <n v="0"/>
    <n v="0"/>
    <n v="0"/>
    <n v="0"/>
    <n v="0"/>
    <n v="0"/>
    <n v="0"/>
    <n v="0"/>
    <n v="0"/>
    <n v="2"/>
  </r>
  <r>
    <n v="2025"/>
    <n v="9"/>
    <x v="26"/>
    <s v="national network"/>
    <x v="10"/>
    <x v="0"/>
    <s v="Yes"/>
    <x v="0"/>
    <s v="No"/>
    <n v="60"/>
    <n v="0"/>
    <n v="0"/>
    <n v="0"/>
    <n v="5"/>
    <n v="3"/>
    <n v="3"/>
    <n v="2"/>
    <n v="2"/>
    <n v="2"/>
    <n v="0"/>
    <n v="60"/>
  </r>
  <r>
    <n v="2025"/>
    <n v="10"/>
    <x v="0"/>
    <s v="national network"/>
    <x v="0"/>
    <x v="0"/>
    <s v="No"/>
    <x v="0"/>
    <s v="No"/>
    <n v="1437"/>
    <n v="14"/>
    <n v="0"/>
    <n v="14"/>
    <n v="151"/>
    <n v="93"/>
    <n v="73"/>
    <n v="41"/>
    <n v="23"/>
    <n v="5"/>
    <n v="0"/>
    <n v="1423"/>
  </r>
  <r>
    <n v="2025"/>
    <n v="10"/>
    <x v="0"/>
    <s v="national network"/>
    <x v="58"/>
    <x v="0"/>
    <s v="Yes"/>
    <x v="0"/>
    <s v="No"/>
    <n v="42"/>
    <n v="0"/>
    <n v="0"/>
    <n v="0"/>
    <n v="15"/>
    <n v="4"/>
    <n v="4"/>
    <n v="3"/>
    <n v="1"/>
    <n v="1"/>
    <n v="0"/>
    <n v="42"/>
  </r>
  <r>
    <n v="2025"/>
    <n v="10"/>
    <x v="0"/>
    <s v="national network"/>
    <x v="58"/>
    <x v="2"/>
    <s v="Yes"/>
    <x v="0"/>
    <s v="No"/>
    <n v="1"/>
    <n v="0"/>
    <n v="0"/>
    <n v="0"/>
    <n v="0"/>
    <n v="0"/>
    <n v="0"/>
    <n v="0"/>
    <n v="0"/>
    <n v="0"/>
    <n v="0"/>
    <n v="0"/>
  </r>
  <r>
    <n v="2025"/>
    <n v="10"/>
    <x v="1"/>
    <s v="national network"/>
    <x v="2"/>
    <x v="0"/>
    <s v="No"/>
    <x v="1"/>
    <s v="No"/>
    <n v="40"/>
    <n v="0"/>
    <n v="0"/>
    <n v="0"/>
    <n v="2"/>
    <n v="2"/>
    <n v="2"/>
    <n v="1"/>
    <n v="0"/>
    <n v="0"/>
    <n v="0"/>
    <n v="40"/>
  </r>
  <r>
    <n v="2025"/>
    <n v="10"/>
    <x v="2"/>
    <s v="national network"/>
    <x v="3"/>
    <x v="0"/>
    <s v="No"/>
    <x v="1"/>
    <s v="No"/>
    <n v="561"/>
    <n v="0"/>
    <n v="0"/>
    <n v="0"/>
    <n v="284"/>
    <n v="249"/>
    <n v="233"/>
    <n v="183"/>
    <n v="122"/>
    <n v="59"/>
    <n v="20"/>
    <n v="561"/>
  </r>
  <r>
    <n v="2025"/>
    <n v="10"/>
    <x v="2"/>
    <s v="national network"/>
    <x v="4"/>
    <x v="0"/>
    <s v="No"/>
    <x v="0"/>
    <s v="Yes"/>
    <n v="163"/>
    <n v="0"/>
    <n v="0"/>
    <n v="0"/>
    <n v="103"/>
    <n v="99"/>
    <n v="95"/>
    <n v="89"/>
    <n v="73"/>
    <n v="39"/>
    <n v="20"/>
    <n v="163"/>
  </r>
  <r>
    <n v="2025"/>
    <n v="10"/>
    <x v="2"/>
    <s v="national network"/>
    <x v="0"/>
    <x v="0"/>
    <s v="No"/>
    <x v="1"/>
    <s v="No"/>
    <n v="167"/>
    <n v="0"/>
    <n v="0"/>
    <n v="0"/>
    <n v="0"/>
    <n v="0"/>
    <n v="0"/>
    <n v="0"/>
    <n v="0"/>
    <n v="0"/>
    <n v="0"/>
    <n v="167"/>
  </r>
  <r>
    <n v="2025"/>
    <n v="10"/>
    <x v="2"/>
    <s v="national network"/>
    <x v="0"/>
    <x v="0"/>
    <s v="No"/>
    <x v="0"/>
    <s v="No"/>
    <n v="61"/>
    <n v="0"/>
    <n v="0"/>
    <n v="0"/>
    <n v="12"/>
    <n v="12"/>
    <n v="12"/>
    <n v="10"/>
    <n v="8"/>
    <n v="5"/>
    <n v="2"/>
    <n v="61"/>
  </r>
  <r>
    <n v="2025"/>
    <n v="10"/>
    <x v="2"/>
    <s v="national network"/>
    <x v="5"/>
    <x v="0"/>
    <s v="No"/>
    <x v="0"/>
    <s v="Yes"/>
    <n v="51"/>
    <n v="0"/>
    <n v="0"/>
    <n v="0"/>
    <n v="48"/>
    <n v="48"/>
    <n v="47"/>
    <n v="44"/>
    <n v="39"/>
    <n v="26"/>
    <n v="12"/>
    <n v="51"/>
  </r>
  <r>
    <n v="2025"/>
    <n v="10"/>
    <x v="2"/>
    <s v="national network"/>
    <x v="6"/>
    <x v="1"/>
    <s v="No"/>
    <x v="0"/>
    <s v="No"/>
    <n v="1"/>
    <n v="0"/>
    <n v="0"/>
    <n v="0"/>
    <n v="0"/>
    <n v="0"/>
    <n v="0"/>
    <n v="0"/>
    <n v="0"/>
    <n v="0"/>
    <n v="0"/>
    <n v="1"/>
  </r>
  <r>
    <n v="2025"/>
    <n v="10"/>
    <x v="2"/>
    <s v="national network"/>
    <x v="6"/>
    <x v="0"/>
    <s v="No"/>
    <x v="0"/>
    <s v="No"/>
    <n v="332"/>
    <n v="0"/>
    <n v="0"/>
    <n v="0"/>
    <n v="45"/>
    <n v="36"/>
    <n v="34"/>
    <n v="27"/>
    <n v="18"/>
    <n v="8"/>
    <n v="1"/>
    <n v="332"/>
  </r>
  <r>
    <n v="2025"/>
    <n v="10"/>
    <x v="3"/>
    <s v="national network"/>
    <x v="2"/>
    <x v="0"/>
    <s v="No"/>
    <x v="1"/>
    <s v="No"/>
    <n v="1"/>
    <n v="0"/>
    <n v="0"/>
    <n v="0"/>
    <n v="1"/>
    <n v="1"/>
    <n v="1"/>
    <n v="0"/>
    <n v="0"/>
    <n v="0"/>
    <n v="0"/>
    <n v="1"/>
  </r>
  <r>
    <n v="2025"/>
    <n v="10"/>
    <x v="3"/>
    <s v="national network"/>
    <x v="3"/>
    <x v="1"/>
    <s v="No"/>
    <x v="0"/>
    <s v="No"/>
    <n v="6"/>
    <n v="0"/>
    <n v="0"/>
    <n v="0"/>
    <n v="6"/>
    <n v="6"/>
    <n v="6"/>
    <n v="5"/>
    <n v="3"/>
    <n v="2"/>
    <n v="0"/>
    <n v="6"/>
  </r>
  <r>
    <n v="2025"/>
    <n v="10"/>
    <x v="3"/>
    <s v="national network"/>
    <x v="3"/>
    <x v="0"/>
    <s v="No"/>
    <x v="0"/>
    <s v="No"/>
    <n v="1877"/>
    <n v="23"/>
    <n v="64"/>
    <n v="87"/>
    <n v="1180"/>
    <n v="998"/>
    <n v="923"/>
    <n v="714"/>
    <n v="566"/>
    <n v="311"/>
    <n v="109"/>
    <n v="1819"/>
  </r>
  <r>
    <n v="2025"/>
    <n v="10"/>
    <x v="3"/>
    <s v="national network"/>
    <x v="7"/>
    <x v="1"/>
    <s v="No"/>
    <x v="0"/>
    <s v="No"/>
    <n v="1"/>
    <n v="0"/>
    <n v="0"/>
    <n v="0"/>
    <n v="1"/>
    <n v="1"/>
    <n v="1"/>
    <n v="1"/>
    <n v="1"/>
    <n v="1"/>
    <n v="0"/>
    <n v="1"/>
  </r>
  <r>
    <n v="2025"/>
    <n v="10"/>
    <x v="3"/>
    <s v="national network"/>
    <x v="7"/>
    <x v="0"/>
    <s v="No"/>
    <x v="0"/>
    <s v="No"/>
    <n v="61"/>
    <n v="2"/>
    <n v="0"/>
    <n v="2"/>
    <n v="48"/>
    <n v="43"/>
    <n v="37"/>
    <n v="24"/>
    <n v="12"/>
    <n v="3"/>
    <n v="1"/>
    <n v="59"/>
  </r>
  <r>
    <n v="2025"/>
    <n v="10"/>
    <x v="3"/>
    <s v="national network"/>
    <x v="4"/>
    <x v="0"/>
    <s v="No"/>
    <x v="0"/>
    <s v="Yes"/>
    <n v="352"/>
    <n v="7"/>
    <n v="5"/>
    <n v="12"/>
    <n v="204"/>
    <n v="181"/>
    <n v="168"/>
    <n v="137"/>
    <n v="110"/>
    <n v="69"/>
    <n v="22"/>
    <n v="342"/>
  </r>
  <r>
    <n v="2025"/>
    <n v="10"/>
    <x v="3"/>
    <s v="national network"/>
    <x v="4"/>
    <x v="2"/>
    <s v="No"/>
    <x v="0"/>
    <s v="Yes"/>
    <n v="1"/>
    <n v="0"/>
    <n v="0"/>
    <n v="0"/>
    <n v="0"/>
    <n v="0"/>
    <n v="0"/>
    <n v="0"/>
    <n v="0"/>
    <n v="0"/>
    <n v="0"/>
    <n v="0"/>
  </r>
  <r>
    <n v="2025"/>
    <n v="10"/>
    <x v="3"/>
    <s v="national network"/>
    <x v="0"/>
    <x v="1"/>
    <s v="No"/>
    <x v="0"/>
    <s v="No"/>
    <n v="4788"/>
    <n v="193"/>
    <n v="572"/>
    <n v="765"/>
    <n v="3238"/>
    <n v="2912"/>
    <n v="2778"/>
    <n v="2305"/>
    <n v="1861"/>
    <n v="952"/>
    <n v="240"/>
    <n v="4433"/>
  </r>
  <r>
    <n v="2025"/>
    <n v="10"/>
    <x v="3"/>
    <s v="national network"/>
    <x v="0"/>
    <x v="0"/>
    <s v="No"/>
    <x v="0"/>
    <s v="No"/>
    <n v="2087"/>
    <n v="29"/>
    <n v="90"/>
    <n v="119"/>
    <n v="1400"/>
    <n v="1192"/>
    <n v="1119"/>
    <n v="876"/>
    <n v="662"/>
    <n v="317"/>
    <n v="94"/>
    <n v="2014"/>
  </r>
  <r>
    <n v="2025"/>
    <n v="10"/>
    <x v="3"/>
    <s v="national network"/>
    <x v="0"/>
    <x v="2"/>
    <s v="No"/>
    <x v="0"/>
    <s v="No"/>
    <n v="1"/>
    <n v="1"/>
    <n v="0"/>
    <n v="1"/>
    <n v="0"/>
    <n v="0"/>
    <n v="0"/>
    <n v="0"/>
    <n v="0"/>
    <n v="0"/>
    <n v="0"/>
    <n v="0"/>
  </r>
  <r>
    <n v="2025"/>
    <n v="10"/>
    <x v="3"/>
    <s v="national network"/>
    <x v="8"/>
    <x v="1"/>
    <s v="Yes"/>
    <x v="0"/>
    <s v="No"/>
    <n v="15703"/>
    <n v="396"/>
    <n v="1410"/>
    <n v="1806"/>
    <n v="10531"/>
    <n v="9497"/>
    <n v="9052"/>
    <n v="7603"/>
    <n v="6177"/>
    <n v="3460"/>
    <n v="1059"/>
    <n v="14750"/>
  </r>
  <r>
    <n v="2025"/>
    <n v="10"/>
    <x v="3"/>
    <s v="national network"/>
    <x v="8"/>
    <x v="0"/>
    <s v="Yes"/>
    <x v="0"/>
    <s v="No"/>
    <n v="3429"/>
    <n v="18"/>
    <n v="212"/>
    <n v="230"/>
    <n v="2403"/>
    <n v="2123"/>
    <n v="2027"/>
    <n v="1672"/>
    <n v="1332"/>
    <n v="663"/>
    <n v="195"/>
    <n v="3333"/>
  </r>
  <r>
    <n v="2025"/>
    <n v="10"/>
    <x v="3"/>
    <s v="national network"/>
    <x v="8"/>
    <x v="2"/>
    <s v="Yes"/>
    <x v="0"/>
    <s v="No"/>
    <n v="1"/>
    <n v="0"/>
    <n v="0"/>
    <n v="0"/>
    <n v="0"/>
    <n v="0"/>
    <n v="0"/>
    <n v="0"/>
    <n v="0"/>
    <n v="0"/>
    <n v="0"/>
    <n v="0"/>
  </r>
  <r>
    <n v="2025"/>
    <n v="10"/>
    <x v="3"/>
    <s v="national network"/>
    <x v="9"/>
    <x v="0"/>
    <s v="No"/>
    <x v="0"/>
    <s v="No"/>
    <n v="340"/>
    <n v="2"/>
    <n v="0"/>
    <n v="2"/>
    <n v="9"/>
    <n v="6"/>
    <n v="5"/>
    <n v="2"/>
    <n v="0"/>
    <n v="0"/>
    <n v="0"/>
    <n v="338"/>
  </r>
  <r>
    <n v="2025"/>
    <n v="10"/>
    <x v="3"/>
    <s v="national network"/>
    <x v="5"/>
    <x v="1"/>
    <s v="No"/>
    <x v="0"/>
    <s v="Yes"/>
    <n v="29"/>
    <n v="0"/>
    <n v="5"/>
    <n v="5"/>
    <n v="21"/>
    <n v="14"/>
    <n v="14"/>
    <n v="12"/>
    <n v="9"/>
    <n v="6"/>
    <n v="2"/>
    <n v="26"/>
  </r>
  <r>
    <n v="2025"/>
    <n v="10"/>
    <x v="3"/>
    <s v="national network"/>
    <x v="5"/>
    <x v="0"/>
    <s v="No"/>
    <x v="0"/>
    <s v="Yes"/>
    <n v="750"/>
    <n v="11"/>
    <n v="31"/>
    <n v="42"/>
    <n v="474"/>
    <n v="436"/>
    <n v="420"/>
    <n v="368"/>
    <n v="327"/>
    <n v="239"/>
    <n v="123"/>
    <n v="729"/>
  </r>
  <r>
    <n v="2025"/>
    <n v="10"/>
    <x v="3"/>
    <s v="national network"/>
    <x v="58"/>
    <x v="0"/>
    <s v="Yes"/>
    <x v="0"/>
    <s v="No"/>
    <n v="2"/>
    <n v="0"/>
    <n v="0"/>
    <n v="0"/>
    <n v="0"/>
    <n v="0"/>
    <n v="0"/>
    <n v="0"/>
    <n v="0"/>
    <n v="0"/>
    <n v="0"/>
    <n v="2"/>
  </r>
  <r>
    <n v="2025"/>
    <n v="10"/>
    <x v="3"/>
    <s v="national network"/>
    <x v="6"/>
    <x v="1"/>
    <s v="No"/>
    <x v="0"/>
    <s v="No"/>
    <n v="55"/>
    <n v="1"/>
    <n v="1"/>
    <n v="2"/>
    <n v="28"/>
    <n v="22"/>
    <n v="21"/>
    <n v="16"/>
    <n v="13"/>
    <n v="3"/>
    <n v="0"/>
    <n v="54"/>
  </r>
  <r>
    <n v="2025"/>
    <n v="10"/>
    <x v="3"/>
    <s v="national network"/>
    <x v="6"/>
    <x v="0"/>
    <s v="No"/>
    <x v="0"/>
    <s v="No"/>
    <n v="436"/>
    <n v="5"/>
    <n v="9"/>
    <n v="14"/>
    <n v="217"/>
    <n v="180"/>
    <n v="166"/>
    <n v="123"/>
    <n v="90"/>
    <n v="32"/>
    <n v="8"/>
    <n v="429"/>
  </r>
  <r>
    <n v="2025"/>
    <n v="10"/>
    <x v="3"/>
    <s v="national network"/>
    <x v="6"/>
    <x v="2"/>
    <s v="No"/>
    <x v="0"/>
    <s v="No"/>
    <n v="1"/>
    <n v="0"/>
    <n v="0"/>
    <n v="0"/>
    <n v="0"/>
    <n v="0"/>
    <n v="0"/>
    <n v="0"/>
    <n v="0"/>
    <n v="0"/>
    <n v="0"/>
    <n v="0"/>
  </r>
  <r>
    <n v="2025"/>
    <n v="10"/>
    <x v="3"/>
    <s v="national network"/>
    <x v="10"/>
    <x v="0"/>
    <s v="Yes"/>
    <x v="0"/>
    <s v="No"/>
    <n v="335"/>
    <n v="0"/>
    <n v="6"/>
    <n v="6"/>
    <n v="210"/>
    <n v="180"/>
    <n v="165"/>
    <n v="131"/>
    <n v="99"/>
    <n v="44"/>
    <n v="9"/>
    <n v="332"/>
  </r>
  <r>
    <n v="2025"/>
    <n v="10"/>
    <x v="3"/>
    <s v="national network"/>
    <x v="11"/>
    <x v="0"/>
    <s v="Yes"/>
    <x v="0"/>
    <s v="No"/>
    <n v="424"/>
    <n v="1"/>
    <n v="2"/>
    <n v="3"/>
    <n v="308"/>
    <n v="262"/>
    <n v="240"/>
    <n v="179"/>
    <n v="148"/>
    <n v="76"/>
    <n v="12"/>
    <n v="422"/>
  </r>
  <r>
    <n v="2025"/>
    <n v="10"/>
    <x v="4"/>
    <s v="national network"/>
    <x v="3"/>
    <x v="0"/>
    <s v="No"/>
    <x v="1"/>
    <s v="No"/>
    <n v="372"/>
    <n v="10"/>
    <n v="0"/>
    <n v="10"/>
    <n v="16"/>
    <n v="14"/>
    <n v="13"/>
    <n v="13"/>
    <n v="13"/>
    <n v="9"/>
    <n v="3"/>
    <n v="362"/>
  </r>
  <r>
    <n v="2025"/>
    <n v="10"/>
    <x v="4"/>
    <s v="national network"/>
    <x v="4"/>
    <x v="0"/>
    <s v="No"/>
    <x v="0"/>
    <s v="Yes"/>
    <n v="63"/>
    <n v="4"/>
    <n v="0"/>
    <n v="4"/>
    <n v="18"/>
    <n v="15"/>
    <n v="15"/>
    <n v="13"/>
    <n v="12"/>
    <n v="8"/>
    <n v="5"/>
    <n v="59"/>
  </r>
  <r>
    <n v="2025"/>
    <n v="10"/>
    <x v="4"/>
    <s v="national network"/>
    <x v="0"/>
    <x v="0"/>
    <s v="No"/>
    <x v="0"/>
    <s v="No"/>
    <n v="275"/>
    <n v="1"/>
    <n v="0"/>
    <n v="1"/>
    <n v="52"/>
    <n v="25"/>
    <n v="17"/>
    <n v="9"/>
    <n v="2"/>
    <n v="0"/>
    <n v="0"/>
    <n v="274"/>
  </r>
  <r>
    <n v="2025"/>
    <n v="10"/>
    <x v="4"/>
    <s v="national network"/>
    <x v="5"/>
    <x v="0"/>
    <s v="No"/>
    <x v="0"/>
    <s v="Yes"/>
    <n v="18"/>
    <n v="2"/>
    <n v="0"/>
    <n v="2"/>
    <n v="1"/>
    <n v="1"/>
    <n v="1"/>
    <n v="1"/>
    <n v="1"/>
    <n v="1"/>
    <n v="1"/>
    <n v="16"/>
  </r>
  <r>
    <n v="2025"/>
    <n v="10"/>
    <x v="5"/>
    <s v="whole journey"/>
    <x v="12"/>
    <x v="0"/>
    <s v="No"/>
    <x v="0"/>
    <s v="Yes"/>
    <n v="27"/>
    <n v="0"/>
    <n v="3"/>
    <n v="3"/>
    <n v="7"/>
    <n v="7"/>
    <n v="6"/>
    <n v="6"/>
    <n v="5"/>
    <n v="5"/>
    <n v="1"/>
    <n v="25"/>
  </r>
  <r>
    <n v="2025"/>
    <n v="10"/>
    <x v="6"/>
    <s v="whole journey"/>
    <x v="13"/>
    <x v="0"/>
    <s v="Yes"/>
    <x v="0"/>
    <s v="No"/>
    <n v="3738"/>
    <n v="83"/>
    <n v="237"/>
    <n v="320"/>
    <n v="1091"/>
    <n v="1085"/>
    <n v="1081"/>
    <n v="812"/>
    <n v="655"/>
    <n v="290"/>
    <n v="104"/>
    <n v="3642"/>
  </r>
  <r>
    <n v="2025"/>
    <n v="10"/>
    <x v="6"/>
    <s v="whole journey"/>
    <x v="13"/>
    <x v="2"/>
    <s v="Yes"/>
    <x v="0"/>
    <s v="No"/>
    <n v="2"/>
    <n v="0"/>
    <n v="0"/>
    <n v="0"/>
    <n v="0"/>
    <n v="0"/>
    <n v="0"/>
    <n v="0"/>
    <n v="0"/>
    <n v="0"/>
    <n v="0"/>
    <n v="0"/>
  </r>
  <r>
    <n v="2025"/>
    <n v="10"/>
    <x v="7"/>
    <s v="whole journey"/>
    <x v="14"/>
    <x v="1"/>
    <s v="No"/>
    <x v="0"/>
    <s v="No"/>
    <n v="490"/>
    <n v="13"/>
    <n v="22"/>
    <n v="35"/>
    <n v="369"/>
    <n v="341"/>
    <n v="326"/>
    <n v="282"/>
    <n v="232"/>
    <n v="140"/>
    <n v="58"/>
    <n v="472"/>
  </r>
  <r>
    <n v="2025"/>
    <n v="10"/>
    <x v="7"/>
    <s v="whole journey"/>
    <x v="14"/>
    <x v="0"/>
    <s v="No"/>
    <x v="0"/>
    <s v="No"/>
    <n v="47"/>
    <n v="0"/>
    <n v="8"/>
    <n v="8"/>
    <n v="25"/>
    <n v="22"/>
    <n v="21"/>
    <n v="14"/>
    <n v="9"/>
    <n v="4"/>
    <n v="1"/>
    <n v="43"/>
  </r>
  <r>
    <n v="2025"/>
    <n v="10"/>
    <x v="8"/>
    <s v="national network"/>
    <x v="2"/>
    <x v="0"/>
    <s v="No"/>
    <x v="1"/>
    <s v="No"/>
    <n v="117"/>
    <n v="0"/>
    <n v="0"/>
    <n v="0"/>
    <n v="0"/>
    <n v="0"/>
    <n v="0"/>
    <n v="0"/>
    <n v="0"/>
    <n v="0"/>
    <n v="0"/>
    <n v="117"/>
  </r>
  <r>
    <n v="2025"/>
    <n v="10"/>
    <x v="8"/>
    <s v="national network"/>
    <x v="4"/>
    <x v="0"/>
    <s v="No"/>
    <x v="0"/>
    <s v="Yes"/>
    <n v="113"/>
    <n v="0"/>
    <n v="0"/>
    <n v="0"/>
    <n v="6"/>
    <n v="4"/>
    <n v="4"/>
    <n v="4"/>
    <n v="2"/>
    <n v="2"/>
    <n v="1"/>
    <n v="113"/>
  </r>
  <r>
    <n v="2025"/>
    <n v="10"/>
    <x v="9"/>
    <s v="national network"/>
    <x v="2"/>
    <x v="0"/>
    <s v="No"/>
    <x v="1"/>
    <s v="No"/>
    <n v="80"/>
    <n v="0"/>
    <n v="0"/>
    <n v="0"/>
    <n v="2"/>
    <n v="2"/>
    <n v="2"/>
    <n v="1"/>
    <n v="0"/>
    <n v="0"/>
    <n v="0"/>
    <n v="80"/>
  </r>
  <r>
    <n v="2025"/>
    <n v="10"/>
    <x v="9"/>
    <s v="national network"/>
    <x v="3"/>
    <x v="1"/>
    <s v="No"/>
    <x v="0"/>
    <s v="No"/>
    <n v="1"/>
    <n v="0"/>
    <n v="0"/>
    <n v="0"/>
    <n v="0"/>
    <n v="0"/>
    <n v="0"/>
    <n v="0"/>
    <n v="0"/>
    <n v="0"/>
    <n v="0"/>
    <n v="1"/>
  </r>
  <r>
    <n v="2025"/>
    <n v="10"/>
    <x v="9"/>
    <s v="national network"/>
    <x v="3"/>
    <x v="0"/>
    <s v="No"/>
    <x v="0"/>
    <s v="No"/>
    <n v="381"/>
    <n v="0"/>
    <n v="0"/>
    <n v="0"/>
    <n v="80"/>
    <n v="66"/>
    <n v="66"/>
    <n v="52"/>
    <n v="47"/>
    <n v="30"/>
    <n v="11"/>
    <n v="381"/>
  </r>
  <r>
    <n v="2025"/>
    <n v="10"/>
    <x v="9"/>
    <s v="national network"/>
    <x v="4"/>
    <x v="0"/>
    <s v="No"/>
    <x v="0"/>
    <s v="Yes"/>
    <n v="153"/>
    <n v="0"/>
    <n v="0"/>
    <n v="0"/>
    <n v="9"/>
    <n v="8"/>
    <n v="8"/>
    <n v="7"/>
    <n v="6"/>
    <n v="3"/>
    <n v="2"/>
    <n v="153"/>
  </r>
  <r>
    <n v="2025"/>
    <n v="10"/>
    <x v="9"/>
    <s v="national network"/>
    <x v="0"/>
    <x v="0"/>
    <s v="No"/>
    <x v="0"/>
    <s v="No"/>
    <n v="162"/>
    <n v="0"/>
    <n v="0"/>
    <n v="0"/>
    <n v="1"/>
    <n v="1"/>
    <n v="1"/>
    <n v="1"/>
    <n v="1"/>
    <n v="1"/>
    <n v="1"/>
    <n v="162"/>
  </r>
  <r>
    <n v="2025"/>
    <n v="10"/>
    <x v="9"/>
    <s v="national network"/>
    <x v="10"/>
    <x v="0"/>
    <s v="Yes"/>
    <x v="0"/>
    <s v="No"/>
    <n v="433"/>
    <n v="0"/>
    <n v="0"/>
    <n v="0"/>
    <n v="254"/>
    <n v="222"/>
    <n v="203"/>
    <n v="158"/>
    <n v="130"/>
    <n v="68"/>
    <n v="18"/>
    <n v="433"/>
  </r>
  <r>
    <n v="2025"/>
    <n v="10"/>
    <x v="10"/>
    <s v="national network"/>
    <x v="15"/>
    <x v="0"/>
    <s v="No"/>
    <x v="0"/>
    <s v="No"/>
    <n v="827"/>
    <n v="10"/>
    <n v="1"/>
    <n v="11"/>
    <n v="82"/>
    <n v="45"/>
    <n v="37"/>
    <n v="20"/>
    <n v="10"/>
    <n v="0"/>
    <n v="0"/>
    <n v="817"/>
  </r>
  <r>
    <n v="2025"/>
    <n v="10"/>
    <x v="10"/>
    <s v="national network"/>
    <x v="0"/>
    <x v="1"/>
    <s v="No"/>
    <x v="0"/>
    <s v="No"/>
    <n v="37890"/>
    <n v="0"/>
    <n v="4483"/>
    <n v="4483"/>
    <n v="5958"/>
    <n v="3582"/>
    <n v="2832"/>
    <n v="1506"/>
    <n v="724"/>
    <n v="110"/>
    <n v="6"/>
    <n v="34612"/>
  </r>
  <r>
    <n v="2025"/>
    <n v="10"/>
    <x v="10"/>
    <s v="national network"/>
    <x v="0"/>
    <x v="0"/>
    <s v="No"/>
    <x v="0"/>
    <s v="No"/>
    <n v="489"/>
    <n v="29"/>
    <n v="7"/>
    <n v="36"/>
    <n v="225"/>
    <n v="202"/>
    <n v="197"/>
    <n v="188"/>
    <n v="148"/>
    <n v="77"/>
    <n v="24"/>
    <n v="458"/>
  </r>
  <r>
    <n v="2025"/>
    <n v="10"/>
    <x v="10"/>
    <s v="national network"/>
    <x v="17"/>
    <x v="1"/>
    <s v="No"/>
    <x v="0"/>
    <s v="No"/>
    <n v="3392"/>
    <n v="0"/>
    <n v="881"/>
    <n v="881"/>
    <n v="623"/>
    <n v="396"/>
    <n v="327"/>
    <n v="182"/>
    <n v="70"/>
    <n v="12"/>
    <n v="0"/>
    <n v="2760"/>
  </r>
  <r>
    <n v="2025"/>
    <n v="10"/>
    <x v="10"/>
    <s v="national network"/>
    <x v="8"/>
    <x v="0"/>
    <s v="Yes"/>
    <x v="0"/>
    <s v="No"/>
    <n v="465"/>
    <n v="1"/>
    <n v="4"/>
    <n v="5"/>
    <n v="210"/>
    <n v="191"/>
    <n v="182"/>
    <n v="149"/>
    <n v="113"/>
    <n v="54"/>
    <n v="23"/>
    <n v="462"/>
  </r>
  <r>
    <n v="2025"/>
    <n v="10"/>
    <x v="10"/>
    <s v="national network"/>
    <x v="5"/>
    <x v="0"/>
    <s v="No"/>
    <x v="0"/>
    <s v="Yes"/>
    <n v="185"/>
    <n v="2"/>
    <n v="0"/>
    <n v="2"/>
    <n v="136"/>
    <n v="123"/>
    <n v="113"/>
    <n v="96"/>
    <n v="85"/>
    <n v="67"/>
    <n v="49"/>
    <n v="183"/>
  </r>
  <r>
    <n v="2025"/>
    <n v="10"/>
    <x v="10"/>
    <s v="national network"/>
    <x v="18"/>
    <x v="1"/>
    <s v="No"/>
    <x v="0"/>
    <s v="Yes"/>
    <n v="8"/>
    <n v="0"/>
    <n v="1"/>
    <n v="1"/>
    <n v="4"/>
    <n v="2"/>
    <n v="2"/>
    <n v="2"/>
    <n v="2"/>
    <n v="0"/>
    <n v="0"/>
    <n v="7"/>
  </r>
  <r>
    <n v="2025"/>
    <n v="10"/>
    <x v="10"/>
    <s v="national network"/>
    <x v="19"/>
    <x v="1"/>
    <s v="No"/>
    <x v="1"/>
    <s v="No"/>
    <n v="3700"/>
    <n v="0"/>
    <n v="216"/>
    <n v="216"/>
    <n v="360"/>
    <n v="135"/>
    <n v="107"/>
    <n v="51"/>
    <n v="20"/>
    <n v="2"/>
    <n v="0"/>
    <n v="3544"/>
  </r>
  <r>
    <n v="2025"/>
    <n v="10"/>
    <x v="10"/>
    <s v="national network"/>
    <x v="20"/>
    <x v="1"/>
    <s v="No"/>
    <x v="1"/>
    <s v="No"/>
    <n v="79895"/>
    <n v="0"/>
    <n v="4425"/>
    <n v="4425"/>
    <n v="7690"/>
    <n v="3724"/>
    <n v="2767"/>
    <n v="1085"/>
    <n v="428"/>
    <n v="61"/>
    <n v="6"/>
    <n v="76550"/>
  </r>
  <r>
    <n v="2025"/>
    <n v="10"/>
    <x v="10"/>
    <s v="national network"/>
    <x v="21"/>
    <x v="1"/>
    <s v="No"/>
    <x v="1"/>
    <s v="No"/>
    <n v="38345"/>
    <n v="0"/>
    <n v="1199"/>
    <n v="1199"/>
    <n v="3607"/>
    <n v="1320"/>
    <n v="814"/>
    <n v="257"/>
    <n v="93"/>
    <n v="12"/>
    <n v="1"/>
    <n v="37451"/>
  </r>
  <r>
    <n v="2025"/>
    <n v="10"/>
    <x v="11"/>
    <s v="national network"/>
    <x v="2"/>
    <x v="1"/>
    <s v="No"/>
    <x v="0"/>
    <s v="No"/>
    <n v="316"/>
    <n v="1"/>
    <n v="1"/>
    <n v="2"/>
    <n v="74"/>
    <n v="47"/>
    <n v="43"/>
    <n v="26"/>
    <n v="15"/>
    <n v="7"/>
    <n v="3"/>
    <n v="315"/>
  </r>
  <r>
    <n v="2025"/>
    <n v="10"/>
    <x v="11"/>
    <s v="national network"/>
    <x v="2"/>
    <x v="0"/>
    <s v="No"/>
    <x v="0"/>
    <s v="No"/>
    <n v="602"/>
    <n v="0"/>
    <n v="0"/>
    <n v="0"/>
    <n v="203"/>
    <n v="148"/>
    <n v="128"/>
    <n v="80"/>
    <n v="50"/>
    <n v="17"/>
    <n v="1"/>
    <n v="602"/>
  </r>
  <r>
    <n v="2025"/>
    <n v="10"/>
    <x v="11"/>
    <s v="national network"/>
    <x v="3"/>
    <x v="1"/>
    <s v="No"/>
    <x v="0"/>
    <s v="No"/>
    <n v="20"/>
    <n v="0"/>
    <n v="0"/>
    <n v="0"/>
    <n v="6"/>
    <n v="3"/>
    <n v="2"/>
    <n v="1"/>
    <n v="1"/>
    <n v="0"/>
    <n v="0"/>
    <n v="20"/>
  </r>
  <r>
    <n v="2025"/>
    <n v="10"/>
    <x v="11"/>
    <s v="national network"/>
    <x v="3"/>
    <x v="0"/>
    <s v="No"/>
    <x v="0"/>
    <s v="No"/>
    <n v="1136"/>
    <n v="10"/>
    <n v="6"/>
    <n v="16"/>
    <n v="456"/>
    <n v="366"/>
    <n v="338"/>
    <n v="239"/>
    <n v="182"/>
    <n v="72"/>
    <n v="27"/>
    <n v="1121"/>
  </r>
  <r>
    <n v="2025"/>
    <n v="10"/>
    <x v="11"/>
    <s v="national network"/>
    <x v="3"/>
    <x v="2"/>
    <s v="No"/>
    <x v="0"/>
    <s v="No"/>
    <n v="1"/>
    <n v="0"/>
    <n v="0"/>
    <n v="0"/>
    <n v="0"/>
    <n v="0"/>
    <n v="0"/>
    <n v="0"/>
    <n v="0"/>
    <n v="0"/>
    <n v="0"/>
    <n v="0"/>
  </r>
  <r>
    <n v="2025"/>
    <n v="10"/>
    <x v="11"/>
    <s v="national network"/>
    <x v="7"/>
    <x v="0"/>
    <s v="No"/>
    <x v="0"/>
    <s v="No"/>
    <n v="14"/>
    <n v="0"/>
    <n v="0"/>
    <n v="0"/>
    <n v="10"/>
    <n v="9"/>
    <n v="9"/>
    <n v="5"/>
    <n v="4"/>
    <n v="0"/>
    <n v="0"/>
    <n v="14"/>
  </r>
  <r>
    <n v="2025"/>
    <n v="10"/>
    <x v="11"/>
    <s v="national network"/>
    <x v="4"/>
    <x v="1"/>
    <s v="No"/>
    <x v="0"/>
    <s v="Yes"/>
    <n v="2"/>
    <n v="0"/>
    <n v="0"/>
    <n v="0"/>
    <n v="0"/>
    <n v="0"/>
    <n v="0"/>
    <n v="0"/>
    <n v="0"/>
    <n v="0"/>
    <n v="0"/>
    <n v="2"/>
  </r>
  <r>
    <n v="2025"/>
    <n v="10"/>
    <x v="11"/>
    <s v="national network"/>
    <x v="4"/>
    <x v="0"/>
    <s v="No"/>
    <x v="0"/>
    <s v="Yes"/>
    <n v="296"/>
    <n v="0"/>
    <n v="0"/>
    <n v="0"/>
    <n v="99"/>
    <n v="79"/>
    <n v="76"/>
    <n v="63"/>
    <n v="53"/>
    <n v="32"/>
    <n v="18"/>
    <n v="296"/>
  </r>
  <r>
    <n v="2025"/>
    <n v="10"/>
    <x v="11"/>
    <s v="national network"/>
    <x v="0"/>
    <x v="1"/>
    <s v="No"/>
    <x v="0"/>
    <s v="No"/>
    <n v="894"/>
    <n v="1"/>
    <n v="31"/>
    <n v="32"/>
    <n v="149"/>
    <n v="108"/>
    <n v="98"/>
    <n v="57"/>
    <n v="44"/>
    <n v="14"/>
    <n v="4"/>
    <n v="880"/>
  </r>
  <r>
    <n v="2025"/>
    <n v="10"/>
    <x v="11"/>
    <s v="national network"/>
    <x v="0"/>
    <x v="0"/>
    <s v="No"/>
    <x v="0"/>
    <s v="No"/>
    <n v="451"/>
    <n v="0"/>
    <n v="0"/>
    <n v="0"/>
    <n v="96"/>
    <n v="77"/>
    <n v="73"/>
    <n v="63"/>
    <n v="54"/>
    <n v="26"/>
    <n v="12"/>
    <n v="451"/>
  </r>
  <r>
    <n v="2025"/>
    <n v="10"/>
    <x v="11"/>
    <s v="national network"/>
    <x v="8"/>
    <x v="1"/>
    <s v="Yes"/>
    <x v="0"/>
    <s v="No"/>
    <n v="38"/>
    <n v="0"/>
    <n v="1"/>
    <n v="1"/>
    <n v="14"/>
    <n v="9"/>
    <n v="8"/>
    <n v="7"/>
    <n v="5"/>
    <n v="1"/>
    <n v="0"/>
    <n v="38"/>
  </r>
  <r>
    <n v="2025"/>
    <n v="10"/>
    <x v="11"/>
    <s v="national network"/>
    <x v="8"/>
    <x v="0"/>
    <s v="Yes"/>
    <x v="0"/>
    <s v="No"/>
    <n v="680"/>
    <n v="13"/>
    <n v="1"/>
    <n v="14"/>
    <n v="287"/>
    <n v="247"/>
    <n v="235"/>
    <n v="204"/>
    <n v="186"/>
    <n v="96"/>
    <n v="39"/>
    <n v="666"/>
  </r>
  <r>
    <n v="2025"/>
    <n v="10"/>
    <x v="11"/>
    <s v="national network"/>
    <x v="9"/>
    <x v="1"/>
    <s v="No"/>
    <x v="0"/>
    <s v="No"/>
    <n v="186"/>
    <n v="0"/>
    <n v="0"/>
    <n v="0"/>
    <n v="22"/>
    <n v="11"/>
    <n v="7"/>
    <n v="6"/>
    <n v="4"/>
    <n v="2"/>
    <n v="0"/>
    <n v="186"/>
  </r>
  <r>
    <n v="2025"/>
    <n v="10"/>
    <x v="11"/>
    <s v="national network"/>
    <x v="5"/>
    <x v="1"/>
    <s v="No"/>
    <x v="0"/>
    <s v="Yes"/>
    <n v="40"/>
    <n v="0"/>
    <n v="0"/>
    <n v="0"/>
    <n v="18"/>
    <n v="15"/>
    <n v="15"/>
    <n v="11"/>
    <n v="8"/>
    <n v="4"/>
    <n v="1"/>
    <n v="40"/>
  </r>
  <r>
    <n v="2025"/>
    <n v="10"/>
    <x v="11"/>
    <s v="national network"/>
    <x v="5"/>
    <x v="0"/>
    <s v="No"/>
    <x v="0"/>
    <s v="Yes"/>
    <n v="655"/>
    <n v="1"/>
    <n v="1"/>
    <n v="2"/>
    <n v="283"/>
    <n v="245"/>
    <n v="234"/>
    <n v="196"/>
    <n v="175"/>
    <n v="113"/>
    <n v="78"/>
    <n v="654"/>
  </r>
  <r>
    <n v="2025"/>
    <n v="10"/>
    <x v="11"/>
    <s v="national network"/>
    <x v="6"/>
    <x v="1"/>
    <s v="No"/>
    <x v="0"/>
    <s v="No"/>
    <n v="1277"/>
    <n v="0"/>
    <n v="90"/>
    <n v="90"/>
    <n v="230"/>
    <n v="137"/>
    <n v="110"/>
    <n v="52"/>
    <n v="33"/>
    <n v="11"/>
    <n v="2"/>
    <n v="1227"/>
  </r>
  <r>
    <n v="2025"/>
    <n v="10"/>
    <x v="11"/>
    <s v="national network"/>
    <x v="6"/>
    <x v="0"/>
    <s v="No"/>
    <x v="0"/>
    <s v="No"/>
    <n v="804"/>
    <n v="3"/>
    <n v="5"/>
    <n v="8"/>
    <n v="294"/>
    <n v="241"/>
    <n v="217"/>
    <n v="170"/>
    <n v="138"/>
    <n v="65"/>
    <n v="20"/>
    <n v="798"/>
  </r>
  <r>
    <n v="2025"/>
    <n v="10"/>
    <x v="11"/>
    <s v="national network"/>
    <x v="10"/>
    <x v="1"/>
    <s v="Yes"/>
    <x v="0"/>
    <s v="No"/>
    <n v="893"/>
    <n v="0"/>
    <n v="9"/>
    <n v="9"/>
    <n v="324"/>
    <n v="251"/>
    <n v="227"/>
    <n v="152"/>
    <n v="112"/>
    <n v="32"/>
    <n v="6"/>
    <n v="889"/>
  </r>
  <r>
    <n v="2025"/>
    <n v="10"/>
    <x v="11"/>
    <s v="national network"/>
    <x v="10"/>
    <x v="0"/>
    <s v="Yes"/>
    <x v="0"/>
    <s v="No"/>
    <n v="726"/>
    <n v="0"/>
    <n v="1"/>
    <n v="1"/>
    <n v="382"/>
    <n v="333"/>
    <n v="314"/>
    <n v="241"/>
    <n v="167"/>
    <n v="72"/>
    <n v="9"/>
    <n v="726"/>
  </r>
  <r>
    <n v="2025"/>
    <n v="10"/>
    <x v="11"/>
    <s v="national network"/>
    <x v="10"/>
    <x v="2"/>
    <s v="Yes"/>
    <x v="0"/>
    <s v="No"/>
    <n v="1"/>
    <n v="0"/>
    <n v="0"/>
    <n v="0"/>
    <n v="0"/>
    <n v="0"/>
    <n v="0"/>
    <n v="0"/>
    <n v="0"/>
    <n v="0"/>
    <n v="0"/>
    <n v="0"/>
  </r>
  <r>
    <n v="2025"/>
    <n v="10"/>
    <x v="12"/>
    <s v="national network"/>
    <x v="9"/>
    <x v="1"/>
    <s v="No"/>
    <x v="1"/>
    <s v="No"/>
    <n v="7417"/>
    <n v="0"/>
    <n v="9"/>
    <n v="9"/>
    <n v="0"/>
    <n v="0"/>
    <n v="0"/>
    <n v="0"/>
    <n v="0"/>
    <n v="0"/>
    <n v="0"/>
    <n v="7408"/>
  </r>
  <r>
    <n v="2025"/>
    <n v="10"/>
    <x v="12"/>
    <s v="national network"/>
    <x v="9"/>
    <x v="0"/>
    <s v="No"/>
    <x v="1"/>
    <s v="No"/>
    <n v="15"/>
    <n v="0"/>
    <n v="0"/>
    <n v="0"/>
    <n v="0"/>
    <n v="0"/>
    <n v="0"/>
    <n v="0"/>
    <n v="0"/>
    <n v="0"/>
    <n v="0"/>
    <n v="15"/>
  </r>
  <r>
    <n v="2025"/>
    <n v="10"/>
    <x v="13"/>
    <s v="whole journey"/>
    <x v="59"/>
    <x v="1"/>
    <s v="No"/>
    <x v="1"/>
    <s v="No"/>
    <n v="1233"/>
    <n v="1"/>
    <n v="0"/>
    <n v="1"/>
    <n v="271"/>
    <n v="160"/>
    <n v="160"/>
    <n v="128"/>
    <n v="100"/>
    <n v="67"/>
    <n v="28"/>
    <n v="1232"/>
  </r>
  <r>
    <n v="2025"/>
    <n v="10"/>
    <x v="13"/>
    <s v="whole journey"/>
    <x v="59"/>
    <x v="2"/>
    <s v="No"/>
    <x v="1"/>
    <s v="No"/>
    <n v="26"/>
    <n v="0"/>
    <n v="0"/>
    <n v="0"/>
    <n v="0"/>
    <n v="0"/>
    <n v="0"/>
    <n v="0"/>
    <n v="0"/>
    <n v="0"/>
    <n v="0"/>
    <n v="0"/>
  </r>
  <r>
    <n v="2025"/>
    <n v="10"/>
    <x v="13"/>
    <s v="whole journey"/>
    <x v="22"/>
    <x v="0"/>
    <s v="No"/>
    <x v="1"/>
    <s v="No"/>
    <n v="129"/>
    <n v="1"/>
    <n v="2"/>
    <n v="3"/>
    <n v="22"/>
    <n v="14"/>
    <n v="13"/>
    <n v="12"/>
    <n v="9"/>
    <n v="3"/>
    <n v="1"/>
    <n v="126"/>
  </r>
  <r>
    <n v="2025"/>
    <n v="10"/>
    <x v="14"/>
    <s v="national network"/>
    <x v="3"/>
    <x v="0"/>
    <s v="No"/>
    <x v="1"/>
    <s v="No"/>
    <n v="687"/>
    <n v="4"/>
    <n v="0"/>
    <n v="4"/>
    <n v="191"/>
    <n v="159"/>
    <n v="146"/>
    <n v="105"/>
    <n v="72"/>
    <n v="32"/>
    <n v="12"/>
    <n v="683"/>
  </r>
  <r>
    <n v="2025"/>
    <n v="10"/>
    <x v="14"/>
    <s v="national network"/>
    <x v="4"/>
    <x v="0"/>
    <s v="No"/>
    <x v="0"/>
    <s v="Yes"/>
    <n v="61"/>
    <n v="0"/>
    <n v="0"/>
    <n v="0"/>
    <n v="20"/>
    <n v="18"/>
    <n v="17"/>
    <n v="13"/>
    <n v="9"/>
    <n v="4"/>
    <n v="0"/>
    <n v="61"/>
  </r>
  <r>
    <n v="2025"/>
    <n v="10"/>
    <x v="14"/>
    <s v="national network"/>
    <x v="0"/>
    <x v="0"/>
    <s v="No"/>
    <x v="0"/>
    <s v="No"/>
    <n v="61"/>
    <n v="0"/>
    <n v="0"/>
    <n v="0"/>
    <n v="20"/>
    <n v="18"/>
    <n v="17"/>
    <n v="13"/>
    <n v="9"/>
    <n v="4"/>
    <n v="0"/>
    <n v="61"/>
  </r>
  <r>
    <n v="2025"/>
    <n v="10"/>
    <x v="15"/>
    <s v="national network"/>
    <x v="24"/>
    <x v="1"/>
    <s v="No"/>
    <x v="1"/>
    <s v="No"/>
    <n v="1002"/>
    <n v="0"/>
    <n v="0"/>
    <n v="0"/>
    <n v="0"/>
    <n v="0"/>
    <n v="0"/>
    <n v="0"/>
    <n v="0"/>
    <n v="0"/>
    <n v="0"/>
    <n v="1002"/>
  </r>
  <r>
    <n v="2025"/>
    <n v="10"/>
    <x v="15"/>
    <s v="national network"/>
    <x v="24"/>
    <x v="0"/>
    <s v="No"/>
    <x v="1"/>
    <s v="No"/>
    <n v="126"/>
    <n v="0"/>
    <n v="0"/>
    <n v="0"/>
    <n v="0"/>
    <n v="0"/>
    <n v="0"/>
    <n v="0"/>
    <n v="0"/>
    <n v="0"/>
    <n v="0"/>
    <n v="126"/>
  </r>
  <r>
    <n v="2025"/>
    <n v="10"/>
    <x v="16"/>
    <s v="national network"/>
    <x v="3"/>
    <x v="1"/>
    <s v="No"/>
    <x v="0"/>
    <s v="No"/>
    <n v="69"/>
    <n v="0"/>
    <n v="0"/>
    <n v="0"/>
    <n v="0"/>
    <n v="0"/>
    <n v="0"/>
    <n v="0"/>
    <n v="0"/>
    <n v="0"/>
    <n v="0"/>
    <n v="69"/>
  </r>
  <r>
    <n v="2025"/>
    <n v="10"/>
    <x v="16"/>
    <s v="national network"/>
    <x v="3"/>
    <x v="0"/>
    <s v="No"/>
    <x v="0"/>
    <s v="No"/>
    <n v="1489"/>
    <n v="9"/>
    <n v="19"/>
    <n v="28"/>
    <n v="309"/>
    <n v="258"/>
    <n v="239"/>
    <n v="182"/>
    <n v="149"/>
    <n v="91"/>
    <n v="20"/>
    <n v="1479"/>
  </r>
  <r>
    <n v="2025"/>
    <n v="10"/>
    <x v="16"/>
    <s v="national network"/>
    <x v="7"/>
    <x v="0"/>
    <s v="No"/>
    <x v="1"/>
    <s v="No"/>
    <n v="403"/>
    <n v="2"/>
    <n v="10"/>
    <n v="12"/>
    <n v="249"/>
    <n v="227"/>
    <n v="213"/>
    <n v="146"/>
    <n v="99"/>
    <n v="39"/>
    <n v="8"/>
    <n v="397"/>
  </r>
  <r>
    <n v="2025"/>
    <n v="10"/>
    <x v="16"/>
    <s v="national network"/>
    <x v="7"/>
    <x v="0"/>
    <s v="No"/>
    <x v="0"/>
    <s v="No"/>
    <n v="26"/>
    <n v="0"/>
    <n v="2"/>
    <n v="2"/>
    <n v="13"/>
    <n v="11"/>
    <n v="11"/>
    <n v="7"/>
    <n v="7"/>
    <n v="3"/>
    <n v="0"/>
    <n v="25"/>
  </r>
  <r>
    <n v="2025"/>
    <n v="10"/>
    <x v="16"/>
    <s v="national network"/>
    <x v="4"/>
    <x v="0"/>
    <s v="No"/>
    <x v="0"/>
    <s v="Yes"/>
    <n v="129"/>
    <n v="2"/>
    <n v="0"/>
    <n v="2"/>
    <n v="28"/>
    <n v="23"/>
    <n v="21"/>
    <n v="18"/>
    <n v="15"/>
    <n v="13"/>
    <n v="8"/>
    <n v="127"/>
  </r>
  <r>
    <n v="2025"/>
    <n v="10"/>
    <x v="16"/>
    <s v="national network"/>
    <x v="28"/>
    <x v="1"/>
    <s v="No"/>
    <x v="0"/>
    <s v="No"/>
    <n v="1"/>
    <n v="0"/>
    <n v="0"/>
    <n v="0"/>
    <n v="1"/>
    <n v="1"/>
    <n v="1"/>
    <n v="1"/>
    <n v="1"/>
    <n v="1"/>
    <n v="1"/>
    <n v="1"/>
  </r>
  <r>
    <n v="2025"/>
    <n v="10"/>
    <x v="16"/>
    <s v="national network"/>
    <x v="0"/>
    <x v="1"/>
    <s v="No"/>
    <x v="0"/>
    <s v="No"/>
    <n v="8048"/>
    <n v="8"/>
    <n v="52"/>
    <n v="60"/>
    <n v="0"/>
    <n v="0"/>
    <n v="0"/>
    <n v="0"/>
    <n v="0"/>
    <n v="0"/>
    <n v="0"/>
    <n v="8010"/>
  </r>
  <r>
    <n v="2025"/>
    <n v="10"/>
    <x v="16"/>
    <s v="national network"/>
    <x v="0"/>
    <x v="0"/>
    <s v="No"/>
    <x v="0"/>
    <s v="No"/>
    <n v="1186"/>
    <n v="62"/>
    <n v="55"/>
    <n v="117"/>
    <n v="434"/>
    <n v="365"/>
    <n v="352"/>
    <n v="288"/>
    <n v="211"/>
    <n v="43"/>
    <n v="9"/>
    <n v="1095"/>
  </r>
  <r>
    <n v="2025"/>
    <n v="10"/>
    <x v="16"/>
    <s v="national network"/>
    <x v="0"/>
    <x v="2"/>
    <s v="No"/>
    <x v="0"/>
    <s v="No"/>
    <n v="2"/>
    <n v="0"/>
    <n v="0"/>
    <n v="0"/>
    <n v="0"/>
    <n v="0"/>
    <n v="0"/>
    <n v="0"/>
    <n v="0"/>
    <n v="0"/>
    <n v="0"/>
    <n v="0"/>
  </r>
  <r>
    <n v="2025"/>
    <n v="10"/>
    <x v="16"/>
    <s v="national network"/>
    <x v="8"/>
    <x v="1"/>
    <s v="Yes"/>
    <x v="0"/>
    <s v="No"/>
    <n v="58"/>
    <n v="2"/>
    <n v="0"/>
    <n v="2"/>
    <n v="0"/>
    <n v="0"/>
    <n v="0"/>
    <n v="0"/>
    <n v="0"/>
    <n v="0"/>
    <n v="0"/>
    <n v="56"/>
  </r>
  <r>
    <n v="2025"/>
    <n v="10"/>
    <x v="16"/>
    <s v="national network"/>
    <x v="8"/>
    <x v="0"/>
    <s v="Yes"/>
    <x v="0"/>
    <s v="No"/>
    <n v="1337"/>
    <n v="72"/>
    <n v="227"/>
    <n v="299"/>
    <n v="319"/>
    <n v="238"/>
    <n v="217"/>
    <n v="153"/>
    <n v="99"/>
    <n v="46"/>
    <n v="11"/>
    <n v="1130"/>
  </r>
  <r>
    <n v="2025"/>
    <n v="10"/>
    <x v="16"/>
    <s v="national network"/>
    <x v="8"/>
    <x v="2"/>
    <s v="Yes"/>
    <x v="0"/>
    <s v="No"/>
    <n v="2"/>
    <n v="2"/>
    <n v="0"/>
    <n v="2"/>
    <n v="0"/>
    <n v="0"/>
    <n v="0"/>
    <n v="0"/>
    <n v="0"/>
    <n v="0"/>
    <n v="0"/>
    <n v="0"/>
  </r>
  <r>
    <n v="2025"/>
    <n v="10"/>
    <x v="16"/>
    <s v="national network"/>
    <x v="9"/>
    <x v="1"/>
    <s v="No"/>
    <x v="0"/>
    <s v="No"/>
    <n v="8921"/>
    <n v="13"/>
    <n v="26"/>
    <n v="39"/>
    <n v="2"/>
    <n v="1"/>
    <n v="1"/>
    <n v="1"/>
    <n v="0"/>
    <n v="0"/>
    <n v="0"/>
    <n v="8890"/>
  </r>
  <r>
    <n v="2025"/>
    <n v="10"/>
    <x v="16"/>
    <s v="national network"/>
    <x v="9"/>
    <x v="0"/>
    <s v="No"/>
    <x v="0"/>
    <s v="No"/>
    <n v="730"/>
    <n v="0"/>
    <n v="1"/>
    <n v="1"/>
    <n v="85"/>
    <n v="6"/>
    <n v="5"/>
    <n v="3"/>
    <n v="0"/>
    <n v="0"/>
    <n v="0"/>
    <n v="729"/>
  </r>
  <r>
    <n v="2025"/>
    <n v="10"/>
    <x v="16"/>
    <s v="national network"/>
    <x v="9"/>
    <x v="2"/>
    <s v="No"/>
    <x v="0"/>
    <s v="No"/>
    <n v="3"/>
    <n v="0"/>
    <n v="0"/>
    <n v="0"/>
    <n v="0"/>
    <n v="0"/>
    <n v="0"/>
    <n v="0"/>
    <n v="0"/>
    <n v="0"/>
    <n v="0"/>
    <n v="0"/>
  </r>
  <r>
    <n v="2025"/>
    <n v="10"/>
    <x v="16"/>
    <s v="national network"/>
    <x v="60"/>
    <x v="0"/>
    <s v="Yes"/>
    <x v="0"/>
    <s v="No"/>
    <n v="388"/>
    <n v="0"/>
    <n v="1"/>
    <n v="1"/>
    <n v="33"/>
    <n v="19"/>
    <n v="19"/>
    <n v="13"/>
    <n v="8"/>
    <n v="4"/>
    <n v="2"/>
    <n v="388"/>
  </r>
  <r>
    <n v="2025"/>
    <n v="10"/>
    <x v="16"/>
    <s v="national network"/>
    <x v="60"/>
    <x v="2"/>
    <s v="Yes"/>
    <x v="0"/>
    <s v="No"/>
    <n v="3"/>
    <n v="0"/>
    <n v="0"/>
    <n v="0"/>
    <n v="0"/>
    <n v="0"/>
    <n v="0"/>
    <n v="0"/>
    <n v="0"/>
    <n v="0"/>
    <n v="0"/>
    <n v="0"/>
  </r>
  <r>
    <n v="2025"/>
    <n v="10"/>
    <x v="16"/>
    <s v="national network"/>
    <x v="25"/>
    <x v="0"/>
    <s v="Yes"/>
    <x v="0"/>
    <s v="No"/>
    <n v="236"/>
    <n v="0"/>
    <n v="2"/>
    <n v="2"/>
    <n v="7"/>
    <n v="6"/>
    <n v="5"/>
    <n v="5"/>
    <n v="5"/>
    <n v="2"/>
    <n v="0"/>
    <n v="234"/>
  </r>
  <r>
    <n v="2025"/>
    <n v="10"/>
    <x v="16"/>
    <s v="national network"/>
    <x v="25"/>
    <x v="2"/>
    <s v="Yes"/>
    <x v="0"/>
    <s v="No"/>
    <n v="1"/>
    <n v="1"/>
    <n v="0"/>
    <n v="1"/>
    <n v="0"/>
    <n v="0"/>
    <n v="0"/>
    <n v="0"/>
    <n v="0"/>
    <n v="0"/>
    <n v="0"/>
    <n v="0"/>
  </r>
  <r>
    <n v="2025"/>
    <n v="10"/>
    <x v="16"/>
    <s v="national network"/>
    <x v="5"/>
    <x v="1"/>
    <s v="No"/>
    <x v="0"/>
    <s v="Yes"/>
    <n v="1"/>
    <n v="0"/>
    <n v="0"/>
    <n v="0"/>
    <n v="0"/>
    <n v="0"/>
    <n v="0"/>
    <n v="0"/>
    <n v="0"/>
    <n v="0"/>
    <n v="0"/>
    <n v="1"/>
  </r>
  <r>
    <n v="2025"/>
    <n v="10"/>
    <x v="16"/>
    <s v="national network"/>
    <x v="5"/>
    <x v="0"/>
    <s v="No"/>
    <x v="0"/>
    <s v="Yes"/>
    <n v="264"/>
    <n v="9"/>
    <n v="0"/>
    <n v="9"/>
    <n v="87"/>
    <n v="65"/>
    <n v="58"/>
    <n v="48"/>
    <n v="37"/>
    <n v="25"/>
    <n v="14"/>
    <n v="255"/>
  </r>
  <r>
    <n v="2025"/>
    <n v="10"/>
    <x v="16"/>
    <s v="national network"/>
    <x v="5"/>
    <x v="2"/>
    <s v="No"/>
    <x v="0"/>
    <s v="Yes"/>
    <n v="1"/>
    <n v="0"/>
    <n v="0"/>
    <n v="0"/>
    <n v="0"/>
    <n v="0"/>
    <n v="0"/>
    <n v="0"/>
    <n v="0"/>
    <n v="0"/>
    <n v="0"/>
    <n v="0"/>
  </r>
  <r>
    <n v="2025"/>
    <n v="10"/>
    <x v="16"/>
    <s v="national network"/>
    <x v="10"/>
    <x v="0"/>
    <s v="Yes"/>
    <x v="0"/>
    <s v="No"/>
    <n v="61"/>
    <n v="0"/>
    <n v="0"/>
    <n v="0"/>
    <n v="2"/>
    <n v="2"/>
    <n v="2"/>
    <n v="2"/>
    <n v="2"/>
    <n v="1"/>
    <n v="0"/>
    <n v="61"/>
  </r>
  <r>
    <n v="2025"/>
    <n v="10"/>
    <x v="17"/>
    <s v="national network"/>
    <x v="4"/>
    <x v="0"/>
    <s v="No"/>
    <x v="0"/>
    <s v="Yes"/>
    <n v="61"/>
    <n v="3"/>
    <n v="1"/>
    <n v="4"/>
    <n v="14"/>
    <n v="11"/>
    <n v="11"/>
    <n v="9"/>
    <n v="8"/>
    <n v="5"/>
    <n v="2"/>
    <n v="58"/>
  </r>
  <r>
    <n v="2025"/>
    <n v="10"/>
    <x v="17"/>
    <s v="national network"/>
    <x v="5"/>
    <x v="0"/>
    <s v="No"/>
    <x v="0"/>
    <s v="Yes"/>
    <n v="18"/>
    <n v="2"/>
    <n v="0"/>
    <n v="2"/>
    <n v="1"/>
    <n v="1"/>
    <n v="1"/>
    <n v="1"/>
    <n v="1"/>
    <n v="1"/>
    <n v="1"/>
    <n v="16"/>
  </r>
  <r>
    <n v="2025"/>
    <n v="10"/>
    <x v="18"/>
    <s v="national network"/>
    <x v="15"/>
    <x v="0"/>
    <s v="No"/>
    <x v="1"/>
    <s v="No"/>
    <n v="827"/>
    <n v="6"/>
    <n v="45"/>
    <n v="51"/>
    <n v="278"/>
    <n v="190"/>
    <n v="158"/>
    <n v="85"/>
    <n v="49"/>
    <n v="10"/>
    <n v="0"/>
    <n v="812"/>
  </r>
  <r>
    <n v="2025"/>
    <n v="10"/>
    <x v="18"/>
    <s v="national network"/>
    <x v="0"/>
    <x v="1"/>
    <s v="No"/>
    <x v="0"/>
    <s v="No"/>
    <n v="29911"/>
    <n v="61"/>
    <n v="568"/>
    <n v="629"/>
    <n v="6867"/>
    <n v="4424"/>
    <n v="3602"/>
    <n v="1916"/>
    <n v="1012"/>
    <n v="166"/>
    <n v="9"/>
    <n v="29487"/>
  </r>
  <r>
    <n v="2025"/>
    <n v="10"/>
    <x v="18"/>
    <s v="national network"/>
    <x v="0"/>
    <x v="0"/>
    <s v="No"/>
    <x v="0"/>
    <s v="No"/>
    <n v="3948"/>
    <n v="8"/>
    <n v="39"/>
    <n v="47"/>
    <n v="801"/>
    <n v="475"/>
    <n v="382"/>
    <n v="192"/>
    <n v="94"/>
    <n v="21"/>
    <n v="1"/>
    <n v="3914"/>
  </r>
  <r>
    <n v="2025"/>
    <n v="10"/>
    <x v="18"/>
    <s v="national network"/>
    <x v="0"/>
    <x v="2"/>
    <s v="No"/>
    <x v="0"/>
    <s v="No"/>
    <n v="2"/>
    <n v="1"/>
    <n v="0"/>
    <n v="1"/>
    <n v="0"/>
    <n v="0"/>
    <n v="0"/>
    <n v="0"/>
    <n v="0"/>
    <n v="0"/>
    <n v="0"/>
    <n v="0"/>
  </r>
  <r>
    <n v="2025"/>
    <n v="10"/>
    <x v="18"/>
    <s v="national network"/>
    <x v="8"/>
    <x v="0"/>
    <s v="Yes"/>
    <x v="0"/>
    <s v="No"/>
    <n v="483"/>
    <n v="4"/>
    <n v="4"/>
    <n v="8"/>
    <n v="276"/>
    <n v="211"/>
    <n v="193"/>
    <n v="103"/>
    <n v="61"/>
    <n v="19"/>
    <n v="1"/>
    <n v="477"/>
  </r>
  <r>
    <n v="2025"/>
    <n v="10"/>
    <x v="18"/>
    <s v="national network"/>
    <x v="26"/>
    <x v="1"/>
    <s v="No"/>
    <x v="1"/>
    <s v="No"/>
    <n v="18487"/>
    <n v="43"/>
    <n v="97"/>
    <n v="140"/>
    <n v="3093"/>
    <n v="1615"/>
    <n v="1265"/>
    <n v="504"/>
    <n v="240"/>
    <n v="41"/>
    <n v="2"/>
    <n v="18375"/>
  </r>
  <r>
    <n v="2025"/>
    <n v="10"/>
    <x v="18"/>
    <s v="national network"/>
    <x v="26"/>
    <x v="0"/>
    <s v="No"/>
    <x v="1"/>
    <s v="No"/>
    <n v="5548"/>
    <n v="28"/>
    <n v="0"/>
    <n v="28"/>
    <n v="427"/>
    <n v="232"/>
    <n v="178"/>
    <n v="64"/>
    <n v="37"/>
    <n v="6"/>
    <n v="1"/>
    <n v="5520"/>
  </r>
  <r>
    <n v="2025"/>
    <n v="10"/>
    <x v="18"/>
    <s v="national network"/>
    <x v="5"/>
    <x v="0"/>
    <s v="No"/>
    <x v="0"/>
    <s v="Yes"/>
    <n v="55"/>
    <n v="0"/>
    <n v="0"/>
    <n v="0"/>
    <n v="30"/>
    <n v="26"/>
    <n v="25"/>
    <n v="16"/>
    <n v="12"/>
    <n v="6"/>
    <n v="3"/>
    <n v="55"/>
  </r>
  <r>
    <n v="2025"/>
    <n v="10"/>
    <x v="18"/>
    <s v="national network"/>
    <x v="58"/>
    <x v="0"/>
    <s v="Yes"/>
    <x v="0"/>
    <s v="No"/>
    <n v="128"/>
    <n v="2"/>
    <n v="0"/>
    <n v="2"/>
    <n v="52"/>
    <n v="28"/>
    <n v="28"/>
    <n v="24"/>
    <n v="18"/>
    <n v="11"/>
    <n v="5"/>
    <n v="126"/>
  </r>
  <r>
    <n v="2025"/>
    <n v="10"/>
    <x v="18"/>
    <s v="national network"/>
    <x v="27"/>
    <x v="1"/>
    <s v="No"/>
    <x v="1"/>
    <s v="No"/>
    <n v="5793"/>
    <n v="31"/>
    <n v="21"/>
    <n v="52"/>
    <n v="1219"/>
    <n v="699"/>
    <n v="551"/>
    <n v="233"/>
    <n v="116"/>
    <n v="22"/>
    <n v="4"/>
    <n v="5749"/>
  </r>
  <r>
    <n v="2025"/>
    <n v="10"/>
    <x v="18"/>
    <s v="national network"/>
    <x v="27"/>
    <x v="0"/>
    <s v="No"/>
    <x v="1"/>
    <s v="No"/>
    <n v="308"/>
    <n v="5"/>
    <n v="1"/>
    <n v="6"/>
    <n v="29"/>
    <n v="22"/>
    <n v="19"/>
    <n v="11"/>
    <n v="7"/>
    <n v="3"/>
    <n v="0"/>
    <n v="302"/>
  </r>
  <r>
    <n v="2025"/>
    <n v="10"/>
    <x v="18"/>
    <s v="national network"/>
    <x v="19"/>
    <x v="1"/>
    <s v="No"/>
    <x v="1"/>
    <s v="No"/>
    <n v="30661"/>
    <n v="67"/>
    <n v="303"/>
    <n v="370"/>
    <n v="5033"/>
    <n v="2857"/>
    <n v="2238"/>
    <n v="1057"/>
    <n v="505"/>
    <n v="92"/>
    <n v="11"/>
    <n v="30418"/>
  </r>
  <r>
    <n v="2025"/>
    <n v="10"/>
    <x v="18"/>
    <s v="national network"/>
    <x v="19"/>
    <x v="0"/>
    <s v="No"/>
    <x v="1"/>
    <s v="No"/>
    <n v="3038"/>
    <n v="12"/>
    <n v="90"/>
    <n v="102"/>
    <n v="531"/>
    <n v="312"/>
    <n v="244"/>
    <n v="122"/>
    <n v="56"/>
    <n v="7"/>
    <n v="0"/>
    <n v="2989"/>
  </r>
  <r>
    <n v="2025"/>
    <n v="10"/>
    <x v="19"/>
    <s v="national network"/>
    <x v="55"/>
    <x v="1"/>
    <s v="No"/>
    <x v="1"/>
    <s v="No"/>
    <n v="2727"/>
    <n v="0"/>
    <n v="29"/>
    <n v="29"/>
    <n v="0"/>
    <n v="0"/>
    <n v="0"/>
    <n v="0"/>
    <n v="0"/>
    <n v="0"/>
    <n v="0"/>
    <n v="2726"/>
  </r>
  <r>
    <n v="2025"/>
    <n v="10"/>
    <x v="19"/>
    <s v="national network"/>
    <x v="55"/>
    <x v="0"/>
    <s v="No"/>
    <x v="1"/>
    <s v="No"/>
    <n v="40"/>
    <n v="0"/>
    <n v="0"/>
    <n v="0"/>
    <n v="0"/>
    <n v="0"/>
    <n v="0"/>
    <n v="0"/>
    <n v="0"/>
    <n v="0"/>
    <n v="0"/>
    <n v="40"/>
  </r>
  <r>
    <n v="2025"/>
    <n v="10"/>
    <x v="19"/>
    <s v="national network"/>
    <x v="55"/>
    <x v="2"/>
    <s v="No"/>
    <x v="1"/>
    <s v="No"/>
    <n v="193"/>
    <n v="0"/>
    <n v="0"/>
    <n v="0"/>
    <n v="0"/>
    <n v="0"/>
    <n v="0"/>
    <n v="0"/>
    <n v="0"/>
    <n v="0"/>
    <n v="0"/>
    <n v="0"/>
  </r>
  <r>
    <n v="2025"/>
    <n v="10"/>
    <x v="19"/>
    <s v="national network"/>
    <x v="61"/>
    <x v="1"/>
    <s v="No"/>
    <x v="1"/>
    <s v="No"/>
    <n v="12405"/>
    <n v="5"/>
    <n v="80"/>
    <n v="85"/>
    <n v="8"/>
    <n v="5"/>
    <n v="5"/>
    <n v="2"/>
    <n v="2"/>
    <n v="2"/>
    <n v="1"/>
    <n v="12389"/>
  </r>
  <r>
    <n v="2025"/>
    <n v="10"/>
    <x v="19"/>
    <s v="national network"/>
    <x v="61"/>
    <x v="0"/>
    <s v="No"/>
    <x v="1"/>
    <s v="No"/>
    <n v="197"/>
    <n v="0"/>
    <n v="0"/>
    <n v="0"/>
    <n v="0"/>
    <n v="0"/>
    <n v="0"/>
    <n v="0"/>
    <n v="0"/>
    <n v="0"/>
    <n v="0"/>
    <n v="197"/>
  </r>
  <r>
    <n v="2025"/>
    <n v="10"/>
    <x v="19"/>
    <s v="national network"/>
    <x v="61"/>
    <x v="2"/>
    <s v="No"/>
    <x v="1"/>
    <s v="No"/>
    <n v="780"/>
    <n v="0"/>
    <n v="0"/>
    <n v="0"/>
    <n v="0"/>
    <n v="0"/>
    <n v="0"/>
    <n v="0"/>
    <n v="0"/>
    <n v="0"/>
    <n v="0"/>
    <n v="0"/>
  </r>
  <r>
    <n v="2025"/>
    <n v="10"/>
    <x v="19"/>
    <s v="national network"/>
    <x v="0"/>
    <x v="1"/>
    <s v="No"/>
    <x v="1"/>
    <s v="No"/>
    <n v="1427"/>
    <n v="10"/>
    <n v="0"/>
    <n v="10"/>
    <n v="384"/>
    <n v="259"/>
    <n v="259"/>
    <n v="181"/>
    <n v="152"/>
    <n v="86"/>
    <n v="29"/>
    <n v="1417"/>
  </r>
  <r>
    <n v="2025"/>
    <n v="10"/>
    <x v="19"/>
    <s v="national network"/>
    <x v="0"/>
    <x v="0"/>
    <s v="No"/>
    <x v="0"/>
    <s v="No"/>
    <n v="1377"/>
    <n v="16"/>
    <n v="0"/>
    <n v="16"/>
    <n v="7"/>
    <n v="6"/>
    <n v="4"/>
    <n v="0"/>
    <n v="0"/>
    <n v="0"/>
    <n v="0"/>
    <n v="1361"/>
  </r>
  <r>
    <n v="2025"/>
    <n v="10"/>
    <x v="19"/>
    <s v="national network"/>
    <x v="0"/>
    <x v="2"/>
    <s v="No"/>
    <x v="1"/>
    <s v="No"/>
    <n v="18"/>
    <n v="0"/>
    <n v="0"/>
    <n v="0"/>
    <n v="0"/>
    <n v="0"/>
    <n v="0"/>
    <n v="0"/>
    <n v="0"/>
    <n v="0"/>
    <n v="0"/>
    <n v="0"/>
  </r>
  <r>
    <n v="2025"/>
    <n v="10"/>
    <x v="19"/>
    <s v="national network"/>
    <x v="8"/>
    <x v="1"/>
    <s v="Yes"/>
    <x v="0"/>
    <s v="No"/>
    <n v="1"/>
    <n v="0"/>
    <n v="0"/>
    <n v="0"/>
    <n v="1"/>
    <n v="0"/>
    <n v="0"/>
    <n v="0"/>
    <n v="0"/>
    <n v="0"/>
    <n v="0"/>
    <n v="1"/>
  </r>
  <r>
    <n v="2025"/>
    <n v="10"/>
    <x v="19"/>
    <s v="national network"/>
    <x v="8"/>
    <x v="0"/>
    <s v="Yes"/>
    <x v="0"/>
    <s v="No"/>
    <n v="545"/>
    <n v="1"/>
    <n v="2"/>
    <n v="3"/>
    <n v="198"/>
    <n v="137"/>
    <n v="129"/>
    <n v="100"/>
    <n v="76"/>
    <n v="44"/>
    <n v="10"/>
    <n v="544"/>
  </r>
  <r>
    <n v="2025"/>
    <n v="10"/>
    <x v="19"/>
    <s v="national network"/>
    <x v="34"/>
    <x v="1"/>
    <s v="No"/>
    <x v="1"/>
    <s v="No"/>
    <n v="179"/>
    <n v="5"/>
    <n v="0"/>
    <n v="5"/>
    <n v="10"/>
    <n v="3"/>
    <n v="3"/>
    <n v="1"/>
    <n v="0"/>
    <n v="0"/>
    <n v="0"/>
    <n v="174"/>
  </r>
  <r>
    <n v="2025"/>
    <n v="10"/>
    <x v="19"/>
    <s v="national network"/>
    <x v="34"/>
    <x v="2"/>
    <s v="No"/>
    <x v="1"/>
    <s v="No"/>
    <n v="52"/>
    <n v="4"/>
    <n v="0"/>
    <n v="4"/>
    <n v="0"/>
    <n v="0"/>
    <n v="0"/>
    <n v="0"/>
    <n v="0"/>
    <n v="0"/>
    <n v="0"/>
    <n v="0"/>
  </r>
  <r>
    <n v="2025"/>
    <n v="10"/>
    <x v="19"/>
    <s v="national network"/>
    <x v="60"/>
    <x v="1"/>
    <s v="Yes"/>
    <x v="0"/>
    <s v="No"/>
    <n v="10"/>
    <n v="0"/>
    <n v="0"/>
    <n v="0"/>
    <n v="1"/>
    <n v="1"/>
    <n v="1"/>
    <n v="1"/>
    <n v="0"/>
    <n v="0"/>
    <n v="0"/>
    <n v="10"/>
  </r>
  <r>
    <n v="2025"/>
    <n v="10"/>
    <x v="19"/>
    <s v="national network"/>
    <x v="60"/>
    <x v="0"/>
    <s v="Yes"/>
    <x v="0"/>
    <s v="No"/>
    <n v="555"/>
    <n v="1"/>
    <n v="0"/>
    <n v="1"/>
    <n v="98"/>
    <n v="35"/>
    <n v="35"/>
    <n v="24"/>
    <n v="19"/>
    <n v="8"/>
    <n v="3"/>
    <n v="554"/>
  </r>
  <r>
    <n v="2025"/>
    <n v="10"/>
    <x v="19"/>
    <s v="national network"/>
    <x v="60"/>
    <x v="2"/>
    <s v="Yes"/>
    <x v="0"/>
    <s v="No"/>
    <n v="5"/>
    <n v="0"/>
    <n v="0"/>
    <n v="0"/>
    <n v="0"/>
    <n v="0"/>
    <n v="0"/>
    <n v="0"/>
    <n v="0"/>
    <n v="0"/>
    <n v="0"/>
    <n v="0"/>
  </r>
  <r>
    <n v="2025"/>
    <n v="10"/>
    <x v="19"/>
    <s v="national network"/>
    <x v="25"/>
    <x v="0"/>
    <s v="Yes"/>
    <x v="0"/>
    <s v="No"/>
    <n v="218"/>
    <n v="0"/>
    <n v="0"/>
    <n v="0"/>
    <n v="0"/>
    <n v="0"/>
    <n v="0"/>
    <n v="0"/>
    <n v="0"/>
    <n v="0"/>
    <n v="0"/>
    <n v="218"/>
  </r>
  <r>
    <n v="2025"/>
    <n v="10"/>
    <x v="19"/>
    <s v="national network"/>
    <x v="62"/>
    <x v="1"/>
    <s v="No"/>
    <x v="1"/>
    <s v="No"/>
    <n v="316"/>
    <n v="0"/>
    <n v="0"/>
    <n v="0"/>
    <n v="2"/>
    <n v="0"/>
    <n v="0"/>
    <n v="0"/>
    <n v="0"/>
    <n v="0"/>
    <n v="0"/>
    <n v="316"/>
  </r>
  <r>
    <n v="2025"/>
    <n v="10"/>
    <x v="19"/>
    <s v="national network"/>
    <x v="62"/>
    <x v="2"/>
    <s v="No"/>
    <x v="1"/>
    <s v="No"/>
    <n v="180"/>
    <n v="0"/>
    <n v="0"/>
    <n v="0"/>
    <n v="0"/>
    <n v="0"/>
    <n v="0"/>
    <n v="0"/>
    <n v="0"/>
    <n v="0"/>
    <n v="0"/>
    <n v="0"/>
  </r>
  <r>
    <n v="2025"/>
    <n v="10"/>
    <x v="19"/>
    <s v="national network"/>
    <x v="5"/>
    <x v="0"/>
    <s v="No"/>
    <x v="0"/>
    <s v="Yes"/>
    <n v="38"/>
    <n v="1"/>
    <n v="2"/>
    <n v="3"/>
    <n v="14"/>
    <n v="14"/>
    <n v="14"/>
    <n v="14"/>
    <n v="12"/>
    <n v="6"/>
    <n v="4"/>
    <n v="37"/>
  </r>
  <r>
    <n v="2025"/>
    <n v="10"/>
    <x v="19"/>
    <s v="national network"/>
    <x v="5"/>
    <x v="2"/>
    <s v="No"/>
    <x v="0"/>
    <s v="Yes"/>
    <n v="1"/>
    <n v="1"/>
    <n v="0"/>
    <n v="1"/>
    <n v="0"/>
    <n v="0"/>
    <n v="0"/>
    <n v="0"/>
    <n v="0"/>
    <n v="0"/>
    <n v="0"/>
    <n v="0"/>
  </r>
  <r>
    <n v="2025"/>
    <n v="10"/>
    <x v="19"/>
    <s v="national network"/>
    <x v="58"/>
    <x v="1"/>
    <s v="Yes"/>
    <x v="0"/>
    <s v="No"/>
    <n v="9832"/>
    <n v="54"/>
    <n v="18"/>
    <n v="72"/>
    <n v="2126"/>
    <n v="1166"/>
    <n v="1166"/>
    <n v="848"/>
    <n v="654"/>
    <n v="320"/>
    <n v="108"/>
    <n v="9772"/>
  </r>
  <r>
    <n v="2025"/>
    <n v="10"/>
    <x v="19"/>
    <s v="national network"/>
    <x v="58"/>
    <x v="0"/>
    <s v="Yes"/>
    <x v="0"/>
    <s v="No"/>
    <n v="920"/>
    <n v="9"/>
    <n v="2"/>
    <n v="11"/>
    <n v="322"/>
    <n v="158"/>
    <n v="158"/>
    <n v="110"/>
    <n v="78"/>
    <n v="38"/>
    <n v="15"/>
    <n v="909"/>
  </r>
  <r>
    <n v="2025"/>
    <n v="10"/>
    <x v="19"/>
    <s v="national network"/>
    <x v="58"/>
    <x v="2"/>
    <s v="Yes"/>
    <x v="0"/>
    <s v="No"/>
    <n v="769"/>
    <n v="4"/>
    <n v="0"/>
    <n v="4"/>
    <n v="0"/>
    <n v="0"/>
    <n v="0"/>
    <n v="0"/>
    <n v="0"/>
    <n v="0"/>
    <n v="0"/>
    <n v="0"/>
  </r>
  <r>
    <n v="2025"/>
    <n v="10"/>
    <x v="19"/>
    <s v="national network"/>
    <x v="56"/>
    <x v="1"/>
    <s v="No"/>
    <x v="1"/>
    <s v="No"/>
    <n v="137194"/>
    <n v="4814"/>
    <n v="792"/>
    <n v="5606"/>
    <n v="15170"/>
    <n v="6707"/>
    <n v="6703"/>
    <n v="4332"/>
    <n v="3061"/>
    <n v="1260"/>
    <n v="219"/>
    <n v="132215"/>
  </r>
  <r>
    <n v="2025"/>
    <n v="10"/>
    <x v="19"/>
    <s v="national network"/>
    <x v="56"/>
    <x v="0"/>
    <s v="No"/>
    <x v="1"/>
    <s v="No"/>
    <n v="18422"/>
    <n v="227"/>
    <n v="15"/>
    <n v="242"/>
    <n v="1745"/>
    <n v="672"/>
    <n v="670"/>
    <n v="347"/>
    <n v="217"/>
    <n v="72"/>
    <n v="7"/>
    <n v="18191"/>
  </r>
  <r>
    <n v="2025"/>
    <n v="10"/>
    <x v="19"/>
    <s v="national network"/>
    <x v="56"/>
    <x v="2"/>
    <s v="No"/>
    <x v="1"/>
    <s v="No"/>
    <n v="1432"/>
    <n v="22"/>
    <n v="0"/>
    <n v="22"/>
    <n v="0"/>
    <n v="0"/>
    <n v="0"/>
    <n v="0"/>
    <n v="0"/>
    <n v="0"/>
    <n v="0"/>
    <n v="0"/>
  </r>
  <r>
    <n v="2025"/>
    <n v="10"/>
    <x v="19"/>
    <s v="national network"/>
    <x v="11"/>
    <x v="0"/>
    <s v="Yes"/>
    <x v="0"/>
    <s v="No"/>
    <n v="210"/>
    <n v="0"/>
    <n v="0"/>
    <n v="0"/>
    <n v="60"/>
    <n v="50"/>
    <n v="48"/>
    <n v="37"/>
    <n v="28"/>
    <n v="11"/>
    <n v="2"/>
    <n v="210"/>
  </r>
  <r>
    <n v="2025"/>
    <n v="10"/>
    <x v="19"/>
    <s v="national network"/>
    <x v="63"/>
    <x v="1"/>
    <s v="No"/>
    <x v="1"/>
    <s v="No"/>
    <n v="1150"/>
    <n v="0"/>
    <n v="0"/>
    <n v="0"/>
    <n v="136"/>
    <n v="44"/>
    <n v="44"/>
    <n v="26"/>
    <n v="23"/>
    <n v="5"/>
    <n v="1"/>
    <n v="1150"/>
  </r>
  <r>
    <n v="2025"/>
    <n v="10"/>
    <x v="19"/>
    <s v="national network"/>
    <x v="63"/>
    <x v="0"/>
    <s v="No"/>
    <x v="1"/>
    <s v="No"/>
    <n v="32"/>
    <n v="0"/>
    <n v="0"/>
    <n v="0"/>
    <n v="31"/>
    <n v="24"/>
    <n v="24"/>
    <n v="9"/>
    <n v="5"/>
    <n v="1"/>
    <n v="0"/>
    <n v="32"/>
  </r>
  <r>
    <n v="2025"/>
    <n v="10"/>
    <x v="19"/>
    <s v="national network"/>
    <x v="63"/>
    <x v="2"/>
    <s v="No"/>
    <x v="1"/>
    <s v="No"/>
    <n v="17"/>
    <n v="0"/>
    <n v="0"/>
    <n v="0"/>
    <n v="0"/>
    <n v="0"/>
    <n v="0"/>
    <n v="0"/>
    <n v="0"/>
    <n v="0"/>
    <n v="0"/>
    <n v="0"/>
  </r>
  <r>
    <n v="2025"/>
    <n v="10"/>
    <x v="20"/>
    <s v="national network"/>
    <x v="2"/>
    <x v="0"/>
    <s v="No"/>
    <x v="1"/>
    <s v="No"/>
    <n v="414"/>
    <n v="0"/>
    <n v="0"/>
    <n v="0"/>
    <n v="16"/>
    <n v="14"/>
    <n v="12"/>
    <n v="3"/>
    <n v="2"/>
    <n v="1"/>
    <n v="0"/>
    <n v="414"/>
  </r>
  <r>
    <n v="2025"/>
    <n v="10"/>
    <x v="20"/>
    <s v="national network"/>
    <x v="3"/>
    <x v="0"/>
    <s v="No"/>
    <x v="1"/>
    <s v="No"/>
    <n v="21"/>
    <n v="0"/>
    <n v="0"/>
    <n v="0"/>
    <n v="1"/>
    <n v="1"/>
    <n v="1"/>
    <n v="1"/>
    <n v="1"/>
    <n v="1"/>
    <n v="1"/>
    <n v="21"/>
  </r>
  <r>
    <n v="2025"/>
    <n v="10"/>
    <x v="20"/>
    <s v="national network"/>
    <x v="4"/>
    <x v="0"/>
    <s v="No"/>
    <x v="0"/>
    <s v="Yes"/>
    <n v="131"/>
    <n v="0"/>
    <n v="0"/>
    <n v="0"/>
    <n v="6"/>
    <n v="4"/>
    <n v="4"/>
    <n v="4"/>
    <n v="2"/>
    <n v="2"/>
    <n v="2"/>
    <n v="131"/>
  </r>
  <r>
    <n v="2025"/>
    <n v="10"/>
    <x v="20"/>
    <s v="national network"/>
    <x v="0"/>
    <x v="0"/>
    <s v="No"/>
    <x v="1"/>
    <s v="No"/>
    <n v="41"/>
    <n v="0"/>
    <n v="0"/>
    <n v="0"/>
    <n v="11"/>
    <n v="10"/>
    <n v="10"/>
    <n v="6"/>
    <n v="6"/>
    <n v="1"/>
    <n v="1"/>
    <n v="41"/>
  </r>
  <r>
    <n v="2025"/>
    <n v="10"/>
    <x v="21"/>
    <s v="national network"/>
    <x v="2"/>
    <x v="0"/>
    <s v="No"/>
    <x v="1"/>
    <s v="No"/>
    <n v="84"/>
    <n v="0"/>
    <n v="0"/>
    <n v="0"/>
    <n v="11"/>
    <n v="9"/>
    <n v="8"/>
    <n v="4"/>
    <n v="4"/>
    <n v="1"/>
    <n v="0"/>
    <n v="84"/>
  </r>
  <r>
    <n v="2025"/>
    <n v="10"/>
    <x v="21"/>
    <s v="national network"/>
    <x v="48"/>
    <x v="1"/>
    <s v="No"/>
    <x v="1"/>
    <s v="No"/>
    <n v="1"/>
    <n v="0"/>
    <n v="1"/>
    <n v="1"/>
    <n v="0"/>
    <n v="0"/>
    <n v="0"/>
    <n v="0"/>
    <n v="0"/>
    <n v="0"/>
    <n v="0"/>
    <n v="0"/>
  </r>
  <r>
    <n v="2025"/>
    <n v="10"/>
    <x v="21"/>
    <s v="national network"/>
    <x v="3"/>
    <x v="1"/>
    <s v="No"/>
    <x v="1"/>
    <s v="No"/>
    <n v="149"/>
    <n v="0"/>
    <n v="3"/>
    <n v="3"/>
    <n v="62"/>
    <n v="44"/>
    <n v="36"/>
    <n v="10"/>
    <n v="8"/>
    <n v="3"/>
    <n v="0"/>
    <n v="147"/>
  </r>
  <r>
    <n v="2025"/>
    <n v="10"/>
    <x v="21"/>
    <s v="national network"/>
    <x v="3"/>
    <x v="0"/>
    <s v="No"/>
    <x v="1"/>
    <s v="No"/>
    <n v="1324"/>
    <n v="10"/>
    <n v="26"/>
    <n v="36"/>
    <n v="549"/>
    <n v="449"/>
    <n v="388"/>
    <n v="247"/>
    <n v="164"/>
    <n v="66"/>
    <n v="19"/>
    <n v="1289"/>
  </r>
  <r>
    <n v="2025"/>
    <n v="10"/>
    <x v="21"/>
    <s v="national network"/>
    <x v="7"/>
    <x v="0"/>
    <s v="No"/>
    <x v="0"/>
    <s v="No"/>
    <n v="2"/>
    <n v="0"/>
    <n v="0"/>
    <n v="0"/>
    <n v="0"/>
    <n v="0"/>
    <n v="0"/>
    <n v="0"/>
    <n v="0"/>
    <n v="0"/>
    <n v="0"/>
    <n v="2"/>
  </r>
  <r>
    <n v="2025"/>
    <n v="10"/>
    <x v="21"/>
    <s v="national network"/>
    <x v="4"/>
    <x v="1"/>
    <s v="No"/>
    <x v="0"/>
    <s v="Yes"/>
    <n v="1"/>
    <n v="0"/>
    <n v="0"/>
    <n v="0"/>
    <n v="0"/>
    <n v="0"/>
    <n v="0"/>
    <n v="0"/>
    <n v="0"/>
    <n v="0"/>
    <n v="0"/>
    <n v="1"/>
  </r>
  <r>
    <n v="2025"/>
    <n v="10"/>
    <x v="21"/>
    <s v="national network"/>
    <x v="28"/>
    <x v="1"/>
    <s v="No"/>
    <x v="0"/>
    <s v="No"/>
    <n v="48"/>
    <n v="0"/>
    <n v="5"/>
    <n v="5"/>
    <n v="11"/>
    <n v="9"/>
    <n v="9"/>
    <n v="8"/>
    <n v="8"/>
    <n v="5"/>
    <n v="5"/>
    <n v="43"/>
  </r>
  <r>
    <n v="2025"/>
    <n v="10"/>
    <x v="21"/>
    <s v="national network"/>
    <x v="31"/>
    <x v="1"/>
    <s v="No"/>
    <x v="0"/>
    <s v="No"/>
    <n v="599"/>
    <n v="0"/>
    <n v="19"/>
    <n v="19"/>
    <n v="301"/>
    <n v="253"/>
    <n v="226"/>
    <n v="175"/>
    <n v="131"/>
    <n v="68"/>
    <n v="24"/>
    <n v="582"/>
  </r>
  <r>
    <n v="2025"/>
    <n v="10"/>
    <x v="21"/>
    <s v="national network"/>
    <x v="32"/>
    <x v="1"/>
    <s v="No"/>
    <x v="0"/>
    <s v="No"/>
    <n v="206"/>
    <n v="0"/>
    <n v="7"/>
    <n v="7"/>
    <n v="130"/>
    <n v="114"/>
    <n v="107"/>
    <n v="84"/>
    <n v="58"/>
    <n v="23"/>
    <n v="7"/>
    <n v="199"/>
  </r>
  <r>
    <n v="2025"/>
    <n v="10"/>
    <x v="21"/>
    <s v="national network"/>
    <x v="33"/>
    <x v="1"/>
    <s v="Yes"/>
    <x v="0"/>
    <s v="No"/>
    <n v="6841"/>
    <n v="0"/>
    <n v="127"/>
    <n v="127"/>
    <n v="3378"/>
    <n v="2712"/>
    <n v="2447"/>
    <n v="1758"/>
    <n v="1242"/>
    <n v="590"/>
    <n v="178"/>
    <n v="6728"/>
  </r>
  <r>
    <n v="2025"/>
    <n v="10"/>
    <x v="21"/>
    <s v="national network"/>
    <x v="0"/>
    <x v="1"/>
    <s v="No"/>
    <x v="0"/>
    <s v="No"/>
    <n v="3302"/>
    <n v="0"/>
    <n v="132"/>
    <n v="132"/>
    <n v="1388"/>
    <n v="1122"/>
    <n v="1031"/>
    <n v="668"/>
    <n v="457"/>
    <n v="226"/>
    <n v="86"/>
    <n v="3180"/>
  </r>
  <r>
    <n v="2025"/>
    <n v="10"/>
    <x v="21"/>
    <s v="national network"/>
    <x v="0"/>
    <x v="0"/>
    <s v="No"/>
    <x v="0"/>
    <s v="No"/>
    <n v="2"/>
    <n v="0"/>
    <n v="0"/>
    <n v="0"/>
    <n v="1"/>
    <n v="1"/>
    <n v="1"/>
    <n v="1"/>
    <n v="1"/>
    <n v="1"/>
    <n v="1"/>
    <n v="2"/>
  </r>
  <r>
    <n v="2025"/>
    <n v="10"/>
    <x v="21"/>
    <s v="national network"/>
    <x v="34"/>
    <x v="1"/>
    <s v="No"/>
    <x v="0"/>
    <s v="Yes"/>
    <n v="561"/>
    <n v="0"/>
    <n v="0"/>
    <n v="0"/>
    <n v="163"/>
    <n v="118"/>
    <n v="105"/>
    <n v="74"/>
    <n v="51"/>
    <n v="30"/>
    <n v="11"/>
    <n v="561"/>
  </r>
  <r>
    <n v="2025"/>
    <n v="10"/>
    <x v="21"/>
    <s v="national network"/>
    <x v="9"/>
    <x v="1"/>
    <s v="No"/>
    <x v="0"/>
    <s v="No"/>
    <n v="5"/>
    <n v="0"/>
    <n v="2"/>
    <n v="2"/>
    <n v="0"/>
    <n v="0"/>
    <n v="0"/>
    <n v="0"/>
    <n v="0"/>
    <n v="0"/>
    <n v="0"/>
    <n v="3"/>
  </r>
  <r>
    <n v="2025"/>
    <n v="10"/>
    <x v="21"/>
    <s v="national network"/>
    <x v="9"/>
    <x v="0"/>
    <s v="No"/>
    <x v="0"/>
    <s v="No"/>
    <n v="36"/>
    <n v="0"/>
    <n v="0"/>
    <n v="0"/>
    <n v="0"/>
    <n v="0"/>
    <n v="0"/>
    <n v="0"/>
    <n v="0"/>
    <n v="0"/>
    <n v="0"/>
    <n v="36"/>
  </r>
  <r>
    <n v="2025"/>
    <n v="10"/>
    <x v="21"/>
    <s v="national network"/>
    <x v="35"/>
    <x v="1"/>
    <s v="No"/>
    <x v="1"/>
    <s v="No"/>
    <n v="8487"/>
    <n v="0"/>
    <n v="256"/>
    <n v="256"/>
    <n v="795"/>
    <n v="421"/>
    <n v="338"/>
    <n v="178"/>
    <n v="97"/>
    <n v="32"/>
    <n v="2"/>
    <n v="8287"/>
  </r>
  <r>
    <n v="2025"/>
    <n v="10"/>
    <x v="21"/>
    <s v="national network"/>
    <x v="36"/>
    <x v="1"/>
    <s v="No"/>
    <x v="1"/>
    <s v="No"/>
    <n v="75"/>
    <n v="0"/>
    <n v="10"/>
    <n v="10"/>
    <n v="62"/>
    <n v="62"/>
    <n v="62"/>
    <n v="61"/>
    <n v="57"/>
    <n v="49"/>
    <n v="30"/>
    <n v="65"/>
  </r>
  <r>
    <n v="2025"/>
    <n v="10"/>
    <x v="21"/>
    <s v="national network"/>
    <x v="36"/>
    <x v="2"/>
    <s v="No"/>
    <x v="1"/>
    <s v="No"/>
    <n v="8"/>
    <n v="1"/>
    <n v="0"/>
    <n v="1"/>
    <n v="0"/>
    <n v="0"/>
    <n v="0"/>
    <n v="0"/>
    <n v="0"/>
    <n v="0"/>
    <n v="0"/>
    <n v="0"/>
  </r>
  <r>
    <n v="2025"/>
    <n v="10"/>
    <x v="21"/>
    <s v="national network"/>
    <x v="5"/>
    <x v="1"/>
    <s v="No"/>
    <x v="0"/>
    <s v="Yes"/>
    <n v="2"/>
    <n v="0"/>
    <n v="0"/>
    <n v="0"/>
    <n v="1"/>
    <n v="1"/>
    <n v="1"/>
    <n v="1"/>
    <n v="0"/>
    <n v="0"/>
    <n v="0"/>
    <n v="2"/>
  </r>
  <r>
    <n v="2025"/>
    <n v="10"/>
    <x v="21"/>
    <s v="national network"/>
    <x v="5"/>
    <x v="0"/>
    <s v="No"/>
    <x v="0"/>
    <s v="Yes"/>
    <n v="219"/>
    <n v="0"/>
    <n v="0"/>
    <n v="0"/>
    <n v="41"/>
    <n v="29"/>
    <n v="25"/>
    <n v="17"/>
    <n v="12"/>
    <n v="9"/>
    <n v="6"/>
    <n v="219"/>
  </r>
  <r>
    <n v="2025"/>
    <n v="10"/>
    <x v="21"/>
    <s v="national network"/>
    <x v="37"/>
    <x v="1"/>
    <s v="No"/>
    <x v="1"/>
    <s v="No"/>
    <n v="236502"/>
    <n v="65"/>
    <n v="8126"/>
    <n v="8191"/>
    <n v="51802"/>
    <n v="29773"/>
    <n v="23444"/>
    <n v="11566"/>
    <n v="6612"/>
    <n v="2246"/>
    <n v="474"/>
    <n v="229638"/>
  </r>
  <r>
    <n v="2025"/>
    <n v="10"/>
    <x v="21"/>
    <s v="national network"/>
    <x v="37"/>
    <x v="0"/>
    <s v="No"/>
    <x v="1"/>
    <s v="No"/>
    <n v="5947"/>
    <n v="121"/>
    <n v="81"/>
    <n v="202"/>
    <n v="1427"/>
    <n v="835"/>
    <n v="688"/>
    <n v="311"/>
    <n v="145"/>
    <n v="29"/>
    <n v="5"/>
    <n v="5765"/>
  </r>
  <r>
    <n v="2025"/>
    <n v="10"/>
    <x v="21"/>
    <s v="national network"/>
    <x v="6"/>
    <x v="1"/>
    <s v="No"/>
    <x v="0"/>
    <s v="No"/>
    <n v="1"/>
    <n v="0"/>
    <n v="0"/>
    <n v="0"/>
    <n v="0"/>
    <n v="0"/>
    <n v="0"/>
    <n v="0"/>
    <n v="0"/>
    <n v="0"/>
    <n v="0"/>
    <n v="1"/>
  </r>
  <r>
    <n v="2025"/>
    <n v="10"/>
    <x v="21"/>
    <s v="national network"/>
    <x v="6"/>
    <x v="0"/>
    <s v="No"/>
    <x v="0"/>
    <s v="No"/>
    <n v="114"/>
    <n v="0"/>
    <n v="0"/>
    <n v="0"/>
    <n v="32"/>
    <n v="27"/>
    <n v="26"/>
    <n v="22"/>
    <n v="12"/>
    <n v="7"/>
    <n v="3"/>
    <n v="114"/>
  </r>
  <r>
    <n v="2025"/>
    <n v="10"/>
    <x v="21"/>
    <s v="national network"/>
    <x v="10"/>
    <x v="0"/>
    <s v="Yes"/>
    <x v="0"/>
    <s v="No"/>
    <n v="2"/>
    <n v="0"/>
    <n v="0"/>
    <n v="0"/>
    <n v="1"/>
    <n v="1"/>
    <n v="1"/>
    <n v="1"/>
    <n v="1"/>
    <n v="1"/>
    <n v="1"/>
    <n v="2"/>
  </r>
  <r>
    <n v="2025"/>
    <n v="10"/>
    <x v="22"/>
    <s v="whole journey"/>
    <x v="33"/>
    <x v="1"/>
    <s v="Yes"/>
    <x v="0"/>
    <s v="No"/>
    <n v="495"/>
    <n v="0"/>
    <n v="0"/>
    <n v="0"/>
    <n v="171"/>
    <n v="129"/>
    <n v="113"/>
    <n v="69"/>
    <n v="48"/>
    <n v="26"/>
    <n v="12"/>
    <n v="495"/>
  </r>
  <r>
    <n v="2025"/>
    <n v="10"/>
    <x v="22"/>
    <s v="whole journey"/>
    <x v="33"/>
    <x v="0"/>
    <s v="Yes"/>
    <x v="0"/>
    <s v="No"/>
    <n v="123"/>
    <n v="0"/>
    <n v="0"/>
    <n v="0"/>
    <n v="66"/>
    <n v="55"/>
    <n v="52"/>
    <n v="37"/>
    <n v="27"/>
    <n v="16"/>
    <n v="4"/>
    <n v="123"/>
  </r>
  <r>
    <n v="2025"/>
    <n v="10"/>
    <x v="23"/>
    <s v="national network"/>
    <x v="39"/>
    <x v="1"/>
    <s v="No"/>
    <x v="1"/>
    <s v="No"/>
    <n v="3319"/>
    <n v="0"/>
    <n v="0"/>
    <n v="0"/>
    <n v="27"/>
    <n v="23"/>
    <n v="23"/>
    <n v="14"/>
    <n v="12"/>
    <n v="6"/>
    <n v="2"/>
    <n v="3319"/>
  </r>
  <r>
    <n v="2025"/>
    <n v="10"/>
    <x v="23"/>
    <s v="national network"/>
    <x v="39"/>
    <x v="0"/>
    <s v="No"/>
    <x v="1"/>
    <s v="No"/>
    <n v="1540"/>
    <n v="0"/>
    <n v="0"/>
    <n v="0"/>
    <n v="26"/>
    <n v="24"/>
    <n v="23"/>
    <n v="18"/>
    <n v="13"/>
    <n v="6"/>
    <n v="3"/>
    <n v="1540"/>
  </r>
  <r>
    <n v="2025"/>
    <n v="10"/>
    <x v="23"/>
    <s v="national network"/>
    <x v="40"/>
    <x v="1"/>
    <s v="No"/>
    <x v="1"/>
    <s v="No"/>
    <n v="1501"/>
    <n v="0"/>
    <n v="0"/>
    <n v="0"/>
    <n v="0"/>
    <n v="0"/>
    <n v="0"/>
    <n v="0"/>
    <n v="0"/>
    <n v="0"/>
    <n v="0"/>
    <n v="1501"/>
  </r>
  <r>
    <n v="2025"/>
    <n v="10"/>
    <x v="23"/>
    <s v="national network"/>
    <x v="40"/>
    <x v="2"/>
    <s v="No"/>
    <x v="1"/>
    <s v="No"/>
    <n v="1"/>
    <n v="0"/>
    <n v="0"/>
    <n v="0"/>
    <n v="0"/>
    <n v="0"/>
    <n v="0"/>
    <n v="0"/>
    <n v="0"/>
    <n v="0"/>
    <n v="0"/>
    <n v="0"/>
  </r>
  <r>
    <n v="2025"/>
    <n v="10"/>
    <x v="23"/>
    <s v="national network"/>
    <x v="2"/>
    <x v="0"/>
    <s v="No"/>
    <x v="1"/>
    <s v="No"/>
    <n v="291"/>
    <n v="0"/>
    <n v="0"/>
    <n v="0"/>
    <n v="118"/>
    <n v="112"/>
    <n v="110"/>
    <n v="106"/>
    <n v="102"/>
    <n v="35"/>
    <n v="11"/>
    <n v="291"/>
  </r>
  <r>
    <n v="2025"/>
    <n v="10"/>
    <x v="23"/>
    <s v="national network"/>
    <x v="43"/>
    <x v="1"/>
    <s v="No"/>
    <x v="1"/>
    <s v="No"/>
    <n v="41"/>
    <n v="0"/>
    <n v="0"/>
    <n v="0"/>
    <n v="0"/>
    <n v="0"/>
    <n v="0"/>
    <n v="0"/>
    <n v="0"/>
    <n v="0"/>
    <n v="0"/>
    <n v="41"/>
  </r>
  <r>
    <n v="2025"/>
    <n v="10"/>
    <x v="23"/>
    <s v="national network"/>
    <x v="43"/>
    <x v="0"/>
    <s v="No"/>
    <x v="1"/>
    <s v="No"/>
    <n v="82"/>
    <n v="0"/>
    <n v="0"/>
    <n v="0"/>
    <n v="0"/>
    <n v="0"/>
    <n v="0"/>
    <n v="0"/>
    <n v="0"/>
    <n v="0"/>
    <n v="0"/>
    <n v="82"/>
  </r>
  <r>
    <n v="2025"/>
    <n v="10"/>
    <x v="23"/>
    <s v="national network"/>
    <x v="0"/>
    <x v="0"/>
    <s v="No"/>
    <x v="1"/>
    <s v="No"/>
    <n v="31"/>
    <n v="0"/>
    <n v="0"/>
    <n v="0"/>
    <n v="4"/>
    <n v="2"/>
    <n v="2"/>
    <n v="1"/>
    <n v="1"/>
    <n v="1"/>
    <n v="1"/>
    <n v="31"/>
  </r>
  <r>
    <n v="2025"/>
    <n v="10"/>
    <x v="23"/>
    <s v="national network"/>
    <x v="49"/>
    <x v="1"/>
    <s v="No"/>
    <x v="1"/>
    <s v="No"/>
    <n v="2"/>
    <n v="0"/>
    <n v="0"/>
    <n v="0"/>
    <n v="1"/>
    <n v="1"/>
    <n v="1"/>
    <n v="1"/>
    <n v="1"/>
    <n v="0"/>
    <n v="0"/>
    <n v="2"/>
  </r>
  <r>
    <n v="2025"/>
    <n v="10"/>
    <x v="23"/>
    <s v="national network"/>
    <x v="53"/>
    <x v="1"/>
    <s v="No"/>
    <x v="1"/>
    <s v="No"/>
    <n v="11"/>
    <n v="0"/>
    <n v="0"/>
    <n v="0"/>
    <n v="8"/>
    <n v="6"/>
    <n v="6"/>
    <n v="5"/>
    <n v="4"/>
    <n v="2"/>
    <n v="1"/>
    <n v="11"/>
  </r>
  <r>
    <n v="2025"/>
    <n v="10"/>
    <x v="23"/>
    <s v="national network"/>
    <x v="45"/>
    <x v="1"/>
    <s v="No"/>
    <x v="1"/>
    <s v="No"/>
    <n v="4"/>
    <n v="0"/>
    <n v="1"/>
    <n v="1"/>
    <n v="0"/>
    <n v="0"/>
    <n v="0"/>
    <n v="0"/>
    <n v="0"/>
    <n v="0"/>
    <n v="0"/>
    <n v="4"/>
  </r>
  <r>
    <n v="2025"/>
    <n v="10"/>
    <x v="23"/>
    <s v="national network"/>
    <x v="45"/>
    <x v="0"/>
    <s v="No"/>
    <x v="1"/>
    <s v="No"/>
    <n v="5"/>
    <n v="0"/>
    <n v="0"/>
    <n v="0"/>
    <n v="4"/>
    <n v="3"/>
    <n v="2"/>
    <n v="1"/>
    <n v="0"/>
    <n v="0"/>
    <n v="0"/>
    <n v="5"/>
  </r>
  <r>
    <n v="2025"/>
    <n v="10"/>
    <x v="23"/>
    <s v="national network"/>
    <x v="46"/>
    <x v="1"/>
    <s v="No"/>
    <x v="1"/>
    <s v="No"/>
    <n v="16"/>
    <n v="1"/>
    <n v="1"/>
    <n v="2"/>
    <n v="8"/>
    <n v="6"/>
    <n v="6"/>
    <n v="3"/>
    <n v="2"/>
    <n v="1"/>
    <n v="0"/>
    <n v="14"/>
  </r>
  <r>
    <n v="2025"/>
    <n v="10"/>
    <x v="23"/>
    <s v="national network"/>
    <x v="46"/>
    <x v="2"/>
    <s v="No"/>
    <x v="1"/>
    <s v="No"/>
    <n v="2"/>
    <n v="0"/>
    <n v="0"/>
    <n v="0"/>
    <n v="0"/>
    <n v="0"/>
    <n v="0"/>
    <n v="0"/>
    <n v="0"/>
    <n v="0"/>
    <n v="0"/>
    <n v="0"/>
  </r>
  <r>
    <n v="2025"/>
    <n v="10"/>
    <x v="24"/>
    <s v="national network"/>
    <x v="2"/>
    <x v="0"/>
    <s v="No"/>
    <x v="1"/>
    <s v="No"/>
    <n v="40"/>
    <n v="0"/>
    <n v="0"/>
    <n v="0"/>
    <n v="0"/>
    <n v="0"/>
    <n v="0"/>
    <n v="0"/>
    <n v="0"/>
    <n v="0"/>
    <n v="0"/>
    <n v="40"/>
  </r>
  <r>
    <n v="2025"/>
    <n v="10"/>
    <x v="24"/>
    <s v="national network"/>
    <x v="3"/>
    <x v="0"/>
    <s v="No"/>
    <x v="1"/>
    <s v="No"/>
    <n v="62"/>
    <n v="0"/>
    <n v="0"/>
    <n v="0"/>
    <n v="1"/>
    <n v="1"/>
    <n v="0"/>
    <n v="0"/>
    <n v="0"/>
    <n v="0"/>
    <n v="0"/>
    <n v="62"/>
  </r>
  <r>
    <n v="2025"/>
    <n v="10"/>
    <x v="25"/>
    <s v="whole journey"/>
    <x v="47"/>
    <x v="1"/>
    <s v="No"/>
    <x v="0"/>
    <s v="No"/>
    <n v="1037"/>
    <n v="0"/>
    <n v="0"/>
    <n v="0"/>
    <n v="4"/>
    <n v="2"/>
    <n v="2"/>
    <n v="2"/>
    <n v="0"/>
    <n v="0"/>
    <n v="0"/>
    <n v="1037"/>
  </r>
  <r>
    <n v="2025"/>
    <n v="10"/>
    <x v="25"/>
    <s v="whole journey"/>
    <x v="47"/>
    <x v="0"/>
    <s v="No"/>
    <x v="0"/>
    <s v="No"/>
    <n v="218"/>
    <n v="0"/>
    <n v="0"/>
    <n v="0"/>
    <n v="158"/>
    <n v="122"/>
    <n v="106"/>
    <n v="61"/>
    <n v="41"/>
    <n v="20"/>
    <n v="3"/>
    <n v="218"/>
  </r>
  <r>
    <n v="2025"/>
    <n v="10"/>
    <x v="26"/>
    <s v="national network"/>
    <x v="3"/>
    <x v="0"/>
    <s v="No"/>
    <x v="1"/>
    <s v="No"/>
    <n v="25"/>
    <n v="0"/>
    <n v="0"/>
    <n v="0"/>
    <n v="24"/>
    <n v="24"/>
    <n v="24"/>
    <n v="24"/>
    <n v="22"/>
    <n v="16"/>
    <n v="8"/>
    <n v="25"/>
  </r>
  <r>
    <n v="2025"/>
    <n v="10"/>
    <x v="26"/>
    <s v="national network"/>
    <x v="4"/>
    <x v="0"/>
    <s v="No"/>
    <x v="0"/>
    <s v="Yes"/>
    <n v="62"/>
    <n v="0"/>
    <n v="0"/>
    <n v="0"/>
    <n v="8"/>
    <n v="8"/>
    <n v="7"/>
    <n v="6"/>
    <n v="6"/>
    <n v="3"/>
    <n v="3"/>
    <n v="62"/>
  </r>
  <r>
    <n v="2025"/>
    <n v="10"/>
    <x v="26"/>
    <s v="national network"/>
    <x v="10"/>
    <x v="0"/>
    <s v="Yes"/>
    <x v="0"/>
    <s v="No"/>
    <n v="41"/>
    <n v="0"/>
    <n v="0"/>
    <n v="0"/>
    <n v="6"/>
    <n v="5"/>
    <n v="4"/>
    <n v="3"/>
    <n v="1"/>
    <n v="1"/>
    <n v="0"/>
    <n v="41"/>
  </r>
  <r>
    <n v="2025"/>
    <n v="11"/>
    <x v="0"/>
    <s v="national network"/>
    <x v="0"/>
    <x v="0"/>
    <s v="No"/>
    <x v="0"/>
    <s v="No"/>
    <n v="957"/>
    <n v="9"/>
    <n v="0"/>
    <n v="9"/>
    <n v="103"/>
    <n v="69"/>
    <n v="55"/>
    <n v="32"/>
    <n v="23"/>
    <n v="6"/>
    <n v="1"/>
    <n v="948"/>
  </r>
  <r>
    <n v="2025"/>
    <n v="11"/>
    <x v="0"/>
    <s v="national network"/>
    <x v="58"/>
    <x v="0"/>
    <s v="Yes"/>
    <x v="0"/>
    <s v="No"/>
    <n v="55"/>
    <n v="1"/>
    <n v="0"/>
    <n v="1"/>
    <n v="28"/>
    <n v="9"/>
    <n v="9"/>
    <n v="8"/>
    <n v="3"/>
    <n v="0"/>
    <n v="0"/>
    <n v="54"/>
  </r>
  <r>
    <n v="2025"/>
    <n v="11"/>
    <x v="0"/>
    <s v="national network"/>
    <x v="58"/>
    <x v="2"/>
    <s v="Yes"/>
    <x v="0"/>
    <s v="No"/>
    <n v="13"/>
    <n v="0"/>
    <n v="0"/>
    <n v="0"/>
    <n v="0"/>
    <n v="0"/>
    <n v="0"/>
    <n v="0"/>
    <n v="0"/>
    <n v="0"/>
    <n v="0"/>
    <n v="0"/>
  </r>
  <r>
    <n v="2025"/>
    <n v="11"/>
    <x v="1"/>
    <s v="national network"/>
    <x v="2"/>
    <x v="0"/>
    <s v="No"/>
    <x v="1"/>
    <s v="No"/>
    <n v="53"/>
    <n v="0"/>
    <n v="0"/>
    <n v="0"/>
    <n v="0"/>
    <n v="0"/>
    <n v="0"/>
    <n v="0"/>
    <n v="0"/>
    <n v="0"/>
    <n v="0"/>
    <n v="53"/>
  </r>
  <r>
    <n v="2025"/>
    <n v="11"/>
    <x v="2"/>
    <s v="national network"/>
    <x v="3"/>
    <x v="0"/>
    <s v="No"/>
    <x v="1"/>
    <s v="No"/>
    <n v="751"/>
    <n v="2"/>
    <n v="0"/>
    <n v="2"/>
    <n v="240"/>
    <n v="203"/>
    <n v="183"/>
    <n v="146"/>
    <n v="113"/>
    <n v="62"/>
    <n v="20"/>
    <n v="749"/>
  </r>
  <r>
    <n v="2025"/>
    <n v="11"/>
    <x v="2"/>
    <s v="national network"/>
    <x v="4"/>
    <x v="0"/>
    <s v="No"/>
    <x v="0"/>
    <s v="Yes"/>
    <n v="148"/>
    <n v="0"/>
    <n v="1"/>
    <n v="1"/>
    <n v="83"/>
    <n v="78"/>
    <n v="74"/>
    <n v="63"/>
    <n v="53"/>
    <n v="26"/>
    <n v="14"/>
    <n v="147"/>
  </r>
  <r>
    <n v="2025"/>
    <n v="11"/>
    <x v="2"/>
    <s v="national network"/>
    <x v="0"/>
    <x v="0"/>
    <s v="No"/>
    <x v="1"/>
    <s v="No"/>
    <n v="220"/>
    <n v="0"/>
    <n v="0"/>
    <n v="0"/>
    <n v="0"/>
    <n v="0"/>
    <n v="0"/>
    <n v="0"/>
    <n v="0"/>
    <n v="0"/>
    <n v="0"/>
    <n v="220"/>
  </r>
  <r>
    <n v="2025"/>
    <n v="11"/>
    <x v="2"/>
    <s v="national network"/>
    <x v="0"/>
    <x v="0"/>
    <s v="No"/>
    <x v="0"/>
    <s v="No"/>
    <n v="58"/>
    <n v="0"/>
    <n v="0"/>
    <n v="0"/>
    <n v="8"/>
    <n v="8"/>
    <n v="8"/>
    <n v="6"/>
    <n v="6"/>
    <n v="6"/>
    <n v="2"/>
    <n v="58"/>
  </r>
  <r>
    <n v="2025"/>
    <n v="11"/>
    <x v="2"/>
    <s v="national network"/>
    <x v="5"/>
    <x v="0"/>
    <s v="No"/>
    <x v="0"/>
    <s v="Yes"/>
    <n v="47"/>
    <n v="0"/>
    <n v="0"/>
    <n v="0"/>
    <n v="43"/>
    <n v="40"/>
    <n v="40"/>
    <n v="38"/>
    <n v="34"/>
    <n v="15"/>
    <n v="9"/>
    <n v="47"/>
  </r>
  <r>
    <n v="2025"/>
    <n v="11"/>
    <x v="2"/>
    <s v="national network"/>
    <x v="6"/>
    <x v="0"/>
    <s v="No"/>
    <x v="0"/>
    <s v="No"/>
    <n v="453"/>
    <n v="0"/>
    <n v="0"/>
    <n v="0"/>
    <n v="59"/>
    <n v="47"/>
    <n v="42"/>
    <n v="35"/>
    <n v="30"/>
    <n v="14"/>
    <n v="2"/>
    <n v="453"/>
  </r>
  <r>
    <n v="2025"/>
    <n v="11"/>
    <x v="3"/>
    <s v="national network"/>
    <x v="3"/>
    <x v="1"/>
    <s v="No"/>
    <x v="0"/>
    <s v="No"/>
    <n v="20"/>
    <n v="4"/>
    <n v="1"/>
    <n v="5"/>
    <n v="3"/>
    <n v="2"/>
    <n v="1"/>
    <n v="1"/>
    <n v="1"/>
    <n v="0"/>
    <n v="0"/>
    <n v="15"/>
  </r>
  <r>
    <n v="2025"/>
    <n v="11"/>
    <x v="3"/>
    <s v="national network"/>
    <x v="3"/>
    <x v="0"/>
    <s v="No"/>
    <x v="0"/>
    <s v="No"/>
    <n v="1592"/>
    <n v="34"/>
    <n v="35"/>
    <n v="69"/>
    <n v="1018"/>
    <n v="872"/>
    <n v="820"/>
    <n v="646"/>
    <n v="483"/>
    <n v="238"/>
    <n v="72"/>
    <n v="1537"/>
  </r>
  <r>
    <n v="2025"/>
    <n v="11"/>
    <x v="3"/>
    <s v="national network"/>
    <x v="3"/>
    <x v="2"/>
    <s v="No"/>
    <x v="0"/>
    <s v="No"/>
    <n v="1"/>
    <n v="1"/>
    <n v="0"/>
    <n v="1"/>
    <n v="0"/>
    <n v="0"/>
    <n v="0"/>
    <n v="0"/>
    <n v="0"/>
    <n v="0"/>
    <n v="0"/>
    <n v="0"/>
  </r>
  <r>
    <n v="2025"/>
    <n v="11"/>
    <x v="3"/>
    <s v="national network"/>
    <x v="7"/>
    <x v="0"/>
    <s v="No"/>
    <x v="0"/>
    <s v="No"/>
    <n v="67"/>
    <n v="0"/>
    <n v="0"/>
    <n v="0"/>
    <n v="53"/>
    <n v="47"/>
    <n v="41"/>
    <n v="31"/>
    <n v="19"/>
    <n v="9"/>
    <n v="3"/>
    <n v="67"/>
  </r>
  <r>
    <n v="2025"/>
    <n v="11"/>
    <x v="3"/>
    <s v="national network"/>
    <x v="4"/>
    <x v="1"/>
    <s v="No"/>
    <x v="0"/>
    <s v="Yes"/>
    <n v="2"/>
    <n v="0"/>
    <n v="0"/>
    <n v="0"/>
    <n v="0"/>
    <n v="0"/>
    <n v="0"/>
    <n v="0"/>
    <n v="0"/>
    <n v="0"/>
    <n v="0"/>
    <n v="2"/>
  </r>
  <r>
    <n v="2025"/>
    <n v="11"/>
    <x v="3"/>
    <s v="national network"/>
    <x v="4"/>
    <x v="0"/>
    <s v="No"/>
    <x v="0"/>
    <s v="Yes"/>
    <n v="311"/>
    <n v="4"/>
    <n v="3"/>
    <n v="7"/>
    <n v="196"/>
    <n v="174"/>
    <n v="163"/>
    <n v="133"/>
    <n v="110"/>
    <n v="57"/>
    <n v="27"/>
    <n v="306"/>
  </r>
  <r>
    <n v="2025"/>
    <n v="11"/>
    <x v="3"/>
    <s v="national network"/>
    <x v="0"/>
    <x v="1"/>
    <s v="No"/>
    <x v="0"/>
    <s v="No"/>
    <n v="4267"/>
    <n v="162"/>
    <n v="551"/>
    <n v="713"/>
    <n v="2697"/>
    <n v="2382"/>
    <n v="2237"/>
    <n v="1804"/>
    <n v="1438"/>
    <n v="720"/>
    <n v="187"/>
    <n v="3923"/>
  </r>
  <r>
    <n v="2025"/>
    <n v="11"/>
    <x v="3"/>
    <s v="national network"/>
    <x v="0"/>
    <x v="0"/>
    <s v="No"/>
    <x v="0"/>
    <s v="No"/>
    <n v="1556"/>
    <n v="14"/>
    <n v="37"/>
    <n v="51"/>
    <n v="934"/>
    <n v="763"/>
    <n v="696"/>
    <n v="498"/>
    <n v="349"/>
    <n v="130"/>
    <n v="37"/>
    <n v="1530"/>
  </r>
  <r>
    <n v="2025"/>
    <n v="11"/>
    <x v="3"/>
    <s v="national network"/>
    <x v="8"/>
    <x v="1"/>
    <s v="Yes"/>
    <x v="0"/>
    <s v="No"/>
    <n v="14706"/>
    <n v="334"/>
    <n v="1276"/>
    <n v="1610"/>
    <n v="9699"/>
    <n v="8670"/>
    <n v="8219"/>
    <n v="6697"/>
    <n v="5262"/>
    <n v="2766"/>
    <n v="840"/>
    <n v="13889"/>
  </r>
  <r>
    <n v="2025"/>
    <n v="11"/>
    <x v="3"/>
    <s v="national network"/>
    <x v="8"/>
    <x v="0"/>
    <s v="Yes"/>
    <x v="0"/>
    <s v="No"/>
    <n v="3526"/>
    <n v="35"/>
    <n v="188"/>
    <n v="223"/>
    <n v="2491"/>
    <n v="2170"/>
    <n v="2046"/>
    <n v="1687"/>
    <n v="1349"/>
    <n v="669"/>
    <n v="190"/>
    <n v="3426"/>
  </r>
  <r>
    <n v="2025"/>
    <n v="11"/>
    <x v="3"/>
    <s v="national network"/>
    <x v="8"/>
    <x v="2"/>
    <s v="Yes"/>
    <x v="0"/>
    <s v="No"/>
    <n v="3"/>
    <n v="0"/>
    <n v="0"/>
    <n v="0"/>
    <n v="0"/>
    <n v="0"/>
    <n v="0"/>
    <n v="0"/>
    <n v="0"/>
    <n v="0"/>
    <n v="0"/>
    <n v="0"/>
  </r>
  <r>
    <n v="2025"/>
    <n v="11"/>
    <x v="3"/>
    <s v="national network"/>
    <x v="9"/>
    <x v="0"/>
    <s v="No"/>
    <x v="0"/>
    <s v="No"/>
    <n v="468"/>
    <n v="9"/>
    <n v="0"/>
    <n v="9"/>
    <n v="27"/>
    <n v="12"/>
    <n v="7"/>
    <n v="5"/>
    <n v="1"/>
    <n v="0"/>
    <n v="0"/>
    <n v="459"/>
  </r>
  <r>
    <n v="2025"/>
    <n v="11"/>
    <x v="3"/>
    <s v="national network"/>
    <x v="5"/>
    <x v="1"/>
    <s v="No"/>
    <x v="0"/>
    <s v="Yes"/>
    <n v="26"/>
    <n v="5"/>
    <n v="1"/>
    <n v="6"/>
    <n v="14"/>
    <n v="13"/>
    <n v="13"/>
    <n v="11"/>
    <n v="7"/>
    <n v="5"/>
    <n v="3"/>
    <n v="21"/>
  </r>
  <r>
    <n v="2025"/>
    <n v="11"/>
    <x v="3"/>
    <s v="national network"/>
    <x v="5"/>
    <x v="0"/>
    <s v="No"/>
    <x v="0"/>
    <s v="Yes"/>
    <n v="688"/>
    <n v="10"/>
    <n v="31"/>
    <n v="41"/>
    <n v="456"/>
    <n v="420"/>
    <n v="403"/>
    <n v="350"/>
    <n v="300"/>
    <n v="220"/>
    <n v="107"/>
    <n v="668"/>
  </r>
  <r>
    <n v="2025"/>
    <n v="11"/>
    <x v="3"/>
    <s v="national network"/>
    <x v="58"/>
    <x v="0"/>
    <s v="Yes"/>
    <x v="0"/>
    <s v="No"/>
    <n v="5"/>
    <n v="0"/>
    <n v="0"/>
    <n v="0"/>
    <n v="1"/>
    <n v="0"/>
    <n v="0"/>
    <n v="0"/>
    <n v="0"/>
    <n v="0"/>
    <n v="0"/>
    <n v="5"/>
  </r>
  <r>
    <n v="2025"/>
    <n v="11"/>
    <x v="3"/>
    <s v="national network"/>
    <x v="6"/>
    <x v="1"/>
    <s v="No"/>
    <x v="0"/>
    <s v="No"/>
    <n v="42"/>
    <n v="0"/>
    <n v="0"/>
    <n v="0"/>
    <n v="24"/>
    <n v="23"/>
    <n v="21"/>
    <n v="17"/>
    <n v="13"/>
    <n v="5"/>
    <n v="2"/>
    <n v="42"/>
  </r>
  <r>
    <n v="2025"/>
    <n v="11"/>
    <x v="3"/>
    <s v="national network"/>
    <x v="6"/>
    <x v="0"/>
    <s v="No"/>
    <x v="0"/>
    <s v="No"/>
    <n v="365"/>
    <n v="6"/>
    <n v="7"/>
    <n v="13"/>
    <n v="234"/>
    <n v="200"/>
    <n v="188"/>
    <n v="143"/>
    <n v="109"/>
    <n v="40"/>
    <n v="12"/>
    <n v="357"/>
  </r>
  <r>
    <n v="2025"/>
    <n v="11"/>
    <x v="3"/>
    <s v="national network"/>
    <x v="6"/>
    <x v="2"/>
    <s v="No"/>
    <x v="0"/>
    <s v="No"/>
    <n v="2"/>
    <n v="1"/>
    <n v="0"/>
    <n v="1"/>
    <n v="0"/>
    <n v="0"/>
    <n v="0"/>
    <n v="0"/>
    <n v="0"/>
    <n v="0"/>
    <n v="0"/>
    <n v="0"/>
  </r>
  <r>
    <n v="2025"/>
    <n v="11"/>
    <x v="3"/>
    <s v="national network"/>
    <x v="10"/>
    <x v="0"/>
    <s v="Yes"/>
    <x v="0"/>
    <s v="No"/>
    <n v="353"/>
    <n v="0"/>
    <n v="4"/>
    <n v="4"/>
    <n v="273"/>
    <n v="233"/>
    <n v="216"/>
    <n v="176"/>
    <n v="138"/>
    <n v="64"/>
    <n v="11"/>
    <n v="351"/>
  </r>
  <r>
    <n v="2025"/>
    <n v="11"/>
    <x v="3"/>
    <s v="national network"/>
    <x v="10"/>
    <x v="2"/>
    <s v="Yes"/>
    <x v="0"/>
    <s v="No"/>
    <n v="1"/>
    <n v="0"/>
    <n v="0"/>
    <n v="0"/>
    <n v="0"/>
    <n v="0"/>
    <n v="0"/>
    <n v="0"/>
    <n v="0"/>
    <n v="0"/>
    <n v="0"/>
    <n v="0"/>
  </r>
  <r>
    <n v="2025"/>
    <n v="11"/>
    <x v="3"/>
    <s v="national network"/>
    <x v="11"/>
    <x v="0"/>
    <s v="Yes"/>
    <x v="0"/>
    <s v="No"/>
    <n v="402"/>
    <n v="0"/>
    <n v="3"/>
    <n v="3"/>
    <n v="269"/>
    <n v="218"/>
    <n v="204"/>
    <n v="157"/>
    <n v="118"/>
    <n v="45"/>
    <n v="7"/>
    <n v="399"/>
  </r>
  <r>
    <n v="2025"/>
    <n v="11"/>
    <x v="4"/>
    <s v="national network"/>
    <x v="3"/>
    <x v="0"/>
    <s v="No"/>
    <x v="1"/>
    <s v="No"/>
    <n v="280"/>
    <n v="11"/>
    <n v="0"/>
    <n v="11"/>
    <n v="15"/>
    <n v="14"/>
    <n v="14"/>
    <n v="14"/>
    <n v="13"/>
    <n v="10"/>
    <n v="3"/>
    <n v="269"/>
  </r>
  <r>
    <n v="2025"/>
    <n v="11"/>
    <x v="4"/>
    <s v="national network"/>
    <x v="4"/>
    <x v="0"/>
    <s v="No"/>
    <x v="0"/>
    <s v="Yes"/>
    <n v="44"/>
    <n v="0"/>
    <n v="0"/>
    <n v="0"/>
    <n v="16"/>
    <n v="16"/>
    <n v="15"/>
    <n v="13"/>
    <n v="12"/>
    <n v="11"/>
    <n v="5"/>
    <n v="44"/>
  </r>
  <r>
    <n v="2025"/>
    <n v="11"/>
    <x v="4"/>
    <s v="national network"/>
    <x v="0"/>
    <x v="0"/>
    <s v="No"/>
    <x v="0"/>
    <s v="No"/>
    <n v="245"/>
    <n v="3"/>
    <n v="0"/>
    <n v="3"/>
    <n v="56"/>
    <n v="34"/>
    <n v="28"/>
    <n v="10"/>
    <n v="2"/>
    <n v="1"/>
    <n v="0"/>
    <n v="242"/>
  </r>
  <r>
    <n v="2025"/>
    <n v="11"/>
    <x v="4"/>
    <s v="national network"/>
    <x v="5"/>
    <x v="0"/>
    <s v="No"/>
    <x v="0"/>
    <s v="Yes"/>
    <n v="16"/>
    <n v="0"/>
    <n v="0"/>
    <n v="0"/>
    <n v="3"/>
    <n v="3"/>
    <n v="3"/>
    <n v="3"/>
    <n v="3"/>
    <n v="3"/>
    <n v="3"/>
    <n v="16"/>
  </r>
  <r>
    <n v="2025"/>
    <n v="11"/>
    <x v="5"/>
    <s v="whole journey"/>
    <x v="12"/>
    <x v="0"/>
    <s v="No"/>
    <x v="0"/>
    <s v="Yes"/>
    <n v="23"/>
    <n v="0"/>
    <n v="3"/>
    <n v="3"/>
    <n v="7"/>
    <n v="7"/>
    <n v="6"/>
    <n v="4"/>
    <n v="3"/>
    <n v="2"/>
    <n v="1"/>
    <n v="22"/>
  </r>
  <r>
    <n v="2025"/>
    <n v="11"/>
    <x v="6"/>
    <s v="whole journey"/>
    <x v="13"/>
    <x v="1"/>
    <s v="Yes"/>
    <x v="0"/>
    <s v="No"/>
    <n v="17"/>
    <n v="0"/>
    <n v="0"/>
    <n v="0"/>
    <n v="14"/>
    <n v="12"/>
    <n v="11"/>
    <n v="10"/>
    <n v="8"/>
    <n v="1"/>
    <n v="1"/>
    <n v="17"/>
  </r>
  <r>
    <n v="2025"/>
    <n v="11"/>
    <x v="6"/>
    <s v="whole journey"/>
    <x v="13"/>
    <x v="0"/>
    <s v="Yes"/>
    <x v="0"/>
    <s v="No"/>
    <n v="3600"/>
    <n v="261"/>
    <n v="223"/>
    <n v="484"/>
    <n v="901"/>
    <n v="887"/>
    <n v="881"/>
    <n v="615"/>
    <n v="509"/>
    <n v="249"/>
    <n v="71"/>
    <n v="3310"/>
  </r>
  <r>
    <n v="2025"/>
    <n v="11"/>
    <x v="7"/>
    <s v="whole journey"/>
    <x v="14"/>
    <x v="1"/>
    <s v="No"/>
    <x v="0"/>
    <s v="No"/>
    <n v="439"/>
    <n v="11"/>
    <n v="11"/>
    <n v="22"/>
    <n v="322"/>
    <n v="294"/>
    <n v="287"/>
    <n v="248"/>
    <n v="208"/>
    <n v="122"/>
    <n v="46"/>
    <n v="424"/>
  </r>
  <r>
    <n v="2025"/>
    <n v="11"/>
    <x v="7"/>
    <s v="whole journey"/>
    <x v="14"/>
    <x v="0"/>
    <s v="No"/>
    <x v="0"/>
    <s v="No"/>
    <n v="52"/>
    <n v="0"/>
    <n v="2"/>
    <n v="2"/>
    <n v="26"/>
    <n v="25"/>
    <n v="23"/>
    <n v="18"/>
    <n v="13"/>
    <n v="8"/>
    <n v="4"/>
    <n v="51"/>
  </r>
  <r>
    <n v="2025"/>
    <n v="11"/>
    <x v="8"/>
    <s v="national network"/>
    <x v="2"/>
    <x v="0"/>
    <s v="No"/>
    <x v="1"/>
    <s v="No"/>
    <n v="170"/>
    <n v="0"/>
    <n v="0"/>
    <n v="0"/>
    <n v="3"/>
    <n v="3"/>
    <n v="3"/>
    <n v="2"/>
    <n v="2"/>
    <n v="0"/>
    <n v="0"/>
    <n v="170"/>
  </r>
  <r>
    <n v="2025"/>
    <n v="11"/>
    <x v="8"/>
    <s v="national network"/>
    <x v="4"/>
    <x v="0"/>
    <s v="No"/>
    <x v="0"/>
    <s v="Yes"/>
    <n v="118"/>
    <n v="2"/>
    <n v="1"/>
    <n v="3"/>
    <n v="7"/>
    <n v="3"/>
    <n v="3"/>
    <n v="3"/>
    <n v="0"/>
    <n v="0"/>
    <n v="0"/>
    <n v="116"/>
  </r>
  <r>
    <n v="2025"/>
    <n v="11"/>
    <x v="9"/>
    <s v="national network"/>
    <x v="2"/>
    <x v="0"/>
    <s v="No"/>
    <x v="1"/>
    <s v="No"/>
    <n v="108"/>
    <n v="0"/>
    <n v="0"/>
    <n v="0"/>
    <n v="1"/>
    <n v="1"/>
    <n v="1"/>
    <n v="0"/>
    <n v="0"/>
    <n v="0"/>
    <n v="0"/>
    <n v="108"/>
  </r>
  <r>
    <n v="2025"/>
    <n v="11"/>
    <x v="9"/>
    <s v="national network"/>
    <x v="3"/>
    <x v="0"/>
    <s v="No"/>
    <x v="0"/>
    <s v="No"/>
    <n v="475"/>
    <n v="0"/>
    <n v="0"/>
    <n v="0"/>
    <n v="127"/>
    <n v="110"/>
    <n v="100"/>
    <n v="69"/>
    <n v="51"/>
    <n v="29"/>
    <n v="6"/>
    <n v="475"/>
  </r>
  <r>
    <n v="2025"/>
    <n v="11"/>
    <x v="9"/>
    <s v="national network"/>
    <x v="4"/>
    <x v="0"/>
    <s v="No"/>
    <x v="0"/>
    <s v="Yes"/>
    <n v="155"/>
    <n v="1"/>
    <n v="0"/>
    <n v="1"/>
    <n v="26"/>
    <n v="21"/>
    <n v="19"/>
    <n v="9"/>
    <n v="7"/>
    <n v="4"/>
    <n v="3"/>
    <n v="154"/>
  </r>
  <r>
    <n v="2025"/>
    <n v="11"/>
    <x v="9"/>
    <s v="national network"/>
    <x v="0"/>
    <x v="0"/>
    <s v="No"/>
    <x v="0"/>
    <s v="No"/>
    <n v="219"/>
    <n v="0"/>
    <n v="0"/>
    <n v="0"/>
    <n v="1"/>
    <n v="0"/>
    <n v="0"/>
    <n v="0"/>
    <n v="0"/>
    <n v="0"/>
    <n v="0"/>
    <n v="219"/>
  </r>
  <r>
    <n v="2025"/>
    <n v="11"/>
    <x v="9"/>
    <s v="national network"/>
    <x v="0"/>
    <x v="2"/>
    <s v="No"/>
    <x v="0"/>
    <s v="No"/>
    <n v="1"/>
    <n v="0"/>
    <n v="0"/>
    <n v="0"/>
    <n v="0"/>
    <n v="0"/>
    <n v="0"/>
    <n v="0"/>
    <n v="0"/>
    <n v="0"/>
    <n v="0"/>
    <n v="0"/>
  </r>
  <r>
    <n v="2025"/>
    <n v="11"/>
    <x v="9"/>
    <s v="national network"/>
    <x v="10"/>
    <x v="0"/>
    <s v="Yes"/>
    <x v="0"/>
    <s v="No"/>
    <n v="461"/>
    <n v="1"/>
    <n v="0"/>
    <n v="1"/>
    <n v="250"/>
    <n v="221"/>
    <n v="209"/>
    <n v="161"/>
    <n v="121"/>
    <n v="58"/>
    <n v="15"/>
    <n v="460"/>
  </r>
  <r>
    <n v="2025"/>
    <n v="11"/>
    <x v="10"/>
    <s v="national network"/>
    <x v="15"/>
    <x v="0"/>
    <s v="No"/>
    <x v="0"/>
    <s v="No"/>
    <n v="726"/>
    <n v="5"/>
    <n v="0"/>
    <n v="5"/>
    <n v="59"/>
    <n v="43"/>
    <n v="31"/>
    <n v="22"/>
    <n v="11"/>
    <n v="0"/>
    <n v="0"/>
    <n v="721"/>
  </r>
  <r>
    <n v="2025"/>
    <n v="11"/>
    <x v="10"/>
    <s v="national network"/>
    <x v="16"/>
    <x v="1"/>
    <s v="No"/>
    <x v="0"/>
    <s v="No"/>
    <n v="6"/>
    <n v="0"/>
    <n v="6"/>
    <n v="6"/>
    <n v="0"/>
    <n v="0"/>
    <n v="0"/>
    <n v="0"/>
    <n v="0"/>
    <n v="0"/>
    <n v="0"/>
    <n v="0"/>
  </r>
  <r>
    <n v="2025"/>
    <n v="11"/>
    <x v="10"/>
    <s v="national network"/>
    <x v="16"/>
    <x v="0"/>
    <s v="No"/>
    <x v="0"/>
    <s v="No"/>
    <n v="2"/>
    <n v="0"/>
    <n v="0"/>
    <n v="0"/>
    <n v="1"/>
    <n v="1"/>
    <n v="1"/>
    <n v="0"/>
    <n v="0"/>
    <n v="0"/>
    <n v="0"/>
    <n v="2"/>
  </r>
  <r>
    <n v="2025"/>
    <n v="11"/>
    <x v="10"/>
    <s v="national network"/>
    <x v="0"/>
    <x v="1"/>
    <s v="No"/>
    <x v="0"/>
    <s v="No"/>
    <n v="35437"/>
    <n v="0"/>
    <n v="4323"/>
    <n v="4323"/>
    <n v="6132"/>
    <n v="3568"/>
    <n v="2819"/>
    <n v="1353"/>
    <n v="632"/>
    <n v="70"/>
    <n v="2"/>
    <n v="31964"/>
  </r>
  <r>
    <n v="2025"/>
    <n v="11"/>
    <x v="10"/>
    <s v="national network"/>
    <x v="0"/>
    <x v="0"/>
    <s v="No"/>
    <x v="0"/>
    <s v="No"/>
    <n v="60"/>
    <n v="0"/>
    <n v="3"/>
    <n v="3"/>
    <n v="31"/>
    <n v="25"/>
    <n v="23"/>
    <n v="21"/>
    <n v="16"/>
    <n v="10"/>
    <n v="6"/>
    <n v="58"/>
  </r>
  <r>
    <n v="2025"/>
    <n v="11"/>
    <x v="10"/>
    <s v="national network"/>
    <x v="0"/>
    <x v="2"/>
    <s v="No"/>
    <x v="0"/>
    <s v="No"/>
    <n v="1"/>
    <n v="1"/>
    <n v="0"/>
    <n v="1"/>
    <n v="0"/>
    <n v="0"/>
    <n v="0"/>
    <n v="0"/>
    <n v="0"/>
    <n v="0"/>
    <n v="0"/>
    <n v="0"/>
  </r>
  <r>
    <n v="2025"/>
    <n v="11"/>
    <x v="10"/>
    <s v="national network"/>
    <x v="17"/>
    <x v="1"/>
    <s v="No"/>
    <x v="0"/>
    <s v="No"/>
    <n v="2832"/>
    <n v="0"/>
    <n v="625"/>
    <n v="625"/>
    <n v="680"/>
    <n v="461"/>
    <n v="396"/>
    <n v="219"/>
    <n v="98"/>
    <n v="10"/>
    <n v="0"/>
    <n v="2435"/>
  </r>
  <r>
    <n v="2025"/>
    <n v="11"/>
    <x v="10"/>
    <s v="national network"/>
    <x v="8"/>
    <x v="0"/>
    <s v="Yes"/>
    <x v="0"/>
    <s v="No"/>
    <n v="843"/>
    <n v="4"/>
    <n v="9"/>
    <n v="13"/>
    <n v="351"/>
    <n v="299"/>
    <n v="287"/>
    <n v="258"/>
    <n v="201"/>
    <n v="80"/>
    <n v="35"/>
    <n v="836"/>
  </r>
  <r>
    <n v="2025"/>
    <n v="11"/>
    <x v="10"/>
    <s v="national network"/>
    <x v="5"/>
    <x v="0"/>
    <s v="No"/>
    <x v="0"/>
    <s v="Yes"/>
    <n v="179"/>
    <n v="2"/>
    <n v="5"/>
    <n v="7"/>
    <n v="132"/>
    <n v="119"/>
    <n v="114"/>
    <n v="104"/>
    <n v="90"/>
    <n v="60"/>
    <n v="40"/>
    <n v="173"/>
  </r>
  <r>
    <n v="2025"/>
    <n v="11"/>
    <x v="10"/>
    <s v="national network"/>
    <x v="18"/>
    <x v="1"/>
    <s v="No"/>
    <x v="0"/>
    <s v="Yes"/>
    <n v="17"/>
    <n v="0"/>
    <n v="0"/>
    <n v="0"/>
    <n v="4"/>
    <n v="2"/>
    <n v="1"/>
    <n v="1"/>
    <n v="1"/>
    <n v="1"/>
    <n v="0"/>
    <n v="17"/>
  </r>
  <r>
    <n v="2025"/>
    <n v="11"/>
    <x v="10"/>
    <s v="national network"/>
    <x v="19"/>
    <x v="1"/>
    <s v="No"/>
    <x v="1"/>
    <s v="No"/>
    <n v="3980"/>
    <n v="0"/>
    <n v="312"/>
    <n v="312"/>
    <n v="620"/>
    <n v="261"/>
    <n v="187"/>
    <n v="81"/>
    <n v="33"/>
    <n v="5"/>
    <n v="0"/>
    <n v="3765"/>
  </r>
  <r>
    <n v="2025"/>
    <n v="11"/>
    <x v="10"/>
    <s v="national network"/>
    <x v="19"/>
    <x v="0"/>
    <s v="No"/>
    <x v="1"/>
    <s v="No"/>
    <n v="3"/>
    <n v="0"/>
    <n v="0"/>
    <n v="0"/>
    <n v="2"/>
    <n v="2"/>
    <n v="2"/>
    <n v="2"/>
    <n v="2"/>
    <n v="2"/>
    <n v="2"/>
    <n v="3"/>
  </r>
  <r>
    <n v="2025"/>
    <n v="11"/>
    <x v="10"/>
    <s v="national network"/>
    <x v="20"/>
    <x v="1"/>
    <s v="No"/>
    <x v="1"/>
    <s v="No"/>
    <n v="74652"/>
    <n v="0"/>
    <n v="4452"/>
    <n v="4452"/>
    <n v="8193"/>
    <n v="3888"/>
    <n v="2871"/>
    <n v="1109"/>
    <n v="417"/>
    <n v="52"/>
    <n v="5"/>
    <n v="71486"/>
  </r>
  <r>
    <n v="2025"/>
    <n v="11"/>
    <x v="10"/>
    <s v="national network"/>
    <x v="21"/>
    <x v="1"/>
    <s v="No"/>
    <x v="1"/>
    <s v="No"/>
    <n v="36335"/>
    <n v="0"/>
    <n v="1206"/>
    <n v="1206"/>
    <n v="4363"/>
    <n v="1769"/>
    <n v="1163"/>
    <n v="343"/>
    <n v="124"/>
    <n v="9"/>
    <n v="0"/>
    <n v="35452"/>
  </r>
  <r>
    <n v="2025"/>
    <n v="11"/>
    <x v="11"/>
    <s v="national network"/>
    <x v="2"/>
    <x v="1"/>
    <s v="No"/>
    <x v="0"/>
    <s v="No"/>
    <n v="400"/>
    <n v="1"/>
    <n v="0"/>
    <n v="1"/>
    <n v="89"/>
    <n v="54"/>
    <n v="44"/>
    <n v="27"/>
    <n v="16"/>
    <n v="5"/>
    <n v="4"/>
    <n v="399"/>
  </r>
  <r>
    <n v="2025"/>
    <n v="11"/>
    <x v="11"/>
    <s v="national network"/>
    <x v="2"/>
    <x v="0"/>
    <s v="No"/>
    <x v="0"/>
    <s v="No"/>
    <n v="851"/>
    <n v="0"/>
    <n v="0"/>
    <n v="0"/>
    <n v="205"/>
    <n v="141"/>
    <n v="121"/>
    <n v="85"/>
    <n v="56"/>
    <n v="22"/>
    <n v="4"/>
    <n v="851"/>
  </r>
  <r>
    <n v="2025"/>
    <n v="11"/>
    <x v="11"/>
    <s v="national network"/>
    <x v="3"/>
    <x v="1"/>
    <s v="No"/>
    <x v="0"/>
    <s v="No"/>
    <n v="145"/>
    <n v="0"/>
    <n v="0"/>
    <n v="0"/>
    <n v="19"/>
    <n v="11"/>
    <n v="11"/>
    <n v="9"/>
    <n v="7"/>
    <n v="1"/>
    <n v="0"/>
    <n v="145"/>
  </r>
  <r>
    <n v="2025"/>
    <n v="11"/>
    <x v="11"/>
    <s v="national network"/>
    <x v="3"/>
    <x v="0"/>
    <s v="No"/>
    <x v="0"/>
    <s v="No"/>
    <n v="1378"/>
    <n v="5"/>
    <n v="2"/>
    <n v="7"/>
    <n v="555"/>
    <n v="441"/>
    <n v="390"/>
    <n v="297"/>
    <n v="214"/>
    <n v="81"/>
    <n v="29"/>
    <n v="1371"/>
  </r>
  <r>
    <n v="2025"/>
    <n v="11"/>
    <x v="11"/>
    <s v="national network"/>
    <x v="7"/>
    <x v="0"/>
    <s v="No"/>
    <x v="0"/>
    <s v="No"/>
    <n v="12"/>
    <n v="0"/>
    <n v="0"/>
    <n v="0"/>
    <n v="8"/>
    <n v="6"/>
    <n v="5"/>
    <n v="4"/>
    <n v="1"/>
    <n v="1"/>
    <n v="1"/>
    <n v="12"/>
  </r>
  <r>
    <n v="2025"/>
    <n v="11"/>
    <x v="11"/>
    <s v="national network"/>
    <x v="4"/>
    <x v="1"/>
    <s v="No"/>
    <x v="0"/>
    <s v="Yes"/>
    <n v="3"/>
    <n v="0"/>
    <n v="0"/>
    <n v="0"/>
    <n v="0"/>
    <n v="0"/>
    <n v="0"/>
    <n v="0"/>
    <n v="0"/>
    <n v="0"/>
    <n v="0"/>
    <n v="3"/>
  </r>
  <r>
    <n v="2025"/>
    <n v="11"/>
    <x v="11"/>
    <s v="national network"/>
    <x v="4"/>
    <x v="0"/>
    <s v="No"/>
    <x v="0"/>
    <s v="Yes"/>
    <n v="320"/>
    <n v="2"/>
    <n v="1"/>
    <n v="3"/>
    <n v="81"/>
    <n v="62"/>
    <n v="57"/>
    <n v="47"/>
    <n v="35"/>
    <n v="16"/>
    <n v="7"/>
    <n v="317"/>
  </r>
  <r>
    <n v="2025"/>
    <n v="11"/>
    <x v="11"/>
    <s v="national network"/>
    <x v="0"/>
    <x v="1"/>
    <s v="No"/>
    <x v="0"/>
    <s v="No"/>
    <n v="1353"/>
    <n v="3"/>
    <n v="15"/>
    <n v="18"/>
    <n v="212"/>
    <n v="137"/>
    <n v="114"/>
    <n v="65"/>
    <n v="39"/>
    <n v="14"/>
    <n v="8"/>
    <n v="1343"/>
  </r>
  <r>
    <n v="2025"/>
    <n v="11"/>
    <x v="11"/>
    <s v="national network"/>
    <x v="0"/>
    <x v="0"/>
    <s v="No"/>
    <x v="0"/>
    <s v="No"/>
    <n v="510"/>
    <n v="2"/>
    <n v="0"/>
    <n v="2"/>
    <n v="86"/>
    <n v="71"/>
    <n v="66"/>
    <n v="51"/>
    <n v="37"/>
    <n v="17"/>
    <n v="5"/>
    <n v="508"/>
  </r>
  <r>
    <n v="2025"/>
    <n v="11"/>
    <x v="11"/>
    <s v="national network"/>
    <x v="8"/>
    <x v="1"/>
    <s v="Yes"/>
    <x v="0"/>
    <s v="No"/>
    <n v="68"/>
    <n v="1"/>
    <n v="0"/>
    <n v="1"/>
    <n v="8"/>
    <n v="7"/>
    <n v="5"/>
    <n v="4"/>
    <n v="3"/>
    <n v="3"/>
    <n v="0"/>
    <n v="67"/>
  </r>
  <r>
    <n v="2025"/>
    <n v="11"/>
    <x v="11"/>
    <s v="national network"/>
    <x v="8"/>
    <x v="0"/>
    <s v="Yes"/>
    <x v="0"/>
    <s v="No"/>
    <n v="668"/>
    <n v="9"/>
    <n v="3"/>
    <n v="12"/>
    <n v="269"/>
    <n v="223"/>
    <n v="214"/>
    <n v="191"/>
    <n v="160"/>
    <n v="87"/>
    <n v="35"/>
    <n v="657"/>
  </r>
  <r>
    <n v="2025"/>
    <n v="11"/>
    <x v="11"/>
    <s v="national network"/>
    <x v="9"/>
    <x v="1"/>
    <s v="No"/>
    <x v="0"/>
    <s v="No"/>
    <n v="320"/>
    <n v="0"/>
    <n v="0"/>
    <n v="0"/>
    <n v="22"/>
    <n v="13"/>
    <n v="11"/>
    <n v="8"/>
    <n v="8"/>
    <n v="4"/>
    <n v="2"/>
    <n v="320"/>
  </r>
  <r>
    <n v="2025"/>
    <n v="11"/>
    <x v="11"/>
    <s v="national network"/>
    <x v="5"/>
    <x v="1"/>
    <s v="No"/>
    <x v="0"/>
    <s v="Yes"/>
    <n v="58"/>
    <n v="1"/>
    <n v="0"/>
    <n v="1"/>
    <n v="2"/>
    <n v="2"/>
    <n v="2"/>
    <n v="2"/>
    <n v="2"/>
    <n v="0"/>
    <n v="0"/>
    <n v="57"/>
  </r>
  <r>
    <n v="2025"/>
    <n v="11"/>
    <x v="11"/>
    <s v="national network"/>
    <x v="5"/>
    <x v="0"/>
    <s v="No"/>
    <x v="0"/>
    <s v="Yes"/>
    <n v="685"/>
    <n v="5"/>
    <n v="3"/>
    <n v="8"/>
    <n v="318"/>
    <n v="280"/>
    <n v="266"/>
    <n v="217"/>
    <n v="185"/>
    <n v="137"/>
    <n v="73"/>
    <n v="677"/>
  </r>
  <r>
    <n v="2025"/>
    <n v="11"/>
    <x v="11"/>
    <s v="national network"/>
    <x v="6"/>
    <x v="1"/>
    <s v="No"/>
    <x v="0"/>
    <s v="No"/>
    <n v="1637"/>
    <n v="5"/>
    <n v="85"/>
    <n v="90"/>
    <n v="347"/>
    <n v="225"/>
    <n v="183"/>
    <n v="92"/>
    <n v="54"/>
    <n v="21"/>
    <n v="2"/>
    <n v="1581"/>
  </r>
  <r>
    <n v="2025"/>
    <n v="11"/>
    <x v="11"/>
    <s v="national network"/>
    <x v="6"/>
    <x v="0"/>
    <s v="No"/>
    <x v="0"/>
    <s v="No"/>
    <n v="906"/>
    <n v="5"/>
    <n v="7"/>
    <n v="12"/>
    <n v="382"/>
    <n v="321"/>
    <n v="300"/>
    <n v="233"/>
    <n v="175"/>
    <n v="71"/>
    <n v="17"/>
    <n v="895"/>
  </r>
  <r>
    <n v="2025"/>
    <n v="11"/>
    <x v="11"/>
    <s v="national network"/>
    <x v="10"/>
    <x v="1"/>
    <s v="Yes"/>
    <x v="0"/>
    <s v="No"/>
    <n v="1027"/>
    <n v="0"/>
    <n v="25"/>
    <n v="25"/>
    <n v="485"/>
    <n v="401"/>
    <n v="375"/>
    <n v="300"/>
    <n v="228"/>
    <n v="87"/>
    <n v="12"/>
    <n v="1020"/>
  </r>
  <r>
    <n v="2025"/>
    <n v="11"/>
    <x v="11"/>
    <s v="national network"/>
    <x v="10"/>
    <x v="0"/>
    <s v="Yes"/>
    <x v="0"/>
    <s v="No"/>
    <n v="970"/>
    <n v="1"/>
    <n v="7"/>
    <n v="8"/>
    <n v="562"/>
    <n v="506"/>
    <n v="482"/>
    <n v="397"/>
    <n v="308"/>
    <n v="132"/>
    <n v="23"/>
    <n v="966"/>
  </r>
  <r>
    <n v="2025"/>
    <n v="11"/>
    <x v="12"/>
    <s v="national network"/>
    <x v="9"/>
    <x v="1"/>
    <s v="No"/>
    <x v="1"/>
    <s v="No"/>
    <n v="10128"/>
    <n v="9"/>
    <n v="77"/>
    <n v="86"/>
    <n v="14"/>
    <n v="2"/>
    <n v="1"/>
    <n v="1"/>
    <n v="1"/>
    <n v="0"/>
    <n v="0"/>
    <n v="10059"/>
  </r>
  <r>
    <n v="2025"/>
    <n v="11"/>
    <x v="12"/>
    <s v="national network"/>
    <x v="9"/>
    <x v="0"/>
    <s v="No"/>
    <x v="1"/>
    <s v="No"/>
    <n v="26"/>
    <n v="0"/>
    <n v="0"/>
    <n v="0"/>
    <n v="0"/>
    <n v="0"/>
    <n v="0"/>
    <n v="0"/>
    <n v="0"/>
    <n v="0"/>
    <n v="0"/>
    <n v="26"/>
  </r>
  <r>
    <n v="2025"/>
    <n v="11"/>
    <x v="13"/>
    <s v="whole journey"/>
    <x v="59"/>
    <x v="1"/>
    <s v="No"/>
    <x v="1"/>
    <s v="No"/>
    <n v="1515"/>
    <n v="15"/>
    <n v="8"/>
    <n v="23"/>
    <n v="387"/>
    <n v="316"/>
    <n v="315"/>
    <n v="206"/>
    <n v="173"/>
    <n v="91"/>
    <n v="44"/>
    <n v="1497"/>
  </r>
  <r>
    <n v="2025"/>
    <n v="11"/>
    <x v="13"/>
    <s v="whole journey"/>
    <x v="59"/>
    <x v="2"/>
    <s v="No"/>
    <x v="1"/>
    <s v="No"/>
    <n v="65"/>
    <n v="0"/>
    <n v="0"/>
    <n v="0"/>
    <n v="0"/>
    <n v="0"/>
    <n v="0"/>
    <n v="0"/>
    <n v="0"/>
    <n v="0"/>
    <n v="0"/>
    <n v="0"/>
  </r>
  <r>
    <n v="2025"/>
    <n v="11"/>
    <x v="13"/>
    <s v="whole journey"/>
    <x v="22"/>
    <x v="0"/>
    <s v="No"/>
    <x v="1"/>
    <s v="No"/>
    <n v="103"/>
    <n v="0"/>
    <n v="0"/>
    <n v="0"/>
    <n v="18"/>
    <n v="16"/>
    <n v="15"/>
    <n v="14"/>
    <n v="7"/>
    <n v="3"/>
    <n v="1"/>
    <n v="103"/>
  </r>
  <r>
    <n v="2025"/>
    <n v="11"/>
    <x v="14"/>
    <s v="national network"/>
    <x v="3"/>
    <x v="0"/>
    <s v="No"/>
    <x v="1"/>
    <s v="No"/>
    <n v="850"/>
    <n v="2"/>
    <n v="1"/>
    <n v="3"/>
    <n v="214"/>
    <n v="151"/>
    <n v="140"/>
    <n v="102"/>
    <n v="60"/>
    <n v="26"/>
    <n v="12"/>
    <n v="848"/>
  </r>
  <r>
    <n v="2025"/>
    <n v="11"/>
    <x v="14"/>
    <s v="national network"/>
    <x v="4"/>
    <x v="0"/>
    <s v="No"/>
    <x v="0"/>
    <s v="Yes"/>
    <n v="59"/>
    <n v="0"/>
    <n v="2"/>
    <n v="2"/>
    <n v="21"/>
    <n v="19"/>
    <n v="18"/>
    <n v="13"/>
    <n v="9"/>
    <n v="3"/>
    <n v="2"/>
    <n v="58"/>
  </r>
  <r>
    <n v="2025"/>
    <n v="11"/>
    <x v="14"/>
    <s v="national network"/>
    <x v="0"/>
    <x v="0"/>
    <s v="No"/>
    <x v="1"/>
    <s v="No"/>
    <n v="1"/>
    <n v="0"/>
    <n v="0"/>
    <n v="0"/>
    <n v="0"/>
    <n v="0"/>
    <n v="0"/>
    <n v="0"/>
    <n v="0"/>
    <n v="0"/>
    <n v="0"/>
    <n v="1"/>
  </r>
  <r>
    <n v="2025"/>
    <n v="11"/>
    <x v="14"/>
    <s v="national network"/>
    <x v="0"/>
    <x v="0"/>
    <s v="No"/>
    <x v="0"/>
    <s v="No"/>
    <n v="58"/>
    <n v="0"/>
    <n v="0"/>
    <n v="0"/>
    <n v="21"/>
    <n v="19"/>
    <n v="18"/>
    <n v="13"/>
    <n v="9"/>
    <n v="3"/>
    <n v="2"/>
    <n v="58"/>
  </r>
  <r>
    <n v="2025"/>
    <n v="11"/>
    <x v="15"/>
    <s v="national network"/>
    <x v="24"/>
    <x v="1"/>
    <s v="No"/>
    <x v="1"/>
    <s v="No"/>
    <n v="1206"/>
    <n v="0"/>
    <n v="0"/>
    <n v="0"/>
    <n v="0"/>
    <n v="0"/>
    <n v="0"/>
    <n v="0"/>
    <n v="0"/>
    <n v="0"/>
    <n v="0"/>
    <n v="1206"/>
  </r>
  <r>
    <n v="2025"/>
    <n v="11"/>
    <x v="15"/>
    <s v="national network"/>
    <x v="24"/>
    <x v="0"/>
    <s v="No"/>
    <x v="1"/>
    <s v="No"/>
    <n v="85"/>
    <n v="0"/>
    <n v="0"/>
    <n v="0"/>
    <n v="0"/>
    <n v="0"/>
    <n v="0"/>
    <n v="0"/>
    <n v="0"/>
    <n v="0"/>
    <n v="0"/>
    <n v="85"/>
  </r>
  <r>
    <n v="2025"/>
    <n v="11"/>
    <x v="16"/>
    <s v="national network"/>
    <x v="3"/>
    <x v="1"/>
    <s v="No"/>
    <x v="0"/>
    <s v="No"/>
    <n v="92"/>
    <n v="0"/>
    <n v="0"/>
    <n v="0"/>
    <n v="2"/>
    <n v="1"/>
    <n v="1"/>
    <n v="0"/>
    <n v="0"/>
    <n v="0"/>
    <n v="0"/>
    <n v="92"/>
  </r>
  <r>
    <n v="2025"/>
    <n v="11"/>
    <x v="16"/>
    <s v="national network"/>
    <x v="3"/>
    <x v="0"/>
    <s v="No"/>
    <x v="0"/>
    <s v="No"/>
    <n v="1741"/>
    <n v="9"/>
    <n v="28"/>
    <n v="37"/>
    <n v="336"/>
    <n v="270"/>
    <n v="255"/>
    <n v="204"/>
    <n v="175"/>
    <n v="115"/>
    <n v="22"/>
    <n v="1719"/>
  </r>
  <r>
    <n v="2025"/>
    <n v="11"/>
    <x v="16"/>
    <s v="national network"/>
    <x v="7"/>
    <x v="0"/>
    <s v="No"/>
    <x v="1"/>
    <s v="No"/>
    <n v="278"/>
    <n v="1"/>
    <n v="1"/>
    <n v="2"/>
    <n v="196"/>
    <n v="169"/>
    <n v="156"/>
    <n v="112"/>
    <n v="64"/>
    <n v="16"/>
    <n v="7"/>
    <n v="277"/>
  </r>
  <r>
    <n v="2025"/>
    <n v="11"/>
    <x v="16"/>
    <s v="national network"/>
    <x v="7"/>
    <x v="0"/>
    <s v="No"/>
    <x v="0"/>
    <s v="No"/>
    <n v="9"/>
    <n v="0"/>
    <n v="0"/>
    <n v="0"/>
    <n v="3"/>
    <n v="3"/>
    <n v="3"/>
    <n v="3"/>
    <n v="3"/>
    <n v="3"/>
    <n v="3"/>
    <n v="9"/>
  </r>
  <r>
    <n v="2025"/>
    <n v="11"/>
    <x v="16"/>
    <s v="national network"/>
    <x v="4"/>
    <x v="0"/>
    <s v="No"/>
    <x v="0"/>
    <s v="Yes"/>
    <n v="159"/>
    <n v="0"/>
    <n v="0"/>
    <n v="0"/>
    <n v="19"/>
    <n v="14"/>
    <n v="12"/>
    <n v="9"/>
    <n v="8"/>
    <n v="6"/>
    <n v="3"/>
    <n v="159"/>
  </r>
  <r>
    <n v="2025"/>
    <n v="11"/>
    <x v="16"/>
    <s v="national network"/>
    <x v="0"/>
    <x v="1"/>
    <s v="No"/>
    <x v="0"/>
    <s v="No"/>
    <n v="10973"/>
    <n v="27"/>
    <n v="145"/>
    <n v="172"/>
    <n v="18"/>
    <n v="13"/>
    <n v="13"/>
    <n v="7"/>
    <n v="2"/>
    <n v="0"/>
    <n v="0"/>
    <n v="10824"/>
  </r>
  <r>
    <n v="2025"/>
    <n v="11"/>
    <x v="16"/>
    <s v="national network"/>
    <x v="0"/>
    <x v="0"/>
    <s v="No"/>
    <x v="0"/>
    <s v="No"/>
    <n v="1174"/>
    <n v="44"/>
    <n v="40"/>
    <n v="84"/>
    <n v="332"/>
    <n v="292"/>
    <n v="276"/>
    <n v="225"/>
    <n v="157"/>
    <n v="30"/>
    <n v="16"/>
    <n v="1108"/>
  </r>
  <r>
    <n v="2025"/>
    <n v="11"/>
    <x v="16"/>
    <s v="national network"/>
    <x v="8"/>
    <x v="1"/>
    <s v="Yes"/>
    <x v="0"/>
    <s v="No"/>
    <n v="49"/>
    <n v="0"/>
    <n v="0"/>
    <n v="0"/>
    <n v="1"/>
    <n v="1"/>
    <n v="1"/>
    <n v="1"/>
    <n v="1"/>
    <n v="0"/>
    <n v="0"/>
    <n v="49"/>
  </r>
  <r>
    <n v="2025"/>
    <n v="11"/>
    <x v="16"/>
    <s v="national network"/>
    <x v="8"/>
    <x v="0"/>
    <s v="Yes"/>
    <x v="0"/>
    <s v="No"/>
    <n v="1139"/>
    <n v="48"/>
    <n v="158"/>
    <n v="206"/>
    <n v="271"/>
    <n v="207"/>
    <n v="182"/>
    <n v="125"/>
    <n v="88"/>
    <n v="37"/>
    <n v="7"/>
    <n v="1000"/>
  </r>
  <r>
    <n v="2025"/>
    <n v="11"/>
    <x v="16"/>
    <s v="national network"/>
    <x v="8"/>
    <x v="2"/>
    <s v="Yes"/>
    <x v="0"/>
    <s v="No"/>
    <n v="2"/>
    <n v="2"/>
    <n v="0"/>
    <n v="2"/>
    <n v="0"/>
    <n v="0"/>
    <n v="0"/>
    <n v="0"/>
    <n v="0"/>
    <n v="0"/>
    <n v="0"/>
    <n v="0"/>
  </r>
  <r>
    <n v="2025"/>
    <n v="11"/>
    <x v="16"/>
    <s v="national network"/>
    <x v="9"/>
    <x v="1"/>
    <s v="No"/>
    <x v="0"/>
    <s v="No"/>
    <n v="12194"/>
    <n v="36"/>
    <n v="120"/>
    <n v="156"/>
    <n v="16"/>
    <n v="8"/>
    <n v="5"/>
    <n v="2"/>
    <n v="2"/>
    <n v="1"/>
    <n v="1"/>
    <n v="12070"/>
  </r>
  <r>
    <n v="2025"/>
    <n v="11"/>
    <x v="16"/>
    <s v="national network"/>
    <x v="9"/>
    <x v="0"/>
    <s v="No"/>
    <x v="0"/>
    <s v="No"/>
    <n v="992"/>
    <n v="3"/>
    <n v="10"/>
    <n v="13"/>
    <n v="100"/>
    <n v="14"/>
    <n v="11"/>
    <n v="6"/>
    <n v="3"/>
    <n v="0"/>
    <n v="0"/>
    <n v="981"/>
  </r>
  <r>
    <n v="2025"/>
    <n v="11"/>
    <x v="16"/>
    <s v="national network"/>
    <x v="9"/>
    <x v="2"/>
    <s v="No"/>
    <x v="0"/>
    <s v="No"/>
    <n v="1"/>
    <n v="0"/>
    <n v="0"/>
    <n v="0"/>
    <n v="0"/>
    <n v="0"/>
    <n v="0"/>
    <n v="0"/>
    <n v="0"/>
    <n v="0"/>
    <n v="0"/>
    <n v="0"/>
  </r>
  <r>
    <n v="2025"/>
    <n v="11"/>
    <x v="16"/>
    <s v="national network"/>
    <x v="60"/>
    <x v="1"/>
    <s v="Yes"/>
    <x v="0"/>
    <s v="No"/>
    <n v="1"/>
    <n v="0"/>
    <n v="0"/>
    <n v="0"/>
    <n v="0"/>
    <n v="0"/>
    <n v="0"/>
    <n v="0"/>
    <n v="0"/>
    <n v="0"/>
    <n v="0"/>
    <n v="1"/>
  </r>
  <r>
    <n v="2025"/>
    <n v="11"/>
    <x v="16"/>
    <s v="national network"/>
    <x v="60"/>
    <x v="0"/>
    <s v="Yes"/>
    <x v="0"/>
    <s v="No"/>
    <n v="69"/>
    <n v="1"/>
    <n v="3"/>
    <n v="4"/>
    <n v="21"/>
    <n v="16"/>
    <n v="16"/>
    <n v="15"/>
    <n v="10"/>
    <n v="6"/>
    <n v="2"/>
    <n v="66"/>
  </r>
  <r>
    <n v="2025"/>
    <n v="11"/>
    <x v="16"/>
    <s v="national network"/>
    <x v="60"/>
    <x v="2"/>
    <s v="Yes"/>
    <x v="0"/>
    <s v="No"/>
    <n v="6"/>
    <n v="0"/>
    <n v="0"/>
    <n v="0"/>
    <n v="0"/>
    <n v="0"/>
    <n v="0"/>
    <n v="0"/>
    <n v="0"/>
    <n v="0"/>
    <n v="0"/>
    <n v="0"/>
  </r>
  <r>
    <n v="2025"/>
    <n v="11"/>
    <x v="16"/>
    <s v="national network"/>
    <x v="25"/>
    <x v="1"/>
    <s v="Yes"/>
    <x v="0"/>
    <s v="No"/>
    <n v="1"/>
    <n v="0"/>
    <n v="0"/>
    <n v="0"/>
    <n v="0"/>
    <n v="0"/>
    <n v="0"/>
    <n v="0"/>
    <n v="0"/>
    <n v="0"/>
    <n v="0"/>
    <n v="1"/>
  </r>
  <r>
    <n v="2025"/>
    <n v="11"/>
    <x v="16"/>
    <s v="national network"/>
    <x v="25"/>
    <x v="0"/>
    <s v="Yes"/>
    <x v="0"/>
    <s v="No"/>
    <n v="621"/>
    <n v="1"/>
    <n v="2"/>
    <n v="3"/>
    <n v="95"/>
    <n v="77"/>
    <n v="70"/>
    <n v="58"/>
    <n v="47"/>
    <n v="17"/>
    <n v="8"/>
    <n v="618"/>
  </r>
  <r>
    <n v="2025"/>
    <n v="11"/>
    <x v="16"/>
    <s v="national network"/>
    <x v="5"/>
    <x v="1"/>
    <s v="No"/>
    <x v="0"/>
    <s v="Yes"/>
    <n v="1"/>
    <n v="0"/>
    <n v="0"/>
    <n v="0"/>
    <n v="0"/>
    <n v="0"/>
    <n v="0"/>
    <n v="0"/>
    <n v="0"/>
    <n v="0"/>
    <n v="0"/>
    <n v="1"/>
  </r>
  <r>
    <n v="2025"/>
    <n v="11"/>
    <x v="16"/>
    <s v="national network"/>
    <x v="5"/>
    <x v="0"/>
    <s v="No"/>
    <x v="0"/>
    <s v="Yes"/>
    <n v="298"/>
    <n v="0"/>
    <n v="0"/>
    <n v="0"/>
    <n v="100"/>
    <n v="81"/>
    <n v="73"/>
    <n v="59"/>
    <n v="50"/>
    <n v="28"/>
    <n v="16"/>
    <n v="298"/>
  </r>
  <r>
    <n v="2025"/>
    <n v="11"/>
    <x v="16"/>
    <s v="national network"/>
    <x v="10"/>
    <x v="1"/>
    <s v="Yes"/>
    <x v="0"/>
    <s v="No"/>
    <n v="12"/>
    <n v="0"/>
    <n v="0"/>
    <n v="0"/>
    <n v="1"/>
    <n v="0"/>
    <n v="0"/>
    <n v="0"/>
    <n v="0"/>
    <n v="0"/>
    <n v="0"/>
    <n v="12"/>
  </r>
  <r>
    <n v="2025"/>
    <n v="11"/>
    <x v="16"/>
    <s v="national network"/>
    <x v="10"/>
    <x v="0"/>
    <s v="Yes"/>
    <x v="0"/>
    <s v="No"/>
    <n v="317"/>
    <n v="1"/>
    <n v="15"/>
    <n v="16"/>
    <n v="73"/>
    <n v="66"/>
    <n v="66"/>
    <n v="62"/>
    <n v="60"/>
    <n v="32"/>
    <n v="10"/>
    <n v="309"/>
  </r>
  <r>
    <n v="2025"/>
    <n v="11"/>
    <x v="17"/>
    <s v="national network"/>
    <x v="4"/>
    <x v="0"/>
    <s v="No"/>
    <x v="0"/>
    <s v="Yes"/>
    <n v="43"/>
    <n v="0"/>
    <n v="0"/>
    <n v="0"/>
    <n v="14"/>
    <n v="14"/>
    <n v="13"/>
    <n v="11"/>
    <n v="10"/>
    <n v="9"/>
    <n v="3"/>
    <n v="43"/>
  </r>
  <r>
    <n v="2025"/>
    <n v="11"/>
    <x v="17"/>
    <s v="national network"/>
    <x v="5"/>
    <x v="0"/>
    <s v="No"/>
    <x v="0"/>
    <s v="Yes"/>
    <n v="15"/>
    <n v="0"/>
    <n v="0"/>
    <n v="0"/>
    <n v="2"/>
    <n v="2"/>
    <n v="2"/>
    <n v="2"/>
    <n v="2"/>
    <n v="2"/>
    <n v="2"/>
    <n v="15"/>
  </r>
  <r>
    <n v="2025"/>
    <n v="11"/>
    <x v="18"/>
    <s v="national network"/>
    <x v="15"/>
    <x v="0"/>
    <s v="No"/>
    <x v="1"/>
    <s v="No"/>
    <n v="807"/>
    <n v="1"/>
    <n v="12"/>
    <n v="13"/>
    <n v="197"/>
    <n v="117"/>
    <n v="93"/>
    <n v="43"/>
    <n v="21"/>
    <n v="0"/>
    <n v="0"/>
    <n v="799"/>
  </r>
  <r>
    <n v="2025"/>
    <n v="11"/>
    <x v="18"/>
    <s v="national network"/>
    <x v="16"/>
    <x v="0"/>
    <s v="No"/>
    <x v="1"/>
    <s v="No"/>
    <n v="2"/>
    <n v="0"/>
    <n v="0"/>
    <n v="0"/>
    <n v="0"/>
    <n v="0"/>
    <n v="0"/>
    <n v="0"/>
    <n v="0"/>
    <n v="0"/>
    <n v="0"/>
    <n v="2"/>
  </r>
  <r>
    <n v="2025"/>
    <n v="11"/>
    <x v="18"/>
    <s v="national network"/>
    <x v="0"/>
    <x v="1"/>
    <s v="No"/>
    <x v="0"/>
    <s v="No"/>
    <n v="25781"/>
    <n v="67"/>
    <n v="378"/>
    <n v="445"/>
    <n v="5062"/>
    <n v="3026"/>
    <n v="2398"/>
    <n v="1120"/>
    <n v="536"/>
    <n v="86"/>
    <n v="6"/>
    <n v="25493"/>
  </r>
  <r>
    <n v="2025"/>
    <n v="11"/>
    <x v="18"/>
    <s v="national network"/>
    <x v="0"/>
    <x v="0"/>
    <s v="No"/>
    <x v="0"/>
    <s v="No"/>
    <n v="3229"/>
    <n v="4"/>
    <n v="53"/>
    <n v="57"/>
    <n v="552"/>
    <n v="315"/>
    <n v="251"/>
    <n v="130"/>
    <n v="46"/>
    <n v="8"/>
    <n v="1"/>
    <n v="3195"/>
  </r>
  <r>
    <n v="2025"/>
    <n v="11"/>
    <x v="18"/>
    <s v="national network"/>
    <x v="0"/>
    <x v="2"/>
    <s v="No"/>
    <x v="0"/>
    <s v="No"/>
    <n v="4"/>
    <n v="0"/>
    <n v="0"/>
    <n v="0"/>
    <n v="0"/>
    <n v="0"/>
    <n v="0"/>
    <n v="0"/>
    <n v="0"/>
    <n v="0"/>
    <n v="0"/>
    <n v="0"/>
  </r>
  <r>
    <n v="2025"/>
    <n v="11"/>
    <x v="18"/>
    <s v="national network"/>
    <x v="8"/>
    <x v="0"/>
    <s v="Yes"/>
    <x v="0"/>
    <s v="No"/>
    <n v="425"/>
    <n v="2"/>
    <n v="5"/>
    <n v="7"/>
    <n v="228"/>
    <n v="174"/>
    <n v="153"/>
    <n v="100"/>
    <n v="79"/>
    <n v="35"/>
    <n v="2"/>
    <n v="421"/>
  </r>
  <r>
    <n v="2025"/>
    <n v="11"/>
    <x v="18"/>
    <s v="national network"/>
    <x v="26"/>
    <x v="1"/>
    <s v="No"/>
    <x v="1"/>
    <s v="No"/>
    <n v="15379"/>
    <n v="29"/>
    <n v="58"/>
    <n v="87"/>
    <n v="2333"/>
    <n v="1201"/>
    <n v="878"/>
    <n v="297"/>
    <n v="129"/>
    <n v="22"/>
    <n v="1"/>
    <n v="15309"/>
  </r>
  <r>
    <n v="2025"/>
    <n v="11"/>
    <x v="18"/>
    <s v="national network"/>
    <x v="26"/>
    <x v="0"/>
    <s v="No"/>
    <x v="1"/>
    <s v="No"/>
    <n v="4330"/>
    <n v="42"/>
    <n v="0"/>
    <n v="42"/>
    <n v="356"/>
    <n v="193"/>
    <n v="134"/>
    <n v="44"/>
    <n v="13"/>
    <n v="3"/>
    <n v="3"/>
    <n v="4288"/>
  </r>
  <r>
    <n v="2025"/>
    <n v="11"/>
    <x v="18"/>
    <s v="national network"/>
    <x v="5"/>
    <x v="0"/>
    <s v="No"/>
    <x v="0"/>
    <s v="Yes"/>
    <n v="45"/>
    <n v="9"/>
    <n v="0"/>
    <n v="9"/>
    <n v="16"/>
    <n v="9"/>
    <n v="8"/>
    <n v="5"/>
    <n v="5"/>
    <n v="5"/>
    <n v="2"/>
    <n v="36"/>
  </r>
  <r>
    <n v="2025"/>
    <n v="11"/>
    <x v="18"/>
    <s v="national network"/>
    <x v="58"/>
    <x v="0"/>
    <s v="Yes"/>
    <x v="0"/>
    <s v="No"/>
    <n v="145"/>
    <n v="0"/>
    <n v="0"/>
    <n v="0"/>
    <n v="57"/>
    <n v="40"/>
    <n v="40"/>
    <n v="35"/>
    <n v="22"/>
    <n v="11"/>
    <n v="1"/>
    <n v="145"/>
  </r>
  <r>
    <n v="2025"/>
    <n v="11"/>
    <x v="18"/>
    <s v="national network"/>
    <x v="27"/>
    <x v="1"/>
    <s v="No"/>
    <x v="1"/>
    <s v="No"/>
    <n v="4145"/>
    <n v="30"/>
    <n v="11"/>
    <n v="41"/>
    <n v="954"/>
    <n v="530"/>
    <n v="412"/>
    <n v="185"/>
    <n v="80"/>
    <n v="15"/>
    <n v="1"/>
    <n v="4107"/>
  </r>
  <r>
    <n v="2025"/>
    <n v="11"/>
    <x v="18"/>
    <s v="national network"/>
    <x v="27"/>
    <x v="0"/>
    <s v="No"/>
    <x v="1"/>
    <s v="No"/>
    <n v="233"/>
    <n v="2"/>
    <n v="0"/>
    <n v="2"/>
    <n v="15"/>
    <n v="10"/>
    <n v="9"/>
    <n v="8"/>
    <n v="6"/>
    <n v="2"/>
    <n v="0"/>
    <n v="231"/>
  </r>
  <r>
    <n v="2025"/>
    <n v="11"/>
    <x v="18"/>
    <s v="national network"/>
    <x v="19"/>
    <x v="1"/>
    <s v="No"/>
    <x v="1"/>
    <s v="No"/>
    <n v="24818"/>
    <n v="50"/>
    <n v="222"/>
    <n v="272"/>
    <n v="3520"/>
    <n v="1905"/>
    <n v="1492"/>
    <n v="680"/>
    <n v="286"/>
    <n v="49"/>
    <n v="1"/>
    <n v="24645"/>
  </r>
  <r>
    <n v="2025"/>
    <n v="11"/>
    <x v="18"/>
    <s v="national network"/>
    <x v="19"/>
    <x v="0"/>
    <s v="No"/>
    <x v="1"/>
    <s v="No"/>
    <n v="3090"/>
    <n v="26"/>
    <n v="56"/>
    <n v="82"/>
    <n v="475"/>
    <n v="286"/>
    <n v="237"/>
    <n v="106"/>
    <n v="48"/>
    <n v="10"/>
    <n v="0"/>
    <n v="3020"/>
  </r>
  <r>
    <n v="2025"/>
    <n v="11"/>
    <x v="18"/>
    <s v="national network"/>
    <x v="56"/>
    <x v="0"/>
    <s v="No"/>
    <x v="1"/>
    <s v="No"/>
    <n v="4"/>
    <n v="0"/>
    <n v="3"/>
    <n v="3"/>
    <n v="0"/>
    <n v="0"/>
    <n v="0"/>
    <n v="0"/>
    <n v="0"/>
    <n v="0"/>
    <n v="0"/>
    <n v="4"/>
  </r>
  <r>
    <n v="2025"/>
    <n v="11"/>
    <x v="19"/>
    <s v="national network"/>
    <x v="61"/>
    <x v="1"/>
    <s v="No"/>
    <x v="1"/>
    <s v="No"/>
    <n v="15599"/>
    <n v="15"/>
    <n v="41"/>
    <n v="56"/>
    <n v="4200"/>
    <n v="1273"/>
    <n v="1270"/>
    <n v="522"/>
    <n v="274"/>
    <n v="59"/>
    <n v="10"/>
    <n v="15583"/>
  </r>
  <r>
    <n v="2025"/>
    <n v="11"/>
    <x v="19"/>
    <s v="national network"/>
    <x v="61"/>
    <x v="0"/>
    <s v="No"/>
    <x v="1"/>
    <s v="No"/>
    <n v="883"/>
    <n v="0"/>
    <n v="0"/>
    <n v="0"/>
    <n v="130"/>
    <n v="49"/>
    <n v="49"/>
    <n v="24"/>
    <n v="16"/>
    <n v="3"/>
    <n v="0"/>
    <n v="883"/>
  </r>
  <r>
    <n v="2025"/>
    <n v="11"/>
    <x v="19"/>
    <s v="national network"/>
    <x v="61"/>
    <x v="2"/>
    <s v="No"/>
    <x v="1"/>
    <s v="No"/>
    <n v="1107"/>
    <n v="2"/>
    <n v="0"/>
    <n v="2"/>
    <n v="0"/>
    <n v="0"/>
    <n v="0"/>
    <n v="0"/>
    <n v="0"/>
    <n v="0"/>
    <n v="0"/>
    <n v="0"/>
  </r>
  <r>
    <n v="2025"/>
    <n v="11"/>
    <x v="19"/>
    <s v="national network"/>
    <x v="0"/>
    <x v="1"/>
    <s v="No"/>
    <x v="1"/>
    <s v="No"/>
    <n v="1605"/>
    <n v="20"/>
    <n v="16"/>
    <n v="36"/>
    <n v="530"/>
    <n v="349"/>
    <n v="349"/>
    <n v="256"/>
    <n v="211"/>
    <n v="117"/>
    <n v="43"/>
    <n v="1581"/>
  </r>
  <r>
    <n v="2025"/>
    <n v="11"/>
    <x v="19"/>
    <s v="national network"/>
    <x v="0"/>
    <x v="0"/>
    <s v="No"/>
    <x v="0"/>
    <s v="No"/>
    <n v="754"/>
    <n v="9"/>
    <n v="0"/>
    <n v="9"/>
    <n v="8"/>
    <n v="8"/>
    <n v="7"/>
    <n v="2"/>
    <n v="2"/>
    <n v="0"/>
    <n v="0"/>
    <n v="745"/>
  </r>
  <r>
    <n v="2025"/>
    <n v="11"/>
    <x v="19"/>
    <s v="national network"/>
    <x v="0"/>
    <x v="2"/>
    <s v="No"/>
    <x v="1"/>
    <s v="No"/>
    <n v="18"/>
    <n v="0"/>
    <n v="0"/>
    <n v="0"/>
    <n v="0"/>
    <n v="0"/>
    <n v="0"/>
    <n v="0"/>
    <n v="0"/>
    <n v="0"/>
    <n v="0"/>
    <n v="0"/>
  </r>
  <r>
    <n v="2025"/>
    <n v="11"/>
    <x v="19"/>
    <s v="national network"/>
    <x v="8"/>
    <x v="0"/>
    <s v="Yes"/>
    <x v="0"/>
    <s v="No"/>
    <n v="577"/>
    <n v="10"/>
    <n v="0"/>
    <n v="10"/>
    <n v="224"/>
    <n v="146"/>
    <n v="143"/>
    <n v="105"/>
    <n v="73"/>
    <n v="24"/>
    <n v="12"/>
    <n v="567"/>
  </r>
  <r>
    <n v="2025"/>
    <n v="11"/>
    <x v="19"/>
    <s v="national network"/>
    <x v="8"/>
    <x v="2"/>
    <s v="Yes"/>
    <x v="0"/>
    <s v="No"/>
    <n v="2"/>
    <n v="0"/>
    <n v="0"/>
    <n v="0"/>
    <n v="0"/>
    <n v="0"/>
    <n v="0"/>
    <n v="0"/>
    <n v="0"/>
    <n v="0"/>
    <n v="0"/>
    <n v="0"/>
  </r>
  <r>
    <n v="2025"/>
    <n v="11"/>
    <x v="19"/>
    <s v="national network"/>
    <x v="34"/>
    <x v="1"/>
    <s v="No"/>
    <x v="1"/>
    <s v="No"/>
    <n v="183"/>
    <n v="12"/>
    <n v="8"/>
    <n v="20"/>
    <n v="36"/>
    <n v="19"/>
    <n v="19"/>
    <n v="16"/>
    <n v="12"/>
    <n v="7"/>
    <n v="3"/>
    <n v="165"/>
  </r>
  <r>
    <n v="2025"/>
    <n v="11"/>
    <x v="19"/>
    <s v="national network"/>
    <x v="34"/>
    <x v="2"/>
    <s v="No"/>
    <x v="1"/>
    <s v="No"/>
    <n v="40"/>
    <n v="11"/>
    <n v="0"/>
    <n v="11"/>
    <n v="0"/>
    <n v="0"/>
    <n v="0"/>
    <n v="0"/>
    <n v="0"/>
    <n v="0"/>
    <n v="0"/>
    <n v="0"/>
  </r>
  <r>
    <n v="2025"/>
    <n v="11"/>
    <x v="19"/>
    <s v="national network"/>
    <x v="60"/>
    <x v="1"/>
    <s v="Yes"/>
    <x v="0"/>
    <s v="No"/>
    <n v="4"/>
    <n v="0"/>
    <n v="0"/>
    <n v="0"/>
    <n v="1"/>
    <n v="1"/>
    <n v="1"/>
    <n v="1"/>
    <n v="1"/>
    <n v="1"/>
    <n v="1"/>
    <n v="4"/>
  </r>
  <r>
    <n v="2025"/>
    <n v="11"/>
    <x v="19"/>
    <s v="national network"/>
    <x v="60"/>
    <x v="0"/>
    <s v="Yes"/>
    <x v="0"/>
    <s v="No"/>
    <n v="701"/>
    <n v="1"/>
    <n v="2"/>
    <n v="3"/>
    <n v="137"/>
    <n v="80"/>
    <n v="80"/>
    <n v="64"/>
    <n v="41"/>
    <n v="25"/>
    <n v="12"/>
    <n v="700"/>
  </r>
  <r>
    <n v="2025"/>
    <n v="11"/>
    <x v="19"/>
    <s v="national network"/>
    <x v="60"/>
    <x v="2"/>
    <s v="Yes"/>
    <x v="0"/>
    <s v="No"/>
    <n v="10"/>
    <n v="0"/>
    <n v="0"/>
    <n v="0"/>
    <n v="0"/>
    <n v="0"/>
    <n v="0"/>
    <n v="0"/>
    <n v="0"/>
    <n v="0"/>
    <n v="0"/>
    <n v="0"/>
  </r>
  <r>
    <n v="2025"/>
    <n v="11"/>
    <x v="19"/>
    <s v="national network"/>
    <x v="25"/>
    <x v="0"/>
    <s v="Yes"/>
    <x v="0"/>
    <s v="No"/>
    <n v="163"/>
    <n v="0"/>
    <n v="0"/>
    <n v="0"/>
    <n v="2"/>
    <n v="2"/>
    <n v="2"/>
    <n v="1"/>
    <n v="0"/>
    <n v="0"/>
    <n v="0"/>
    <n v="163"/>
  </r>
  <r>
    <n v="2025"/>
    <n v="11"/>
    <x v="19"/>
    <s v="national network"/>
    <x v="62"/>
    <x v="1"/>
    <s v="No"/>
    <x v="1"/>
    <s v="No"/>
    <n v="144"/>
    <n v="0"/>
    <n v="0"/>
    <n v="0"/>
    <n v="25"/>
    <n v="8"/>
    <n v="8"/>
    <n v="1"/>
    <n v="0"/>
    <n v="0"/>
    <n v="0"/>
    <n v="144"/>
  </r>
  <r>
    <n v="2025"/>
    <n v="11"/>
    <x v="19"/>
    <s v="national network"/>
    <x v="62"/>
    <x v="2"/>
    <s v="No"/>
    <x v="1"/>
    <s v="No"/>
    <n v="86"/>
    <n v="0"/>
    <n v="0"/>
    <n v="0"/>
    <n v="0"/>
    <n v="0"/>
    <n v="0"/>
    <n v="0"/>
    <n v="0"/>
    <n v="0"/>
    <n v="0"/>
    <n v="0"/>
  </r>
  <r>
    <n v="2025"/>
    <n v="11"/>
    <x v="19"/>
    <s v="national network"/>
    <x v="5"/>
    <x v="0"/>
    <s v="No"/>
    <x v="0"/>
    <s v="Yes"/>
    <n v="34"/>
    <n v="7"/>
    <n v="6"/>
    <n v="13"/>
    <n v="13"/>
    <n v="13"/>
    <n v="13"/>
    <n v="13"/>
    <n v="13"/>
    <n v="11"/>
    <n v="6"/>
    <n v="23"/>
  </r>
  <r>
    <n v="2025"/>
    <n v="11"/>
    <x v="19"/>
    <s v="national network"/>
    <x v="58"/>
    <x v="1"/>
    <s v="Yes"/>
    <x v="0"/>
    <s v="No"/>
    <n v="11482"/>
    <n v="31"/>
    <n v="68"/>
    <n v="99"/>
    <n v="2954"/>
    <n v="1821"/>
    <n v="1821"/>
    <n v="1296"/>
    <n v="963"/>
    <n v="451"/>
    <n v="153"/>
    <n v="11424"/>
  </r>
  <r>
    <n v="2025"/>
    <n v="11"/>
    <x v="19"/>
    <s v="national network"/>
    <x v="58"/>
    <x v="0"/>
    <s v="Yes"/>
    <x v="0"/>
    <s v="No"/>
    <n v="1116"/>
    <n v="2"/>
    <n v="3"/>
    <n v="5"/>
    <n v="445"/>
    <n v="283"/>
    <n v="283"/>
    <n v="218"/>
    <n v="160"/>
    <n v="84"/>
    <n v="23"/>
    <n v="1113"/>
  </r>
  <r>
    <n v="2025"/>
    <n v="11"/>
    <x v="19"/>
    <s v="national network"/>
    <x v="58"/>
    <x v="2"/>
    <s v="Yes"/>
    <x v="0"/>
    <s v="No"/>
    <n v="999"/>
    <n v="10"/>
    <n v="0"/>
    <n v="10"/>
    <n v="0"/>
    <n v="0"/>
    <n v="0"/>
    <n v="0"/>
    <n v="0"/>
    <n v="0"/>
    <n v="0"/>
    <n v="0"/>
  </r>
  <r>
    <n v="2025"/>
    <n v="11"/>
    <x v="19"/>
    <s v="national network"/>
    <x v="56"/>
    <x v="1"/>
    <s v="No"/>
    <x v="1"/>
    <s v="No"/>
    <n v="153433"/>
    <n v="2936"/>
    <n v="1600"/>
    <n v="4536"/>
    <n v="24230"/>
    <n v="11323"/>
    <n v="11298"/>
    <n v="7276"/>
    <n v="5168"/>
    <n v="2228"/>
    <n v="467"/>
    <n v="149986"/>
  </r>
  <r>
    <n v="2025"/>
    <n v="11"/>
    <x v="19"/>
    <s v="national network"/>
    <x v="56"/>
    <x v="0"/>
    <s v="No"/>
    <x v="1"/>
    <s v="No"/>
    <n v="21264"/>
    <n v="337"/>
    <n v="118"/>
    <n v="455"/>
    <n v="2686"/>
    <n v="1053"/>
    <n v="1051"/>
    <n v="580"/>
    <n v="362"/>
    <n v="121"/>
    <n v="26"/>
    <n v="20891"/>
  </r>
  <r>
    <n v="2025"/>
    <n v="11"/>
    <x v="19"/>
    <s v="national network"/>
    <x v="56"/>
    <x v="2"/>
    <s v="No"/>
    <x v="1"/>
    <s v="No"/>
    <n v="2091"/>
    <n v="58"/>
    <n v="0"/>
    <n v="58"/>
    <n v="0"/>
    <n v="0"/>
    <n v="0"/>
    <n v="0"/>
    <n v="0"/>
    <n v="0"/>
    <n v="0"/>
    <n v="0"/>
  </r>
  <r>
    <n v="2025"/>
    <n v="11"/>
    <x v="19"/>
    <s v="national network"/>
    <x v="11"/>
    <x v="0"/>
    <s v="Yes"/>
    <x v="0"/>
    <s v="No"/>
    <n v="136"/>
    <n v="0"/>
    <n v="0"/>
    <n v="0"/>
    <n v="50"/>
    <n v="42"/>
    <n v="42"/>
    <n v="30"/>
    <n v="21"/>
    <n v="11"/>
    <n v="6"/>
    <n v="136"/>
  </r>
  <r>
    <n v="2025"/>
    <n v="11"/>
    <x v="19"/>
    <s v="national network"/>
    <x v="63"/>
    <x v="1"/>
    <s v="No"/>
    <x v="1"/>
    <s v="No"/>
    <n v="3259"/>
    <n v="77"/>
    <n v="13"/>
    <n v="90"/>
    <n v="271"/>
    <n v="103"/>
    <n v="103"/>
    <n v="54"/>
    <n v="33"/>
    <n v="9"/>
    <n v="0"/>
    <n v="3179"/>
  </r>
  <r>
    <n v="2025"/>
    <n v="11"/>
    <x v="19"/>
    <s v="national network"/>
    <x v="63"/>
    <x v="0"/>
    <s v="No"/>
    <x v="1"/>
    <s v="No"/>
    <n v="62"/>
    <n v="0"/>
    <n v="0"/>
    <n v="0"/>
    <n v="57"/>
    <n v="37"/>
    <n v="37"/>
    <n v="15"/>
    <n v="11"/>
    <n v="2"/>
    <n v="1"/>
    <n v="62"/>
  </r>
  <r>
    <n v="2025"/>
    <n v="11"/>
    <x v="19"/>
    <s v="national network"/>
    <x v="63"/>
    <x v="2"/>
    <s v="No"/>
    <x v="1"/>
    <s v="No"/>
    <n v="78"/>
    <n v="0"/>
    <n v="0"/>
    <n v="0"/>
    <n v="0"/>
    <n v="0"/>
    <n v="0"/>
    <n v="0"/>
    <n v="0"/>
    <n v="0"/>
    <n v="0"/>
    <n v="0"/>
  </r>
  <r>
    <n v="2025"/>
    <n v="11"/>
    <x v="19"/>
    <s v="national network"/>
    <x v="46"/>
    <x v="1"/>
    <s v="No"/>
    <x v="1"/>
    <s v="No"/>
    <n v="15"/>
    <n v="0"/>
    <n v="0"/>
    <n v="0"/>
    <n v="0"/>
    <n v="0"/>
    <n v="0"/>
    <n v="0"/>
    <n v="0"/>
    <n v="0"/>
    <n v="0"/>
    <n v="15"/>
  </r>
  <r>
    <n v="2025"/>
    <n v="11"/>
    <x v="19"/>
    <s v="national network"/>
    <x v="46"/>
    <x v="2"/>
    <s v="No"/>
    <x v="1"/>
    <s v="No"/>
    <n v="8"/>
    <n v="0"/>
    <n v="0"/>
    <n v="0"/>
    <n v="0"/>
    <n v="0"/>
    <n v="0"/>
    <n v="0"/>
    <n v="0"/>
    <n v="0"/>
    <n v="0"/>
    <n v="0"/>
  </r>
  <r>
    <n v="2025"/>
    <n v="11"/>
    <x v="20"/>
    <s v="national network"/>
    <x v="2"/>
    <x v="0"/>
    <s v="No"/>
    <x v="1"/>
    <s v="No"/>
    <n v="599"/>
    <n v="0"/>
    <n v="0"/>
    <n v="0"/>
    <n v="150"/>
    <n v="129"/>
    <n v="118"/>
    <n v="87"/>
    <n v="53"/>
    <n v="12"/>
    <n v="0"/>
    <n v="599"/>
  </r>
  <r>
    <n v="2025"/>
    <n v="11"/>
    <x v="20"/>
    <s v="national network"/>
    <x v="3"/>
    <x v="0"/>
    <s v="No"/>
    <x v="1"/>
    <s v="No"/>
    <n v="28"/>
    <n v="0"/>
    <n v="0"/>
    <n v="0"/>
    <n v="0"/>
    <n v="0"/>
    <n v="0"/>
    <n v="0"/>
    <n v="0"/>
    <n v="0"/>
    <n v="0"/>
    <n v="28"/>
  </r>
  <r>
    <n v="2025"/>
    <n v="11"/>
    <x v="20"/>
    <s v="national network"/>
    <x v="4"/>
    <x v="0"/>
    <s v="No"/>
    <x v="0"/>
    <s v="Yes"/>
    <n v="141"/>
    <n v="2"/>
    <n v="0"/>
    <n v="2"/>
    <n v="5"/>
    <n v="3"/>
    <n v="3"/>
    <n v="3"/>
    <n v="0"/>
    <n v="0"/>
    <n v="0"/>
    <n v="139"/>
  </r>
  <r>
    <n v="2025"/>
    <n v="11"/>
    <x v="20"/>
    <s v="national network"/>
    <x v="0"/>
    <x v="0"/>
    <s v="No"/>
    <x v="1"/>
    <s v="No"/>
    <n v="57"/>
    <n v="0"/>
    <n v="0"/>
    <n v="0"/>
    <n v="28"/>
    <n v="21"/>
    <n v="18"/>
    <n v="8"/>
    <n v="4"/>
    <n v="0"/>
    <n v="0"/>
    <n v="57"/>
  </r>
  <r>
    <n v="2025"/>
    <n v="11"/>
    <x v="21"/>
    <s v="national network"/>
    <x v="2"/>
    <x v="0"/>
    <s v="No"/>
    <x v="1"/>
    <s v="No"/>
    <n v="115"/>
    <n v="0"/>
    <n v="0"/>
    <n v="0"/>
    <n v="13"/>
    <n v="9"/>
    <n v="8"/>
    <n v="7"/>
    <n v="6"/>
    <n v="6"/>
    <n v="2"/>
    <n v="115"/>
  </r>
  <r>
    <n v="2025"/>
    <n v="11"/>
    <x v="21"/>
    <s v="national network"/>
    <x v="3"/>
    <x v="1"/>
    <s v="No"/>
    <x v="1"/>
    <s v="No"/>
    <n v="26"/>
    <n v="0"/>
    <n v="0"/>
    <n v="0"/>
    <n v="12"/>
    <n v="10"/>
    <n v="9"/>
    <n v="8"/>
    <n v="6"/>
    <n v="4"/>
    <n v="1"/>
    <n v="26"/>
  </r>
  <r>
    <n v="2025"/>
    <n v="11"/>
    <x v="21"/>
    <s v="national network"/>
    <x v="3"/>
    <x v="0"/>
    <s v="No"/>
    <x v="1"/>
    <s v="No"/>
    <n v="1414"/>
    <n v="7"/>
    <n v="26"/>
    <n v="33"/>
    <n v="534"/>
    <n v="421"/>
    <n v="354"/>
    <n v="217"/>
    <n v="131"/>
    <n v="43"/>
    <n v="11"/>
    <n v="1385"/>
  </r>
  <r>
    <n v="2025"/>
    <n v="11"/>
    <x v="21"/>
    <s v="national network"/>
    <x v="7"/>
    <x v="0"/>
    <s v="No"/>
    <x v="0"/>
    <s v="No"/>
    <n v="3"/>
    <n v="0"/>
    <n v="0"/>
    <n v="0"/>
    <n v="1"/>
    <n v="1"/>
    <n v="1"/>
    <n v="1"/>
    <n v="1"/>
    <n v="1"/>
    <n v="1"/>
    <n v="3"/>
  </r>
  <r>
    <n v="2025"/>
    <n v="11"/>
    <x v="21"/>
    <s v="national network"/>
    <x v="4"/>
    <x v="1"/>
    <s v="No"/>
    <x v="0"/>
    <s v="Yes"/>
    <n v="18"/>
    <n v="0"/>
    <n v="0"/>
    <n v="0"/>
    <n v="15"/>
    <n v="14"/>
    <n v="10"/>
    <n v="6"/>
    <n v="4"/>
    <n v="2"/>
    <n v="1"/>
    <n v="18"/>
  </r>
  <r>
    <n v="2025"/>
    <n v="11"/>
    <x v="21"/>
    <s v="national network"/>
    <x v="28"/>
    <x v="1"/>
    <s v="No"/>
    <x v="0"/>
    <s v="No"/>
    <n v="40"/>
    <n v="0"/>
    <n v="2"/>
    <n v="2"/>
    <n v="19"/>
    <n v="18"/>
    <n v="17"/>
    <n v="16"/>
    <n v="14"/>
    <n v="9"/>
    <n v="6"/>
    <n v="40"/>
  </r>
  <r>
    <n v="2025"/>
    <n v="11"/>
    <x v="21"/>
    <s v="national network"/>
    <x v="28"/>
    <x v="0"/>
    <s v="No"/>
    <x v="0"/>
    <s v="No"/>
    <n v="1"/>
    <n v="0"/>
    <n v="0"/>
    <n v="0"/>
    <n v="1"/>
    <n v="1"/>
    <n v="1"/>
    <n v="1"/>
    <n v="0"/>
    <n v="0"/>
    <n v="0"/>
    <n v="1"/>
  </r>
  <r>
    <n v="2025"/>
    <n v="11"/>
    <x v="21"/>
    <s v="national network"/>
    <x v="28"/>
    <x v="2"/>
    <s v="No"/>
    <x v="0"/>
    <s v="No"/>
    <n v="1"/>
    <n v="0"/>
    <n v="0"/>
    <n v="0"/>
    <n v="0"/>
    <n v="0"/>
    <n v="0"/>
    <n v="0"/>
    <n v="0"/>
    <n v="0"/>
    <n v="0"/>
    <n v="0"/>
  </r>
  <r>
    <n v="2025"/>
    <n v="11"/>
    <x v="21"/>
    <s v="national network"/>
    <x v="31"/>
    <x v="1"/>
    <s v="No"/>
    <x v="0"/>
    <s v="No"/>
    <n v="555"/>
    <n v="0"/>
    <n v="7"/>
    <n v="7"/>
    <n v="273"/>
    <n v="226"/>
    <n v="198"/>
    <n v="141"/>
    <n v="105"/>
    <n v="56"/>
    <n v="18"/>
    <n v="549"/>
  </r>
  <r>
    <n v="2025"/>
    <n v="11"/>
    <x v="21"/>
    <s v="national network"/>
    <x v="32"/>
    <x v="1"/>
    <s v="No"/>
    <x v="0"/>
    <s v="No"/>
    <n v="238"/>
    <n v="0"/>
    <n v="8"/>
    <n v="8"/>
    <n v="125"/>
    <n v="108"/>
    <n v="98"/>
    <n v="67"/>
    <n v="48"/>
    <n v="18"/>
    <n v="7"/>
    <n v="236"/>
  </r>
  <r>
    <n v="2025"/>
    <n v="11"/>
    <x v="21"/>
    <s v="national network"/>
    <x v="33"/>
    <x v="1"/>
    <s v="Yes"/>
    <x v="0"/>
    <s v="No"/>
    <n v="6579"/>
    <n v="0"/>
    <n v="64"/>
    <n v="64"/>
    <n v="3326"/>
    <n v="2745"/>
    <n v="2488"/>
    <n v="1799"/>
    <n v="1339"/>
    <n v="715"/>
    <n v="284"/>
    <n v="6557"/>
  </r>
  <r>
    <n v="2025"/>
    <n v="11"/>
    <x v="21"/>
    <s v="national network"/>
    <x v="0"/>
    <x v="1"/>
    <s v="No"/>
    <x v="0"/>
    <s v="No"/>
    <n v="3273"/>
    <n v="0"/>
    <n v="90"/>
    <n v="90"/>
    <n v="1284"/>
    <n v="1010"/>
    <n v="929"/>
    <n v="663"/>
    <n v="482"/>
    <n v="252"/>
    <n v="90"/>
    <n v="3200"/>
  </r>
  <r>
    <n v="2025"/>
    <n v="11"/>
    <x v="21"/>
    <s v="national network"/>
    <x v="34"/>
    <x v="1"/>
    <s v="No"/>
    <x v="0"/>
    <s v="Yes"/>
    <n v="562"/>
    <n v="0"/>
    <n v="0"/>
    <n v="0"/>
    <n v="177"/>
    <n v="144"/>
    <n v="126"/>
    <n v="96"/>
    <n v="73"/>
    <n v="43"/>
    <n v="19"/>
    <n v="562"/>
  </r>
  <r>
    <n v="2025"/>
    <n v="11"/>
    <x v="21"/>
    <s v="national network"/>
    <x v="9"/>
    <x v="1"/>
    <s v="No"/>
    <x v="0"/>
    <s v="No"/>
    <n v="10"/>
    <n v="0"/>
    <n v="5"/>
    <n v="5"/>
    <n v="3"/>
    <n v="2"/>
    <n v="2"/>
    <n v="1"/>
    <n v="0"/>
    <n v="0"/>
    <n v="0"/>
    <n v="7"/>
  </r>
  <r>
    <n v="2025"/>
    <n v="11"/>
    <x v="21"/>
    <s v="national network"/>
    <x v="9"/>
    <x v="0"/>
    <s v="No"/>
    <x v="0"/>
    <s v="No"/>
    <n v="50"/>
    <n v="0"/>
    <n v="0"/>
    <n v="0"/>
    <n v="0"/>
    <n v="0"/>
    <n v="0"/>
    <n v="0"/>
    <n v="0"/>
    <n v="0"/>
    <n v="0"/>
    <n v="50"/>
  </r>
  <r>
    <n v="2025"/>
    <n v="11"/>
    <x v="21"/>
    <s v="national network"/>
    <x v="35"/>
    <x v="1"/>
    <s v="No"/>
    <x v="1"/>
    <s v="No"/>
    <n v="6517"/>
    <n v="0"/>
    <n v="132"/>
    <n v="132"/>
    <n v="598"/>
    <n v="312"/>
    <n v="228"/>
    <n v="101"/>
    <n v="50"/>
    <n v="12"/>
    <n v="4"/>
    <n v="6412"/>
  </r>
  <r>
    <n v="2025"/>
    <n v="11"/>
    <x v="21"/>
    <s v="national network"/>
    <x v="36"/>
    <x v="1"/>
    <s v="No"/>
    <x v="1"/>
    <s v="No"/>
    <n v="230"/>
    <n v="0"/>
    <n v="97"/>
    <n v="97"/>
    <n v="113"/>
    <n v="112"/>
    <n v="112"/>
    <n v="109"/>
    <n v="102"/>
    <n v="82"/>
    <n v="56"/>
    <n v="133"/>
  </r>
  <r>
    <n v="2025"/>
    <n v="11"/>
    <x v="21"/>
    <s v="national network"/>
    <x v="36"/>
    <x v="2"/>
    <s v="No"/>
    <x v="1"/>
    <s v="No"/>
    <n v="26"/>
    <n v="5"/>
    <n v="0"/>
    <n v="5"/>
    <n v="0"/>
    <n v="0"/>
    <n v="0"/>
    <n v="0"/>
    <n v="0"/>
    <n v="0"/>
    <n v="0"/>
    <n v="0"/>
  </r>
  <r>
    <n v="2025"/>
    <n v="11"/>
    <x v="21"/>
    <s v="national network"/>
    <x v="5"/>
    <x v="1"/>
    <s v="No"/>
    <x v="0"/>
    <s v="Yes"/>
    <n v="1"/>
    <n v="0"/>
    <n v="0"/>
    <n v="0"/>
    <n v="1"/>
    <n v="1"/>
    <n v="0"/>
    <n v="0"/>
    <n v="0"/>
    <n v="0"/>
    <n v="0"/>
    <n v="1"/>
  </r>
  <r>
    <n v="2025"/>
    <n v="11"/>
    <x v="21"/>
    <s v="national network"/>
    <x v="5"/>
    <x v="0"/>
    <s v="No"/>
    <x v="0"/>
    <s v="Yes"/>
    <n v="233"/>
    <n v="1"/>
    <n v="0"/>
    <n v="1"/>
    <n v="48"/>
    <n v="40"/>
    <n v="39"/>
    <n v="32"/>
    <n v="29"/>
    <n v="22"/>
    <n v="8"/>
    <n v="232"/>
  </r>
  <r>
    <n v="2025"/>
    <n v="11"/>
    <x v="21"/>
    <s v="national network"/>
    <x v="37"/>
    <x v="1"/>
    <s v="No"/>
    <x v="1"/>
    <s v="No"/>
    <n v="223868"/>
    <n v="100"/>
    <n v="7908"/>
    <n v="8008"/>
    <n v="48188"/>
    <n v="27395"/>
    <n v="21528"/>
    <n v="10546"/>
    <n v="5951"/>
    <n v="1801"/>
    <n v="334"/>
    <n v="217218"/>
  </r>
  <r>
    <n v="2025"/>
    <n v="11"/>
    <x v="21"/>
    <s v="national network"/>
    <x v="37"/>
    <x v="0"/>
    <s v="No"/>
    <x v="1"/>
    <s v="No"/>
    <n v="5693"/>
    <n v="176"/>
    <n v="120"/>
    <n v="296"/>
    <n v="1236"/>
    <n v="699"/>
    <n v="540"/>
    <n v="204"/>
    <n v="82"/>
    <n v="12"/>
    <n v="1"/>
    <n v="5425"/>
  </r>
  <r>
    <n v="2025"/>
    <n v="11"/>
    <x v="21"/>
    <s v="national network"/>
    <x v="6"/>
    <x v="0"/>
    <s v="No"/>
    <x v="0"/>
    <s v="No"/>
    <n v="157"/>
    <n v="0"/>
    <n v="1"/>
    <n v="1"/>
    <n v="58"/>
    <n v="47"/>
    <n v="45"/>
    <n v="38"/>
    <n v="29"/>
    <n v="15"/>
    <n v="5"/>
    <n v="156"/>
  </r>
  <r>
    <n v="2025"/>
    <n v="11"/>
    <x v="21"/>
    <s v="national network"/>
    <x v="10"/>
    <x v="0"/>
    <s v="Yes"/>
    <x v="0"/>
    <s v="No"/>
    <n v="2"/>
    <n v="0"/>
    <n v="0"/>
    <n v="0"/>
    <n v="1"/>
    <n v="1"/>
    <n v="1"/>
    <n v="0"/>
    <n v="0"/>
    <n v="0"/>
    <n v="0"/>
    <n v="2"/>
  </r>
  <r>
    <n v="2025"/>
    <n v="11"/>
    <x v="22"/>
    <s v="whole journey"/>
    <x v="33"/>
    <x v="1"/>
    <s v="Yes"/>
    <x v="0"/>
    <s v="No"/>
    <n v="422"/>
    <n v="0"/>
    <n v="0"/>
    <n v="0"/>
    <n v="124"/>
    <n v="80"/>
    <n v="68"/>
    <n v="39"/>
    <n v="24"/>
    <n v="15"/>
    <n v="4"/>
    <n v="422"/>
  </r>
  <r>
    <n v="2025"/>
    <n v="11"/>
    <x v="22"/>
    <s v="whole journey"/>
    <x v="33"/>
    <x v="0"/>
    <s v="Yes"/>
    <x v="0"/>
    <s v="No"/>
    <n v="113"/>
    <n v="0"/>
    <n v="2"/>
    <n v="2"/>
    <n v="68"/>
    <n v="57"/>
    <n v="49"/>
    <n v="36"/>
    <n v="24"/>
    <n v="14"/>
    <n v="2"/>
    <n v="113"/>
  </r>
  <r>
    <n v="2025"/>
    <n v="11"/>
    <x v="22"/>
    <s v="whole journey"/>
    <x v="33"/>
    <x v="2"/>
    <s v="Yes"/>
    <x v="0"/>
    <s v="No"/>
    <n v="1"/>
    <n v="0"/>
    <n v="0"/>
    <n v="0"/>
    <n v="0"/>
    <n v="0"/>
    <n v="0"/>
    <n v="0"/>
    <n v="0"/>
    <n v="0"/>
    <n v="0"/>
    <n v="0"/>
  </r>
  <r>
    <n v="2025"/>
    <n v="11"/>
    <x v="23"/>
    <s v="national network"/>
    <x v="39"/>
    <x v="1"/>
    <s v="No"/>
    <x v="1"/>
    <s v="No"/>
    <n v="3419"/>
    <n v="2"/>
    <n v="0"/>
    <n v="2"/>
    <n v="118"/>
    <n v="98"/>
    <n v="89"/>
    <n v="62"/>
    <n v="25"/>
    <n v="5"/>
    <n v="1"/>
    <n v="3417"/>
  </r>
  <r>
    <n v="2025"/>
    <n v="11"/>
    <x v="23"/>
    <s v="national network"/>
    <x v="39"/>
    <x v="0"/>
    <s v="No"/>
    <x v="1"/>
    <s v="No"/>
    <n v="1295"/>
    <n v="0"/>
    <n v="0"/>
    <n v="0"/>
    <n v="4"/>
    <n v="2"/>
    <n v="2"/>
    <n v="1"/>
    <n v="1"/>
    <n v="0"/>
    <n v="0"/>
    <n v="1295"/>
  </r>
  <r>
    <n v="2025"/>
    <n v="11"/>
    <x v="23"/>
    <s v="national network"/>
    <x v="39"/>
    <x v="2"/>
    <s v="No"/>
    <x v="1"/>
    <s v="No"/>
    <n v="1"/>
    <n v="0"/>
    <n v="0"/>
    <n v="0"/>
    <n v="0"/>
    <n v="0"/>
    <n v="0"/>
    <n v="0"/>
    <n v="0"/>
    <n v="0"/>
    <n v="0"/>
    <n v="0"/>
  </r>
  <r>
    <n v="2025"/>
    <n v="11"/>
    <x v="23"/>
    <s v="national network"/>
    <x v="40"/>
    <x v="1"/>
    <s v="No"/>
    <x v="1"/>
    <s v="No"/>
    <n v="2072"/>
    <n v="0"/>
    <n v="0"/>
    <n v="0"/>
    <n v="0"/>
    <n v="0"/>
    <n v="0"/>
    <n v="0"/>
    <n v="0"/>
    <n v="0"/>
    <n v="0"/>
    <n v="2072"/>
  </r>
  <r>
    <n v="2025"/>
    <n v="11"/>
    <x v="23"/>
    <s v="national network"/>
    <x v="2"/>
    <x v="0"/>
    <s v="No"/>
    <x v="1"/>
    <s v="No"/>
    <n v="17"/>
    <n v="0"/>
    <n v="0"/>
    <n v="0"/>
    <n v="8"/>
    <n v="8"/>
    <n v="8"/>
    <n v="8"/>
    <n v="8"/>
    <n v="6"/>
    <n v="0"/>
    <n v="17"/>
  </r>
  <r>
    <n v="2025"/>
    <n v="11"/>
    <x v="23"/>
    <s v="national network"/>
    <x v="41"/>
    <x v="1"/>
    <s v="No"/>
    <x v="1"/>
    <s v="No"/>
    <n v="4"/>
    <n v="0"/>
    <n v="0"/>
    <n v="0"/>
    <n v="2"/>
    <n v="2"/>
    <n v="2"/>
    <n v="2"/>
    <n v="2"/>
    <n v="1"/>
    <n v="0"/>
    <n v="4"/>
  </r>
  <r>
    <n v="2025"/>
    <n v="11"/>
    <x v="23"/>
    <s v="national network"/>
    <x v="7"/>
    <x v="0"/>
    <s v="No"/>
    <x v="1"/>
    <s v="No"/>
    <n v="7"/>
    <n v="0"/>
    <n v="0"/>
    <n v="0"/>
    <n v="2"/>
    <n v="2"/>
    <n v="2"/>
    <n v="1"/>
    <n v="1"/>
    <n v="0"/>
    <n v="0"/>
    <n v="7"/>
  </r>
  <r>
    <n v="2025"/>
    <n v="11"/>
    <x v="23"/>
    <s v="national network"/>
    <x v="43"/>
    <x v="1"/>
    <s v="No"/>
    <x v="1"/>
    <s v="No"/>
    <n v="57"/>
    <n v="0"/>
    <n v="0"/>
    <n v="0"/>
    <n v="0"/>
    <n v="0"/>
    <n v="0"/>
    <n v="0"/>
    <n v="0"/>
    <n v="0"/>
    <n v="0"/>
    <n v="57"/>
  </r>
  <r>
    <n v="2025"/>
    <n v="11"/>
    <x v="23"/>
    <s v="national network"/>
    <x v="43"/>
    <x v="0"/>
    <s v="No"/>
    <x v="1"/>
    <s v="No"/>
    <n v="114"/>
    <n v="0"/>
    <n v="0"/>
    <n v="0"/>
    <n v="0"/>
    <n v="0"/>
    <n v="0"/>
    <n v="0"/>
    <n v="0"/>
    <n v="0"/>
    <n v="0"/>
    <n v="114"/>
  </r>
  <r>
    <n v="2025"/>
    <n v="11"/>
    <x v="23"/>
    <s v="national network"/>
    <x v="0"/>
    <x v="0"/>
    <s v="No"/>
    <x v="1"/>
    <s v="No"/>
    <n v="42"/>
    <n v="0"/>
    <n v="0"/>
    <n v="0"/>
    <n v="2"/>
    <n v="1"/>
    <n v="1"/>
    <n v="0"/>
    <n v="0"/>
    <n v="0"/>
    <n v="0"/>
    <n v="42"/>
  </r>
  <r>
    <n v="2025"/>
    <n v="11"/>
    <x v="23"/>
    <s v="national network"/>
    <x v="46"/>
    <x v="1"/>
    <s v="No"/>
    <x v="1"/>
    <s v="No"/>
    <n v="10"/>
    <n v="0"/>
    <n v="2"/>
    <n v="2"/>
    <n v="2"/>
    <n v="2"/>
    <n v="2"/>
    <n v="1"/>
    <n v="1"/>
    <n v="1"/>
    <n v="0"/>
    <n v="8"/>
  </r>
  <r>
    <n v="2025"/>
    <n v="11"/>
    <x v="23"/>
    <s v="national network"/>
    <x v="46"/>
    <x v="2"/>
    <s v="No"/>
    <x v="1"/>
    <s v="No"/>
    <n v="1"/>
    <n v="0"/>
    <n v="0"/>
    <n v="0"/>
    <n v="0"/>
    <n v="0"/>
    <n v="0"/>
    <n v="0"/>
    <n v="0"/>
    <n v="0"/>
    <n v="0"/>
    <n v="0"/>
  </r>
  <r>
    <n v="2025"/>
    <n v="11"/>
    <x v="24"/>
    <s v="national network"/>
    <x v="2"/>
    <x v="0"/>
    <s v="No"/>
    <x v="1"/>
    <s v="No"/>
    <n v="55"/>
    <n v="0"/>
    <n v="0"/>
    <n v="0"/>
    <n v="0"/>
    <n v="0"/>
    <n v="0"/>
    <n v="0"/>
    <n v="0"/>
    <n v="0"/>
    <n v="0"/>
    <n v="55"/>
  </r>
  <r>
    <n v="2025"/>
    <n v="11"/>
    <x v="24"/>
    <s v="national network"/>
    <x v="3"/>
    <x v="0"/>
    <s v="No"/>
    <x v="1"/>
    <s v="No"/>
    <n v="81"/>
    <n v="0"/>
    <n v="0"/>
    <n v="0"/>
    <n v="1"/>
    <n v="1"/>
    <n v="1"/>
    <n v="1"/>
    <n v="0"/>
    <n v="0"/>
    <n v="0"/>
    <n v="81"/>
  </r>
  <r>
    <n v="2025"/>
    <n v="11"/>
    <x v="25"/>
    <s v="whole journey"/>
    <x v="47"/>
    <x v="1"/>
    <s v="No"/>
    <x v="0"/>
    <s v="No"/>
    <n v="1427"/>
    <n v="0"/>
    <n v="0"/>
    <n v="0"/>
    <n v="1"/>
    <n v="1"/>
    <n v="1"/>
    <n v="1"/>
    <n v="0"/>
    <n v="0"/>
    <n v="0"/>
    <n v="1427"/>
  </r>
  <r>
    <n v="2025"/>
    <n v="11"/>
    <x v="25"/>
    <s v="whole journey"/>
    <x v="47"/>
    <x v="0"/>
    <s v="No"/>
    <x v="0"/>
    <s v="No"/>
    <n v="302"/>
    <n v="0"/>
    <n v="9"/>
    <n v="9"/>
    <n v="199"/>
    <n v="182"/>
    <n v="171"/>
    <n v="140"/>
    <n v="96"/>
    <n v="35"/>
    <n v="4"/>
    <n v="302"/>
  </r>
  <r>
    <n v="2025"/>
    <n v="11"/>
    <x v="26"/>
    <s v="national network"/>
    <x v="3"/>
    <x v="0"/>
    <s v="No"/>
    <x v="1"/>
    <s v="No"/>
    <n v="22"/>
    <n v="0"/>
    <n v="0"/>
    <n v="0"/>
    <n v="21"/>
    <n v="20"/>
    <n v="20"/>
    <n v="19"/>
    <n v="15"/>
    <n v="10"/>
    <n v="3"/>
    <n v="22"/>
  </r>
  <r>
    <n v="2025"/>
    <n v="11"/>
    <x v="26"/>
    <s v="national network"/>
    <x v="4"/>
    <x v="0"/>
    <s v="No"/>
    <x v="0"/>
    <s v="Yes"/>
    <n v="42"/>
    <n v="0"/>
    <n v="0"/>
    <n v="0"/>
    <n v="5"/>
    <n v="5"/>
    <n v="5"/>
    <n v="5"/>
    <n v="4"/>
    <n v="4"/>
    <n v="3"/>
    <n v="42"/>
  </r>
  <r>
    <n v="2025"/>
    <n v="11"/>
    <x v="26"/>
    <s v="national network"/>
    <x v="10"/>
    <x v="0"/>
    <s v="Yes"/>
    <x v="0"/>
    <s v="No"/>
    <n v="58"/>
    <n v="0"/>
    <n v="0"/>
    <n v="0"/>
    <n v="3"/>
    <n v="3"/>
    <n v="3"/>
    <n v="3"/>
    <n v="2"/>
    <n v="0"/>
    <n v="0"/>
    <n v="58"/>
  </r>
  <r>
    <n v="2025"/>
    <n v="12"/>
    <x v="0"/>
    <s v="national network"/>
    <x v="0"/>
    <x v="0"/>
    <s v="No"/>
    <x v="0"/>
    <s v="No"/>
    <n v="1410"/>
    <n v="17"/>
    <n v="0"/>
    <n v="17"/>
    <n v="113"/>
    <n v="60"/>
    <n v="45"/>
    <n v="24"/>
    <n v="18"/>
    <n v="6"/>
    <n v="0"/>
    <n v="1393"/>
  </r>
  <r>
    <n v="2025"/>
    <n v="12"/>
    <x v="0"/>
    <s v="national network"/>
    <x v="58"/>
    <x v="0"/>
    <s v="Yes"/>
    <x v="0"/>
    <s v="No"/>
    <n v="13"/>
    <n v="0"/>
    <n v="0"/>
    <n v="0"/>
    <n v="6"/>
    <n v="1"/>
    <n v="1"/>
    <n v="1"/>
    <n v="1"/>
    <n v="1"/>
    <n v="0"/>
    <n v="13"/>
  </r>
  <r>
    <n v="2025"/>
    <n v="12"/>
    <x v="0"/>
    <s v="national network"/>
    <x v="58"/>
    <x v="2"/>
    <s v="Yes"/>
    <x v="0"/>
    <s v="No"/>
    <n v="1"/>
    <n v="0"/>
    <n v="0"/>
    <n v="0"/>
    <n v="0"/>
    <n v="0"/>
    <n v="0"/>
    <n v="0"/>
    <n v="0"/>
    <n v="0"/>
    <n v="0"/>
    <n v="0"/>
  </r>
  <r>
    <n v="2025"/>
    <n v="12"/>
    <x v="0"/>
    <s v="national network"/>
    <x v="1"/>
    <x v="0"/>
    <s v="Yes"/>
    <x v="0"/>
    <s v="No"/>
    <n v="98"/>
    <n v="0"/>
    <n v="0"/>
    <n v="0"/>
    <n v="5"/>
    <n v="0"/>
    <n v="0"/>
    <n v="0"/>
    <n v="0"/>
    <n v="0"/>
    <n v="0"/>
    <n v="98"/>
  </r>
  <r>
    <n v="2025"/>
    <n v="12"/>
    <x v="1"/>
    <s v="national network"/>
    <x v="2"/>
    <x v="0"/>
    <s v="No"/>
    <x v="1"/>
    <s v="No"/>
    <n v="61"/>
    <n v="0"/>
    <n v="0"/>
    <n v="0"/>
    <n v="1"/>
    <n v="1"/>
    <n v="1"/>
    <n v="1"/>
    <n v="0"/>
    <n v="0"/>
    <n v="0"/>
    <n v="61"/>
  </r>
  <r>
    <n v="2025"/>
    <n v="12"/>
    <x v="2"/>
    <s v="national network"/>
    <x v="3"/>
    <x v="0"/>
    <s v="No"/>
    <x v="1"/>
    <s v="No"/>
    <n v="678"/>
    <n v="0"/>
    <n v="0"/>
    <n v="0"/>
    <n v="94"/>
    <n v="73"/>
    <n v="65"/>
    <n v="45"/>
    <n v="35"/>
    <n v="17"/>
    <n v="2"/>
    <n v="678"/>
  </r>
  <r>
    <n v="2025"/>
    <n v="12"/>
    <x v="2"/>
    <s v="national network"/>
    <x v="4"/>
    <x v="0"/>
    <s v="No"/>
    <x v="0"/>
    <s v="Yes"/>
    <n v="183"/>
    <n v="0"/>
    <n v="0"/>
    <n v="0"/>
    <n v="57"/>
    <n v="50"/>
    <n v="46"/>
    <n v="39"/>
    <n v="33"/>
    <n v="22"/>
    <n v="8"/>
    <n v="183"/>
  </r>
  <r>
    <n v="2025"/>
    <n v="12"/>
    <x v="2"/>
    <s v="national network"/>
    <x v="0"/>
    <x v="0"/>
    <s v="No"/>
    <x v="1"/>
    <s v="No"/>
    <n v="245"/>
    <n v="0"/>
    <n v="0"/>
    <n v="0"/>
    <n v="0"/>
    <n v="0"/>
    <n v="0"/>
    <n v="0"/>
    <n v="0"/>
    <n v="0"/>
    <n v="0"/>
    <n v="245"/>
  </r>
  <r>
    <n v="2025"/>
    <n v="12"/>
    <x v="2"/>
    <s v="national network"/>
    <x v="0"/>
    <x v="0"/>
    <s v="No"/>
    <x v="0"/>
    <s v="No"/>
    <n v="61"/>
    <n v="0"/>
    <n v="0"/>
    <n v="0"/>
    <n v="11"/>
    <n v="11"/>
    <n v="11"/>
    <n v="11"/>
    <n v="8"/>
    <n v="3"/>
    <n v="0"/>
    <n v="61"/>
  </r>
  <r>
    <n v="2025"/>
    <n v="12"/>
    <x v="2"/>
    <s v="national network"/>
    <x v="5"/>
    <x v="0"/>
    <s v="No"/>
    <x v="0"/>
    <s v="Yes"/>
    <n v="44"/>
    <n v="0"/>
    <n v="0"/>
    <n v="0"/>
    <n v="22"/>
    <n v="19"/>
    <n v="17"/>
    <n v="15"/>
    <n v="13"/>
    <n v="10"/>
    <n v="5"/>
    <n v="44"/>
  </r>
  <r>
    <n v="2025"/>
    <n v="12"/>
    <x v="2"/>
    <s v="national network"/>
    <x v="6"/>
    <x v="0"/>
    <s v="No"/>
    <x v="0"/>
    <s v="No"/>
    <n v="658"/>
    <n v="0"/>
    <n v="0"/>
    <n v="0"/>
    <n v="185"/>
    <n v="153"/>
    <n v="147"/>
    <n v="109"/>
    <n v="74"/>
    <n v="32"/>
    <n v="16"/>
    <n v="658"/>
  </r>
  <r>
    <n v="2025"/>
    <n v="12"/>
    <x v="2"/>
    <s v="national network"/>
    <x v="10"/>
    <x v="0"/>
    <s v="Yes"/>
    <x v="0"/>
    <s v="No"/>
    <n v="108"/>
    <n v="0"/>
    <n v="0"/>
    <n v="0"/>
    <n v="15"/>
    <n v="12"/>
    <n v="11"/>
    <n v="7"/>
    <n v="4"/>
    <n v="2"/>
    <n v="0"/>
    <n v="108"/>
  </r>
  <r>
    <n v="2025"/>
    <n v="12"/>
    <x v="3"/>
    <s v="national network"/>
    <x v="3"/>
    <x v="0"/>
    <s v="No"/>
    <x v="0"/>
    <s v="No"/>
    <n v="1666"/>
    <n v="40"/>
    <n v="58"/>
    <n v="98"/>
    <n v="866"/>
    <n v="762"/>
    <n v="718"/>
    <n v="579"/>
    <n v="429"/>
    <n v="235"/>
    <n v="73"/>
    <n v="1594"/>
  </r>
  <r>
    <n v="2025"/>
    <n v="12"/>
    <x v="3"/>
    <s v="national network"/>
    <x v="7"/>
    <x v="1"/>
    <s v="No"/>
    <x v="0"/>
    <s v="No"/>
    <n v="2"/>
    <n v="0"/>
    <n v="0"/>
    <n v="0"/>
    <n v="1"/>
    <n v="1"/>
    <n v="1"/>
    <n v="1"/>
    <n v="1"/>
    <n v="0"/>
    <n v="0"/>
    <n v="2"/>
  </r>
  <r>
    <n v="2025"/>
    <n v="12"/>
    <x v="3"/>
    <s v="national network"/>
    <x v="7"/>
    <x v="0"/>
    <s v="No"/>
    <x v="0"/>
    <s v="No"/>
    <n v="136"/>
    <n v="2"/>
    <n v="13"/>
    <n v="15"/>
    <n v="69"/>
    <n v="54"/>
    <n v="53"/>
    <n v="36"/>
    <n v="29"/>
    <n v="17"/>
    <n v="6"/>
    <n v="127"/>
  </r>
  <r>
    <n v="2025"/>
    <n v="12"/>
    <x v="3"/>
    <s v="national network"/>
    <x v="4"/>
    <x v="1"/>
    <s v="No"/>
    <x v="0"/>
    <s v="Yes"/>
    <n v="1"/>
    <n v="0"/>
    <n v="0"/>
    <n v="0"/>
    <n v="1"/>
    <n v="1"/>
    <n v="1"/>
    <n v="1"/>
    <n v="1"/>
    <n v="1"/>
    <n v="1"/>
    <n v="1"/>
  </r>
  <r>
    <n v="2025"/>
    <n v="12"/>
    <x v="3"/>
    <s v="national network"/>
    <x v="4"/>
    <x v="0"/>
    <s v="No"/>
    <x v="0"/>
    <s v="Yes"/>
    <n v="365"/>
    <n v="2"/>
    <n v="5"/>
    <n v="7"/>
    <n v="177"/>
    <n v="160"/>
    <n v="152"/>
    <n v="116"/>
    <n v="92"/>
    <n v="45"/>
    <n v="23"/>
    <n v="362"/>
  </r>
  <r>
    <n v="2025"/>
    <n v="12"/>
    <x v="3"/>
    <s v="national network"/>
    <x v="0"/>
    <x v="1"/>
    <s v="No"/>
    <x v="0"/>
    <s v="No"/>
    <n v="4358"/>
    <n v="221"/>
    <n v="504"/>
    <n v="725"/>
    <n v="2424"/>
    <n v="2079"/>
    <n v="1949"/>
    <n v="1523"/>
    <n v="1210"/>
    <n v="550"/>
    <n v="157"/>
    <n v="3990"/>
  </r>
  <r>
    <n v="2025"/>
    <n v="12"/>
    <x v="3"/>
    <s v="national network"/>
    <x v="0"/>
    <x v="0"/>
    <s v="No"/>
    <x v="0"/>
    <s v="No"/>
    <n v="1447"/>
    <n v="17"/>
    <n v="43"/>
    <n v="60"/>
    <n v="659"/>
    <n v="488"/>
    <n v="440"/>
    <n v="291"/>
    <n v="187"/>
    <n v="71"/>
    <n v="19"/>
    <n v="1410"/>
  </r>
  <r>
    <n v="2025"/>
    <n v="12"/>
    <x v="3"/>
    <s v="national network"/>
    <x v="8"/>
    <x v="1"/>
    <s v="Yes"/>
    <x v="0"/>
    <s v="No"/>
    <n v="15967"/>
    <n v="323"/>
    <n v="1350"/>
    <n v="1673"/>
    <n v="8901"/>
    <n v="7712"/>
    <n v="7224"/>
    <n v="5781"/>
    <n v="4471"/>
    <n v="2137"/>
    <n v="591"/>
    <n v="15158"/>
  </r>
  <r>
    <n v="2025"/>
    <n v="12"/>
    <x v="3"/>
    <s v="national network"/>
    <x v="8"/>
    <x v="0"/>
    <s v="Yes"/>
    <x v="0"/>
    <s v="No"/>
    <n v="4143"/>
    <n v="22"/>
    <n v="201"/>
    <n v="223"/>
    <n v="2606"/>
    <n v="2276"/>
    <n v="2145"/>
    <n v="1720"/>
    <n v="1354"/>
    <n v="637"/>
    <n v="188"/>
    <n v="4030"/>
  </r>
  <r>
    <n v="2025"/>
    <n v="12"/>
    <x v="3"/>
    <s v="national network"/>
    <x v="8"/>
    <x v="2"/>
    <s v="Yes"/>
    <x v="0"/>
    <s v="No"/>
    <n v="7"/>
    <n v="0"/>
    <n v="0"/>
    <n v="0"/>
    <n v="0"/>
    <n v="0"/>
    <n v="0"/>
    <n v="0"/>
    <n v="0"/>
    <n v="0"/>
    <n v="0"/>
    <n v="0"/>
  </r>
  <r>
    <n v="2025"/>
    <n v="12"/>
    <x v="3"/>
    <s v="national network"/>
    <x v="9"/>
    <x v="0"/>
    <s v="No"/>
    <x v="0"/>
    <s v="No"/>
    <n v="519"/>
    <n v="19"/>
    <n v="0"/>
    <n v="19"/>
    <n v="28"/>
    <n v="12"/>
    <n v="9"/>
    <n v="4"/>
    <n v="0"/>
    <n v="0"/>
    <n v="0"/>
    <n v="500"/>
  </r>
  <r>
    <n v="2025"/>
    <n v="12"/>
    <x v="3"/>
    <s v="national network"/>
    <x v="5"/>
    <x v="1"/>
    <s v="No"/>
    <x v="0"/>
    <s v="Yes"/>
    <n v="13"/>
    <n v="0"/>
    <n v="2"/>
    <n v="2"/>
    <n v="8"/>
    <n v="8"/>
    <n v="8"/>
    <n v="7"/>
    <n v="5"/>
    <n v="4"/>
    <n v="0"/>
    <n v="11"/>
  </r>
  <r>
    <n v="2025"/>
    <n v="12"/>
    <x v="3"/>
    <s v="national network"/>
    <x v="5"/>
    <x v="0"/>
    <s v="No"/>
    <x v="0"/>
    <s v="Yes"/>
    <n v="676"/>
    <n v="9"/>
    <n v="27"/>
    <n v="36"/>
    <n v="334"/>
    <n v="292"/>
    <n v="281"/>
    <n v="233"/>
    <n v="189"/>
    <n v="131"/>
    <n v="60"/>
    <n v="660"/>
  </r>
  <r>
    <n v="2025"/>
    <n v="12"/>
    <x v="3"/>
    <s v="national network"/>
    <x v="6"/>
    <x v="1"/>
    <s v="No"/>
    <x v="0"/>
    <s v="No"/>
    <n v="30"/>
    <n v="0"/>
    <n v="3"/>
    <n v="3"/>
    <n v="19"/>
    <n v="17"/>
    <n v="16"/>
    <n v="13"/>
    <n v="7"/>
    <n v="6"/>
    <n v="0"/>
    <n v="30"/>
  </r>
  <r>
    <n v="2025"/>
    <n v="12"/>
    <x v="3"/>
    <s v="national network"/>
    <x v="6"/>
    <x v="0"/>
    <s v="No"/>
    <x v="0"/>
    <s v="No"/>
    <n v="794"/>
    <n v="18"/>
    <n v="21"/>
    <n v="39"/>
    <n v="362"/>
    <n v="295"/>
    <n v="271"/>
    <n v="208"/>
    <n v="146"/>
    <n v="67"/>
    <n v="24"/>
    <n v="770"/>
  </r>
  <r>
    <n v="2025"/>
    <n v="12"/>
    <x v="3"/>
    <s v="national network"/>
    <x v="10"/>
    <x v="0"/>
    <s v="Yes"/>
    <x v="0"/>
    <s v="No"/>
    <n v="333"/>
    <n v="1"/>
    <n v="4"/>
    <n v="5"/>
    <n v="205"/>
    <n v="174"/>
    <n v="160"/>
    <n v="123"/>
    <n v="83"/>
    <n v="30"/>
    <n v="8"/>
    <n v="330"/>
  </r>
  <r>
    <n v="2025"/>
    <n v="12"/>
    <x v="3"/>
    <s v="national network"/>
    <x v="11"/>
    <x v="0"/>
    <s v="Yes"/>
    <x v="0"/>
    <s v="No"/>
    <n v="312"/>
    <n v="4"/>
    <n v="0"/>
    <n v="4"/>
    <n v="181"/>
    <n v="126"/>
    <n v="113"/>
    <n v="84"/>
    <n v="58"/>
    <n v="23"/>
    <n v="9"/>
    <n v="308"/>
  </r>
  <r>
    <n v="2025"/>
    <n v="12"/>
    <x v="3"/>
    <s v="national network"/>
    <x v="1"/>
    <x v="0"/>
    <s v="Yes"/>
    <x v="0"/>
    <s v="No"/>
    <n v="15"/>
    <n v="0"/>
    <n v="0"/>
    <n v="0"/>
    <n v="6"/>
    <n v="6"/>
    <n v="5"/>
    <n v="3"/>
    <n v="3"/>
    <n v="0"/>
    <n v="0"/>
    <n v="15"/>
  </r>
  <r>
    <n v="2025"/>
    <n v="12"/>
    <x v="4"/>
    <s v="national network"/>
    <x v="3"/>
    <x v="0"/>
    <s v="No"/>
    <x v="1"/>
    <s v="No"/>
    <n v="336"/>
    <n v="30"/>
    <n v="2"/>
    <n v="32"/>
    <n v="119"/>
    <n v="100"/>
    <n v="93"/>
    <n v="71"/>
    <n v="50"/>
    <n v="33"/>
    <n v="13"/>
    <n v="305"/>
  </r>
  <r>
    <n v="2025"/>
    <n v="12"/>
    <x v="4"/>
    <s v="national network"/>
    <x v="4"/>
    <x v="0"/>
    <s v="No"/>
    <x v="0"/>
    <s v="Yes"/>
    <n v="57"/>
    <n v="0"/>
    <n v="0"/>
    <n v="0"/>
    <n v="12"/>
    <n v="11"/>
    <n v="11"/>
    <n v="10"/>
    <n v="8"/>
    <n v="6"/>
    <n v="2"/>
    <n v="57"/>
  </r>
  <r>
    <n v="2025"/>
    <n v="12"/>
    <x v="4"/>
    <s v="national network"/>
    <x v="0"/>
    <x v="0"/>
    <s v="No"/>
    <x v="0"/>
    <s v="No"/>
    <n v="533"/>
    <n v="3"/>
    <n v="0"/>
    <n v="3"/>
    <n v="143"/>
    <n v="81"/>
    <n v="64"/>
    <n v="35"/>
    <n v="24"/>
    <n v="5"/>
    <n v="0"/>
    <n v="530"/>
  </r>
  <r>
    <n v="2025"/>
    <n v="12"/>
    <x v="4"/>
    <s v="national network"/>
    <x v="5"/>
    <x v="0"/>
    <s v="No"/>
    <x v="0"/>
    <s v="Yes"/>
    <n v="11"/>
    <n v="1"/>
    <n v="0"/>
    <n v="1"/>
    <n v="0"/>
    <n v="0"/>
    <n v="0"/>
    <n v="0"/>
    <n v="0"/>
    <n v="0"/>
    <n v="0"/>
    <n v="10"/>
  </r>
  <r>
    <n v="2025"/>
    <n v="12"/>
    <x v="5"/>
    <s v="whole journey"/>
    <x v="12"/>
    <x v="0"/>
    <s v="No"/>
    <x v="0"/>
    <s v="Yes"/>
    <n v="25"/>
    <n v="0"/>
    <n v="3"/>
    <n v="3"/>
    <n v="8"/>
    <n v="8"/>
    <n v="7"/>
    <n v="6"/>
    <n v="6"/>
    <n v="5"/>
    <n v="1"/>
    <n v="23"/>
  </r>
  <r>
    <n v="2025"/>
    <n v="12"/>
    <x v="6"/>
    <s v="whole journey"/>
    <x v="13"/>
    <x v="0"/>
    <s v="Yes"/>
    <x v="0"/>
    <s v="No"/>
    <n v="3609"/>
    <n v="238"/>
    <n v="159"/>
    <n v="397"/>
    <n v="1004"/>
    <n v="990"/>
    <n v="984"/>
    <n v="736"/>
    <n v="588"/>
    <n v="302"/>
    <n v="121"/>
    <n v="3342"/>
  </r>
  <r>
    <n v="2025"/>
    <n v="12"/>
    <x v="7"/>
    <s v="whole journey"/>
    <x v="14"/>
    <x v="1"/>
    <s v="No"/>
    <x v="0"/>
    <s v="No"/>
    <n v="437"/>
    <n v="11"/>
    <n v="24"/>
    <n v="35"/>
    <n v="319"/>
    <n v="286"/>
    <n v="280"/>
    <n v="239"/>
    <n v="204"/>
    <n v="124"/>
    <n v="51"/>
    <n v="424"/>
  </r>
  <r>
    <n v="2025"/>
    <n v="12"/>
    <x v="7"/>
    <s v="whole journey"/>
    <x v="14"/>
    <x v="0"/>
    <s v="No"/>
    <x v="0"/>
    <s v="No"/>
    <n v="70"/>
    <n v="4"/>
    <n v="4"/>
    <n v="8"/>
    <n v="42"/>
    <n v="37"/>
    <n v="33"/>
    <n v="26"/>
    <n v="17"/>
    <n v="9"/>
    <n v="8"/>
    <n v="65"/>
  </r>
  <r>
    <n v="2025"/>
    <n v="12"/>
    <x v="8"/>
    <s v="national network"/>
    <x v="2"/>
    <x v="0"/>
    <s v="No"/>
    <x v="1"/>
    <s v="No"/>
    <n v="77"/>
    <n v="0"/>
    <n v="0"/>
    <n v="0"/>
    <n v="0"/>
    <n v="0"/>
    <n v="0"/>
    <n v="0"/>
    <n v="0"/>
    <n v="0"/>
    <n v="0"/>
    <n v="77"/>
  </r>
  <r>
    <n v="2025"/>
    <n v="12"/>
    <x v="8"/>
    <s v="national network"/>
    <x v="3"/>
    <x v="0"/>
    <s v="No"/>
    <x v="1"/>
    <s v="No"/>
    <n v="72"/>
    <n v="0"/>
    <n v="0"/>
    <n v="0"/>
    <n v="17"/>
    <n v="14"/>
    <n v="14"/>
    <n v="10"/>
    <n v="7"/>
    <n v="4"/>
    <n v="0"/>
    <n v="72"/>
  </r>
  <r>
    <n v="2025"/>
    <n v="12"/>
    <x v="8"/>
    <s v="national network"/>
    <x v="4"/>
    <x v="0"/>
    <s v="No"/>
    <x v="0"/>
    <s v="Yes"/>
    <n v="124"/>
    <n v="2"/>
    <n v="0"/>
    <n v="2"/>
    <n v="5"/>
    <n v="3"/>
    <n v="1"/>
    <n v="1"/>
    <n v="1"/>
    <n v="1"/>
    <n v="1"/>
    <n v="122"/>
  </r>
  <r>
    <n v="2025"/>
    <n v="12"/>
    <x v="9"/>
    <s v="national network"/>
    <x v="2"/>
    <x v="0"/>
    <s v="No"/>
    <x v="1"/>
    <s v="No"/>
    <n v="139"/>
    <n v="0"/>
    <n v="0"/>
    <n v="0"/>
    <n v="1"/>
    <n v="1"/>
    <n v="1"/>
    <n v="1"/>
    <n v="0"/>
    <n v="0"/>
    <n v="0"/>
    <n v="139"/>
  </r>
  <r>
    <n v="2025"/>
    <n v="12"/>
    <x v="9"/>
    <s v="national network"/>
    <x v="3"/>
    <x v="0"/>
    <s v="No"/>
    <x v="0"/>
    <s v="No"/>
    <n v="509"/>
    <n v="0"/>
    <n v="0"/>
    <n v="0"/>
    <n v="76"/>
    <n v="70"/>
    <n v="69"/>
    <n v="49"/>
    <n v="39"/>
    <n v="23"/>
    <n v="6"/>
    <n v="509"/>
  </r>
  <r>
    <n v="2025"/>
    <n v="12"/>
    <x v="9"/>
    <s v="national network"/>
    <x v="4"/>
    <x v="0"/>
    <s v="No"/>
    <x v="0"/>
    <s v="Yes"/>
    <n v="167"/>
    <n v="1"/>
    <n v="0"/>
    <n v="1"/>
    <n v="14"/>
    <n v="10"/>
    <n v="9"/>
    <n v="7"/>
    <n v="4"/>
    <n v="3"/>
    <n v="0"/>
    <n v="166"/>
  </r>
  <r>
    <n v="2025"/>
    <n v="12"/>
    <x v="9"/>
    <s v="national network"/>
    <x v="0"/>
    <x v="0"/>
    <s v="No"/>
    <x v="0"/>
    <s v="No"/>
    <n v="248"/>
    <n v="0"/>
    <n v="0"/>
    <n v="0"/>
    <n v="1"/>
    <n v="1"/>
    <n v="1"/>
    <n v="1"/>
    <n v="1"/>
    <n v="0"/>
    <n v="0"/>
    <n v="248"/>
  </r>
  <r>
    <n v="2025"/>
    <n v="12"/>
    <x v="9"/>
    <s v="national network"/>
    <x v="6"/>
    <x v="0"/>
    <s v="No"/>
    <x v="0"/>
    <s v="No"/>
    <n v="36"/>
    <n v="0"/>
    <n v="0"/>
    <n v="0"/>
    <n v="18"/>
    <n v="13"/>
    <n v="12"/>
    <n v="7"/>
    <n v="3"/>
    <n v="0"/>
    <n v="0"/>
    <n v="36"/>
  </r>
  <r>
    <n v="2025"/>
    <n v="12"/>
    <x v="9"/>
    <s v="national network"/>
    <x v="10"/>
    <x v="0"/>
    <s v="Yes"/>
    <x v="0"/>
    <s v="No"/>
    <n v="495"/>
    <n v="1"/>
    <n v="0"/>
    <n v="1"/>
    <n v="175"/>
    <n v="137"/>
    <n v="126"/>
    <n v="81"/>
    <n v="60"/>
    <n v="20"/>
    <n v="3"/>
    <n v="494"/>
  </r>
  <r>
    <n v="2025"/>
    <n v="12"/>
    <x v="10"/>
    <s v="national network"/>
    <x v="15"/>
    <x v="0"/>
    <s v="No"/>
    <x v="0"/>
    <s v="No"/>
    <n v="869"/>
    <n v="3"/>
    <n v="2"/>
    <n v="5"/>
    <n v="72"/>
    <n v="47"/>
    <n v="42"/>
    <n v="22"/>
    <n v="15"/>
    <n v="3"/>
    <n v="0"/>
    <n v="866"/>
  </r>
  <r>
    <n v="2025"/>
    <n v="12"/>
    <x v="10"/>
    <s v="national network"/>
    <x v="0"/>
    <x v="1"/>
    <s v="No"/>
    <x v="0"/>
    <s v="No"/>
    <n v="35915"/>
    <n v="0"/>
    <n v="2527"/>
    <n v="2527"/>
    <n v="4175"/>
    <n v="2318"/>
    <n v="1805"/>
    <n v="872"/>
    <n v="398"/>
    <n v="35"/>
    <n v="1"/>
    <n v="33962"/>
  </r>
  <r>
    <n v="2025"/>
    <n v="12"/>
    <x v="10"/>
    <s v="national network"/>
    <x v="0"/>
    <x v="0"/>
    <s v="No"/>
    <x v="0"/>
    <s v="No"/>
    <n v="62"/>
    <n v="4"/>
    <n v="0"/>
    <n v="4"/>
    <n v="18"/>
    <n v="13"/>
    <n v="13"/>
    <n v="9"/>
    <n v="8"/>
    <n v="3"/>
    <n v="0"/>
    <n v="58"/>
  </r>
  <r>
    <n v="2025"/>
    <n v="12"/>
    <x v="10"/>
    <s v="national network"/>
    <x v="17"/>
    <x v="1"/>
    <s v="No"/>
    <x v="0"/>
    <s v="No"/>
    <n v="3549"/>
    <n v="0"/>
    <n v="684"/>
    <n v="684"/>
    <n v="511"/>
    <n v="330"/>
    <n v="287"/>
    <n v="163"/>
    <n v="78"/>
    <n v="13"/>
    <n v="0"/>
    <n v="3071"/>
  </r>
  <r>
    <n v="2025"/>
    <n v="12"/>
    <x v="10"/>
    <s v="national network"/>
    <x v="8"/>
    <x v="0"/>
    <s v="Yes"/>
    <x v="0"/>
    <s v="No"/>
    <n v="905"/>
    <n v="5"/>
    <n v="36"/>
    <n v="41"/>
    <n v="379"/>
    <n v="343"/>
    <n v="332"/>
    <n v="295"/>
    <n v="219"/>
    <n v="95"/>
    <n v="26"/>
    <n v="890"/>
  </r>
  <r>
    <n v="2025"/>
    <n v="12"/>
    <x v="10"/>
    <s v="national network"/>
    <x v="5"/>
    <x v="0"/>
    <s v="No"/>
    <x v="0"/>
    <s v="Yes"/>
    <n v="186"/>
    <n v="5"/>
    <n v="0"/>
    <n v="5"/>
    <n v="104"/>
    <n v="87"/>
    <n v="82"/>
    <n v="68"/>
    <n v="57"/>
    <n v="43"/>
    <n v="20"/>
    <n v="181"/>
  </r>
  <r>
    <n v="2025"/>
    <n v="12"/>
    <x v="10"/>
    <s v="national network"/>
    <x v="18"/>
    <x v="1"/>
    <s v="No"/>
    <x v="0"/>
    <s v="Yes"/>
    <n v="16"/>
    <n v="0"/>
    <n v="0"/>
    <n v="0"/>
    <n v="4"/>
    <n v="4"/>
    <n v="3"/>
    <n v="1"/>
    <n v="1"/>
    <n v="0"/>
    <n v="0"/>
    <n v="16"/>
  </r>
  <r>
    <n v="2025"/>
    <n v="12"/>
    <x v="10"/>
    <s v="national network"/>
    <x v="19"/>
    <x v="1"/>
    <s v="No"/>
    <x v="1"/>
    <s v="No"/>
    <n v="4424"/>
    <n v="0"/>
    <n v="161"/>
    <n v="161"/>
    <n v="365"/>
    <n v="139"/>
    <n v="96"/>
    <n v="38"/>
    <n v="16"/>
    <n v="0"/>
    <n v="0"/>
    <n v="4319"/>
  </r>
  <r>
    <n v="2025"/>
    <n v="12"/>
    <x v="10"/>
    <s v="national network"/>
    <x v="20"/>
    <x v="1"/>
    <s v="No"/>
    <x v="1"/>
    <s v="No"/>
    <n v="77966"/>
    <n v="0"/>
    <n v="2403"/>
    <n v="2403"/>
    <n v="5381"/>
    <n v="2417"/>
    <n v="1753"/>
    <n v="641"/>
    <n v="231"/>
    <n v="16"/>
    <n v="0"/>
    <n v="76138"/>
  </r>
  <r>
    <n v="2025"/>
    <n v="12"/>
    <x v="10"/>
    <s v="national network"/>
    <x v="21"/>
    <x v="1"/>
    <s v="No"/>
    <x v="1"/>
    <s v="No"/>
    <n v="36317"/>
    <n v="0"/>
    <n v="952"/>
    <n v="952"/>
    <n v="2444"/>
    <n v="949"/>
    <n v="597"/>
    <n v="198"/>
    <n v="82"/>
    <n v="9"/>
    <n v="0"/>
    <n v="35620"/>
  </r>
  <r>
    <n v="2025"/>
    <n v="12"/>
    <x v="11"/>
    <s v="national network"/>
    <x v="2"/>
    <x v="1"/>
    <s v="No"/>
    <x v="0"/>
    <s v="No"/>
    <n v="327"/>
    <n v="1"/>
    <n v="1"/>
    <n v="2"/>
    <n v="80"/>
    <n v="54"/>
    <n v="45"/>
    <n v="32"/>
    <n v="24"/>
    <n v="7"/>
    <n v="2"/>
    <n v="325"/>
  </r>
  <r>
    <n v="2025"/>
    <n v="12"/>
    <x v="11"/>
    <s v="national network"/>
    <x v="2"/>
    <x v="0"/>
    <s v="No"/>
    <x v="0"/>
    <s v="No"/>
    <n v="676"/>
    <n v="0"/>
    <n v="0"/>
    <n v="0"/>
    <n v="149"/>
    <n v="90"/>
    <n v="76"/>
    <n v="47"/>
    <n v="25"/>
    <n v="9"/>
    <n v="1"/>
    <n v="676"/>
  </r>
  <r>
    <n v="2025"/>
    <n v="12"/>
    <x v="11"/>
    <s v="national network"/>
    <x v="3"/>
    <x v="1"/>
    <s v="No"/>
    <x v="0"/>
    <s v="No"/>
    <n v="26"/>
    <n v="0"/>
    <n v="0"/>
    <n v="0"/>
    <n v="5"/>
    <n v="5"/>
    <n v="3"/>
    <n v="1"/>
    <n v="1"/>
    <n v="0"/>
    <n v="0"/>
    <n v="26"/>
  </r>
  <r>
    <n v="2025"/>
    <n v="12"/>
    <x v="11"/>
    <s v="national network"/>
    <x v="3"/>
    <x v="0"/>
    <s v="No"/>
    <x v="0"/>
    <s v="No"/>
    <n v="1864"/>
    <n v="9"/>
    <n v="4"/>
    <n v="13"/>
    <n v="599"/>
    <n v="470"/>
    <n v="411"/>
    <n v="279"/>
    <n v="204"/>
    <n v="85"/>
    <n v="24"/>
    <n v="1853"/>
  </r>
  <r>
    <n v="2025"/>
    <n v="12"/>
    <x v="11"/>
    <s v="national network"/>
    <x v="4"/>
    <x v="0"/>
    <s v="No"/>
    <x v="0"/>
    <s v="Yes"/>
    <n v="376"/>
    <n v="2"/>
    <n v="1"/>
    <n v="3"/>
    <n v="102"/>
    <n v="72"/>
    <n v="61"/>
    <n v="50"/>
    <n v="41"/>
    <n v="27"/>
    <n v="12"/>
    <n v="373"/>
  </r>
  <r>
    <n v="2025"/>
    <n v="12"/>
    <x v="11"/>
    <s v="national network"/>
    <x v="0"/>
    <x v="1"/>
    <s v="No"/>
    <x v="0"/>
    <s v="No"/>
    <n v="1912"/>
    <n v="8"/>
    <n v="54"/>
    <n v="62"/>
    <n v="350"/>
    <n v="232"/>
    <n v="196"/>
    <n v="122"/>
    <n v="82"/>
    <n v="40"/>
    <n v="20"/>
    <n v="1877"/>
  </r>
  <r>
    <n v="2025"/>
    <n v="12"/>
    <x v="11"/>
    <s v="national network"/>
    <x v="0"/>
    <x v="0"/>
    <s v="No"/>
    <x v="0"/>
    <s v="No"/>
    <n v="510"/>
    <n v="0"/>
    <n v="0"/>
    <n v="0"/>
    <n v="91"/>
    <n v="63"/>
    <n v="51"/>
    <n v="43"/>
    <n v="40"/>
    <n v="17"/>
    <n v="8"/>
    <n v="510"/>
  </r>
  <r>
    <n v="2025"/>
    <n v="12"/>
    <x v="11"/>
    <s v="national network"/>
    <x v="8"/>
    <x v="1"/>
    <s v="Yes"/>
    <x v="0"/>
    <s v="No"/>
    <n v="17"/>
    <n v="0"/>
    <n v="0"/>
    <n v="0"/>
    <n v="3"/>
    <n v="3"/>
    <n v="2"/>
    <n v="1"/>
    <n v="0"/>
    <n v="0"/>
    <n v="0"/>
    <n v="17"/>
  </r>
  <r>
    <n v="2025"/>
    <n v="12"/>
    <x v="11"/>
    <s v="national network"/>
    <x v="8"/>
    <x v="0"/>
    <s v="Yes"/>
    <x v="0"/>
    <s v="No"/>
    <n v="828"/>
    <n v="9"/>
    <n v="1"/>
    <n v="10"/>
    <n v="280"/>
    <n v="235"/>
    <n v="222"/>
    <n v="175"/>
    <n v="152"/>
    <n v="87"/>
    <n v="28"/>
    <n v="819"/>
  </r>
  <r>
    <n v="2025"/>
    <n v="12"/>
    <x v="11"/>
    <s v="national network"/>
    <x v="9"/>
    <x v="1"/>
    <s v="No"/>
    <x v="0"/>
    <s v="No"/>
    <n v="1763"/>
    <n v="4"/>
    <n v="7"/>
    <n v="11"/>
    <n v="206"/>
    <n v="123"/>
    <n v="97"/>
    <n v="64"/>
    <n v="50"/>
    <n v="11"/>
    <n v="2"/>
    <n v="1754"/>
  </r>
  <r>
    <n v="2025"/>
    <n v="12"/>
    <x v="11"/>
    <s v="national network"/>
    <x v="9"/>
    <x v="0"/>
    <s v="No"/>
    <x v="0"/>
    <s v="No"/>
    <n v="432"/>
    <n v="0"/>
    <n v="0"/>
    <n v="0"/>
    <n v="49"/>
    <n v="30"/>
    <n v="26"/>
    <n v="17"/>
    <n v="4"/>
    <n v="1"/>
    <n v="1"/>
    <n v="432"/>
  </r>
  <r>
    <n v="2025"/>
    <n v="12"/>
    <x v="11"/>
    <s v="national network"/>
    <x v="5"/>
    <x v="1"/>
    <s v="No"/>
    <x v="0"/>
    <s v="Yes"/>
    <n v="62"/>
    <n v="0"/>
    <n v="0"/>
    <n v="0"/>
    <n v="7"/>
    <n v="3"/>
    <n v="2"/>
    <n v="2"/>
    <n v="1"/>
    <n v="1"/>
    <n v="0"/>
    <n v="62"/>
  </r>
  <r>
    <n v="2025"/>
    <n v="12"/>
    <x v="11"/>
    <s v="national network"/>
    <x v="5"/>
    <x v="0"/>
    <s v="No"/>
    <x v="0"/>
    <s v="Yes"/>
    <n v="700"/>
    <n v="7"/>
    <n v="1"/>
    <n v="8"/>
    <n v="231"/>
    <n v="183"/>
    <n v="171"/>
    <n v="136"/>
    <n v="104"/>
    <n v="67"/>
    <n v="36"/>
    <n v="692"/>
  </r>
  <r>
    <n v="2025"/>
    <n v="12"/>
    <x v="11"/>
    <s v="national network"/>
    <x v="6"/>
    <x v="1"/>
    <s v="No"/>
    <x v="0"/>
    <s v="No"/>
    <n v="1403"/>
    <n v="3"/>
    <n v="57"/>
    <n v="60"/>
    <n v="293"/>
    <n v="181"/>
    <n v="152"/>
    <n v="83"/>
    <n v="51"/>
    <n v="28"/>
    <n v="6"/>
    <n v="1368"/>
  </r>
  <r>
    <n v="2025"/>
    <n v="12"/>
    <x v="11"/>
    <s v="national network"/>
    <x v="6"/>
    <x v="0"/>
    <s v="No"/>
    <x v="0"/>
    <s v="No"/>
    <n v="859"/>
    <n v="11"/>
    <n v="7"/>
    <n v="18"/>
    <n v="301"/>
    <n v="231"/>
    <n v="204"/>
    <n v="143"/>
    <n v="111"/>
    <n v="56"/>
    <n v="21"/>
    <n v="842"/>
  </r>
  <r>
    <n v="2025"/>
    <n v="12"/>
    <x v="11"/>
    <s v="national network"/>
    <x v="6"/>
    <x v="2"/>
    <s v="No"/>
    <x v="0"/>
    <s v="No"/>
    <n v="1"/>
    <n v="0"/>
    <n v="0"/>
    <n v="0"/>
    <n v="0"/>
    <n v="0"/>
    <n v="0"/>
    <n v="0"/>
    <n v="0"/>
    <n v="0"/>
    <n v="0"/>
    <n v="0"/>
  </r>
  <r>
    <n v="2025"/>
    <n v="12"/>
    <x v="11"/>
    <s v="national network"/>
    <x v="10"/>
    <x v="1"/>
    <s v="Yes"/>
    <x v="0"/>
    <s v="No"/>
    <n v="1057"/>
    <n v="7"/>
    <n v="21"/>
    <n v="28"/>
    <n v="459"/>
    <n v="370"/>
    <n v="346"/>
    <n v="251"/>
    <n v="197"/>
    <n v="90"/>
    <n v="25"/>
    <n v="1042"/>
  </r>
  <r>
    <n v="2025"/>
    <n v="12"/>
    <x v="11"/>
    <s v="national network"/>
    <x v="10"/>
    <x v="0"/>
    <s v="Yes"/>
    <x v="0"/>
    <s v="No"/>
    <n v="1192"/>
    <n v="0"/>
    <n v="11"/>
    <n v="11"/>
    <n v="569"/>
    <n v="464"/>
    <n v="427"/>
    <n v="300"/>
    <n v="221"/>
    <n v="108"/>
    <n v="22"/>
    <n v="1189"/>
  </r>
  <r>
    <n v="2025"/>
    <n v="12"/>
    <x v="12"/>
    <s v="national network"/>
    <x v="9"/>
    <x v="1"/>
    <s v="No"/>
    <x v="1"/>
    <s v="No"/>
    <n v="11671"/>
    <n v="9"/>
    <n v="112"/>
    <n v="121"/>
    <n v="2"/>
    <n v="0"/>
    <n v="0"/>
    <n v="0"/>
    <n v="0"/>
    <n v="0"/>
    <n v="0"/>
    <n v="11583"/>
  </r>
  <r>
    <n v="2025"/>
    <n v="12"/>
    <x v="12"/>
    <s v="national network"/>
    <x v="9"/>
    <x v="0"/>
    <s v="No"/>
    <x v="1"/>
    <s v="No"/>
    <n v="28"/>
    <n v="0"/>
    <n v="0"/>
    <n v="0"/>
    <n v="0"/>
    <n v="0"/>
    <n v="0"/>
    <n v="0"/>
    <n v="0"/>
    <n v="0"/>
    <n v="0"/>
    <n v="28"/>
  </r>
  <r>
    <n v="2025"/>
    <n v="12"/>
    <x v="13"/>
    <s v="whole journey"/>
    <x v="59"/>
    <x v="1"/>
    <s v="No"/>
    <x v="1"/>
    <s v="No"/>
    <n v="312"/>
    <n v="1"/>
    <n v="7"/>
    <n v="8"/>
    <n v="76"/>
    <n v="74"/>
    <n v="74"/>
    <n v="46"/>
    <n v="34"/>
    <n v="17"/>
    <n v="8"/>
    <n v="311"/>
  </r>
  <r>
    <n v="2025"/>
    <n v="12"/>
    <x v="13"/>
    <s v="whole journey"/>
    <x v="59"/>
    <x v="2"/>
    <s v="No"/>
    <x v="1"/>
    <s v="No"/>
    <n v="6"/>
    <n v="0"/>
    <n v="0"/>
    <n v="0"/>
    <n v="0"/>
    <n v="0"/>
    <n v="0"/>
    <n v="0"/>
    <n v="0"/>
    <n v="0"/>
    <n v="0"/>
    <n v="0"/>
  </r>
  <r>
    <n v="2025"/>
    <n v="12"/>
    <x v="13"/>
    <s v="whole journey"/>
    <x v="22"/>
    <x v="0"/>
    <s v="No"/>
    <x v="1"/>
    <s v="No"/>
    <n v="120"/>
    <n v="0"/>
    <n v="0"/>
    <n v="0"/>
    <n v="19"/>
    <n v="16"/>
    <n v="16"/>
    <n v="11"/>
    <n v="8"/>
    <n v="4"/>
    <n v="0"/>
    <n v="120"/>
  </r>
  <r>
    <n v="2025"/>
    <n v="12"/>
    <x v="13"/>
    <s v="whole journey"/>
    <x v="23"/>
    <x v="1"/>
    <s v="Yes"/>
    <x v="0"/>
    <s v="No"/>
    <n v="1626"/>
    <n v="0"/>
    <n v="0"/>
    <n v="0"/>
    <n v="346"/>
    <n v="300"/>
    <n v="300"/>
    <n v="221"/>
    <n v="184"/>
    <n v="88"/>
    <n v="31"/>
    <n v="1626"/>
  </r>
  <r>
    <n v="2025"/>
    <n v="12"/>
    <x v="13"/>
    <s v="whole journey"/>
    <x v="23"/>
    <x v="2"/>
    <s v="Yes"/>
    <x v="0"/>
    <s v="No"/>
    <n v="44"/>
    <n v="0"/>
    <n v="0"/>
    <n v="0"/>
    <n v="0"/>
    <n v="0"/>
    <n v="0"/>
    <n v="0"/>
    <n v="0"/>
    <n v="0"/>
    <n v="0"/>
    <n v="0"/>
  </r>
  <r>
    <n v="2025"/>
    <n v="12"/>
    <x v="14"/>
    <s v="national network"/>
    <x v="3"/>
    <x v="0"/>
    <s v="No"/>
    <x v="1"/>
    <s v="No"/>
    <n v="1084"/>
    <n v="4"/>
    <n v="0"/>
    <n v="4"/>
    <n v="200"/>
    <n v="157"/>
    <n v="144"/>
    <n v="102"/>
    <n v="77"/>
    <n v="42"/>
    <n v="14"/>
    <n v="1080"/>
  </r>
  <r>
    <n v="2025"/>
    <n v="12"/>
    <x v="14"/>
    <s v="national network"/>
    <x v="4"/>
    <x v="0"/>
    <s v="No"/>
    <x v="0"/>
    <s v="Yes"/>
    <n v="97"/>
    <n v="0"/>
    <n v="0"/>
    <n v="0"/>
    <n v="21"/>
    <n v="19"/>
    <n v="18"/>
    <n v="17"/>
    <n v="13"/>
    <n v="4"/>
    <n v="1"/>
    <n v="97"/>
  </r>
  <r>
    <n v="2025"/>
    <n v="12"/>
    <x v="14"/>
    <s v="national network"/>
    <x v="0"/>
    <x v="0"/>
    <s v="No"/>
    <x v="1"/>
    <s v="No"/>
    <n v="126"/>
    <n v="0"/>
    <n v="0"/>
    <n v="0"/>
    <n v="62"/>
    <n v="53"/>
    <n v="53"/>
    <n v="47"/>
    <n v="44"/>
    <n v="21"/>
    <n v="12"/>
    <n v="126"/>
  </r>
  <r>
    <n v="2025"/>
    <n v="12"/>
    <x v="14"/>
    <s v="national network"/>
    <x v="0"/>
    <x v="0"/>
    <s v="No"/>
    <x v="0"/>
    <s v="No"/>
    <n v="61"/>
    <n v="0"/>
    <n v="0"/>
    <n v="0"/>
    <n v="12"/>
    <n v="10"/>
    <n v="9"/>
    <n v="8"/>
    <n v="7"/>
    <n v="2"/>
    <n v="1"/>
    <n v="61"/>
  </r>
  <r>
    <n v="2025"/>
    <n v="12"/>
    <x v="15"/>
    <s v="national network"/>
    <x v="24"/>
    <x v="1"/>
    <s v="No"/>
    <x v="1"/>
    <s v="No"/>
    <n v="1392"/>
    <n v="0"/>
    <n v="0"/>
    <n v="0"/>
    <n v="0"/>
    <n v="0"/>
    <n v="0"/>
    <n v="0"/>
    <n v="0"/>
    <n v="0"/>
    <n v="0"/>
    <n v="1392"/>
  </r>
  <r>
    <n v="2025"/>
    <n v="12"/>
    <x v="15"/>
    <s v="national network"/>
    <x v="24"/>
    <x v="0"/>
    <s v="No"/>
    <x v="1"/>
    <s v="No"/>
    <n v="93"/>
    <n v="0"/>
    <n v="0"/>
    <n v="0"/>
    <n v="0"/>
    <n v="0"/>
    <n v="0"/>
    <n v="0"/>
    <n v="0"/>
    <n v="0"/>
    <n v="0"/>
    <n v="93"/>
  </r>
  <r>
    <n v="2025"/>
    <n v="12"/>
    <x v="16"/>
    <s v="national network"/>
    <x v="3"/>
    <x v="1"/>
    <s v="No"/>
    <x v="0"/>
    <s v="No"/>
    <n v="28"/>
    <n v="0"/>
    <n v="0"/>
    <n v="0"/>
    <n v="0"/>
    <n v="0"/>
    <n v="0"/>
    <n v="0"/>
    <n v="0"/>
    <n v="0"/>
    <n v="0"/>
    <n v="28"/>
  </r>
  <r>
    <n v="2025"/>
    <n v="12"/>
    <x v="16"/>
    <s v="national network"/>
    <x v="3"/>
    <x v="0"/>
    <s v="No"/>
    <x v="0"/>
    <s v="No"/>
    <n v="1833"/>
    <n v="12"/>
    <n v="42"/>
    <n v="54"/>
    <n v="284"/>
    <n v="240"/>
    <n v="230"/>
    <n v="184"/>
    <n v="154"/>
    <n v="108"/>
    <n v="19"/>
    <n v="1801"/>
  </r>
  <r>
    <n v="2025"/>
    <n v="12"/>
    <x v="16"/>
    <s v="national network"/>
    <x v="7"/>
    <x v="0"/>
    <s v="No"/>
    <x v="1"/>
    <s v="No"/>
    <n v="290"/>
    <n v="4"/>
    <n v="4"/>
    <n v="8"/>
    <n v="201"/>
    <n v="168"/>
    <n v="162"/>
    <n v="100"/>
    <n v="57"/>
    <n v="15"/>
    <n v="4"/>
    <n v="286"/>
  </r>
  <r>
    <n v="2025"/>
    <n v="12"/>
    <x v="16"/>
    <s v="national network"/>
    <x v="7"/>
    <x v="0"/>
    <s v="No"/>
    <x v="0"/>
    <s v="No"/>
    <n v="94"/>
    <n v="4"/>
    <n v="7"/>
    <n v="11"/>
    <n v="23"/>
    <n v="16"/>
    <n v="16"/>
    <n v="15"/>
    <n v="10"/>
    <n v="6"/>
    <n v="2"/>
    <n v="89"/>
  </r>
  <r>
    <n v="2025"/>
    <n v="12"/>
    <x v="16"/>
    <s v="national network"/>
    <x v="4"/>
    <x v="0"/>
    <s v="No"/>
    <x v="0"/>
    <s v="Yes"/>
    <n v="167"/>
    <n v="0"/>
    <n v="0"/>
    <n v="0"/>
    <n v="12"/>
    <n v="9"/>
    <n v="8"/>
    <n v="7"/>
    <n v="6"/>
    <n v="3"/>
    <n v="0"/>
    <n v="167"/>
  </r>
  <r>
    <n v="2025"/>
    <n v="12"/>
    <x v="16"/>
    <s v="national network"/>
    <x v="0"/>
    <x v="1"/>
    <s v="No"/>
    <x v="0"/>
    <s v="No"/>
    <n v="11105"/>
    <n v="28"/>
    <n v="201"/>
    <n v="229"/>
    <n v="8"/>
    <n v="6"/>
    <n v="6"/>
    <n v="4"/>
    <n v="2"/>
    <n v="2"/>
    <n v="1"/>
    <n v="10915"/>
  </r>
  <r>
    <n v="2025"/>
    <n v="12"/>
    <x v="16"/>
    <s v="national network"/>
    <x v="0"/>
    <x v="0"/>
    <s v="No"/>
    <x v="0"/>
    <s v="No"/>
    <n v="1198"/>
    <n v="56"/>
    <n v="65"/>
    <n v="121"/>
    <n v="164"/>
    <n v="134"/>
    <n v="125"/>
    <n v="97"/>
    <n v="64"/>
    <n v="15"/>
    <n v="5"/>
    <n v="1110"/>
  </r>
  <r>
    <n v="2025"/>
    <n v="12"/>
    <x v="16"/>
    <s v="national network"/>
    <x v="0"/>
    <x v="2"/>
    <s v="No"/>
    <x v="0"/>
    <s v="No"/>
    <n v="1"/>
    <n v="0"/>
    <n v="0"/>
    <n v="0"/>
    <n v="0"/>
    <n v="0"/>
    <n v="0"/>
    <n v="0"/>
    <n v="0"/>
    <n v="0"/>
    <n v="0"/>
    <n v="0"/>
  </r>
  <r>
    <n v="2025"/>
    <n v="12"/>
    <x v="16"/>
    <s v="national network"/>
    <x v="8"/>
    <x v="1"/>
    <s v="Yes"/>
    <x v="0"/>
    <s v="No"/>
    <n v="40"/>
    <n v="0"/>
    <n v="0"/>
    <n v="0"/>
    <n v="0"/>
    <n v="0"/>
    <n v="0"/>
    <n v="0"/>
    <n v="0"/>
    <n v="0"/>
    <n v="0"/>
    <n v="40"/>
  </r>
  <r>
    <n v="2025"/>
    <n v="12"/>
    <x v="16"/>
    <s v="national network"/>
    <x v="8"/>
    <x v="0"/>
    <s v="Yes"/>
    <x v="0"/>
    <s v="No"/>
    <n v="1358"/>
    <n v="55"/>
    <n v="158"/>
    <n v="213"/>
    <n v="203"/>
    <n v="153"/>
    <n v="134"/>
    <n v="101"/>
    <n v="61"/>
    <n v="25"/>
    <n v="5"/>
    <n v="1204"/>
  </r>
  <r>
    <n v="2025"/>
    <n v="12"/>
    <x v="16"/>
    <s v="national network"/>
    <x v="9"/>
    <x v="1"/>
    <s v="No"/>
    <x v="0"/>
    <s v="No"/>
    <n v="13865"/>
    <n v="63"/>
    <n v="228"/>
    <n v="291"/>
    <n v="14"/>
    <n v="12"/>
    <n v="10"/>
    <n v="7"/>
    <n v="3"/>
    <n v="0"/>
    <n v="0"/>
    <n v="13642"/>
  </r>
  <r>
    <n v="2025"/>
    <n v="12"/>
    <x v="16"/>
    <s v="national network"/>
    <x v="9"/>
    <x v="0"/>
    <s v="No"/>
    <x v="0"/>
    <s v="No"/>
    <n v="1100"/>
    <n v="2"/>
    <n v="31"/>
    <n v="33"/>
    <n v="114"/>
    <n v="21"/>
    <n v="16"/>
    <n v="12"/>
    <n v="3"/>
    <n v="0"/>
    <n v="0"/>
    <n v="1076"/>
  </r>
  <r>
    <n v="2025"/>
    <n v="12"/>
    <x v="16"/>
    <s v="national network"/>
    <x v="9"/>
    <x v="2"/>
    <s v="No"/>
    <x v="0"/>
    <s v="No"/>
    <n v="3"/>
    <n v="0"/>
    <n v="0"/>
    <n v="0"/>
    <n v="0"/>
    <n v="0"/>
    <n v="0"/>
    <n v="0"/>
    <n v="0"/>
    <n v="0"/>
    <n v="0"/>
    <n v="0"/>
  </r>
  <r>
    <n v="2025"/>
    <n v="12"/>
    <x v="16"/>
    <s v="national network"/>
    <x v="60"/>
    <x v="0"/>
    <s v="Yes"/>
    <x v="0"/>
    <s v="No"/>
    <n v="46"/>
    <n v="0"/>
    <n v="0"/>
    <n v="0"/>
    <n v="7"/>
    <n v="5"/>
    <n v="5"/>
    <n v="4"/>
    <n v="3"/>
    <n v="1"/>
    <n v="1"/>
    <n v="46"/>
  </r>
  <r>
    <n v="2025"/>
    <n v="12"/>
    <x v="16"/>
    <s v="national network"/>
    <x v="25"/>
    <x v="1"/>
    <s v="Yes"/>
    <x v="0"/>
    <s v="No"/>
    <n v="4"/>
    <n v="0"/>
    <n v="0"/>
    <n v="0"/>
    <n v="1"/>
    <n v="1"/>
    <n v="1"/>
    <n v="1"/>
    <n v="1"/>
    <n v="1"/>
    <n v="1"/>
    <n v="4"/>
  </r>
  <r>
    <n v="2025"/>
    <n v="12"/>
    <x v="16"/>
    <s v="national network"/>
    <x v="25"/>
    <x v="0"/>
    <s v="Yes"/>
    <x v="0"/>
    <s v="No"/>
    <n v="730"/>
    <n v="3"/>
    <n v="10"/>
    <n v="13"/>
    <n v="125"/>
    <n v="102"/>
    <n v="97"/>
    <n v="85"/>
    <n v="72"/>
    <n v="41"/>
    <n v="14"/>
    <n v="717"/>
  </r>
  <r>
    <n v="2025"/>
    <n v="12"/>
    <x v="16"/>
    <s v="national network"/>
    <x v="5"/>
    <x v="0"/>
    <s v="No"/>
    <x v="0"/>
    <s v="Yes"/>
    <n v="315"/>
    <n v="3"/>
    <n v="2"/>
    <n v="5"/>
    <n v="100"/>
    <n v="79"/>
    <n v="72"/>
    <n v="62"/>
    <n v="57"/>
    <n v="28"/>
    <n v="8"/>
    <n v="311"/>
  </r>
  <r>
    <n v="2025"/>
    <n v="12"/>
    <x v="16"/>
    <s v="national network"/>
    <x v="10"/>
    <x v="0"/>
    <s v="Yes"/>
    <x v="0"/>
    <s v="No"/>
    <n v="372"/>
    <n v="1"/>
    <n v="7"/>
    <n v="8"/>
    <n v="76"/>
    <n v="64"/>
    <n v="64"/>
    <n v="61"/>
    <n v="59"/>
    <n v="33"/>
    <n v="6"/>
    <n v="367"/>
  </r>
  <r>
    <n v="2025"/>
    <n v="12"/>
    <x v="17"/>
    <s v="national network"/>
    <x v="4"/>
    <x v="0"/>
    <s v="No"/>
    <x v="0"/>
    <s v="Yes"/>
    <n v="55"/>
    <n v="0"/>
    <n v="0"/>
    <n v="0"/>
    <n v="10"/>
    <n v="9"/>
    <n v="9"/>
    <n v="8"/>
    <n v="6"/>
    <n v="5"/>
    <n v="3"/>
    <n v="55"/>
  </r>
  <r>
    <n v="2025"/>
    <n v="12"/>
    <x v="17"/>
    <s v="national network"/>
    <x v="5"/>
    <x v="0"/>
    <s v="No"/>
    <x v="0"/>
    <s v="Yes"/>
    <n v="10"/>
    <n v="1"/>
    <n v="0"/>
    <n v="1"/>
    <n v="0"/>
    <n v="0"/>
    <n v="0"/>
    <n v="0"/>
    <n v="0"/>
    <n v="0"/>
    <n v="0"/>
    <n v="9"/>
  </r>
  <r>
    <n v="2025"/>
    <n v="12"/>
    <x v="18"/>
    <s v="national network"/>
    <x v="15"/>
    <x v="0"/>
    <s v="No"/>
    <x v="1"/>
    <s v="No"/>
    <n v="869"/>
    <n v="3"/>
    <n v="10"/>
    <n v="13"/>
    <n v="198"/>
    <n v="117"/>
    <n v="91"/>
    <n v="57"/>
    <n v="30"/>
    <n v="9"/>
    <n v="1"/>
    <n v="863"/>
  </r>
  <r>
    <n v="2025"/>
    <n v="12"/>
    <x v="18"/>
    <s v="national network"/>
    <x v="0"/>
    <x v="1"/>
    <s v="No"/>
    <x v="0"/>
    <s v="No"/>
    <n v="29873"/>
    <n v="50"/>
    <n v="414"/>
    <n v="464"/>
    <n v="4744"/>
    <n v="2786"/>
    <n v="2228"/>
    <n v="1135"/>
    <n v="597"/>
    <n v="103"/>
    <n v="7"/>
    <n v="29556"/>
  </r>
  <r>
    <n v="2025"/>
    <n v="12"/>
    <x v="18"/>
    <s v="national network"/>
    <x v="0"/>
    <x v="0"/>
    <s v="No"/>
    <x v="0"/>
    <s v="No"/>
    <n v="3992"/>
    <n v="11"/>
    <n v="45"/>
    <n v="56"/>
    <n v="599"/>
    <n v="309"/>
    <n v="229"/>
    <n v="110"/>
    <n v="58"/>
    <n v="13"/>
    <n v="0"/>
    <n v="3952"/>
  </r>
  <r>
    <n v="2025"/>
    <n v="12"/>
    <x v="18"/>
    <s v="national network"/>
    <x v="0"/>
    <x v="2"/>
    <s v="No"/>
    <x v="0"/>
    <s v="No"/>
    <n v="1"/>
    <n v="1"/>
    <n v="0"/>
    <n v="1"/>
    <n v="0"/>
    <n v="0"/>
    <n v="0"/>
    <n v="0"/>
    <n v="0"/>
    <n v="0"/>
    <n v="0"/>
    <n v="0"/>
  </r>
  <r>
    <n v="2025"/>
    <n v="12"/>
    <x v="18"/>
    <s v="national network"/>
    <x v="8"/>
    <x v="0"/>
    <s v="Yes"/>
    <x v="0"/>
    <s v="No"/>
    <n v="466"/>
    <n v="21"/>
    <n v="11"/>
    <n v="32"/>
    <n v="205"/>
    <n v="165"/>
    <n v="145"/>
    <n v="108"/>
    <n v="90"/>
    <n v="43"/>
    <n v="7"/>
    <n v="441"/>
  </r>
  <r>
    <n v="2025"/>
    <n v="12"/>
    <x v="18"/>
    <s v="national network"/>
    <x v="26"/>
    <x v="1"/>
    <s v="No"/>
    <x v="1"/>
    <s v="No"/>
    <n v="17869"/>
    <n v="32"/>
    <n v="83"/>
    <n v="115"/>
    <n v="2290"/>
    <n v="1171"/>
    <n v="925"/>
    <n v="396"/>
    <n v="215"/>
    <n v="34"/>
    <n v="2"/>
    <n v="17775"/>
  </r>
  <r>
    <n v="2025"/>
    <n v="12"/>
    <x v="18"/>
    <s v="national network"/>
    <x v="26"/>
    <x v="0"/>
    <s v="No"/>
    <x v="1"/>
    <s v="No"/>
    <n v="5447"/>
    <n v="32"/>
    <n v="0"/>
    <n v="32"/>
    <n v="274"/>
    <n v="154"/>
    <n v="115"/>
    <n v="60"/>
    <n v="28"/>
    <n v="5"/>
    <n v="2"/>
    <n v="5415"/>
  </r>
  <r>
    <n v="2025"/>
    <n v="12"/>
    <x v="18"/>
    <s v="national network"/>
    <x v="5"/>
    <x v="0"/>
    <s v="No"/>
    <x v="0"/>
    <s v="Yes"/>
    <n v="37"/>
    <n v="0"/>
    <n v="0"/>
    <n v="0"/>
    <n v="15"/>
    <n v="13"/>
    <n v="13"/>
    <n v="8"/>
    <n v="8"/>
    <n v="4"/>
    <n v="2"/>
    <n v="37"/>
  </r>
  <r>
    <n v="2025"/>
    <n v="12"/>
    <x v="18"/>
    <s v="national network"/>
    <x v="58"/>
    <x v="0"/>
    <s v="Yes"/>
    <x v="0"/>
    <s v="No"/>
    <n v="36"/>
    <n v="0"/>
    <n v="0"/>
    <n v="0"/>
    <n v="20"/>
    <n v="9"/>
    <n v="9"/>
    <n v="6"/>
    <n v="5"/>
    <n v="3"/>
    <n v="0"/>
    <n v="36"/>
  </r>
  <r>
    <n v="2025"/>
    <n v="12"/>
    <x v="18"/>
    <s v="national network"/>
    <x v="27"/>
    <x v="1"/>
    <s v="No"/>
    <x v="1"/>
    <s v="No"/>
    <n v="4768"/>
    <n v="24"/>
    <n v="22"/>
    <n v="46"/>
    <n v="875"/>
    <n v="480"/>
    <n v="366"/>
    <n v="194"/>
    <n v="100"/>
    <n v="18"/>
    <n v="0"/>
    <n v="4727"/>
  </r>
  <r>
    <n v="2025"/>
    <n v="12"/>
    <x v="18"/>
    <s v="national network"/>
    <x v="27"/>
    <x v="0"/>
    <s v="No"/>
    <x v="1"/>
    <s v="No"/>
    <n v="257"/>
    <n v="2"/>
    <n v="0"/>
    <n v="2"/>
    <n v="20"/>
    <n v="10"/>
    <n v="8"/>
    <n v="5"/>
    <n v="5"/>
    <n v="1"/>
    <n v="0"/>
    <n v="255"/>
  </r>
  <r>
    <n v="2025"/>
    <n v="12"/>
    <x v="18"/>
    <s v="national network"/>
    <x v="19"/>
    <x v="1"/>
    <s v="No"/>
    <x v="1"/>
    <s v="No"/>
    <n v="29955"/>
    <n v="54"/>
    <n v="197"/>
    <n v="251"/>
    <n v="3310"/>
    <n v="1802"/>
    <n v="1422"/>
    <n v="643"/>
    <n v="303"/>
    <n v="48"/>
    <n v="5"/>
    <n v="29780"/>
  </r>
  <r>
    <n v="2025"/>
    <n v="12"/>
    <x v="18"/>
    <s v="national network"/>
    <x v="19"/>
    <x v="0"/>
    <s v="No"/>
    <x v="1"/>
    <s v="No"/>
    <n v="3316"/>
    <n v="19"/>
    <n v="74"/>
    <n v="93"/>
    <n v="524"/>
    <n v="317"/>
    <n v="253"/>
    <n v="108"/>
    <n v="50"/>
    <n v="20"/>
    <n v="0"/>
    <n v="3249"/>
  </r>
  <r>
    <n v="2025"/>
    <n v="12"/>
    <x v="18"/>
    <s v="national network"/>
    <x v="1"/>
    <x v="0"/>
    <s v="Yes"/>
    <x v="0"/>
    <s v="No"/>
    <n v="105"/>
    <n v="0"/>
    <n v="0"/>
    <n v="0"/>
    <n v="7"/>
    <n v="0"/>
    <n v="0"/>
    <n v="0"/>
    <n v="0"/>
    <n v="0"/>
    <n v="0"/>
    <n v="105"/>
  </r>
  <r>
    <n v="2025"/>
    <n v="12"/>
    <x v="18"/>
    <s v="national network"/>
    <x v="1"/>
    <x v="2"/>
    <s v="Yes"/>
    <x v="0"/>
    <s v="No"/>
    <n v="3"/>
    <n v="0"/>
    <n v="0"/>
    <n v="0"/>
    <n v="0"/>
    <n v="0"/>
    <n v="0"/>
    <n v="0"/>
    <n v="0"/>
    <n v="0"/>
    <n v="0"/>
    <n v="0"/>
  </r>
  <r>
    <n v="2025"/>
    <n v="12"/>
    <x v="18"/>
    <s v="national network"/>
    <x v="64"/>
    <x v="0"/>
    <s v="No"/>
    <x v="1"/>
    <s v="No"/>
    <n v="1"/>
    <n v="0"/>
    <n v="0"/>
    <n v="0"/>
    <n v="0"/>
    <n v="0"/>
    <n v="0"/>
    <n v="0"/>
    <n v="0"/>
    <n v="0"/>
    <n v="0"/>
    <n v="1"/>
  </r>
  <r>
    <n v="2025"/>
    <n v="12"/>
    <x v="19"/>
    <s v="national network"/>
    <x v="65"/>
    <x v="1"/>
    <s v="No"/>
    <x v="1"/>
    <s v="No"/>
    <n v="13150"/>
    <n v="0"/>
    <n v="0"/>
    <n v="0"/>
    <n v="3882"/>
    <n v="1000"/>
    <n v="995"/>
    <n v="363"/>
    <n v="163"/>
    <n v="28"/>
    <n v="0"/>
    <n v="13150"/>
  </r>
  <r>
    <n v="2025"/>
    <n v="12"/>
    <x v="19"/>
    <s v="national network"/>
    <x v="65"/>
    <x v="0"/>
    <s v="No"/>
    <x v="1"/>
    <s v="No"/>
    <n v="481"/>
    <n v="0"/>
    <n v="0"/>
    <n v="0"/>
    <n v="70"/>
    <n v="22"/>
    <n v="22"/>
    <n v="5"/>
    <n v="1"/>
    <n v="0"/>
    <n v="0"/>
    <n v="481"/>
  </r>
  <r>
    <n v="2025"/>
    <n v="12"/>
    <x v="19"/>
    <s v="national network"/>
    <x v="65"/>
    <x v="2"/>
    <s v="No"/>
    <x v="1"/>
    <s v="No"/>
    <n v="156"/>
    <n v="0"/>
    <n v="0"/>
    <n v="0"/>
    <n v="0"/>
    <n v="0"/>
    <n v="0"/>
    <n v="0"/>
    <n v="0"/>
    <n v="0"/>
    <n v="0"/>
    <n v="0"/>
  </r>
  <r>
    <n v="2025"/>
    <n v="12"/>
    <x v="19"/>
    <s v="national network"/>
    <x v="61"/>
    <x v="1"/>
    <s v="No"/>
    <x v="1"/>
    <s v="No"/>
    <n v="3913"/>
    <n v="6"/>
    <n v="32"/>
    <n v="38"/>
    <n v="1411"/>
    <n v="363"/>
    <n v="362"/>
    <n v="128"/>
    <n v="54"/>
    <n v="7"/>
    <n v="0"/>
    <n v="3906"/>
  </r>
  <r>
    <n v="2025"/>
    <n v="12"/>
    <x v="19"/>
    <s v="national network"/>
    <x v="61"/>
    <x v="0"/>
    <s v="No"/>
    <x v="1"/>
    <s v="No"/>
    <n v="199"/>
    <n v="0"/>
    <n v="0"/>
    <n v="0"/>
    <n v="48"/>
    <n v="10"/>
    <n v="10"/>
    <n v="0"/>
    <n v="0"/>
    <n v="0"/>
    <n v="0"/>
    <n v="199"/>
  </r>
  <r>
    <n v="2025"/>
    <n v="12"/>
    <x v="19"/>
    <s v="national network"/>
    <x v="61"/>
    <x v="2"/>
    <s v="No"/>
    <x v="1"/>
    <s v="No"/>
    <n v="244"/>
    <n v="0"/>
    <n v="0"/>
    <n v="0"/>
    <n v="0"/>
    <n v="0"/>
    <n v="0"/>
    <n v="0"/>
    <n v="0"/>
    <n v="0"/>
    <n v="0"/>
    <n v="0"/>
  </r>
  <r>
    <n v="2025"/>
    <n v="12"/>
    <x v="19"/>
    <s v="national network"/>
    <x v="28"/>
    <x v="0"/>
    <s v="No"/>
    <x v="0"/>
    <s v="No"/>
    <n v="2"/>
    <n v="2"/>
    <n v="0"/>
    <n v="2"/>
    <n v="0"/>
    <n v="0"/>
    <n v="0"/>
    <n v="0"/>
    <n v="0"/>
    <n v="0"/>
    <n v="0"/>
    <n v="0"/>
  </r>
  <r>
    <n v="2025"/>
    <n v="12"/>
    <x v="19"/>
    <s v="national network"/>
    <x v="0"/>
    <x v="1"/>
    <s v="No"/>
    <x v="1"/>
    <s v="No"/>
    <n v="344"/>
    <n v="6"/>
    <n v="10"/>
    <n v="16"/>
    <n v="136"/>
    <n v="95"/>
    <n v="95"/>
    <n v="67"/>
    <n v="58"/>
    <n v="30"/>
    <n v="16"/>
    <n v="333"/>
  </r>
  <r>
    <n v="2025"/>
    <n v="12"/>
    <x v="19"/>
    <s v="national network"/>
    <x v="0"/>
    <x v="0"/>
    <s v="No"/>
    <x v="0"/>
    <s v="No"/>
    <n v="789"/>
    <n v="6"/>
    <n v="0"/>
    <n v="6"/>
    <n v="5"/>
    <n v="2"/>
    <n v="2"/>
    <n v="1"/>
    <n v="1"/>
    <n v="1"/>
    <n v="0"/>
    <n v="783"/>
  </r>
  <r>
    <n v="2025"/>
    <n v="12"/>
    <x v="19"/>
    <s v="national network"/>
    <x v="0"/>
    <x v="2"/>
    <s v="No"/>
    <x v="1"/>
    <s v="No"/>
    <n v="6"/>
    <n v="0"/>
    <n v="0"/>
    <n v="0"/>
    <n v="0"/>
    <n v="0"/>
    <n v="0"/>
    <n v="0"/>
    <n v="0"/>
    <n v="0"/>
    <n v="0"/>
    <n v="0"/>
  </r>
  <r>
    <n v="2025"/>
    <n v="12"/>
    <x v="19"/>
    <s v="national network"/>
    <x v="8"/>
    <x v="1"/>
    <s v="Yes"/>
    <x v="0"/>
    <s v="No"/>
    <n v="8"/>
    <n v="0"/>
    <n v="0"/>
    <n v="0"/>
    <n v="8"/>
    <n v="8"/>
    <n v="8"/>
    <n v="7"/>
    <n v="7"/>
    <n v="4"/>
    <n v="2"/>
    <n v="8"/>
  </r>
  <r>
    <n v="2025"/>
    <n v="12"/>
    <x v="19"/>
    <s v="national network"/>
    <x v="8"/>
    <x v="0"/>
    <s v="Yes"/>
    <x v="0"/>
    <s v="No"/>
    <n v="669"/>
    <n v="4"/>
    <n v="4"/>
    <n v="8"/>
    <n v="252"/>
    <n v="188"/>
    <n v="177"/>
    <n v="144"/>
    <n v="112"/>
    <n v="51"/>
    <n v="20"/>
    <n v="663"/>
  </r>
  <r>
    <n v="2025"/>
    <n v="12"/>
    <x v="19"/>
    <s v="national network"/>
    <x v="8"/>
    <x v="2"/>
    <s v="Yes"/>
    <x v="0"/>
    <s v="No"/>
    <n v="3"/>
    <n v="0"/>
    <n v="0"/>
    <n v="0"/>
    <n v="0"/>
    <n v="0"/>
    <n v="0"/>
    <n v="0"/>
    <n v="0"/>
    <n v="0"/>
    <n v="0"/>
    <n v="0"/>
  </r>
  <r>
    <n v="2025"/>
    <n v="12"/>
    <x v="19"/>
    <s v="national network"/>
    <x v="34"/>
    <x v="1"/>
    <s v="No"/>
    <x v="1"/>
    <s v="No"/>
    <n v="40"/>
    <n v="10"/>
    <n v="2"/>
    <n v="12"/>
    <n v="10"/>
    <n v="3"/>
    <n v="3"/>
    <n v="2"/>
    <n v="2"/>
    <n v="2"/>
    <n v="0"/>
    <n v="28"/>
  </r>
  <r>
    <n v="2025"/>
    <n v="12"/>
    <x v="19"/>
    <s v="national network"/>
    <x v="34"/>
    <x v="2"/>
    <s v="No"/>
    <x v="1"/>
    <s v="No"/>
    <n v="10"/>
    <n v="5"/>
    <n v="0"/>
    <n v="5"/>
    <n v="0"/>
    <n v="0"/>
    <n v="0"/>
    <n v="0"/>
    <n v="0"/>
    <n v="0"/>
    <n v="0"/>
    <n v="0"/>
  </r>
  <r>
    <n v="2025"/>
    <n v="12"/>
    <x v="19"/>
    <s v="national network"/>
    <x v="29"/>
    <x v="1"/>
    <s v="No"/>
    <x v="0"/>
    <s v="No"/>
    <n v="1742"/>
    <n v="0"/>
    <n v="0"/>
    <n v="0"/>
    <n v="497"/>
    <n v="341"/>
    <n v="341"/>
    <n v="256"/>
    <n v="199"/>
    <n v="111"/>
    <n v="27"/>
    <n v="1742"/>
  </r>
  <r>
    <n v="2025"/>
    <n v="12"/>
    <x v="19"/>
    <s v="national network"/>
    <x v="29"/>
    <x v="2"/>
    <s v="No"/>
    <x v="0"/>
    <s v="No"/>
    <n v="19"/>
    <n v="0"/>
    <n v="0"/>
    <n v="0"/>
    <n v="0"/>
    <n v="0"/>
    <n v="0"/>
    <n v="0"/>
    <n v="0"/>
    <n v="0"/>
    <n v="0"/>
    <n v="0"/>
  </r>
  <r>
    <n v="2025"/>
    <n v="12"/>
    <x v="19"/>
    <s v="national network"/>
    <x v="30"/>
    <x v="1"/>
    <s v="No"/>
    <x v="0"/>
    <s v="Yes"/>
    <n v="268"/>
    <n v="0"/>
    <n v="0"/>
    <n v="0"/>
    <n v="57"/>
    <n v="42"/>
    <n v="42"/>
    <n v="31"/>
    <n v="27"/>
    <n v="13"/>
    <n v="4"/>
    <n v="268"/>
  </r>
  <r>
    <n v="2025"/>
    <n v="12"/>
    <x v="19"/>
    <s v="national network"/>
    <x v="30"/>
    <x v="2"/>
    <s v="No"/>
    <x v="0"/>
    <s v="Yes"/>
    <n v="37"/>
    <n v="0"/>
    <n v="0"/>
    <n v="0"/>
    <n v="0"/>
    <n v="0"/>
    <n v="0"/>
    <n v="0"/>
    <n v="0"/>
    <n v="0"/>
    <n v="0"/>
    <n v="0"/>
  </r>
  <r>
    <n v="2025"/>
    <n v="12"/>
    <x v="19"/>
    <s v="national network"/>
    <x v="60"/>
    <x v="0"/>
    <s v="Yes"/>
    <x v="0"/>
    <s v="No"/>
    <n v="137"/>
    <n v="0"/>
    <n v="2"/>
    <n v="2"/>
    <n v="32"/>
    <n v="13"/>
    <n v="13"/>
    <n v="13"/>
    <n v="7"/>
    <n v="2"/>
    <n v="0"/>
    <n v="137"/>
  </r>
  <r>
    <n v="2025"/>
    <n v="12"/>
    <x v="19"/>
    <s v="national network"/>
    <x v="60"/>
    <x v="2"/>
    <s v="Yes"/>
    <x v="0"/>
    <s v="No"/>
    <n v="5"/>
    <n v="0"/>
    <n v="0"/>
    <n v="0"/>
    <n v="0"/>
    <n v="0"/>
    <n v="0"/>
    <n v="0"/>
    <n v="0"/>
    <n v="0"/>
    <n v="0"/>
    <n v="0"/>
  </r>
  <r>
    <n v="2025"/>
    <n v="12"/>
    <x v="19"/>
    <s v="national network"/>
    <x v="25"/>
    <x v="1"/>
    <s v="Yes"/>
    <x v="0"/>
    <s v="No"/>
    <n v="25"/>
    <n v="0"/>
    <n v="0"/>
    <n v="0"/>
    <n v="25"/>
    <n v="25"/>
    <n v="25"/>
    <n v="23"/>
    <n v="20"/>
    <n v="13"/>
    <n v="3"/>
    <n v="25"/>
  </r>
  <r>
    <n v="2025"/>
    <n v="12"/>
    <x v="19"/>
    <s v="national network"/>
    <x v="25"/>
    <x v="0"/>
    <s v="Yes"/>
    <x v="0"/>
    <s v="No"/>
    <n v="843"/>
    <n v="0"/>
    <n v="0"/>
    <n v="0"/>
    <n v="76"/>
    <n v="38"/>
    <n v="36"/>
    <n v="32"/>
    <n v="28"/>
    <n v="13"/>
    <n v="2"/>
    <n v="843"/>
  </r>
  <r>
    <n v="2025"/>
    <n v="12"/>
    <x v="19"/>
    <s v="national network"/>
    <x v="25"/>
    <x v="2"/>
    <s v="Yes"/>
    <x v="0"/>
    <s v="No"/>
    <n v="9"/>
    <n v="0"/>
    <n v="0"/>
    <n v="0"/>
    <n v="0"/>
    <n v="0"/>
    <n v="0"/>
    <n v="0"/>
    <n v="0"/>
    <n v="0"/>
    <n v="0"/>
    <n v="0"/>
  </r>
  <r>
    <n v="2025"/>
    <n v="12"/>
    <x v="19"/>
    <s v="national network"/>
    <x v="62"/>
    <x v="1"/>
    <s v="No"/>
    <x v="1"/>
    <s v="No"/>
    <n v="22"/>
    <n v="0"/>
    <n v="0"/>
    <n v="0"/>
    <n v="1"/>
    <n v="0"/>
    <n v="0"/>
    <n v="0"/>
    <n v="0"/>
    <n v="0"/>
    <n v="0"/>
    <n v="22"/>
  </r>
  <r>
    <n v="2025"/>
    <n v="12"/>
    <x v="19"/>
    <s v="national network"/>
    <x v="62"/>
    <x v="2"/>
    <s v="No"/>
    <x v="1"/>
    <s v="No"/>
    <n v="17"/>
    <n v="0"/>
    <n v="0"/>
    <n v="0"/>
    <n v="0"/>
    <n v="0"/>
    <n v="0"/>
    <n v="0"/>
    <n v="0"/>
    <n v="0"/>
    <n v="0"/>
    <n v="0"/>
  </r>
  <r>
    <n v="2025"/>
    <n v="12"/>
    <x v="19"/>
    <s v="national network"/>
    <x v="66"/>
    <x v="1"/>
    <s v="No"/>
    <x v="1"/>
    <s v="No"/>
    <n v="40"/>
    <n v="0"/>
    <n v="0"/>
    <n v="0"/>
    <n v="6"/>
    <n v="1"/>
    <n v="1"/>
    <n v="1"/>
    <n v="0"/>
    <n v="0"/>
    <n v="0"/>
    <n v="40"/>
  </r>
  <r>
    <n v="2025"/>
    <n v="12"/>
    <x v="19"/>
    <s v="national network"/>
    <x v="66"/>
    <x v="2"/>
    <s v="No"/>
    <x v="1"/>
    <s v="No"/>
    <n v="5"/>
    <n v="0"/>
    <n v="0"/>
    <n v="0"/>
    <n v="0"/>
    <n v="0"/>
    <n v="0"/>
    <n v="0"/>
    <n v="0"/>
    <n v="0"/>
    <n v="0"/>
    <n v="0"/>
  </r>
  <r>
    <n v="2025"/>
    <n v="12"/>
    <x v="19"/>
    <s v="national network"/>
    <x v="5"/>
    <x v="0"/>
    <s v="No"/>
    <x v="0"/>
    <s v="Yes"/>
    <n v="12"/>
    <n v="0"/>
    <n v="2"/>
    <n v="2"/>
    <n v="2"/>
    <n v="2"/>
    <n v="2"/>
    <n v="2"/>
    <n v="0"/>
    <n v="0"/>
    <n v="0"/>
    <n v="10"/>
  </r>
  <r>
    <n v="2025"/>
    <n v="12"/>
    <x v="19"/>
    <s v="national network"/>
    <x v="58"/>
    <x v="1"/>
    <s v="Yes"/>
    <x v="0"/>
    <s v="No"/>
    <n v="2437"/>
    <n v="2"/>
    <n v="24"/>
    <n v="26"/>
    <n v="798"/>
    <n v="494"/>
    <n v="494"/>
    <n v="356"/>
    <n v="272"/>
    <n v="126"/>
    <n v="48"/>
    <n v="2431"/>
  </r>
  <r>
    <n v="2025"/>
    <n v="12"/>
    <x v="19"/>
    <s v="national network"/>
    <x v="58"/>
    <x v="0"/>
    <s v="Yes"/>
    <x v="0"/>
    <s v="No"/>
    <n v="225"/>
    <n v="0"/>
    <n v="1"/>
    <n v="1"/>
    <n v="105"/>
    <n v="56"/>
    <n v="56"/>
    <n v="44"/>
    <n v="32"/>
    <n v="19"/>
    <n v="2"/>
    <n v="225"/>
  </r>
  <r>
    <n v="2025"/>
    <n v="12"/>
    <x v="19"/>
    <s v="national network"/>
    <x v="58"/>
    <x v="2"/>
    <s v="Yes"/>
    <x v="0"/>
    <s v="No"/>
    <n v="219"/>
    <n v="0"/>
    <n v="0"/>
    <n v="0"/>
    <n v="0"/>
    <n v="0"/>
    <n v="0"/>
    <n v="0"/>
    <n v="0"/>
    <n v="0"/>
    <n v="0"/>
    <n v="0"/>
  </r>
  <r>
    <n v="2025"/>
    <n v="12"/>
    <x v="19"/>
    <s v="national network"/>
    <x v="56"/>
    <x v="1"/>
    <s v="No"/>
    <x v="1"/>
    <s v="No"/>
    <n v="36197"/>
    <n v="754"/>
    <n v="529"/>
    <n v="1283"/>
    <n v="5928"/>
    <n v="2857"/>
    <n v="2850"/>
    <n v="1912"/>
    <n v="1357"/>
    <n v="585"/>
    <n v="156"/>
    <n v="35270"/>
  </r>
  <r>
    <n v="2025"/>
    <n v="12"/>
    <x v="19"/>
    <s v="national network"/>
    <x v="56"/>
    <x v="0"/>
    <s v="No"/>
    <x v="1"/>
    <s v="No"/>
    <n v="5080"/>
    <n v="94"/>
    <n v="40"/>
    <n v="134"/>
    <n v="690"/>
    <n v="227"/>
    <n v="227"/>
    <n v="119"/>
    <n v="68"/>
    <n v="22"/>
    <n v="7"/>
    <n v="4970"/>
  </r>
  <r>
    <n v="2025"/>
    <n v="12"/>
    <x v="19"/>
    <s v="national network"/>
    <x v="56"/>
    <x v="2"/>
    <s v="No"/>
    <x v="1"/>
    <s v="No"/>
    <n v="565"/>
    <n v="13"/>
    <n v="0"/>
    <n v="13"/>
    <n v="0"/>
    <n v="0"/>
    <n v="0"/>
    <n v="0"/>
    <n v="0"/>
    <n v="0"/>
    <n v="0"/>
    <n v="0"/>
  </r>
  <r>
    <n v="2025"/>
    <n v="12"/>
    <x v="19"/>
    <s v="national network"/>
    <x v="11"/>
    <x v="0"/>
    <s v="Yes"/>
    <x v="0"/>
    <s v="No"/>
    <n v="100"/>
    <n v="2"/>
    <n v="1"/>
    <n v="3"/>
    <n v="46"/>
    <n v="39"/>
    <n v="38"/>
    <n v="33"/>
    <n v="20"/>
    <n v="7"/>
    <n v="1"/>
    <n v="98"/>
  </r>
  <r>
    <n v="2025"/>
    <n v="12"/>
    <x v="19"/>
    <s v="national network"/>
    <x v="1"/>
    <x v="1"/>
    <s v="Yes"/>
    <x v="0"/>
    <s v="No"/>
    <n v="11254"/>
    <n v="0"/>
    <n v="0"/>
    <n v="0"/>
    <n v="2698"/>
    <n v="1525"/>
    <n v="1525"/>
    <n v="1033"/>
    <n v="768"/>
    <n v="328"/>
    <n v="72"/>
    <n v="11254"/>
  </r>
  <r>
    <n v="2025"/>
    <n v="12"/>
    <x v="19"/>
    <s v="national network"/>
    <x v="1"/>
    <x v="0"/>
    <s v="Yes"/>
    <x v="0"/>
    <s v="No"/>
    <n v="1098"/>
    <n v="0"/>
    <n v="0"/>
    <n v="0"/>
    <n v="394"/>
    <n v="254"/>
    <n v="254"/>
    <n v="188"/>
    <n v="140"/>
    <n v="63"/>
    <n v="26"/>
    <n v="1098"/>
  </r>
  <r>
    <n v="2025"/>
    <n v="12"/>
    <x v="19"/>
    <s v="national network"/>
    <x v="1"/>
    <x v="2"/>
    <s v="Yes"/>
    <x v="0"/>
    <s v="No"/>
    <n v="382"/>
    <n v="0"/>
    <n v="0"/>
    <n v="0"/>
    <n v="0"/>
    <n v="0"/>
    <n v="0"/>
    <n v="0"/>
    <n v="0"/>
    <n v="0"/>
    <n v="0"/>
    <n v="0"/>
  </r>
  <r>
    <n v="2025"/>
    <n v="12"/>
    <x v="19"/>
    <s v="national network"/>
    <x v="64"/>
    <x v="1"/>
    <s v="No"/>
    <x v="1"/>
    <s v="No"/>
    <n v="132706"/>
    <n v="0"/>
    <n v="0"/>
    <n v="0"/>
    <n v="18198"/>
    <n v="8781"/>
    <n v="8766"/>
    <n v="5512"/>
    <n v="3807"/>
    <n v="1269"/>
    <n v="152"/>
    <n v="132706"/>
  </r>
  <r>
    <n v="2025"/>
    <n v="12"/>
    <x v="19"/>
    <s v="national network"/>
    <x v="64"/>
    <x v="0"/>
    <s v="No"/>
    <x v="1"/>
    <s v="No"/>
    <n v="22729"/>
    <n v="0"/>
    <n v="0"/>
    <n v="0"/>
    <n v="2125"/>
    <n v="703"/>
    <n v="702"/>
    <n v="304"/>
    <n v="155"/>
    <n v="35"/>
    <n v="5"/>
    <n v="22729"/>
  </r>
  <r>
    <n v="2025"/>
    <n v="12"/>
    <x v="19"/>
    <s v="national network"/>
    <x v="64"/>
    <x v="2"/>
    <s v="No"/>
    <x v="1"/>
    <s v="No"/>
    <n v="553"/>
    <n v="0"/>
    <n v="0"/>
    <n v="0"/>
    <n v="0"/>
    <n v="0"/>
    <n v="0"/>
    <n v="0"/>
    <n v="0"/>
    <n v="0"/>
    <n v="0"/>
    <n v="0"/>
  </r>
  <r>
    <n v="2025"/>
    <n v="12"/>
    <x v="19"/>
    <s v="national network"/>
    <x v="67"/>
    <x v="1"/>
    <s v="No"/>
    <x v="1"/>
    <s v="No"/>
    <n v="3186"/>
    <n v="0"/>
    <n v="0"/>
    <n v="0"/>
    <n v="113"/>
    <n v="36"/>
    <n v="36"/>
    <n v="12"/>
    <n v="9"/>
    <n v="3"/>
    <n v="0"/>
    <n v="3186"/>
  </r>
  <r>
    <n v="2025"/>
    <n v="12"/>
    <x v="19"/>
    <s v="national network"/>
    <x v="67"/>
    <x v="0"/>
    <s v="No"/>
    <x v="1"/>
    <s v="No"/>
    <n v="47"/>
    <n v="0"/>
    <n v="0"/>
    <n v="0"/>
    <n v="47"/>
    <n v="25"/>
    <n v="25"/>
    <n v="5"/>
    <n v="0"/>
    <n v="0"/>
    <n v="0"/>
    <n v="47"/>
  </r>
  <r>
    <n v="2025"/>
    <n v="12"/>
    <x v="19"/>
    <s v="national network"/>
    <x v="67"/>
    <x v="2"/>
    <s v="No"/>
    <x v="1"/>
    <s v="No"/>
    <n v="14"/>
    <n v="0"/>
    <n v="0"/>
    <n v="0"/>
    <n v="0"/>
    <n v="0"/>
    <n v="0"/>
    <n v="0"/>
    <n v="0"/>
    <n v="0"/>
    <n v="0"/>
    <n v="0"/>
  </r>
  <r>
    <n v="2025"/>
    <n v="12"/>
    <x v="19"/>
    <s v="national network"/>
    <x v="63"/>
    <x v="1"/>
    <s v="No"/>
    <x v="1"/>
    <s v="No"/>
    <n v="866"/>
    <n v="6"/>
    <n v="0"/>
    <n v="6"/>
    <n v="37"/>
    <n v="4"/>
    <n v="4"/>
    <n v="1"/>
    <n v="1"/>
    <n v="0"/>
    <n v="0"/>
    <n v="860"/>
  </r>
  <r>
    <n v="2025"/>
    <n v="12"/>
    <x v="19"/>
    <s v="national network"/>
    <x v="63"/>
    <x v="0"/>
    <s v="No"/>
    <x v="1"/>
    <s v="No"/>
    <n v="16"/>
    <n v="0"/>
    <n v="0"/>
    <n v="0"/>
    <n v="16"/>
    <n v="11"/>
    <n v="11"/>
    <n v="4"/>
    <n v="0"/>
    <n v="0"/>
    <n v="0"/>
    <n v="16"/>
  </r>
  <r>
    <n v="2025"/>
    <n v="12"/>
    <x v="19"/>
    <s v="national network"/>
    <x v="63"/>
    <x v="2"/>
    <s v="No"/>
    <x v="1"/>
    <s v="No"/>
    <n v="11"/>
    <n v="0"/>
    <n v="0"/>
    <n v="0"/>
    <n v="0"/>
    <n v="0"/>
    <n v="0"/>
    <n v="0"/>
    <n v="0"/>
    <n v="0"/>
    <n v="0"/>
    <n v="0"/>
  </r>
  <r>
    <n v="2025"/>
    <n v="12"/>
    <x v="20"/>
    <s v="national network"/>
    <x v="2"/>
    <x v="0"/>
    <s v="No"/>
    <x v="1"/>
    <s v="No"/>
    <n v="522"/>
    <n v="0"/>
    <n v="0"/>
    <n v="0"/>
    <n v="77"/>
    <n v="65"/>
    <n v="58"/>
    <n v="32"/>
    <n v="21"/>
    <n v="1"/>
    <n v="0"/>
    <n v="522"/>
  </r>
  <r>
    <n v="2025"/>
    <n v="12"/>
    <x v="20"/>
    <s v="national network"/>
    <x v="3"/>
    <x v="0"/>
    <s v="No"/>
    <x v="1"/>
    <s v="No"/>
    <n v="121"/>
    <n v="0"/>
    <n v="0"/>
    <n v="0"/>
    <n v="53"/>
    <n v="44"/>
    <n v="43"/>
    <n v="28"/>
    <n v="18"/>
    <n v="9"/>
    <n v="0"/>
    <n v="121"/>
  </r>
  <r>
    <n v="2025"/>
    <n v="12"/>
    <x v="20"/>
    <s v="national network"/>
    <x v="4"/>
    <x v="0"/>
    <s v="No"/>
    <x v="0"/>
    <s v="Yes"/>
    <n v="155"/>
    <n v="2"/>
    <n v="0"/>
    <n v="2"/>
    <n v="5"/>
    <n v="3"/>
    <n v="1"/>
    <n v="1"/>
    <n v="1"/>
    <n v="1"/>
    <n v="1"/>
    <n v="153"/>
  </r>
  <r>
    <n v="2025"/>
    <n v="12"/>
    <x v="20"/>
    <s v="national network"/>
    <x v="0"/>
    <x v="0"/>
    <s v="No"/>
    <x v="1"/>
    <s v="No"/>
    <n v="26"/>
    <n v="0"/>
    <n v="0"/>
    <n v="0"/>
    <n v="15"/>
    <n v="13"/>
    <n v="10"/>
    <n v="6"/>
    <n v="3"/>
    <n v="0"/>
    <n v="0"/>
    <n v="26"/>
  </r>
  <r>
    <n v="2025"/>
    <n v="12"/>
    <x v="20"/>
    <s v="national network"/>
    <x v="0"/>
    <x v="0"/>
    <s v="No"/>
    <x v="0"/>
    <s v="No"/>
    <n v="36"/>
    <n v="0"/>
    <n v="0"/>
    <n v="0"/>
    <n v="14"/>
    <n v="10"/>
    <n v="10"/>
    <n v="6"/>
    <n v="3"/>
    <n v="1"/>
    <n v="0"/>
    <n v="36"/>
  </r>
  <r>
    <n v="2025"/>
    <n v="12"/>
    <x v="21"/>
    <s v="national network"/>
    <x v="2"/>
    <x v="0"/>
    <s v="No"/>
    <x v="1"/>
    <s v="No"/>
    <n v="124"/>
    <n v="0"/>
    <n v="0"/>
    <n v="0"/>
    <n v="13"/>
    <n v="9"/>
    <n v="9"/>
    <n v="7"/>
    <n v="6"/>
    <n v="3"/>
    <n v="1"/>
    <n v="124"/>
  </r>
  <r>
    <n v="2025"/>
    <n v="12"/>
    <x v="21"/>
    <s v="national network"/>
    <x v="48"/>
    <x v="1"/>
    <s v="No"/>
    <x v="1"/>
    <s v="No"/>
    <n v="1"/>
    <n v="0"/>
    <n v="1"/>
    <n v="1"/>
    <n v="0"/>
    <n v="0"/>
    <n v="0"/>
    <n v="0"/>
    <n v="0"/>
    <n v="0"/>
    <n v="0"/>
    <n v="1"/>
  </r>
  <r>
    <n v="2025"/>
    <n v="12"/>
    <x v="21"/>
    <s v="national network"/>
    <x v="3"/>
    <x v="1"/>
    <s v="No"/>
    <x v="1"/>
    <s v="No"/>
    <n v="12"/>
    <n v="0"/>
    <n v="0"/>
    <n v="0"/>
    <n v="8"/>
    <n v="7"/>
    <n v="6"/>
    <n v="4"/>
    <n v="1"/>
    <n v="1"/>
    <n v="0"/>
    <n v="12"/>
  </r>
  <r>
    <n v="2025"/>
    <n v="12"/>
    <x v="21"/>
    <s v="national network"/>
    <x v="3"/>
    <x v="0"/>
    <s v="No"/>
    <x v="1"/>
    <s v="No"/>
    <n v="1497"/>
    <n v="8"/>
    <n v="25"/>
    <n v="33"/>
    <n v="531"/>
    <n v="407"/>
    <n v="349"/>
    <n v="232"/>
    <n v="136"/>
    <n v="46"/>
    <n v="14"/>
    <n v="1467"/>
  </r>
  <r>
    <n v="2025"/>
    <n v="12"/>
    <x v="21"/>
    <s v="national network"/>
    <x v="7"/>
    <x v="0"/>
    <s v="No"/>
    <x v="0"/>
    <s v="No"/>
    <n v="1"/>
    <n v="0"/>
    <n v="0"/>
    <n v="0"/>
    <n v="0"/>
    <n v="0"/>
    <n v="0"/>
    <n v="0"/>
    <n v="0"/>
    <n v="0"/>
    <n v="0"/>
    <n v="1"/>
  </r>
  <r>
    <n v="2025"/>
    <n v="12"/>
    <x v="21"/>
    <s v="national network"/>
    <x v="4"/>
    <x v="1"/>
    <s v="No"/>
    <x v="0"/>
    <s v="Yes"/>
    <n v="10"/>
    <n v="0"/>
    <n v="2"/>
    <n v="2"/>
    <n v="4"/>
    <n v="4"/>
    <n v="4"/>
    <n v="3"/>
    <n v="2"/>
    <n v="1"/>
    <n v="0"/>
    <n v="8"/>
  </r>
  <r>
    <n v="2025"/>
    <n v="12"/>
    <x v="21"/>
    <s v="national network"/>
    <x v="28"/>
    <x v="1"/>
    <s v="No"/>
    <x v="0"/>
    <s v="No"/>
    <n v="33"/>
    <n v="0"/>
    <n v="4"/>
    <n v="4"/>
    <n v="14"/>
    <n v="11"/>
    <n v="10"/>
    <n v="5"/>
    <n v="5"/>
    <n v="1"/>
    <n v="0"/>
    <n v="29"/>
  </r>
  <r>
    <n v="2025"/>
    <n v="12"/>
    <x v="21"/>
    <s v="national network"/>
    <x v="28"/>
    <x v="0"/>
    <s v="No"/>
    <x v="0"/>
    <s v="No"/>
    <n v="3"/>
    <n v="1"/>
    <n v="2"/>
    <n v="3"/>
    <n v="0"/>
    <n v="0"/>
    <n v="0"/>
    <n v="0"/>
    <n v="0"/>
    <n v="0"/>
    <n v="0"/>
    <n v="0"/>
  </r>
  <r>
    <n v="2025"/>
    <n v="12"/>
    <x v="21"/>
    <s v="national network"/>
    <x v="31"/>
    <x v="1"/>
    <s v="No"/>
    <x v="0"/>
    <s v="No"/>
    <n v="511"/>
    <n v="0"/>
    <n v="8"/>
    <n v="8"/>
    <n v="231"/>
    <n v="192"/>
    <n v="176"/>
    <n v="119"/>
    <n v="86"/>
    <n v="41"/>
    <n v="21"/>
    <n v="505"/>
  </r>
  <r>
    <n v="2025"/>
    <n v="12"/>
    <x v="21"/>
    <s v="national network"/>
    <x v="32"/>
    <x v="1"/>
    <s v="No"/>
    <x v="0"/>
    <s v="No"/>
    <n v="239"/>
    <n v="0"/>
    <n v="1"/>
    <n v="1"/>
    <n v="101"/>
    <n v="82"/>
    <n v="76"/>
    <n v="57"/>
    <n v="40"/>
    <n v="15"/>
    <n v="8"/>
    <n v="238"/>
  </r>
  <r>
    <n v="2025"/>
    <n v="12"/>
    <x v="21"/>
    <s v="national network"/>
    <x v="33"/>
    <x v="1"/>
    <s v="Yes"/>
    <x v="0"/>
    <s v="No"/>
    <n v="6889"/>
    <n v="0"/>
    <n v="66"/>
    <n v="66"/>
    <n v="3447"/>
    <n v="2764"/>
    <n v="2499"/>
    <n v="1803"/>
    <n v="1302"/>
    <n v="671"/>
    <n v="268"/>
    <n v="6851"/>
  </r>
  <r>
    <n v="2025"/>
    <n v="12"/>
    <x v="21"/>
    <s v="national network"/>
    <x v="0"/>
    <x v="1"/>
    <s v="No"/>
    <x v="0"/>
    <s v="No"/>
    <n v="3240"/>
    <n v="0"/>
    <n v="110"/>
    <n v="110"/>
    <n v="1109"/>
    <n v="873"/>
    <n v="794"/>
    <n v="573"/>
    <n v="419"/>
    <n v="228"/>
    <n v="78"/>
    <n v="3150"/>
  </r>
  <r>
    <n v="2025"/>
    <n v="12"/>
    <x v="21"/>
    <s v="national network"/>
    <x v="34"/>
    <x v="1"/>
    <s v="No"/>
    <x v="0"/>
    <s v="Yes"/>
    <n v="618"/>
    <n v="0"/>
    <n v="0"/>
    <n v="0"/>
    <n v="162"/>
    <n v="118"/>
    <n v="102"/>
    <n v="70"/>
    <n v="54"/>
    <n v="37"/>
    <n v="17"/>
    <n v="618"/>
  </r>
  <r>
    <n v="2025"/>
    <n v="12"/>
    <x v="21"/>
    <s v="national network"/>
    <x v="9"/>
    <x v="1"/>
    <s v="No"/>
    <x v="0"/>
    <s v="No"/>
    <n v="6"/>
    <n v="0"/>
    <n v="4"/>
    <n v="4"/>
    <n v="4"/>
    <n v="3"/>
    <n v="3"/>
    <n v="2"/>
    <n v="2"/>
    <n v="1"/>
    <n v="0"/>
    <n v="4"/>
  </r>
  <r>
    <n v="2025"/>
    <n v="12"/>
    <x v="21"/>
    <s v="national network"/>
    <x v="9"/>
    <x v="0"/>
    <s v="No"/>
    <x v="0"/>
    <s v="No"/>
    <n v="22"/>
    <n v="0"/>
    <n v="0"/>
    <n v="0"/>
    <n v="0"/>
    <n v="0"/>
    <n v="0"/>
    <n v="0"/>
    <n v="0"/>
    <n v="0"/>
    <n v="0"/>
    <n v="22"/>
  </r>
  <r>
    <n v="2025"/>
    <n v="12"/>
    <x v="21"/>
    <s v="national network"/>
    <x v="35"/>
    <x v="1"/>
    <s v="No"/>
    <x v="1"/>
    <s v="No"/>
    <n v="6729"/>
    <n v="0"/>
    <n v="166"/>
    <n v="166"/>
    <n v="587"/>
    <n v="290"/>
    <n v="220"/>
    <n v="109"/>
    <n v="60"/>
    <n v="24"/>
    <n v="4"/>
    <n v="6610"/>
  </r>
  <r>
    <n v="2025"/>
    <n v="12"/>
    <x v="21"/>
    <s v="national network"/>
    <x v="36"/>
    <x v="1"/>
    <s v="No"/>
    <x v="1"/>
    <s v="No"/>
    <n v="23"/>
    <n v="0"/>
    <n v="9"/>
    <n v="9"/>
    <n v="13"/>
    <n v="13"/>
    <n v="13"/>
    <n v="13"/>
    <n v="11"/>
    <n v="10"/>
    <n v="7"/>
    <n v="14"/>
  </r>
  <r>
    <n v="2025"/>
    <n v="12"/>
    <x v="21"/>
    <s v="national network"/>
    <x v="36"/>
    <x v="2"/>
    <s v="No"/>
    <x v="1"/>
    <s v="No"/>
    <n v="12"/>
    <n v="3"/>
    <n v="0"/>
    <n v="3"/>
    <n v="0"/>
    <n v="0"/>
    <n v="0"/>
    <n v="0"/>
    <n v="0"/>
    <n v="0"/>
    <n v="0"/>
    <n v="0"/>
  </r>
  <r>
    <n v="2025"/>
    <n v="12"/>
    <x v="21"/>
    <s v="national network"/>
    <x v="5"/>
    <x v="1"/>
    <s v="No"/>
    <x v="0"/>
    <s v="Yes"/>
    <n v="2"/>
    <n v="0"/>
    <n v="0"/>
    <n v="0"/>
    <n v="0"/>
    <n v="0"/>
    <n v="0"/>
    <n v="0"/>
    <n v="0"/>
    <n v="0"/>
    <n v="0"/>
    <n v="2"/>
  </r>
  <r>
    <n v="2025"/>
    <n v="12"/>
    <x v="21"/>
    <s v="national network"/>
    <x v="5"/>
    <x v="0"/>
    <s v="No"/>
    <x v="0"/>
    <s v="Yes"/>
    <n v="244"/>
    <n v="2"/>
    <n v="3"/>
    <n v="5"/>
    <n v="65"/>
    <n v="61"/>
    <n v="55"/>
    <n v="45"/>
    <n v="40"/>
    <n v="22"/>
    <n v="13"/>
    <n v="242"/>
  </r>
  <r>
    <n v="2025"/>
    <n v="12"/>
    <x v="21"/>
    <s v="national network"/>
    <x v="37"/>
    <x v="1"/>
    <s v="No"/>
    <x v="1"/>
    <s v="No"/>
    <n v="228028"/>
    <n v="138"/>
    <n v="7737"/>
    <n v="7875"/>
    <n v="45116"/>
    <n v="25386"/>
    <n v="19845"/>
    <n v="9733"/>
    <n v="5498"/>
    <n v="1773"/>
    <n v="350"/>
    <n v="221477"/>
  </r>
  <r>
    <n v="2025"/>
    <n v="12"/>
    <x v="21"/>
    <s v="national network"/>
    <x v="37"/>
    <x v="0"/>
    <s v="No"/>
    <x v="1"/>
    <s v="No"/>
    <n v="5309"/>
    <n v="193"/>
    <n v="71"/>
    <n v="264"/>
    <n v="934"/>
    <n v="511"/>
    <n v="376"/>
    <n v="145"/>
    <n v="62"/>
    <n v="15"/>
    <n v="0"/>
    <n v="5054"/>
  </r>
  <r>
    <n v="2025"/>
    <n v="12"/>
    <x v="21"/>
    <s v="national network"/>
    <x v="6"/>
    <x v="0"/>
    <s v="No"/>
    <x v="0"/>
    <s v="No"/>
    <n v="88"/>
    <n v="0"/>
    <n v="1"/>
    <n v="1"/>
    <n v="42"/>
    <n v="36"/>
    <n v="33"/>
    <n v="29"/>
    <n v="21"/>
    <n v="5"/>
    <n v="1"/>
    <n v="87"/>
  </r>
  <r>
    <n v="2025"/>
    <n v="12"/>
    <x v="21"/>
    <s v="national network"/>
    <x v="10"/>
    <x v="0"/>
    <s v="Yes"/>
    <x v="0"/>
    <s v="No"/>
    <n v="113"/>
    <n v="0"/>
    <n v="0"/>
    <n v="0"/>
    <n v="36"/>
    <n v="27"/>
    <n v="22"/>
    <n v="16"/>
    <n v="11"/>
    <n v="8"/>
    <n v="3"/>
    <n v="113"/>
  </r>
  <r>
    <n v="2025"/>
    <n v="12"/>
    <x v="22"/>
    <s v="whole journey"/>
    <x v="33"/>
    <x v="1"/>
    <s v="Yes"/>
    <x v="0"/>
    <s v="No"/>
    <n v="553"/>
    <n v="0"/>
    <n v="0"/>
    <n v="0"/>
    <n v="135"/>
    <n v="112"/>
    <n v="103"/>
    <n v="74"/>
    <n v="54"/>
    <n v="34"/>
    <n v="10"/>
    <n v="553"/>
  </r>
  <r>
    <n v="2025"/>
    <n v="12"/>
    <x v="22"/>
    <s v="whole journey"/>
    <x v="33"/>
    <x v="0"/>
    <s v="Yes"/>
    <x v="0"/>
    <s v="No"/>
    <n v="76"/>
    <n v="0"/>
    <n v="0"/>
    <n v="0"/>
    <n v="59"/>
    <n v="51"/>
    <n v="44"/>
    <n v="31"/>
    <n v="19"/>
    <n v="10"/>
    <n v="5"/>
    <n v="76"/>
  </r>
  <r>
    <n v="2025"/>
    <n v="12"/>
    <x v="23"/>
    <s v="national network"/>
    <x v="68"/>
    <x v="1"/>
    <s v="No"/>
    <x v="1"/>
    <s v="No"/>
    <n v="4"/>
    <n v="0"/>
    <n v="0"/>
    <n v="0"/>
    <n v="3"/>
    <n v="3"/>
    <n v="3"/>
    <n v="3"/>
    <n v="3"/>
    <n v="2"/>
    <n v="2"/>
    <n v="4"/>
  </r>
  <r>
    <n v="2025"/>
    <n v="12"/>
    <x v="23"/>
    <s v="national network"/>
    <x v="39"/>
    <x v="1"/>
    <s v="No"/>
    <x v="1"/>
    <s v="No"/>
    <n v="3871"/>
    <n v="0"/>
    <n v="0"/>
    <n v="0"/>
    <n v="46"/>
    <n v="31"/>
    <n v="29"/>
    <n v="16"/>
    <n v="9"/>
    <n v="1"/>
    <n v="0"/>
    <n v="3871"/>
  </r>
  <r>
    <n v="2025"/>
    <n v="12"/>
    <x v="23"/>
    <s v="national network"/>
    <x v="39"/>
    <x v="0"/>
    <s v="No"/>
    <x v="1"/>
    <s v="No"/>
    <n v="1192"/>
    <n v="2"/>
    <n v="0"/>
    <n v="2"/>
    <n v="5"/>
    <n v="4"/>
    <n v="4"/>
    <n v="3"/>
    <n v="2"/>
    <n v="1"/>
    <n v="0"/>
    <n v="1190"/>
  </r>
  <r>
    <n v="2025"/>
    <n v="12"/>
    <x v="23"/>
    <s v="national network"/>
    <x v="40"/>
    <x v="1"/>
    <s v="No"/>
    <x v="1"/>
    <s v="No"/>
    <n v="2232"/>
    <n v="0"/>
    <n v="0"/>
    <n v="0"/>
    <n v="0"/>
    <n v="0"/>
    <n v="0"/>
    <n v="0"/>
    <n v="0"/>
    <n v="0"/>
    <n v="0"/>
    <n v="2232"/>
  </r>
  <r>
    <n v="2025"/>
    <n v="12"/>
    <x v="23"/>
    <s v="national network"/>
    <x v="2"/>
    <x v="0"/>
    <s v="No"/>
    <x v="1"/>
    <s v="No"/>
    <n v="32"/>
    <n v="0"/>
    <n v="0"/>
    <n v="0"/>
    <n v="11"/>
    <n v="11"/>
    <n v="11"/>
    <n v="9"/>
    <n v="9"/>
    <n v="8"/>
    <n v="6"/>
    <n v="32"/>
  </r>
  <r>
    <n v="2025"/>
    <n v="12"/>
    <x v="23"/>
    <s v="national network"/>
    <x v="51"/>
    <x v="1"/>
    <s v="No"/>
    <x v="1"/>
    <s v="No"/>
    <n v="4"/>
    <n v="0"/>
    <n v="2"/>
    <n v="2"/>
    <n v="4"/>
    <n v="4"/>
    <n v="4"/>
    <n v="4"/>
    <n v="4"/>
    <n v="2"/>
    <n v="0"/>
    <n v="4"/>
  </r>
  <r>
    <n v="2025"/>
    <n v="12"/>
    <x v="23"/>
    <s v="national network"/>
    <x v="41"/>
    <x v="1"/>
    <s v="No"/>
    <x v="1"/>
    <s v="No"/>
    <n v="1"/>
    <n v="0"/>
    <n v="0"/>
    <n v="0"/>
    <n v="1"/>
    <n v="1"/>
    <n v="1"/>
    <n v="1"/>
    <n v="0"/>
    <n v="0"/>
    <n v="0"/>
    <n v="1"/>
  </r>
  <r>
    <n v="2025"/>
    <n v="12"/>
    <x v="23"/>
    <s v="national network"/>
    <x v="7"/>
    <x v="1"/>
    <s v="No"/>
    <x v="1"/>
    <s v="No"/>
    <n v="2"/>
    <n v="0"/>
    <n v="0"/>
    <n v="0"/>
    <n v="0"/>
    <n v="0"/>
    <n v="0"/>
    <n v="0"/>
    <n v="0"/>
    <n v="0"/>
    <n v="0"/>
    <n v="2"/>
  </r>
  <r>
    <n v="2025"/>
    <n v="12"/>
    <x v="23"/>
    <s v="national network"/>
    <x v="43"/>
    <x v="1"/>
    <s v="No"/>
    <x v="1"/>
    <s v="No"/>
    <n v="26"/>
    <n v="0"/>
    <n v="0"/>
    <n v="0"/>
    <n v="0"/>
    <n v="0"/>
    <n v="0"/>
    <n v="0"/>
    <n v="0"/>
    <n v="0"/>
    <n v="0"/>
    <n v="26"/>
  </r>
  <r>
    <n v="2025"/>
    <n v="12"/>
    <x v="23"/>
    <s v="national network"/>
    <x v="43"/>
    <x v="0"/>
    <s v="No"/>
    <x v="1"/>
    <s v="No"/>
    <n v="52"/>
    <n v="0"/>
    <n v="0"/>
    <n v="0"/>
    <n v="0"/>
    <n v="0"/>
    <n v="0"/>
    <n v="0"/>
    <n v="0"/>
    <n v="0"/>
    <n v="0"/>
    <n v="52"/>
  </r>
  <r>
    <n v="2025"/>
    <n v="12"/>
    <x v="23"/>
    <s v="national network"/>
    <x v="0"/>
    <x v="0"/>
    <s v="No"/>
    <x v="1"/>
    <s v="No"/>
    <n v="51"/>
    <n v="0"/>
    <n v="0"/>
    <n v="0"/>
    <n v="0"/>
    <n v="0"/>
    <n v="0"/>
    <n v="0"/>
    <n v="0"/>
    <n v="0"/>
    <n v="0"/>
    <n v="51"/>
  </r>
  <r>
    <n v="2025"/>
    <n v="12"/>
    <x v="23"/>
    <s v="national network"/>
    <x v="9"/>
    <x v="0"/>
    <s v="No"/>
    <x v="1"/>
    <s v="No"/>
    <n v="378"/>
    <n v="0"/>
    <n v="0"/>
    <n v="0"/>
    <n v="25"/>
    <n v="17"/>
    <n v="14"/>
    <n v="6"/>
    <n v="4"/>
    <n v="1"/>
    <n v="1"/>
    <n v="378"/>
  </r>
  <r>
    <n v="2025"/>
    <n v="12"/>
    <x v="23"/>
    <s v="national network"/>
    <x v="49"/>
    <x v="1"/>
    <s v="No"/>
    <x v="1"/>
    <s v="No"/>
    <n v="4"/>
    <n v="0"/>
    <n v="0"/>
    <n v="0"/>
    <n v="3"/>
    <n v="3"/>
    <n v="3"/>
    <n v="3"/>
    <n v="1"/>
    <n v="0"/>
    <n v="0"/>
    <n v="4"/>
  </r>
  <r>
    <n v="2025"/>
    <n v="12"/>
    <x v="23"/>
    <s v="national network"/>
    <x v="45"/>
    <x v="0"/>
    <s v="No"/>
    <x v="1"/>
    <s v="No"/>
    <n v="2"/>
    <n v="0"/>
    <n v="0"/>
    <n v="0"/>
    <n v="1"/>
    <n v="1"/>
    <n v="1"/>
    <n v="0"/>
    <n v="0"/>
    <n v="0"/>
    <n v="0"/>
    <n v="2"/>
  </r>
  <r>
    <n v="2025"/>
    <n v="12"/>
    <x v="23"/>
    <s v="national network"/>
    <x v="46"/>
    <x v="1"/>
    <s v="No"/>
    <x v="1"/>
    <s v="No"/>
    <n v="41"/>
    <n v="0"/>
    <n v="14"/>
    <n v="14"/>
    <n v="11"/>
    <n v="10"/>
    <n v="10"/>
    <n v="9"/>
    <n v="9"/>
    <n v="6"/>
    <n v="3"/>
    <n v="27"/>
  </r>
  <r>
    <n v="2025"/>
    <n v="12"/>
    <x v="23"/>
    <s v="national network"/>
    <x v="46"/>
    <x v="2"/>
    <s v="No"/>
    <x v="1"/>
    <s v="No"/>
    <n v="1"/>
    <n v="0"/>
    <n v="0"/>
    <n v="0"/>
    <n v="0"/>
    <n v="0"/>
    <n v="0"/>
    <n v="0"/>
    <n v="0"/>
    <n v="0"/>
    <n v="0"/>
    <n v="0"/>
  </r>
  <r>
    <n v="2025"/>
    <n v="12"/>
    <x v="24"/>
    <s v="national network"/>
    <x v="2"/>
    <x v="0"/>
    <s v="No"/>
    <x v="1"/>
    <s v="No"/>
    <n v="43"/>
    <n v="0"/>
    <n v="0"/>
    <n v="0"/>
    <n v="0"/>
    <n v="0"/>
    <n v="0"/>
    <n v="0"/>
    <n v="0"/>
    <n v="0"/>
    <n v="0"/>
    <n v="43"/>
  </r>
  <r>
    <n v="2025"/>
    <n v="12"/>
    <x v="24"/>
    <s v="national network"/>
    <x v="3"/>
    <x v="0"/>
    <s v="No"/>
    <x v="1"/>
    <s v="No"/>
    <n v="57"/>
    <n v="0"/>
    <n v="0"/>
    <n v="0"/>
    <n v="1"/>
    <n v="1"/>
    <n v="1"/>
    <n v="0"/>
    <n v="0"/>
    <n v="0"/>
    <n v="0"/>
    <n v="57"/>
  </r>
  <r>
    <n v="2025"/>
    <n v="12"/>
    <x v="25"/>
    <s v="whole journey"/>
    <x v="47"/>
    <x v="1"/>
    <s v="No"/>
    <x v="0"/>
    <s v="No"/>
    <n v="1596"/>
    <n v="0"/>
    <n v="0"/>
    <n v="0"/>
    <n v="0"/>
    <n v="0"/>
    <n v="0"/>
    <n v="0"/>
    <n v="0"/>
    <n v="0"/>
    <n v="0"/>
    <n v="1596"/>
  </r>
  <r>
    <n v="2025"/>
    <n v="12"/>
    <x v="25"/>
    <s v="whole journey"/>
    <x v="47"/>
    <x v="0"/>
    <s v="No"/>
    <x v="0"/>
    <s v="No"/>
    <n v="372"/>
    <n v="1"/>
    <n v="22"/>
    <n v="23"/>
    <n v="175"/>
    <n v="136"/>
    <n v="122"/>
    <n v="80"/>
    <n v="42"/>
    <n v="7"/>
    <n v="1"/>
    <n v="370"/>
  </r>
  <r>
    <n v="2025"/>
    <n v="12"/>
    <x v="26"/>
    <s v="national network"/>
    <x v="3"/>
    <x v="0"/>
    <s v="No"/>
    <x v="1"/>
    <s v="No"/>
    <n v="25"/>
    <n v="0"/>
    <n v="0"/>
    <n v="0"/>
    <n v="7"/>
    <n v="7"/>
    <n v="7"/>
    <n v="7"/>
    <n v="5"/>
    <n v="3"/>
    <n v="0"/>
    <n v="25"/>
  </r>
  <r>
    <n v="2025"/>
    <n v="12"/>
    <x v="26"/>
    <s v="national network"/>
    <x v="4"/>
    <x v="0"/>
    <s v="No"/>
    <x v="0"/>
    <s v="Yes"/>
    <n v="43"/>
    <n v="0"/>
    <n v="0"/>
    <n v="0"/>
    <n v="3"/>
    <n v="3"/>
    <n v="3"/>
    <n v="3"/>
    <n v="2"/>
    <n v="1"/>
    <n v="0"/>
    <n v="43"/>
  </r>
  <r>
    <n v="2025"/>
    <n v="12"/>
    <x v="26"/>
    <s v="national network"/>
    <x v="6"/>
    <x v="0"/>
    <s v="No"/>
    <x v="0"/>
    <s v="No"/>
    <n v="36"/>
    <n v="0"/>
    <n v="0"/>
    <n v="0"/>
    <n v="19"/>
    <n v="17"/>
    <n v="16"/>
    <n v="7"/>
    <n v="3"/>
    <n v="2"/>
    <n v="0"/>
    <n v="36"/>
  </r>
  <r>
    <n v="2025"/>
    <n v="12"/>
    <x v="26"/>
    <s v="national network"/>
    <x v="10"/>
    <x v="0"/>
    <s v="Yes"/>
    <x v="0"/>
    <s v="No"/>
    <n v="44"/>
    <n v="0"/>
    <n v="0"/>
    <n v="0"/>
    <n v="1"/>
    <n v="1"/>
    <n v="1"/>
    <n v="1"/>
    <n v="1"/>
    <n v="1"/>
    <n v="0"/>
    <n v="4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6C61231-45D0-4161-8899-370E5B9B29C4}" name="PivotTable2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38:K40" firstHeaderRow="0" firstDataRow="1" firstDataCol="1" rowPageCount="2" colPageCount="1"/>
  <pivotFields count="21">
    <pivotField showAll="0"/>
    <pivotField showAll="0"/>
    <pivotField axis="axisRow" showAll="0">
      <items count="28">
        <item h="1" x="2"/>
        <item h="1" x="0"/>
        <item h="1" x="1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5"/>
        <item h="1" x="14"/>
        <item h="1" x="16"/>
        <item h="1" x="17"/>
        <item h="1" x="18"/>
        <item h="1" x="19"/>
        <item h="1" x="20"/>
        <item h="1" x="21"/>
        <item h="1" x="22"/>
        <item h="1" x="23"/>
        <item h="1" x="24"/>
        <item x="25"/>
        <item h="1" x="26"/>
        <item t="default"/>
      </items>
    </pivotField>
    <pivotField showAll="0"/>
    <pivotField showAll="0">
      <items count="70">
        <item x="54"/>
        <item x="38"/>
        <item x="68"/>
        <item x="39"/>
        <item x="55"/>
        <item x="65"/>
        <item x="40"/>
        <item x="61"/>
        <item x="2"/>
        <item x="51"/>
        <item x="48"/>
        <item x="41"/>
        <item x="3"/>
        <item x="7"/>
        <item x="4"/>
        <item x="12"/>
        <item x="13"/>
        <item x="15"/>
        <item x="16"/>
        <item x="42"/>
        <item x="28"/>
        <item x="31"/>
        <item x="32"/>
        <item x="14"/>
        <item x="33"/>
        <item x="43"/>
        <item x="0"/>
        <item x="17"/>
        <item x="8"/>
        <item x="34"/>
        <item x="50"/>
        <item x="29"/>
        <item x="30"/>
        <item x="9"/>
        <item x="26"/>
        <item x="60"/>
        <item x="25"/>
        <item x="35"/>
        <item x="49"/>
        <item x="62"/>
        <item x="66"/>
        <item x="36"/>
        <item x="53"/>
        <item x="5"/>
        <item x="18"/>
        <item x="44"/>
        <item x="59"/>
        <item x="22"/>
        <item x="58"/>
        <item x="23"/>
        <item x="52"/>
        <item x="27"/>
        <item x="24"/>
        <item x="37"/>
        <item x="6"/>
        <item x="10"/>
        <item x="19"/>
        <item x="57"/>
        <item x="20"/>
        <item x="21"/>
        <item x="56"/>
        <item x="11"/>
        <item x="1"/>
        <item x="64"/>
        <item x="67"/>
        <item x="63"/>
        <item x="45"/>
        <item x="47"/>
        <item x="46"/>
        <item t="default"/>
      </items>
    </pivotField>
    <pivotField axis="axisPage" multipleItemSelectionAllowed="1" showAll="0">
      <items count="4">
        <item x="1"/>
        <item x="0"/>
        <item h="1" x="2"/>
        <item t="default"/>
      </items>
    </pivotField>
    <pivotField showAll="0"/>
    <pivotField axis="axisPage" showAll="0">
      <items count="3">
        <item x="1"/>
        <item x="0"/>
        <item t="default"/>
      </items>
    </pivotField>
    <pivotField showAll="0"/>
    <pivotField dataField="1" showAll="0"/>
    <pivotField showAll="0"/>
    <pivotField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</pivotFields>
  <rowFields count="1">
    <field x="2"/>
  </rowFields>
  <rowItems count="2">
    <i>
      <x v="25"/>
    </i>
    <i t="grand">
      <x/>
    </i>
  </rowItems>
  <colFields count="1">
    <field x="-2"/>
  </colFields>
  <colItems count="10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</colItems>
  <pageFields count="2">
    <pageField fld="5" hier="-1"/>
    <pageField fld="7" item="1" hier="-1"/>
  </pageFields>
  <dataFields count="10">
    <dataField name="Sum of N total train" fld="9" baseField="0" baseItem="0"/>
    <dataField name="Sum of N cancelled train (full + partial)" fld="12" baseField="0" baseItem="0"/>
    <dataField name="Sum of N train delay (&gt; 3 min)" fld="13" baseField="0" baseItem="0"/>
    <dataField name="Sum of N train delay (&gt; 5 min)" fld="14" baseField="0" baseItem="0"/>
    <dataField name="Sum of N train delay (&gt; 6 min)" fld="15" baseField="0" baseItem="0"/>
    <dataField name="Sum of N train delay (&gt; 10 min)" fld="16" baseField="0" baseItem="0"/>
    <dataField name="Sum of N train delay (&gt; 15 min)" fld="17" baseField="0" baseItem="0"/>
    <dataField name="Sum of N train delay (&gt; 30 min)" fld="18" baseField="0" baseItem="0"/>
    <dataField name="Sum of N train delay (&gt; 60 min)" fld="19" baseField="0" baseItem="0"/>
    <dataField name="Sum of N train arriving at terminus" fld="20" baseField="0" baseItem="0"/>
  </dataFields>
  <formats count="2">
    <format dxfId="5">
      <pivotArea collapsedLevelsAreSubtotals="1" fieldPosition="0">
        <references count="1">
          <reference field="2" count="1">
            <x v="3"/>
          </reference>
        </references>
      </pivotArea>
    </format>
    <format dxfId="6">
      <pivotArea dataOnly="0" labelOnly="1" fieldPosition="0">
        <references count="1">
          <reference field="2" count="1">
            <x v="3"/>
          </reference>
        </references>
      </pivotArea>
    </format>
  </formats>
  <pivotTableStyleInfo name="PivotStyleLight16" showRowHeaders="1" showColHeaders="1" showRowStripes="1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A762A68-8F34-439E-8C27-A27468AAFEE4}" name="PivotTable1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5:J30" firstHeaderRow="0" firstDataRow="1" firstDataCol="1" rowPageCount="2" colPageCount="1"/>
  <pivotFields count="21">
    <pivotField showAll="0"/>
    <pivotField showAll="0"/>
    <pivotField axis="axisRow" showAll="0">
      <items count="28">
        <item x="2"/>
        <item x="0"/>
        <item x="1"/>
        <item x="3"/>
        <item x="4"/>
        <item x="5"/>
        <item x="6"/>
        <item x="7"/>
        <item x="8"/>
        <item x="9"/>
        <item x="10"/>
        <item x="11"/>
        <item x="12"/>
        <item x="13"/>
        <item x="15"/>
        <item x="14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showAll="0"/>
    <pivotField showAll="0">
      <items count="70">
        <item x="54"/>
        <item x="38"/>
        <item x="68"/>
        <item x="39"/>
        <item x="55"/>
        <item x="65"/>
        <item x="40"/>
        <item x="61"/>
        <item x="2"/>
        <item x="51"/>
        <item x="48"/>
        <item x="41"/>
        <item x="3"/>
        <item x="7"/>
        <item x="4"/>
        <item x="12"/>
        <item x="13"/>
        <item x="15"/>
        <item x="16"/>
        <item x="42"/>
        <item x="28"/>
        <item x="31"/>
        <item x="32"/>
        <item x="14"/>
        <item x="33"/>
        <item x="43"/>
        <item x="0"/>
        <item x="17"/>
        <item x="8"/>
        <item x="34"/>
        <item x="50"/>
        <item x="29"/>
        <item x="30"/>
        <item x="9"/>
        <item x="26"/>
        <item x="60"/>
        <item x="25"/>
        <item x="35"/>
        <item x="49"/>
        <item x="62"/>
        <item x="66"/>
        <item x="36"/>
        <item x="53"/>
        <item x="5"/>
        <item x="18"/>
        <item x="44"/>
        <item x="59"/>
        <item x="22"/>
        <item x="58"/>
        <item x="23"/>
        <item x="52"/>
        <item x="27"/>
        <item x="24"/>
        <item x="37"/>
        <item x="6"/>
        <item x="10"/>
        <item x="19"/>
        <item x="57"/>
        <item x="20"/>
        <item x="21"/>
        <item x="56"/>
        <item x="11"/>
        <item x="1"/>
        <item x="64"/>
        <item x="67"/>
        <item x="63"/>
        <item x="45"/>
        <item x="47"/>
        <item x="46"/>
        <item t="default"/>
      </items>
    </pivotField>
    <pivotField axis="axisPage" multipleItemSelectionAllowed="1" showAll="0">
      <items count="4">
        <item x="1"/>
        <item x="0"/>
        <item h="1" x="2"/>
        <item t="default"/>
      </items>
    </pivotField>
    <pivotField showAll="0"/>
    <pivotField axis="axisPage" showAll="0">
      <items count="3">
        <item x="1"/>
        <item x="0"/>
        <item t="default"/>
      </items>
    </pivotField>
    <pivotField showAll="0"/>
    <pivotField dataField="1" showAll="0"/>
    <pivotField showAll="0"/>
    <pivotField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showAll="0"/>
  </pivotFields>
  <rowFields count="1">
    <field x="2"/>
  </rowFields>
  <rowItems count="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3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5"/>
    </i>
    <i>
      <x v="26"/>
    </i>
    <i t="grand">
      <x/>
    </i>
  </rowItems>
  <colFields count="1">
    <field x="-2"/>
  </colFields>
  <colItems count="9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</colItems>
  <pageFields count="2">
    <pageField fld="5" hier="-1"/>
    <pageField fld="7" item="1" hier="-1"/>
  </pageFields>
  <dataFields count="9">
    <dataField name="Sum of N total train" fld="9" baseField="0" baseItem="0"/>
    <dataField name="Sum of N cancelled train (full + partial)" fld="12" baseField="0" baseItem="0"/>
    <dataField name="Sum of N train delay (&gt; 3 min)" fld="13" baseField="0" baseItem="0"/>
    <dataField name="Sum of N train delay (&gt; 5 min)" fld="14" baseField="0" baseItem="0"/>
    <dataField name="Sum of N train delay (&gt; 6 min)" fld="15" baseField="0" baseItem="0"/>
    <dataField name="Sum of N train delay (&gt; 10 min)" fld="16" baseField="0" baseItem="0"/>
    <dataField name="Sum of N train delay (&gt; 15 min)" fld="17" baseField="0" baseItem="0"/>
    <dataField name="Sum of N train delay (&gt; 30 min)" fld="18" baseField="0" baseItem="0"/>
    <dataField name="Sum of N train delay (&gt; 60 min)" fld="19" baseField="0" baseItem="0"/>
  </dataFields>
  <formats count="2">
    <format dxfId="18">
      <pivotArea collapsedLevelsAreSubtotals="1" fieldPosition="0">
        <references count="1">
          <reference field="2" count="1">
            <x v="3"/>
          </reference>
        </references>
      </pivotArea>
    </format>
    <format dxfId="17">
      <pivotArea dataOnly="0" labelOnly="1" fieldPosition="0">
        <references count="1">
          <reference field="2" count="1">
            <x v="3"/>
          </reference>
        </references>
      </pivotArea>
    </format>
  </formats>
  <pivotTableStyleInfo name="PivotStyleLight16" showRowHeaders="1" showColHeaders="1" showRowStripes="1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61FF86A-1CDA-47D3-9EBF-8E130CA4EF88}" name="Table1" displayName="Table1" ref="K5:R29" totalsRowShown="0" headerRowDxfId="7" dataDxfId="8" dataCellStyle="Percent">
  <autoFilter ref="K5:R29" xr:uid="{B61FF86A-1CDA-47D3-9EBF-8E130CA4EF88}"/>
  <tableColumns count="8">
    <tableColumn id="1" xr3:uid="{9E4E9F97-AFEB-436D-84F0-3B674795C8D6}" name="Cancellation rate" dataDxfId="16" dataCellStyle="Percent">
      <calculatedColumnFormula>GETPIVOTDATA("Sum of N cancelled train (full + partial)",$A$5,"operator",$A6)/GETPIVOTDATA("Sum of N total train",$A$5,"operator",$A6)</calculatedColumnFormula>
    </tableColumn>
    <tableColumn id="2" xr3:uid="{28C28EE4-FC3B-4F2B-829C-36B38DDF7BAD}" name="Reliability 3min" dataDxfId="15" dataCellStyle="Percent">
      <calculatedColumnFormula>1-(GETPIVOTDATA("Sum of N cancelled train (full + partial)",$A$5,"operator",$A6)+GETPIVOTDATA(L$4&amp;"",$A$5,"operator",$A6))/GETPIVOTDATA("Sum of N total train",$A$5,"operator",$A6)</calculatedColumnFormula>
    </tableColumn>
    <tableColumn id="3" xr3:uid="{95AAE08D-B92A-4341-8CBC-70F648D1F636}" name="Reliability 5min" dataDxfId="14" dataCellStyle="Percent">
      <calculatedColumnFormula>1-(GETPIVOTDATA("Sum of N cancelled train (full + partial)",$A$5,"operator",$A6)+GETPIVOTDATA(M$4&amp;"",$A$5,"operator",$A6))/GETPIVOTDATA("Sum of N total train",$A$5,"operator",$A6)</calculatedColumnFormula>
    </tableColumn>
    <tableColumn id="4" xr3:uid="{EA575CAA-4482-48E2-B505-000E5705E019}" name="Reliability 6min" dataDxfId="13" dataCellStyle="Percent">
      <calculatedColumnFormula>1-(GETPIVOTDATA("Sum of N cancelled train (full + partial)",$A$5,"operator",$A6)+GETPIVOTDATA(N$4&amp;"",$A$5,"operator",$A6))/GETPIVOTDATA("Sum of N total train",$A$5,"operator",$A6)</calculatedColumnFormula>
    </tableColumn>
    <tableColumn id="5" xr3:uid="{34224A1E-296F-486B-A210-3F848FC5BFC0}" name="Reliability 10min" dataDxfId="12" dataCellStyle="Percent">
      <calculatedColumnFormula>1-(GETPIVOTDATA("Sum of N cancelled train (full + partial)",$A$5,"operator",$A6)+GETPIVOTDATA(O$4&amp;"",$A$5,"operator",$A6))/GETPIVOTDATA("Sum of N total train",$A$5,"operator",$A6)</calculatedColumnFormula>
    </tableColumn>
    <tableColumn id="6" xr3:uid="{708C59BD-DD2F-4618-88D3-66DFD97B2059}" name="Reliability 15min" dataDxfId="11" dataCellStyle="Percent">
      <calculatedColumnFormula>1-(GETPIVOTDATA("Sum of N cancelled train (full + partial)",$A$5,"operator",$A6)+GETPIVOTDATA(P$4&amp;"",$A$5,"operator",$A6))/GETPIVOTDATA("Sum of N total train",$A$5,"operator",$A6)</calculatedColumnFormula>
    </tableColumn>
    <tableColumn id="7" xr3:uid="{1F8E8F8E-4612-458F-ABB3-1C63AFEDDBA7}" name="Reliability 30min" dataDxfId="10" dataCellStyle="Percent">
      <calculatedColumnFormula>1-(GETPIVOTDATA("Sum of N cancelled train (full + partial)",$A$5,"operator",$A6)+GETPIVOTDATA(Q$4&amp;"",$A$5,"operator",$A6))/GETPIVOTDATA("Sum of N total train",$A$5,"operator",$A6)</calculatedColumnFormula>
    </tableColumn>
    <tableColumn id="8" xr3:uid="{84DD775C-79BB-4CB4-BD7A-1230DB88473E}" name="Reliability 60min" dataDxfId="9" dataCellStyle="Percent">
      <calculatedColumnFormula>1-(GETPIVOTDATA("Sum of N cancelled train (full + partial)",$A$5,"operator",$A6)+GETPIVOTDATA(R$4&amp;"",$A$5,"operator",$A6))/GETPIVOTDATA("Sum of N total train",$A$5,"operator",$A6)</calculatedColumnFormula>
    </tableColumn>
  </tableColumns>
  <tableStyleInfo name="TableStyleLight1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85A8A9C-2193-451F-940C-3BBFBDF3FF81}" name="Table2" displayName="Table2" ref="A1:N33" totalsRowShown="0">
  <autoFilter ref="A1:N33" xr:uid="{B85A8A9C-2193-451F-940C-3BBFBDF3FF81}"/>
  <tableColumns count="14">
    <tableColumn id="1" xr3:uid="{D7B1A45F-2ABC-4D55-8F72-8725DF490FEB}" name="Year"/>
    <tableColumn id="2" xr3:uid="{F986C3A4-DAA6-4CA4-ADF5-F4D4EF60915B}" name="Operator"/>
    <tableColumn id="3" xr3:uid="{3214C8ED-896D-481C-B977-3FD24B230AB3}" name="Services"/>
    <tableColumn id="4" xr3:uid="{9C19C37B-2B96-4729-866F-2C42A78A0373}" name="Threshold (min)"/>
    <tableColumn id="5" xr3:uid="{924AD541-E877-4D39-AEB4-6C4AC6FC7D85}" name="Measurement"/>
    <tableColumn id="6" xr3:uid="{0B101F9E-E7D8-4394-AD93-087C7EF6F4AB}" name="Train or passenger punctuality"/>
    <tableColumn id="7" xr3:uid="{72DF4C6B-ADB9-42C8-8AAC-51EB72BE0ADF}" name="Account cancellations"/>
    <tableColumn id="8" xr3:uid="{B982A49C-4684-4162-A821-A299EC8D2477}" name="Account joint services"/>
    <tableColumn id="14" xr3:uid="{DCFD946F-F892-483C-9350-F8B06831D663}" name="Chuuchuu/official"/>
    <tableColumn id="9" xr3:uid="{A55474DD-5F60-498F-8DF1-6A3553100E56}" name="Punctuality" dataDxfId="4" dataCellStyle="Percent"/>
    <tableColumn id="10" xr3:uid="{0E5D20B6-0191-48E8-AC23-BFFC547BB1D8}" name="Same metric with Chuuchuu" dataDxfId="3" dataCellStyle="Percent"/>
    <tableColumn id="11" xr3:uid="{23A7918A-2154-43AA-8DDF-7A454F7C375B}" name="%pp diff" dataDxfId="2" dataCellStyle="Percent"/>
    <tableColumn id="12" xr3:uid="{B58DC8F4-F08D-47DA-B7C2-47758010C245}" name="Our own calculations or reliability" dataDxfId="1" dataCellStyle="Percent"/>
    <tableColumn id="13" xr3:uid="{A667E208-3F7D-415C-B9D7-612DC216CFE6}" name="Cancellations" dataDxfId="0" dataCellStyle="Percent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https://drive.google.com/open?id=1IaVRuGuy97bYLsBj_9nTvZ72xuYHZ5U6&amp;usp=drive_fs" TargetMode="External"/><Relationship Id="rId7" Type="http://schemas.openxmlformats.org/officeDocument/2006/relationships/table" Target="../tables/table2.xml"/><Relationship Id="rId2" Type="http://schemas.openxmlformats.org/officeDocument/2006/relationships/hyperlink" Target="https://drive.google.com/open?id=1Bv5fCXWf60r1wICxAqnegqvWFTlah_7u&amp;usp=drive_fs" TargetMode="External"/><Relationship Id="rId1" Type="http://schemas.openxmlformats.org/officeDocument/2006/relationships/hyperlink" Target="https://drive.google.com/open?id=11tnRQI4v6bwRjQgv2LabeQUewp_vuMF9&amp;usp=drive_fs" TargetMode="External"/><Relationship Id="rId6" Type="http://schemas.openxmlformats.org/officeDocument/2006/relationships/drawing" Target="../drawings/drawing1.xm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https://drive.google.com/open?id=1IaVRuGuy97bYLsBj_9nTvZ72xuYHZ5U6&amp;usp=drive_f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9E6058-1135-4A57-A078-D8364E87CCEF}">
  <dimension ref="A1:E28"/>
  <sheetViews>
    <sheetView workbookViewId="0">
      <selection activeCell="E11" sqref="E11"/>
    </sheetView>
  </sheetViews>
  <sheetFormatPr defaultRowHeight="15" x14ac:dyDescent="0.25"/>
  <cols>
    <col min="1" max="1" width="22" bestFit="1" customWidth="1"/>
    <col min="2" max="2" width="20.5703125" bestFit="1" customWidth="1"/>
    <col min="4" max="4" width="15.85546875" bestFit="1" customWidth="1"/>
  </cols>
  <sheetData>
    <row r="1" spans="1:5" x14ac:dyDescent="0.25">
      <c r="A1" t="s">
        <v>175</v>
      </c>
      <c r="B1" t="s">
        <v>176</v>
      </c>
    </row>
    <row r="2" spans="1:5" x14ac:dyDescent="0.25">
      <c r="A2" t="str" cm="1">
        <f t="array" ref="A2:A28">_xlfn._xlws.SORT(_xlfn.UNIQUE(Summary!C2:C2363))</f>
        <v>Ceske Drahy</v>
      </c>
      <c r="B2" t="s">
        <v>177</v>
      </c>
      <c r="D2" t="str" cm="1">
        <f t="array" ref="D2:D13">_xlfn._xlws.FILTER(_xlfn.ANCHORARRAY(A2),B2:B28="yes")</f>
        <v>DB</v>
      </c>
      <c r="E2" t="s">
        <v>230</v>
      </c>
    </row>
    <row r="3" spans="1:5" x14ac:dyDescent="0.25">
      <c r="A3" t="str">
        <v>CFL</v>
      </c>
      <c r="B3" t="s">
        <v>177</v>
      </c>
      <c r="D3" t="str">
        <v>Eurostar</v>
      </c>
      <c r="E3" t="s">
        <v>230</v>
      </c>
    </row>
    <row r="4" spans="1:5" x14ac:dyDescent="0.25">
      <c r="A4" t="str">
        <v>CFR</v>
      </c>
      <c r="B4" t="s">
        <v>177</v>
      </c>
      <c r="D4" t="str">
        <v>Flixtrain</v>
      </c>
      <c r="E4" t="s">
        <v>231</v>
      </c>
    </row>
    <row r="5" spans="1:5" x14ac:dyDescent="0.25">
      <c r="A5" t="str">
        <v>DB</v>
      </c>
      <c r="B5" t="s">
        <v>26</v>
      </c>
      <c r="D5" t="str">
        <v>NS</v>
      </c>
      <c r="E5" t="s">
        <v>232</v>
      </c>
    </row>
    <row r="6" spans="1:5" x14ac:dyDescent="0.25">
      <c r="A6" t="str">
        <v>DSB</v>
      </c>
      <c r="B6" t="s">
        <v>177</v>
      </c>
      <c r="D6" t="str">
        <v>OEBB</v>
      </c>
      <c r="E6" t="s">
        <v>230</v>
      </c>
    </row>
    <row r="7" spans="1:5" x14ac:dyDescent="0.25">
      <c r="A7" t="str">
        <v>European Sleeper</v>
      </c>
      <c r="B7" t="s">
        <v>178</v>
      </c>
      <c r="D7" t="str">
        <v>Ouigo</v>
      </c>
      <c r="E7" t="s">
        <v>230</v>
      </c>
    </row>
    <row r="8" spans="1:5" x14ac:dyDescent="0.25">
      <c r="A8" t="str">
        <v>Eurostar</v>
      </c>
      <c r="B8" t="s">
        <v>26</v>
      </c>
      <c r="D8" t="str">
        <v>SBB</v>
      </c>
      <c r="E8" t="s">
        <v>230</v>
      </c>
    </row>
    <row r="9" spans="1:5" x14ac:dyDescent="0.25">
      <c r="A9" t="str">
        <v>Flixtrain</v>
      </c>
      <c r="B9" t="s">
        <v>26</v>
      </c>
      <c r="D9" t="str">
        <v>SNCB</v>
      </c>
      <c r="E9" t="s">
        <v>230</v>
      </c>
    </row>
    <row r="10" spans="1:5" x14ac:dyDescent="0.25">
      <c r="A10" t="str">
        <v>HZ</v>
      </c>
      <c r="B10" t="s">
        <v>177</v>
      </c>
      <c r="D10" t="str">
        <v>SNCF</v>
      </c>
      <c r="E10" t="s">
        <v>230</v>
      </c>
    </row>
    <row r="11" spans="1:5" x14ac:dyDescent="0.25">
      <c r="A11" t="str">
        <v>MAV</v>
      </c>
      <c r="B11" t="s">
        <v>177</v>
      </c>
      <c r="D11" t="str">
        <v>Trenitalia</v>
      </c>
    </row>
    <row r="12" spans="1:5" x14ac:dyDescent="0.25">
      <c r="A12" t="str">
        <v>NS</v>
      </c>
      <c r="B12" t="s">
        <v>26</v>
      </c>
      <c r="D12" t="str">
        <v>Trenitalia France</v>
      </c>
    </row>
    <row r="13" spans="1:5" x14ac:dyDescent="0.25">
      <c r="A13" t="str">
        <v>OEBB</v>
      </c>
      <c r="B13" t="s">
        <v>26</v>
      </c>
      <c r="D13" t="str">
        <v>Westbahn</v>
      </c>
    </row>
    <row r="14" spans="1:5" x14ac:dyDescent="0.25">
      <c r="A14" t="str">
        <v>Other CH operators</v>
      </c>
      <c r="B14" t="s">
        <v>179</v>
      </c>
    </row>
    <row r="15" spans="1:5" x14ac:dyDescent="0.25">
      <c r="A15" t="str">
        <v>Ouigo</v>
      </c>
      <c r="B15" t="s">
        <v>26</v>
      </c>
    </row>
    <row r="16" spans="1:5" x14ac:dyDescent="0.25">
      <c r="A16" t="str">
        <v>Panorama Express</v>
      </c>
      <c r="B16" t="s">
        <v>179</v>
      </c>
    </row>
    <row r="17" spans="1:2" x14ac:dyDescent="0.25">
      <c r="A17" t="str">
        <v>PKP</v>
      </c>
      <c r="B17" t="s">
        <v>177</v>
      </c>
    </row>
    <row r="18" spans="1:2" x14ac:dyDescent="0.25">
      <c r="A18" t="str">
        <v>SBB</v>
      </c>
      <c r="B18" t="s">
        <v>26</v>
      </c>
    </row>
    <row r="19" spans="1:2" x14ac:dyDescent="0.25">
      <c r="A19" t="str">
        <v>SJ</v>
      </c>
      <c r="B19" t="s">
        <v>177</v>
      </c>
    </row>
    <row r="20" spans="1:2" x14ac:dyDescent="0.25">
      <c r="A20" t="str">
        <v>SNCB</v>
      </c>
      <c r="B20" t="s">
        <v>26</v>
      </c>
    </row>
    <row r="21" spans="1:2" x14ac:dyDescent="0.25">
      <c r="A21" t="str">
        <v>SNCF</v>
      </c>
      <c r="B21" t="s">
        <v>26</v>
      </c>
    </row>
    <row r="22" spans="1:2" x14ac:dyDescent="0.25">
      <c r="A22" t="str">
        <v>SZ</v>
      </c>
      <c r="B22" t="s">
        <v>177</v>
      </c>
    </row>
    <row r="23" spans="1:2" x14ac:dyDescent="0.25">
      <c r="A23" t="str">
        <v>Trenitalia</v>
      </c>
      <c r="B23" t="s">
        <v>26</v>
      </c>
    </row>
    <row r="24" spans="1:2" x14ac:dyDescent="0.25">
      <c r="A24" t="str">
        <v>Trenitalia France</v>
      </c>
      <c r="B24" t="s">
        <v>26</v>
      </c>
    </row>
    <row r="25" spans="1:2" x14ac:dyDescent="0.25">
      <c r="A25" t="str">
        <v>UNKNOWN_OPERATOR</v>
      </c>
      <c r="B25" t="s">
        <v>180</v>
      </c>
    </row>
    <row r="26" spans="1:2" x14ac:dyDescent="0.25">
      <c r="A26" t="str">
        <v>UZ</v>
      </c>
      <c r="B26" t="s">
        <v>179</v>
      </c>
    </row>
    <row r="27" spans="1:2" x14ac:dyDescent="0.25">
      <c r="A27" t="str">
        <v>Westbahn</v>
      </c>
      <c r="B27" t="s">
        <v>26</v>
      </c>
    </row>
    <row r="28" spans="1:2" x14ac:dyDescent="0.25">
      <c r="A28" t="str">
        <v>ZSSK</v>
      </c>
      <c r="B28" t="s">
        <v>177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1FBE71-B242-465F-8065-EBC0DCE05D01}">
  <dimension ref="A2:S40"/>
  <sheetViews>
    <sheetView topLeftCell="A13" workbookViewId="0">
      <pane xSplit="1" topLeftCell="B1" activePane="topRight" state="frozen"/>
      <selection activeCell="A4" sqref="A4"/>
      <selection pane="topRight" activeCell="J43" sqref="J43"/>
    </sheetView>
  </sheetViews>
  <sheetFormatPr defaultRowHeight="15" x14ac:dyDescent="0.25"/>
  <cols>
    <col min="1" max="1" width="13.140625" bestFit="1" customWidth="1"/>
    <col min="2" max="2" width="18.42578125" bestFit="1" customWidth="1"/>
    <col min="3" max="3" width="35.7109375" bestFit="1" customWidth="1"/>
    <col min="4" max="6" width="27.5703125" bestFit="1" customWidth="1"/>
    <col min="7" max="10" width="28.5703125" bestFit="1" customWidth="1"/>
    <col min="11" max="11" width="32" bestFit="1" customWidth="1"/>
    <col min="12" max="14" width="17" customWidth="1"/>
    <col min="15" max="18" width="18" customWidth="1"/>
  </cols>
  <sheetData>
    <row r="2" spans="1:19" x14ac:dyDescent="0.25">
      <c r="A2" s="6" t="s">
        <v>5</v>
      </c>
      <c r="B2" t="s">
        <v>206</v>
      </c>
    </row>
    <row r="3" spans="1:19" x14ac:dyDescent="0.25">
      <c r="A3" s="6" t="s">
        <v>7</v>
      </c>
      <c r="B3" t="s">
        <v>26</v>
      </c>
    </row>
    <row r="4" spans="1:19" ht="15.75" thickBot="1" x14ac:dyDescent="0.3">
      <c r="L4" s="9" t="s">
        <v>199</v>
      </c>
      <c r="M4" s="9" t="s">
        <v>200</v>
      </c>
      <c r="N4" s="9" t="s">
        <v>201</v>
      </c>
      <c r="O4" s="9" t="s">
        <v>202</v>
      </c>
      <c r="P4" s="9" t="s">
        <v>203</v>
      </c>
      <c r="Q4" s="9" t="s">
        <v>204</v>
      </c>
      <c r="R4" s="9" t="s">
        <v>205</v>
      </c>
      <c r="S4" s="10"/>
    </row>
    <row r="5" spans="1:19" x14ac:dyDescent="0.25">
      <c r="A5" s="6" t="s">
        <v>195</v>
      </c>
      <c r="B5" t="s">
        <v>197</v>
      </c>
      <c r="C5" t="s">
        <v>198</v>
      </c>
      <c r="D5" t="s">
        <v>199</v>
      </c>
      <c r="E5" t="s">
        <v>200</v>
      </c>
      <c r="F5" t="s">
        <v>201</v>
      </c>
      <c r="G5" t="s">
        <v>202</v>
      </c>
      <c r="H5" t="s">
        <v>203</v>
      </c>
      <c r="I5" t="s">
        <v>204</v>
      </c>
      <c r="J5" t="s">
        <v>205</v>
      </c>
      <c r="K5" s="13" t="s">
        <v>215</v>
      </c>
      <c r="L5" s="13" t="s">
        <v>207</v>
      </c>
      <c r="M5" s="14" t="s">
        <v>208</v>
      </c>
      <c r="N5" s="13" t="s">
        <v>209</v>
      </c>
      <c r="O5" s="13" t="s">
        <v>210</v>
      </c>
      <c r="P5" s="13" t="s">
        <v>211</v>
      </c>
      <c r="Q5" s="13" t="s">
        <v>212</v>
      </c>
      <c r="R5" s="13" t="s">
        <v>213</v>
      </c>
    </row>
    <row r="6" spans="1:19" x14ac:dyDescent="0.25">
      <c r="A6" s="7" t="s">
        <v>33</v>
      </c>
      <c r="B6" s="8">
        <v>9380</v>
      </c>
      <c r="C6" s="8">
        <v>21</v>
      </c>
      <c r="D6" s="8">
        <v>2707</v>
      </c>
      <c r="E6" s="8">
        <v>2385</v>
      </c>
      <c r="F6" s="8">
        <v>2246</v>
      </c>
      <c r="G6" s="8">
        <v>1740</v>
      </c>
      <c r="H6" s="8">
        <v>1355</v>
      </c>
      <c r="I6" s="8">
        <v>720</v>
      </c>
      <c r="J6" s="8">
        <v>280</v>
      </c>
      <c r="K6" s="5">
        <f>GETPIVOTDATA("Sum of N cancelled train (full + partial)",$A$5,"operator",$A6)/GETPIVOTDATA("Sum of N total train",$A$5,"operator",$A6)</f>
        <v>2.2388059701492539E-3</v>
      </c>
      <c r="L6" s="4">
        <f t="shared" ref="L6:L29" si="0">1-(GETPIVOTDATA("Sum of N cancelled train (full + partial)",$A$5,"operator",$A6)+GETPIVOTDATA(L$4&amp;"",$A$5,"operator",$A6))/GETPIVOTDATA("Sum of N total train",$A$5,"operator",$A6)</f>
        <v>0.70916844349680175</v>
      </c>
      <c r="M6" s="11">
        <f t="shared" ref="M6:R21" si="1">1-(GETPIVOTDATA("Sum of N cancelled train (full + partial)",$A$5,"operator",$A6)+GETPIVOTDATA(M$4&amp;"",$A$5,"operator",$A6))/GETPIVOTDATA("Sum of N total train",$A$5,"operator",$A6)</f>
        <v>0.74349680170575694</v>
      </c>
      <c r="N6" s="4">
        <f t="shared" si="1"/>
        <v>0.75831556503198294</v>
      </c>
      <c r="O6" s="4">
        <f t="shared" si="1"/>
        <v>0.81226012793176972</v>
      </c>
      <c r="P6" s="4">
        <f t="shared" si="1"/>
        <v>0.85330490405117265</v>
      </c>
      <c r="Q6" s="4">
        <f t="shared" si="1"/>
        <v>0.921002132196162</v>
      </c>
      <c r="R6" s="4">
        <f t="shared" si="1"/>
        <v>0.96791044776119406</v>
      </c>
    </row>
    <row r="7" spans="1:19" x14ac:dyDescent="0.25">
      <c r="A7" s="7" t="s">
        <v>21</v>
      </c>
      <c r="B7" s="8">
        <v>14719</v>
      </c>
      <c r="C7" s="8">
        <v>180</v>
      </c>
      <c r="D7" s="8">
        <v>1742</v>
      </c>
      <c r="E7" s="8">
        <v>958</v>
      </c>
      <c r="F7" s="8">
        <v>791</v>
      </c>
      <c r="G7" s="8">
        <v>502</v>
      </c>
      <c r="H7" s="8">
        <v>323</v>
      </c>
      <c r="I7" s="8">
        <v>106</v>
      </c>
      <c r="J7" s="8">
        <v>15</v>
      </c>
      <c r="K7" s="5">
        <f t="shared" ref="K7:K30" si="2">GETPIVOTDATA("Sum of N cancelled train (full + partial)",$A$5,"operator",$A7)/GETPIVOTDATA("Sum of N total train",$A$5,"operator",$A7)</f>
        <v>1.2229091650247978E-2</v>
      </c>
      <c r="L7" s="4">
        <f t="shared" si="0"/>
        <v>0.86942047693457436</v>
      </c>
      <c r="M7" s="11">
        <f t="shared" si="1"/>
        <v>0.92268496501121</v>
      </c>
      <c r="N7" s="4">
        <f t="shared" si="1"/>
        <v>0.9340308444867178</v>
      </c>
      <c r="O7" s="4">
        <f t="shared" si="1"/>
        <v>0.95366533052517155</v>
      </c>
      <c r="P7" s="4">
        <f t="shared" si="1"/>
        <v>0.9658264827773626</v>
      </c>
      <c r="Q7" s="4">
        <f t="shared" si="1"/>
        <v>0.98056933215571707</v>
      </c>
      <c r="R7" s="4">
        <f t="shared" si="1"/>
        <v>0.98675181737889806</v>
      </c>
    </row>
    <row r="8" spans="1:19" x14ac:dyDescent="0.25">
      <c r="A8" s="7" t="s">
        <v>30</v>
      </c>
      <c r="B8" s="8">
        <v>7</v>
      </c>
      <c r="C8" s="8">
        <v>0</v>
      </c>
      <c r="D8" s="8">
        <v>0</v>
      </c>
      <c r="E8" s="8">
        <v>0</v>
      </c>
      <c r="F8" s="8">
        <v>0</v>
      </c>
      <c r="G8" s="8">
        <v>0</v>
      </c>
      <c r="H8" s="8">
        <v>0</v>
      </c>
      <c r="I8" s="8">
        <v>0</v>
      </c>
      <c r="J8" s="8">
        <v>0</v>
      </c>
      <c r="K8" s="5">
        <f t="shared" si="2"/>
        <v>0</v>
      </c>
      <c r="L8" s="4">
        <f t="shared" si="0"/>
        <v>1</v>
      </c>
      <c r="M8" s="11">
        <f t="shared" si="1"/>
        <v>1</v>
      </c>
      <c r="N8" s="4">
        <f t="shared" si="1"/>
        <v>1</v>
      </c>
      <c r="O8" s="4">
        <f t="shared" si="1"/>
        <v>1</v>
      </c>
      <c r="P8" s="4">
        <f t="shared" si="1"/>
        <v>1</v>
      </c>
      <c r="Q8" s="4">
        <f t="shared" si="1"/>
        <v>1</v>
      </c>
      <c r="R8" s="4">
        <f t="shared" si="1"/>
        <v>1</v>
      </c>
    </row>
    <row r="9" spans="1:19" s="21" customFormat="1" x14ac:dyDescent="0.25">
      <c r="A9" s="16" t="s">
        <v>37</v>
      </c>
      <c r="B9" s="17">
        <v>345877</v>
      </c>
      <c r="C9" s="17">
        <v>37629</v>
      </c>
      <c r="D9" s="17">
        <v>196709</v>
      </c>
      <c r="E9" s="17">
        <v>169753</v>
      </c>
      <c r="F9" s="17">
        <v>159285</v>
      </c>
      <c r="G9" s="17">
        <v>126488</v>
      </c>
      <c r="H9" s="17">
        <v>98685</v>
      </c>
      <c r="I9" s="17">
        <v>50551</v>
      </c>
      <c r="J9" s="17">
        <v>15923</v>
      </c>
      <c r="K9" s="18">
        <f t="shared" si="2"/>
        <v>0.10879301023196107</v>
      </c>
      <c r="L9" s="19">
        <f t="shared" si="0"/>
        <v>0.32248169146835437</v>
      </c>
      <c r="M9" s="20">
        <f t="shared" si="1"/>
        <v>0.40041691121410217</v>
      </c>
      <c r="N9" s="19">
        <f t="shared" si="1"/>
        <v>0.43068200545280544</v>
      </c>
      <c r="O9" s="19">
        <f t="shared" si="1"/>
        <v>0.52550473145077592</v>
      </c>
      <c r="P9" s="19">
        <f t="shared" si="1"/>
        <v>0.60588879861916234</v>
      </c>
      <c r="Q9" s="19">
        <f t="shared" si="1"/>
        <v>0.74505387753449925</v>
      </c>
      <c r="R9" s="19">
        <f t="shared" si="1"/>
        <v>0.8451703929431561</v>
      </c>
    </row>
    <row r="10" spans="1:19" x14ac:dyDescent="0.25">
      <c r="A10" s="7" t="s">
        <v>43</v>
      </c>
      <c r="B10" s="8">
        <v>5903</v>
      </c>
      <c r="C10" s="8">
        <v>48</v>
      </c>
      <c r="D10" s="8">
        <v>1397</v>
      </c>
      <c r="E10" s="8">
        <v>904</v>
      </c>
      <c r="F10" s="8">
        <v>781</v>
      </c>
      <c r="G10" s="8">
        <v>500</v>
      </c>
      <c r="H10" s="8">
        <v>351</v>
      </c>
      <c r="I10" s="8">
        <v>190</v>
      </c>
      <c r="J10" s="8">
        <v>105</v>
      </c>
      <c r="K10" s="5">
        <f t="shared" si="2"/>
        <v>8.1314585803828558E-3</v>
      </c>
      <c r="L10" s="4">
        <f t="shared" si="0"/>
        <v>0.75520921565305776</v>
      </c>
      <c r="M10" s="11">
        <f t="shared" si="1"/>
        <v>0.83872607148907341</v>
      </c>
      <c r="N10" s="4">
        <f t="shared" si="1"/>
        <v>0.85956293410130447</v>
      </c>
      <c r="O10" s="4">
        <f t="shared" si="1"/>
        <v>0.90716584787396237</v>
      </c>
      <c r="P10" s="4">
        <f t="shared" si="1"/>
        <v>0.9324072505505675</v>
      </c>
      <c r="Q10" s="4">
        <f t="shared" si="1"/>
        <v>0.9596815178722683</v>
      </c>
      <c r="R10" s="4">
        <f t="shared" si="1"/>
        <v>0.97408097577502961</v>
      </c>
    </row>
    <row r="11" spans="1:19" x14ac:dyDescent="0.25">
      <c r="A11" s="7" t="s">
        <v>44</v>
      </c>
      <c r="B11" s="8">
        <v>308</v>
      </c>
      <c r="C11" s="8">
        <v>28</v>
      </c>
      <c r="D11" s="8">
        <v>121</v>
      </c>
      <c r="E11" s="8">
        <v>114</v>
      </c>
      <c r="F11" s="8">
        <v>107</v>
      </c>
      <c r="G11" s="8">
        <v>97</v>
      </c>
      <c r="H11" s="8">
        <v>83</v>
      </c>
      <c r="I11" s="8">
        <v>63</v>
      </c>
      <c r="J11" s="8">
        <v>28</v>
      </c>
      <c r="K11" s="5">
        <f t="shared" si="2"/>
        <v>9.0909090909090912E-2</v>
      </c>
      <c r="L11" s="4">
        <f t="shared" si="0"/>
        <v>0.51623376623376616</v>
      </c>
      <c r="M11" s="11">
        <f t="shared" si="1"/>
        <v>0.53896103896103897</v>
      </c>
      <c r="N11" s="4">
        <f t="shared" si="1"/>
        <v>0.56168831168831168</v>
      </c>
      <c r="O11" s="4">
        <f t="shared" si="1"/>
        <v>0.5941558441558441</v>
      </c>
      <c r="P11" s="4">
        <f t="shared" si="1"/>
        <v>0.63961038961038963</v>
      </c>
      <c r="Q11" s="4">
        <f t="shared" si="1"/>
        <v>0.70454545454545459</v>
      </c>
      <c r="R11" s="4">
        <f t="shared" si="1"/>
        <v>0.81818181818181812</v>
      </c>
    </row>
    <row r="12" spans="1:19" x14ac:dyDescent="0.25">
      <c r="A12" s="7" t="s">
        <v>47</v>
      </c>
      <c r="B12" s="8">
        <v>42665</v>
      </c>
      <c r="C12" s="8">
        <v>4389</v>
      </c>
      <c r="D12" s="8">
        <v>11014</v>
      </c>
      <c r="E12" s="8">
        <v>10840</v>
      </c>
      <c r="F12" s="8">
        <v>10763</v>
      </c>
      <c r="G12" s="8">
        <v>8043</v>
      </c>
      <c r="H12" s="8">
        <v>6451</v>
      </c>
      <c r="I12" s="8">
        <v>3044</v>
      </c>
      <c r="J12" s="8">
        <v>1068</v>
      </c>
      <c r="K12" s="5">
        <f t="shared" si="2"/>
        <v>0.10287120590648072</v>
      </c>
      <c r="L12" s="4">
        <f t="shared" si="0"/>
        <v>0.63897808508144849</v>
      </c>
      <c r="M12" s="11">
        <f t="shared" si="1"/>
        <v>0.64305636938942934</v>
      </c>
      <c r="N12" s="4">
        <f t="shared" si="1"/>
        <v>0.64486112738778867</v>
      </c>
      <c r="O12" s="4">
        <f t="shared" si="1"/>
        <v>0.7086136177194422</v>
      </c>
      <c r="P12" s="4">
        <f t="shared" si="1"/>
        <v>0.74592757529591003</v>
      </c>
      <c r="Q12" s="4">
        <f t="shared" si="1"/>
        <v>0.82578225711941866</v>
      </c>
      <c r="R12" s="4">
        <f t="shared" si="1"/>
        <v>0.87209656627212007</v>
      </c>
    </row>
    <row r="13" spans="1:19" x14ac:dyDescent="0.25">
      <c r="A13" s="7" t="s">
        <v>49</v>
      </c>
      <c r="B13" s="8">
        <v>6229</v>
      </c>
      <c r="C13" s="8">
        <v>476</v>
      </c>
      <c r="D13" s="8">
        <v>4043</v>
      </c>
      <c r="E13" s="8">
        <v>3615</v>
      </c>
      <c r="F13" s="8">
        <v>3453</v>
      </c>
      <c r="G13" s="8">
        <v>2844</v>
      </c>
      <c r="H13" s="8">
        <v>2336</v>
      </c>
      <c r="I13" s="8">
        <v>1363</v>
      </c>
      <c r="J13" s="8">
        <v>542</v>
      </c>
      <c r="K13" s="5">
        <f t="shared" si="2"/>
        <v>7.6416760314657245E-2</v>
      </c>
      <c r="L13" s="4">
        <f t="shared" si="0"/>
        <v>0.27452239524803335</v>
      </c>
      <c r="M13" s="11">
        <f t="shared" si="1"/>
        <v>0.34323326376625463</v>
      </c>
      <c r="N13" s="4">
        <f t="shared" si="1"/>
        <v>0.36924064857922623</v>
      </c>
      <c r="O13" s="4">
        <f t="shared" si="1"/>
        <v>0.46700915074650828</v>
      </c>
      <c r="P13" s="4">
        <f t="shared" si="1"/>
        <v>0.54856317225878959</v>
      </c>
      <c r="Q13" s="4">
        <f t="shared" si="1"/>
        <v>0.70476802054904475</v>
      </c>
      <c r="R13" s="4">
        <f t="shared" si="1"/>
        <v>0.83657087815058595</v>
      </c>
    </row>
    <row r="14" spans="1:19" x14ac:dyDescent="0.25">
      <c r="A14" s="7" t="s">
        <v>51</v>
      </c>
      <c r="B14" s="8">
        <v>1411</v>
      </c>
      <c r="C14" s="8">
        <v>11</v>
      </c>
      <c r="D14" s="8">
        <v>88</v>
      </c>
      <c r="E14" s="8">
        <v>61</v>
      </c>
      <c r="F14" s="8">
        <v>54</v>
      </c>
      <c r="G14" s="8">
        <v>45</v>
      </c>
      <c r="H14" s="8">
        <v>29</v>
      </c>
      <c r="I14" s="8">
        <v>23</v>
      </c>
      <c r="J14" s="8">
        <v>9</v>
      </c>
      <c r="K14" s="5">
        <f t="shared" si="2"/>
        <v>7.7958894401133948E-3</v>
      </c>
      <c r="L14" s="4">
        <f t="shared" si="0"/>
        <v>0.92983699503897943</v>
      </c>
      <c r="M14" s="11">
        <f t="shared" si="1"/>
        <v>0.94897236002834873</v>
      </c>
      <c r="N14" s="4">
        <f t="shared" si="1"/>
        <v>0.95393338058114807</v>
      </c>
      <c r="O14" s="4">
        <f t="shared" si="1"/>
        <v>0.96031183557760458</v>
      </c>
      <c r="P14" s="4">
        <f t="shared" si="1"/>
        <v>0.97165131112686043</v>
      </c>
      <c r="Q14" s="4">
        <f t="shared" si="1"/>
        <v>0.97590361445783136</v>
      </c>
      <c r="R14" s="4">
        <f t="shared" si="1"/>
        <v>0.98582565556343016</v>
      </c>
    </row>
    <row r="15" spans="1:19" x14ac:dyDescent="0.25">
      <c r="A15" s="7" t="s">
        <v>52</v>
      </c>
      <c r="B15" s="8">
        <v>16353</v>
      </c>
      <c r="C15" s="8">
        <v>17</v>
      </c>
      <c r="D15" s="8">
        <v>3409</v>
      </c>
      <c r="E15" s="8">
        <v>2988</v>
      </c>
      <c r="F15" s="8">
        <v>2774</v>
      </c>
      <c r="G15" s="8">
        <v>2110</v>
      </c>
      <c r="H15" s="8">
        <v>1574</v>
      </c>
      <c r="I15" s="8">
        <v>740</v>
      </c>
      <c r="J15" s="8">
        <v>200</v>
      </c>
      <c r="K15" s="5">
        <f t="shared" si="2"/>
        <v>1.0395646058827127E-3</v>
      </c>
      <c r="L15" s="4">
        <f t="shared" si="0"/>
        <v>0.79049715648504859</v>
      </c>
      <c r="M15" s="11">
        <f t="shared" si="1"/>
        <v>0.81624166819543809</v>
      </c>
      <c r="N15" s="4">
        <f t="shared" si="1"/>
        <v>0.82932795205772636</v>
      </c>
      <c r="O15" s="4">
        <f t="shared" si="1"/>
        <v>0.8699321225463218</v>
      </c>
      <c r="P15" s="4">
        <f t="shared" si="1"/>
        <v>0.90270898306121206</v>
      </c>
      <c r="Q15" s="4">
        <f t="shared" si="1"/>
        <v>0.95370879960863453</v>
      </c>
      <c r="R15" s="4">
        <f t="shared" si="1"/>
        <v>0.98673026356020299</v>
      </c>
    </row>
    <row r="16" spans="1:19" x14ac:dyDescent="0.25">
      <c r="A16" s="7" t="s">
        <v>53</v>
      </c>
      <c r="B16" s="8">
        <v>492374</v>
      </c>
      <c r="C16" s="8">
        <v>59374</v>
      </c>
      <c r="D16" s="8">
        <v>64066</v>
      </c>
      <c r="E16" s="8">
        <v>38832</v>
      </c>
      <c r="F16" s="8">
        <v>31818</v>
      </c>
      <c r="G16" s="8">
        <v>18001</v>
      </c>
      <c r="H16" s="8">
        <v>9730</v>
      </c>
      <c r="I16" s="8">
        <v>2574</v>
      </c>
      <c r="J16" s="8">
        <v>776</v>
      </c>
      <c r="K16" s="5">
        <f t="shared" si="2"/>
        <v>0.1205871959120506</v>
      </c>
      <c r="L16" s="4">
        <f t="shared" si="0"/>
        <v>0.74929626665908433</v>
      </c>
      <c r="M16" s="11">
        <f t="shared" si="1"/>
        <v>0.80054592647052847</v>
      </c>
      <c r="N16" s="4">
        <f t="shared" si="1"/>
        <v>0.81479119531088151</v>
      </c>
      <c r="O16" s="4">
        <f t="shared" si="1"/>
        <v>0.84285319696003447</v>
      </c>
      <c r="P16" s="4">
        <f t="shared" si="1"/>
        <v>0.85965140320163125</v>
      </c>
      <c r="Q16" s="4">
        <f t="shared" si="1"/>
        <v>0.87418507069829032</v>
      </c>
      <c r="R16" s="4">
        <f t="shared" si="1"/>
        <v>0.87783676636053087</v>
      </c>
    </row>
    <row r="17" spans="1:18" x14ac:dyDescent="0.25">
      <c r="A17" s="7" t="s">
        <v>61</v>
      </c>
      <c r="B17" s="8">
        <v>142919</v>
      </c>
      <c r="C17" s="8">
        <v>3356</v>
      </c>
      <c r="D17" s="8">
        <v>40422</v>
      </c>
      <c r="E17" s="8">
        <v>31087</v>
      </c>
      <c r="F17" s="8">
        <v>27951</v>
      </c>
      <c r="G17" s="8">
        <v>20342</v>
      </c>
      <c r="H17" s="8">
        <v>15406</v>
      </c>
      <c r="I17" s="8">
        <v>7261</v>
      </c>
      <c r="J17" s="8">
        <v>2421</v>
      </c>
      <c r="K17" s="5">
        <f t="shared" si="2"/>
        <v>2.348183236658527E-2</v>
      </c>
      <c r="L17" s="4">
        <f t="shared" si="0"/>
        <v>0.6936866336876133</v>
      </c>
      <c r="M17" s="11">
        <f t="shared" si="1"/>
        <v>0.7590033515487794</v>
      </c>
      <c r="N17" s="4">
        <f t="shared" si="1"/>
        <v>0.78094585044675657</v>
      </c>
      <c r="O17" s="4">
        <f t="shared" si="1"/>
        <v>0.83418579754966093</v>
      </c>
      <c r="P17" s="4">
        <f t="shared" si="1"/>
        <v>0.86872284300897706</v>
      </c>
      <c r="Q17" s="4">
        <f t="shared" si="1"/>
        <v>0.92571316619903588</v>
      </c>
      <c r="R17" s="4">
        <f t="shared" si="1"/>
        <v>0.95957850250841381</v>
      </c>
    </row>
    <row r="18" spans="1:18" x14ac:dyDescent="0.25">
      <c r="A18" s="7" t="s">
        <v>63</v>
      </c>
      <c r="B18" s="8">
        <v>16579</v>
      </c>
      <c r="C18" s="8">
        <v>254</v>
      </c>
      <c r="D18" s="8">
        <v>3340</v>
      </c>
      <c r="E18" s="8">
        <v>3023</v>
      </c>
      <c r="F18" s="8">
        <v>3023</v>
      </c>
      <c r="G18" s="8">
        <v>2193</v>
      </c>
      <c r="H18" s="8">
        <v>1809</v>
      </c>
      <c r="I18" s="8">
        <v>1012</v>
      </c>
      <c r="J18" s="8">
        <v>456</v>
      </c>
      <c r="K18" s="5">
        <f t="shared" si="2"/>
        <v>1.5320586283853067E-2</v>
      </c>
      <c r="L18" s="4">
        <f t="shared" si="0"/>
        <v>0.78321973581036253</v>
      </c>
      <c r="M18" s="11">
        <f t="shared" si="1"/>
        <v>0.80234031003076178</v>
      </c>
      <c r="N18" s="4">
        <f t="shared" si="1"/>
        <v>0.80234031003076178</v>
      </c>
      <c r="O18" s="4">
        <f t="shared" si="1"/>
        <v>0.85240364316303752</v>
      </c>
      <c r="P18" s="4">
        <f t="shared" si="1"/>
        <v>0.8755654743953194</v>
      </c>
      <c r="Q18" s="4">
        <f t="shared" si="1"/>
        <v>0.92363833765607095</v>
      </c>
      <c r="R18" s="4">
        <f t="shared" si="1"/>
        <v>0.95717473912781226</v>
      </c>
    </row>
    <row r="19" spans="1:18" x14ac:dyDescent="0.25">
      <c r="A19" s="7" t="s">
        <v>66</v>
      </c>
      <c r="B19" s="8">
        <v>1512</v>
      </c>
      <c r="C19" s="8">
        <v>2</v>
      </c>
      <c r="D19" s="8">
        <v>375</v>
      </c>
      <c r="E19" s="8">
        <v>314</v>
      </c>
      <c r="F19" s="8">
        <v>286</v>
      </c>
      <c r="G19" s="8">
        <v>207</v>
      </c>
      <c r="H19" s="8">
        <v>155</v>
      </c>
      <c r="I19" s="8">
        <v>58</v>
      </c>
      <c r="J19" s="8">
        <v>19</v>
      </c>
      <c r="K19" s="5">
        <f t="shared" si="2"/>
        <v>1.3227513227513227E-3</v>
      </c>
      <c r="L19" s="4">
        <f t="shared" si="0"/>
        <v>0.7506613756613757</v>
      </c>
      <c r="M19" s="11">
        <f t="shared" si="1"/>
        <v>0.79100529100529104</v>
      </c>
      <c r="N19" s="4">
        <f t="shared" si="1"/>
        <v>0.80952380952380953</v>
      </c>
      <c r="O19" s="4">
        <f t="shared" si="1"/>
        <v>0.86177248677248675</v>
      </c>
      <c r="P19" s="4">
        <f t="shared" si="1"/>
        <v>0.89616402116402116</v>
      </c>
      <c r="Q19" s="4">
        <f t="shared" si="1"/>
        <v>0.96031746031746035</v>
      </c>
      <c r="R19" s="4">
        <f t="shared" si="1"/>
        <v>0.98611111111111116</v>
      </c>
    </row>
    <row r="20" spans="1:18" x14ac:dyDescent="0.25">
      <c r="A20" s="7" t="s">
        <v>69</v>
      </c>
      <c r="B20" s="8">
        <v>364728</v>
      </c>
      <c r="C20" s="8">
        <v>9500</v>
      </c>
      <c r="D20" s="8">
        <v>14648</v>
      </c>
      <c r="E20" s="8">
        <v>11158</v>
      </c>
      <c r="F20" s="8">
        <v>10177</v>
      </c>
      <c r="G20" s="8">
        <v>7750</v>
      </c>
      <c r="H20" s="8">
        <v>5837</v>
      </c>
      <c r="I20" s="8">
        <v>2815</v>
      </c>
      <c r="J20" s="8">
        <v>794</v>
      </c>
      <c r="K20" s="5">
        <f t="shared" si="2"/>
        <v>2.6046807483933232E-2</v>
      </c>
      <c r="L20" s="4">
        <f t="shared" si="0"/>
        <v>0.93379175714505058</v>
      </c>
      <c r="M20" s="11">
        <f t="shared" si="1"/>
        <v>0.94336053168388501</v>
      </c>
      <c r="N20" s="4">
        <f t="shared" si="1"/>
        <v>0.94605020727775213</v>
      </c>
      <c r="O20" s="4">
        <f t="shared" si="1"/>
        <v>0.95270448114759487</v>
      </c>
      <c r="P20" s="4">
        <f t="shared" si="1"/>
        <v>0.95794948564409643</v>
      </c>
      <c r="Q20" s="4">
        <f t="shared" si="1"/>
        <v>0.96623511219319602</v>
      </c>
      <c r="R20" s="4">
        <f t="shared" si="1"/>
        <v>0.97177622776425177</v>
      </c>
    </row>
    <row r="21" spans="1:18" x14ac:dyDescent="0.25">
      <c r="A21" s="7" t="s">
        <v>71</v>
      </c>
      <c r="B21" s="8">
        <v>702</v>
      </c>
      <c r="C21" s="8">
        <v>19</v>
      </c>
      <c r="D21" s="8">
        <v>249</v>
      </c>
      <c r="E21" s="8">
        <v>237</v>
      </c>
      <c r="F21" s="8">
        <v>231</v>
      </c>
      <c r="G21" s="8">
        <v>212</v>
      </c>
      <c r="H21" s="8">
        <v>185</v>
      </c>
      <c r="I21" s="8">
        <v>138</v>
      </c>
      <c r="J21" s="8">
        <v>84</v>
      </c>
      <c r="K21" s="5">
        <f t="shared" si="2"/>
        <v>2.7065527065527065E-2</v>
      </c>
      <c r="L21" s="4">
        <f t="shared" si="0"/>
        <v>0.61823361823361822</v>
      </c>
      <c r="M21" s="11">
        <f t="shared" si="1"/>
        <v>0.63532763532763536</v>
      </c>
      <c r="N21" s="4">
        <f t="shared" si="1"/>
        <v>0.64387464387464388</v>
      </c>
      <c r="O21" s="4">
        <f t="shared" si="1"/>
        <v>0.670940170940171</v>
      </c>
      <c r="P21" s="4">
        <f t="shared" si="1"/>
        <v>0.70940170940170932</v>
      </c>
      <c r="Q21" s="4">
        <f t="shared" si="1"/>
        <v>0.77635327635327633</v>
      </c>
      <c r="R21" s="4">
        <f t="shared" si="1"/>
        <v>0.85327635327635332</v>
      </c>
    </row>
    <row r="22" spans="1:18" x14ac:dyDescent="0.25">
      <c r="A22" s="7" t="s">
        <v>72</v>
      </c>
      <c r="B22" s="8">
        <v>373319</v>
      </c>
      <c r="C22" s="8">
        <v>7705</v>
      </c>
      <c r="D22" s="8">
        <v>72568</v>
      </c>
      <c r="E22" s="8">
        <v>44796</v>
      </c>
      <c r="F22" s="8">
        <v>36637</v>
      </c>
      <c r="G22" s="8">
        <v>19038</v>
      </c>
      <c r="H22" s="8">
        <v>10274</v>
      </c>
      <c r="I22" s="8">
        <v>2213</v>
      </c>
      <c r="J22" s="8">
        <v>217</v>
      </c>
      <c r="K22" s="5">
        <f t="shared" si="2"/>
        <v>2.0639185254433874E-2</v>
      </c>
      <c r="L22" s="4">
        <f t="shared" si="0"/>
        <v>0.78497478028174295</v>
      </c>
      <c r="M22" s="11">
        <f t="shared" ref="M22:R29" si="3">1-(GETPIVOTDATA("Sum of N cancelled train (full + partial)",$A$5,"operator",$A22)+GETPIVOTDATA(M$4&amp;"",$A$5,"operator",$A22))/GETPIVOTDATA("Sum of N total train",$A$5,"operator",$A22)</f>
        <v>0.859366922122903</v>
      </c>
      <c r="N22" s="4">
        <f t="shared" si="3"/>
        <v>0.88122222549615747</v>
      </c>
      <c r="O22" s="4">
        <f t="shared" si="3"/>
        <v>0.92836421398321545</v>
      </c>
      <c r="P22" s="4">
        <f t="shared" si="3"/>
        <v>0.95184011529014056</v>
      </c>
      <c r="Q22" s="4">
        <f t="shared" si="3"/>
        <v>0.97343290858488318</v>
      </c>
      <c r="R22" s="4">
        <f t="shared" si="3"/>
        <v>0.97877954242886112</v>
      </c>
    </row>
    <row r="23" spans="1:18" x14ac:dyDescent="0.25">
      <c r="A23" s="7" t="s">
        <v>75</v>
      </c>
      <c r="B23" s="8">
        <v>223738</v>
      </c>
      <c r="C23" s="8">
        <v>2587</v>
      </c>
      <c r="D23" s="8">
        <v>54527</v>
      </c>
      <c r="E23" s="8">
        <v>33116</v>
      </c>
      <c r="F23" s="8">
        <v>32928</v>
      </c>
      <c r="G23" s="8">
        <v>23596</v>
      </c>
      <c r="H23" s="8">
        <v>17964</v>
      </c>
      <c r="I23" s="8">
        <v>9095</v>
      </c>
      <c r="J23" s="8">
        <v>3416</v>
      </c>
      <c r="K23" s="5">
        <f t="shared" si="2"/>
        <v>1.1562631291957557E-2</v>
      </c>
      <c r="L23" s="4">
        <f t="shared" si="0"/>
        <v>0.7447282088871805</v>
      </c>
      <c r="M23" s="11">
        <f t="shared" si="3"/>
        <v>0.8404249613387087</v>
      </c>
      <c r="N23" s="4">
        <f t="shared" si="3"/>
        <v>0.84126522986707664</v>
      </c>
      <c r="O23" s="4">
        <f t="shared" si="3"/>
        <v>0.88297472937096066</v>
      </c>
      <c r="P23" s="4">
        <f t="shared" si="3"/>
        <v>0.90814702911441059</v>
      </c>
      <c r="Q23" s="4">
        <f t="shared" si="3"/>
        <v>0.94778714389151597</v>
      </c>
      <c r="R23" s="4">
        <f t="shared" si="3"/>
        <v>0.97316951076705793</v>
      </c>
    </row>
    <row r="24" spans="1:18" x14ac:dyDescent="0.25">
      <c r="A24" s="7" t="s">
        <v>79</v>
      </c>
      <c r="B24" s="8">
        <v>1601</v>
      </c>
      <c r="C24" s="8">
        <v>9</v>
      </c>
      <c r="D24" s="8">
        <v>104</v>
      </c>
      <c r="E24" s="8">
        <v>78</v>
      </c>
      <c r="F24" s="8">
        <v>70</v>
      </c>
      <c r="G24" s="8">
        <v>55</v>
      </c>
      <c r="H24" s="8">
        <v>37</v>
      </c>
      <c r="I24" s="8">
        <v>26</v>
      </c>
      <c r="J24" s="8">
        <v>11</v>
      </c>
      <c r="K24" s="5">
        <f t="shared" si="2"/>
        <v>5.6214865708931914E-3</v>
      </c>
      <c r="L24" s="4">
        <f t="shared" si="0"/>
        <v>0.929419113054341</v>
      </c>
      <c r="M24" s="11">
        <f t="shared" si="3"/>
        <v>0.94565896314803244</v>
      </c>
      <c r="N24" s="4">
        <f t="shared" si="3"/>
        <v>0.95065584009993753</v>
      </c>
      <c r="O24" s="4">
        <f t="shared" si="3"/>
        <v>0.96002498438475947</v>
      </c>
      <c r="P24" s="4">
        <f t="shared" si="3"/>
        <v>0.97126795752654593</v>
      </c>
      <c r="Q24" s="4">
        <f t="shared" si="3"/>
        <v>0.97813866333541533</v>
      </c>
      <c r="R24" s="4">
        <f t="shared" si="3"/>
        <v>0.98750780762023738</v>
      </c>
    </row>
    <row r="25" spans="1:18" x14ac:dyDescent="0.25">
      <c r="A25" s="7" t="s">
        <v>80</v>
      </c>
      <c r="B25" s="8">
        <v>140560</v>
      </c>
      <c r="C25" s="8">
        <v>2831</v>
      </c>
      <c r="D25" s="8">
        <v>60718</v>
      </c>
      <c r="E25" s="8">
        <v>48902</v>
      </c>
      <c r="F25" s="8">
        <v>44438</v>
      </c>
      <c r="G25" s="8">
        <v>31820</v>
      </c>
      <c r="H25" s="8">
        <v>23161</v>
      </c>
      <c r="I25" s="8">
        <v>11906</v>
      </c>
      <c r="J25" s="8">
        <v>4345</v>
      </c>
      <c r="K25" s="5">
        <f t="shared" si="2"/>
        <v>2.0140865110984632E-2</v>
      </c>
      <c r="L25" s="4">
        <f t="shared" si="0"/>
        <v>0.54788702333523043</v>
      </c>
      <c r="M25" s="11">
        <f t="shared" si="3"/>
        <v>0.63195076835515085</v>
      </c>
      <c r="N25" s="4">
        <f t="shared" si="3"/>
        <v>0.66370944792259534</v>
      </c>
      <c r="O25" s="4">
        <f t="shared" si="3"/>
        <v>0.75347894137734772</v>
      </c>
      <c r="P25" s="4">
        <f t="shared" si="3"/>
        <v>0.81508252703471828</v>
      </c>
      <c r="Q25" s="4">
        <f t="shared" si="3"/>
        <v>0.89515509391007397</v>
      </c>
      <c r="R25" s="4">
        <f t="shared" si="3"/>
        <v>0.94894706886738756</v>
      </c>
    </row>
    <row r="26" spans="1:18" x14ac:dyDescent="0.25">
      <c r="A26" s="7" t="s">
        <v>88</v>
      </c>
      <c r="B26" s="8">
        <v>5188</v>
      </c>
      <c r="C26" s="8">
        <v>28</v>
      </c>
      <c r="D26" s="8">
        <v>1616</v>
      </c>
      <c r="E26" s="8">
        <v>1231</v>
      </c>
      <c r="F26" s="8">
        <v>1091</v>
      </c>
      <c r="G26" s="8">
        <v>745</v>
      </c>
      <c r="H26" s="8">
        <v>525</v>
      </c>
      <c r="I26" s="8">
        <v>274</v>
      </c>
      <c r="J26" s="8">
        <v>117</v>
      </c>
      <c r="K26" s="5">
        <f t="shared" si="2"/>
        <v>5.3970701619121047E-3</v>
      </c>
      <c r="L26" s="4">
        <f t="shared" si="0"/>
        <v>0.68311488049344637</v>
      </c>
      <c r="M26" s="11">
        <f t="shared" si="3"/>
        <v>0.75732459521973783</v>
      </c>
      <c r="N26" s="4">
        <f t="shared" si="3"/>
        <v>0.78430994602929838</v>
      </c>
      <c r="O26" s="4">
        <f t="shared" si="3"/>
        <v>0.85100231303006946</v>
      </c>
      <c r="P26" s="4">
        <f t="shared" si="3"/>
        <v>0.89340786430223595</v>
      </c>
      <c r="Q26" s="4">
        <f t="shared" si="3"/>
        <v>0.94178874325366224</v>
      </c>
      <c r="R26" s="4">
        <f t="shared" si="3"/>
        <v>0.97205088666152661</v>
      </c>
    </row>
    <row r="27" spans="1:18" x14ac:dyDescent="0.25">
      <c r="A27" s="7" t="s">
        <v>89</v>
      </c>
      <c r="B27" s="8">
        <v>2</v>
      </c>
      <c r="C27" s="8">
        <v>0</v>
      </c>
      <c r="D27" s="8">
        <v>0</v>
      </c>
      <c r="E27" s="8">
        <v>0</v>
      </c>
      <c r="F27" s="8">
        <v>0</v>
      </c>
      <c r="G27" s="8">
        <v>0</v>
      </c>
      <c r="H27" s="8">
        <v>0</v>
      </c>
      <c r="I27" s="8">
        <v>0</v>
      </c>
      <c r="J27" s="8">
        <v>0</v>
      </c>
      <c r="K27" s="5">
        <f t="shared" si="2"/>
        <v>0</v>
      </c>
      <c r="L27" s="4">
        <f t="shared" si="0"/>
        <v>1</v>
      </c>
      <c r="M27" s="11">
        <f t="shared" si="3"/>
        <v>1</v>
      </c>
      <c r="N27" s="4">
        <f t="shared" si="3"/>
        <v>1</v>
      </c>
      <c r="O27" s="4">
        <f t="shared" si="3"/>
        <v>1</v>
      </c>
      <c r="P27" s="4">
        <f t="shared" si="3"/>
        <v>1</v>
      </c>
      <c r="Q27" s="4">
        <f t="shared" si="3"/>
        <v>1</v>
      </c>
      <c r="R27" s="4">
        <f t="shared" si="3"/>
        <v>1</v>
      </c>
    </row>
    <row r="28" spans="1:18" x14ac:dyDescent="0.25">
      <c r="A28" s="7" t="s">
        <v>99</v>
      </c>
      <c r="B28" s="8">
        <v>20917</v>
      </c>
      <c r="C28" s="8">
        <v>126</v>
      </c>
      <c r="D28" s="8">
        <v>2268</v>
      </c>
      <c r="E28" s="8">
        <v>1736</v>
      </c>
      <c r="F28" s="8">
        <v>1542</v>
      </c>
      <c r="G28" s="8">
        <v>1006</v>
      </c>
      <c r="H28" s="8">
        <v>619</v>
      </c>
      <c r="I28" s="8">
        <v>244</v>
      </c>
      <c r="J28" s="8">
        <v>68</v>
      </c>
      <c r="K28" s="5">
        <f t="shared" si="2"/>
        <v>6.0238083855237365E-3</v>
      </c>
      <c r="L28" s="4">
        <f t="shared" si="0"/>
        <v>0.88554764067504899</v>
      </c>
      <c r="M28" s="11">
        <f t="shared" si="3"/>
        <v>0.91098149830281594</v>
      </c>
      <c r="N28" s="4">
        <f t="shared" si="3"/>
        <v>0.92025625089640006</v>
      </c>
      <c r="O28" s="4">
        <f t="shared" si="3"/>
        <v>0.94588134053640582</v>
      </c>
      <c r="P28" s="4">
        <f t="shared" si="3"/>
        <v>0.96438303772051437</v>
      </c>
      <c r="Q28" s="4">
        <f t="shared" si="3"/>
        <v>0.98231103886790649</v>
      </c>
      <c r="R28" s="4">
        <f t="shared" si="3"/>
        <v>0.99072524740641588</v>
      </c>
    </row>
    <row r="29" spans="1:18" ht="15.75" thickBot="1" x14ac:dyDescent="0.3">
      <c r="A29" s="7" t="s">
        <v>101</v>
      </c>
      <c r="B29" s="8">
        <v>1535</v>
      </c>
      <c r="C29" s="8">
        <v>2</v>
      </c>
      <c r="D29" s="8">
        <v>184</v>
      </c>
      <c r="E29" s="8">
        <v>151</v>
      </c>
      <c r="F29" s="8">
        <v>141</v>
      </c>
      <c r="G29" s="8">
        <v>108</v>
      </c>
      <c r="H29" s="8">
        <v>86</v>
      </c>
      <c r="I29" s="8">
        <v>50</v>
      </c>
      <c r="J29" s="8">
        <v>20</v>
      </c>
      <c r="K29" s="5">
        <f t="shared" si="2"/>
        <v>1.3029315960912053E-3</v>
      </c>
      <c r="L29" s="4">
        <f t="shared" si="0"/>
        <v>0.87882736156351793</v>
      </c>
      <c r="M29" s="12">
        <f t="shared" si="3"/>
        <v>0.90032573289902285</v>
      </c>
      <c r="N29" s="4">
        <f t="shared" si="3"/>
        <v>0.90684039087947887</v>
      </c>
      <c r="O29" s="4">
        <f t="shared" si="3"/>
        <v>0.92833876221498368</v>
      </c>
      <c r="P29" s="4">
        <f t="shared" si="3"/>
        <v>0.94267100977198692</v>
      </c>
      <c r="Q29" s="4">
        <f t="shared" si="3"/>
        <v>0.96612377850162867</v>
      </c>
      <c r="R29" s="4">
        <f t="shared" si="3"/>
        <v>0.98566775244299676</v>
      </c>
    </row>
    <row r="30" spans="1:18" x14ac:dyDescent="0.25">
      <c r="A30" s="7" t="s">
        <v>196</v>
      </c>
      <c r="B30" s="8">
        <v>2228526</v>
      </c>
      <c r="C30" s="8">
        <v>128592</v>
      </c>
      <c r="D30" s="8">
        <v>536315</v>
      </c>
      <c r="E30" s="8">
        <v>406279</v>
      </c>
      <c r="F30" s="8">
        <v>370587</v>
      </c>
      <c r="G30" s="8">
        <v>267442</v>
      </c>
      <c r="H30" s="8">
        <v>196975</v>
      </c>
      <c r="I30" s="8">
        <v>94466</v>
      </c>
      <c r="J30" s="8">
        <v>30914</v>
      </c>
      <c r="K30" s="5"/>
      <c r="L30" s="4"/>
      <c r="M30" s="4"/>
      <c r="N30" s="4"/>
      <c r="O30" s="4"/>
      <c r="P30" s="4"/>
      <c r="Q30" s="4"/>
      <c r="R30" s="4"/>
    </row>
    <row r="35" spans="1:11" x14ac:dyDescent="0.25">
      <c r="A35" s="6" t="s">
        <v>5</v>
      </c>
      <c r="B35" t="s">
        <v>206</v>
      </c>
    </row>
    <row r="36" spans="1:11" x14ac:dyDescent="0.25">
      <c r="A36" s="6" t="s">
        <v>7</v>
      </c>
      <c r="B36" t="s">
        <v>26</v>
      </c>
    </row>
    <row r="38" spans="1:11" x14ac:dyDescent="0.25">
      <c r="A38" s="6" t="s">
        <v>195</v>
      </c>
      <c r="B38" t="s">
        <v>197</v>
      </c>
      <c r="C38" t="s">
        <v>198</v>
      </c>
      <c r="D38" t="s">
        <v>199</v>
      </c>
      <c r="E38" t="s">
        <v>200</v>
      </c>
      <c r="F38" t="s">
        <v>201</v>
      </c>
      <c r="G38" t="s">
        <v>202</v>
      </c>
      <c r="H38" t="s">
        <v>203</v>
      </c>
      <c r="I38" t="s">
        <v>204</v>
      </c>
      <c r="J38" t="s">
        <v>205</v>
      </c>
      <c r="K38" t="s">
        <v>249</v>
      </c>
    </row>
    <row r="39" spans="1:11" x14ac:dyDescent="0.25">
      <c r="A39" s="7" t="s">
        <v>99</v>
      </c>
      <c r="B39" s="8">
        <v>20917</v>
      </c>
      <c r="C39" s="8">
        <v>126</v>
      </c>
      <c r="D39" s="8">
        <v>2268</v>
      </c>
      <c r="E39" s="8">
        <v>1736</v>
      </c>
      <c r="F39" s="8">
        <v>1542</v>
      </c>
      <c r="G39" s="8">
        <v>1006</v>
      </c>
      <c r="H39" s="8">
        <v>619</v>
      </c>
      <c r="I39" s="8">
        <v>244</v>
      </c>
      <c r="J39" s="8">
        <v>68</v>
      </c>
      <c r="K39" s="8">
        <v>20633</v>
      </c>
    </row>
    <row r="40" spans="1:11" x14ac:dyDescent="0.25">
      <c r="A40" s="7" t="s">
        <v>196</v>
      </c>
      <c r="B40" s="8">
        <v>20917</v>
      </c>
      <c r="C40" s="8">
        <v>126</v>
      </c>
      <c r="D40" s="8">
        <v>2268</v>
      </c>
      <c r="E40" s="8">
        <v>1736</v>
      </c>
      <c r="F40" s="8">
        <v>1542</v>
      </c>
      <c r="G40" s="8">
        <v>1006</v>
      </c>
      <c r="H40" s="8">
        <v>619</v>
      </c>
      <c r="I40" s="8">
        <v>244</v>
      </c>
      <c r="J40" s="8">
        <v>68</v>
      </c>
      <c r="K40" s="8">
        <v>20633</v>
      </c>
    </row>
  </sheetData>
  <pageMargins left="0.7" right="0.7" top="0.75" bottom="0.75" header="0.3" footer="0.3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363"/>
  <sheetViews>
    <sheetView workbookViewId="0">
      <pane xSplit="3" ySplit="1" topLeftCell="F2303" activePane="bottomRight" state="frozen"/>
      <selection pane="topRight" activeCell="D1" sqref="D1"/>
      <selection pane="bottomLeft" activeCell="A2" sqref="A2"/>
      <selection pane="bottomRight" activeCell="L1919" sqref="L1919"/>
    </sheetView>
  </sheetViews>
  <sheetFormatPr defaultRowHeight="15" x14ac:dyDescent="0.25"/>
  <cols>
    <col min="4" max="4" width="16.28515625" bestFit="1" customWidth="1"/>
    <col min="9" max="9" width="10.42578125" bestFit="1" customWidth="1"/>
    <col min="11" max="11" width="18" customWidth="1"/>
    <col min="12" max="12" width="20" customWidth="1"/>
    <col min="13" max="21" width="18" customWidth="1"/>
  </cols>
  <sheetData>
    <row r="1" spans="1:21" s="3" customFormat="1" ht="30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x14ac:dyDescent="0.25">
      <c r="A2">
        <v>2025</v>
      </c>
      <c r="B2">
        <v>1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25</v>
      </c>
      <c r="J2">
        <v>1182</v>
      </c>
      <c r="K2">
        <v>10</v>
      </c>
      <c r="L2">
        <v>0</v>
      </c>
      <c r="M2">
        <v>10</v>
      </c>
      <c r="N2">
        <v>198</v>
      </c>
      <c r="O2">
        <v>105</v>
      </c>
      <c r="P2">
        <v>84</v>
      </c>
      <c r="Q2">
        <v>54</v>
      </c>
      <c r="R2">
        <v>36</v>
      </c>
      <c r="S2">
        <v>10</v>
      </c>
      <c r="T2">
        <v>0</v>
      </c>
      <c r="U2">
        <v>1172</v>
      </c>
    </row>
    <row r="3" spans="1:21" x14ac:dyDescent="0.25">
      <c r="A3">
        <v>2025</v>
      </c>
      <c r="B3">
        <v>1</v>
      </c>
      <c r="C3" t="s">
        <v>21</v>
      </c>
      <c r="D3" t="s">
        <v>22</v>
      </c>
      <c r="E3" t="s">
        <v>27</v>
      </c>
      <c r="F3" t="s">
        <v>28</v>
      </c>
      <c r="G3" t="s">
        <v>26</v>
      </c>
      <c r="H3" t="s">
        <v>26</v>
      </c>
      <c r="I3" t="s">
        <v>25</v>
      </c>
      <c r="J3">
        <v>1</v>
      </c>
      <c r="K3">
        <v>0</v>
      </c>
      <c r="L3">
        <v>1</v>
      </c>
      <c r="M3">
        <v>1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1</v>
      </c>
    </row>
    <row r="4" spans="1:21" x14ac:dyDescent="0.25">
      <c r="A4">
        <v>2025</v>
      </c>
      <c r="B4">
        <v>1</v>
      </c>
      <c r="C4" t="s">
        <v>21</v>
      </c>
      <c r="D4" t="s">
        <v>22</v>
      </c>
      <c r="E4" t="s">
        <v>27</v>
      </c>
      <c r="F4" t="s">
        <v>24</v>
      </c>
      <c r="G4" t="s">
        <v>26</v>
      </c>
      <c r="H4" t="s">
        <v>26</v>
      </c>
      <c r="I4" t="s">
        <v>25</v>
      </c>
      <c r="J4">
        <v>64</v>
      </c>
      <c r="K4">
        <v>2</v>
      </c>
      <c r="L4">
        <v>0</v>
      </c>
      <c r="M4">
        <v>2</v>
      </c>
      <c r="N4">
        <v>35</v>
      </c>
      <c r="O4">
        <v>14</v>
      </c>
      <c r="P4">
        <v>14</v>
      </c>
      <c r="Q4">
        <v>12</v>
      </c>
      <c r="R4">
        <v>6</v>
      </c>
      <c r="S4">
        <v>1</v>
      </c>
      <c r="T4">
        <v>0</v>
      </c>
      <c r="U4">
        <v>62</v>
      </c>
    </row>
    <row r="5" spans="1:21" x14ac:dyDescent="0.25">
      <c r="A5">
        <v>2025</v>
      </c>
      <c r="B5">
        <v>1</v>
      </c>
      <c r="C5" t="s">
        <v>21</v>
      </c>
      <c r="D5" t="s">
        <v>22</v>
      </c>
      <c r="E5" t="s">
        <v>27</v>
      </c>
      <c r="F5" t="s">
        <v>29</v>
      </c>
      <c r="G5" t="s">
        <v>26</v>
      </c>
      <c r="H5" t="s">
        <v>26</v>
      </c>
      <c r="I5" t="s">
        <v>25</v>
      </c>
      <c r="J5">
        <v>3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</row>
    <row r="6" spans="1:21" x14ac:dyDescent="0.25">
      <c r="A6">
        <v>2025</v>
      </c>
      <c r="B6">
        <v>1</v>
      </c>
      <c r="C6" t="s">
        <v>30</v>
      </c>
      <c r="D6" t="s">
        <v>22</v>
      </c>
      <c r="E6" t="s">
        <v>31</v>
      </c>
      <c r="F6" t="s">
        <v>24</v>
      </c>
      <c r="G6" t="s">
        <v>25</v>
      </c>
      <c r="H6" t="s">
        <v>25</v>
      </c>
      <c r="I6" t="s">
        <v>25</v>
      </c>
      <c r="J6">
        <v>26</v>
      </c>
      <c r="K6">
        <v>0</v>
      </c>
      <c r="L6">
        <v>0</v>
      </c>
      <c r="M6">
        <v>0</v>
      </c>
      <c r="N6">
        <v>1</v>
      </c>
      <c r="O6">
        <v>1</v>
      </c>
      <c r="P6">
        <v>1</v>
      </c>
      <c r="Q6">
        <v>0</v>
      </c>
      <c r="R6">
        <v>0</v>
      </c>
      <c r="S6">
        <v>0</v>
      </c>
      <c r="T6">
        <v>0</v>
      </c>
      <c r="U6">
        <v>26</v>
      </c>
    </row>
    <row r="7" spans="1:21" x14ac:dyDescent="0.25">
      <c r="A7">
        <v>2025</v>
      </c>
      <c r="B7">
        <v>1</v>
      </c>
      <c r="C7" t="s">
        <v>30</v>
      </c>
      <c r="D7" t="s">
        <v>22</v>
      </c>
      <c r="E7" t="s">
        <v>32</v>
      </c>
      <c r="F7" t="s">
        <v>24</v>
      </c>
      <c r="G7" t="s">
        <v>25</v>
      </c>
      <c r="H7" t="s">
        <v>25</v>
      </c>
      <c r="I7" t="s">
        <v>25</v>
      </c>
      <c r="J7">
        <v>22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7</v>
      </c>
    </row>
    <row r="8" spans="1:21" x14ac:dyDescent="0.25">
      <c r="A8">
        <v>2025</v>
      </c>
      <c r="B8">
        <v>1</v>
      </c>
      <c r="C8" t="s">
        <v>30</v>
      </c>
      <c r="D8" t="s">
        <v>22</v>
      </c>
      <c r="E8" t="s">
        <v>32</v>
      </c>
      <c r="F8" t="s">
        <v>24</v>
      </c>
      <c r="G8" t="s">
        <v>25</v>
      </c>
      <c r="H8" t="s">
        <v>26</v>
      </c>
      <c r="I8" t="s">
        <v>25</v>
      </c>
      <c r="J8">
        <v>7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7</v>
      </c>
    </row>
    <row r="9" spans="1:21" x14ac:dyDescent="0.25">
      <c r="A9">
        <v>2025</v>
      </c>
      <c r="B9">
        <v>1</v>
      </c>
      <c r="C9" t="s">
        <v>33</v>
      </c>
      <c r="D9" t="s">
        <v>22</v>
      </c>
      <c r="E9" t="s">
        <v>32</v>
      </c>
      <c r="F9" t="s">
        <v>28</v>
      </c>
      <c r="G9" t="s">
        <v>25</v>
      </c>
      <c r="H9" t="s">
        <v>25</v>
      </c>
      <c r="I9" t="s">
        <v>25</v>
      </c>
      <c r="J9">
        <v>3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3</v>
      </c>
    </row>
    <row r="10" spans="1:21" x14ac:dyDescent="0.25">
      <c r="A10">
        <v>2025</v>
      </c>
      <c r="B10">
        <v>1</v>
      </c>
      <c r="C10" t="s">
        <v>33</v>
      </c>
      <c r="D10" t="s">
        <v>22</v>
      </c>
      <c r="E10" t="s">
        <v>32</v>
      </c>
      <c r="F10" t="s">
        <v>24</v>
      </c>
      <c r="G10" t="s">
        <v>25</v>
      </c>
      <c r="H10" t="s">
        <v>25</v>
      </c>
      <c r="I10" t="s">
        <v>25</v>
      </c>
      <c r="J10">
        <v>810</v>
      </c>
      <c r="K10">
        <v>0</v>
      </c>
      <c r="L10">
        <v>0</v>
      </c>
      <c r="M10">
        <v>0</v>
      </c>
      <c r="N10">
        <v>108</v>
      </c>
      <c r="O10">
        <v>88</v>
      </c>
      <c r="P10">
        <v>87</v>
      </c>
      <c r="Q10">
        <v>58</v>
      </c>
      <c r="R10">
        <v>37</v>
      </c>
      <c r="S10">
        <v>12</v>
      </c>
      <c r="T10">
        <v>4</v>
      </c>
      <c r="U10">
        <v>781</v>
      </c>
    </row>
    <row r="11" spans="1:21" x14ac:dyDescent="0.25">
      <c r="A11">
        <v>2025</v>
      </c>
      <c r="B11">
        <v>1</v>
      </c>
      <c r="C11" t="s">
        <v>33</v>
      </c>
      <c r="D11" t="s">
        <v>22</v>
      </c>
      <c r="E11" t="s">
        <v>32</v>
      </c>
      <c r="F11" t="s">
        <v>29</v>
      </c>
      <c r="G11" t="s">
        <v>25</v>
      </c>
      <c r="H11" t="s">
        <v>25</v>
      </c>
      <c r="I11" t="s">
        <v>25</v>
      </c>
      <c r="J11">
        <v>3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</row>
    <row r="12" spans="1:21" x14ac:dyDescent="0.25">
      <c r="A12">
        <v>2025</v>
      </c>
      <c r="B12">
        <v>1</v>
      </c>
      <c r="C12" t="s">
        <v>33</v>
      </c>
      <c r="D12" t="s">
        <v>22</v>
      </c>
      <c r="E12" t="s">
        <v>34</v>
      </c>
      <c r="F12" t="s">
        <v>28</v>
      </c>
      <c r="G12" t="s">
        <v>25</v>
      </c>
      <c r="H12" t="s">
        <v>26</v>
      </c>
      <c r="I12" t="s">
        <v>26</v>
      </c>
      <c r="J12">
        <v>5</v>
      </c>
      <c r="K12">
        <v>0</v>
      </c>
      <c r="L12">
        <v>0</v>
      </c>
      <c r="M12">
        <v>0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0</v>
      </c>
      <c r="U12">
        <v>5</v>
      </c>
    </row>
    <row r="13" spans="1:21" x14ac:dyDescent="0.25">
      <c r="A13">
        <v>2025</v>
      </c>
      <c r="B13">
        <v>1</v>
      </c>
      <c r="C13" t="s">
        <v>33</v>
      </c>
      <c r="D13" t="s">
        <v>22</v>
      </c>
      <c r="E13" t="s">
        <v>34</v>
      </c>
      <c r="F13" t="s">
        <v>24</v>
      </c>
      <c r="G13" t="s">
        <v>25</v>
      </c>
      <c r="H13" t="s">
        <v>26</v>
      </c>
      <c r="I13" t="s">
        <v>26</v>
      </c>
      <c r="J13">
        <v>201</v>
      </c>
      <c r="K13">
        <v>0</v>
      </c>
      <c r="L13">
        <v>1</v>
      </c>
      <c r="M13">
        <v>1</v>
      </c>
      <c r="N13">
        <v>40</v>
      </c>
      <c r="O13">
        <v>36</v>
      </c>
      <c r="P13">
        <v>34</v>
      </c>
      <c r="Q13">
        <v>23</v>
      </c>
      <c r="R13">
        <v>14</v>
      </c>
      <c r="S13">
        <v>10</v>
      </c>
      <c r="T13">
        <v>4</v>
      </c>
      <c r="U13">
        <v>163</v>
      </c>
    </row>
    <row r="14" spans="1:21" x14ac:dyDescent="0.25">
      <c r="A14">
        <v>2025</v>
      </c>
      <c r="B14">
        <v>1</v>
      </c>
      <c r="C14" t="s">
        <v>33</v>
      </c>
      <c r="D14" t="s">
        <v>22</v>
      </c>
      <c r="E14" t="s">
        <v>23</v>
      </c>
      <c r="F14" t="s">
        <v>24</v>
      </c>
      <c r="G14" t="s">
        <v>25</v>
      </c>
      <c r="H14" t="s">
        <v>25</v>
      </c>
      <c r="I14" t="s">
        <v>25</v>
      </c>
      <c r="J14">
        <v>206</v>
      </c>
      <c r="K14">
        <v>0</v>
      </c>
      <c r="L14">
        <v>0</v>
      </c>
      <c r="M14">
        <v>0</v>
      </c>
      <c r="N14">
        <v>5</v>
      </c>
      <c r="O14">
        <v>5</v>
      </c>
      <c r="P14">
        <v>5</v>
      </c>
      <c r="Q14">
        <v>5</v>
      </c>
      <c r="R14">
        <v>5</v>
      </c>
      <c r="S14">
        <v>5</v>
      </c>
      <c r="T14">
        <v>0</v>
      </c>
      <c r="U14">
        <v>198</v>
      </c>
    </row>
    <row r="15" spans="1:21" x14ac:dyDescent="0.25">
      <c r="A15">
        <v>2025</v>
      </c>
      <c r="B15">
        <v>1</v>
      </c>
      <c r="C15" t="s">
        <v>33</v>
      </c>
      <c r="D15" t="s">
        <v>22</v>
      </c>
      <c r="E15" t="s">
        <v>23</v>
      </c>
      <c r="F15" t="s">
        <v>24</v>
      </c>
      <c r="G15" t="s">
        <v>25</v>
      </c>
      <c r="H15" t="s">
        <v>26</v>
      </c>
      <c r="I15" t="s">
        <v>25</v>
      </c>
      <c r="J15">
        <v>34</v>
      </c>
      <c r="K15">
        <v>0</v>
      </c>
      <c r="L15">
        <v>0</v>
      </c>
      <c r="M15">
        <v>0</v>
      </c>
      <c r="N15">
        <v>3</v>
      </c>
      <c r="O15">
        <v>3</v>
      </c>
      <c r="P15">
        <v>3</v>
      </c>
      <c r="Q15">
        <v>2</v>
      </c>
      <c r="R15">
        <v>2</v>
      </c>
      <c r="S15">
        <v>2</v>
      </c>
      <c r="T15">
        <v>0</v>
      </c>
      <c r="U15">
        <v>34</v>
      </c>
    </row>
    <row r="16" spans="1:21" x14ac:dyDescent="0.25">
      <c r="A16">
        <v>2025</v>
      </c>
      <c r="B16">
        <v>1</v>
      </c>
      <c r="C16" t="s">
        <v>33</v>
      </c>
      <c r="D16" t="s">
        <v>22</v>
      </c>
      <c r="E16" t="s">
        <v>35</v>
      </c>
      <c r="F16" t="s">
        <v>24</v>
      </c>
      <c r="G16" t="s">
        <v>25</v>
      </c>
      <c r="H16" t="s">
        <v>26</v>
      </c>
      <c r="I16" t="s">
        <v>26</v>
      </c>
      <c r="J16">
        <v>59</v>
      </c>
      <c r="K16">
        <v>0</v>
      </c>
      <c r="L16">
        <v>1</v>
      </c>
      <c r="M16">
        <v>1</v>
      </c>
      <c r="N16">
        <v>20</v>
      </c>
      <c r="O16">
        <v>17</v>
      </c>
      <c r="P16">
        <v>15</v>
      </c>
      <c r="Q16">
        <v>11</v>
      </c>
      <c r="R16">
        <v>6</v>
      </c>
      <c r="S16">
        <v>3</v>
      </c>
      <c r="T16">
        <v>3</v>
      </c>
      <c r="U16">
        <v>57</v>
      </c>
    </row>
    <row r="17" spans="1:21" x14ac:dyDescent="0.25">
      <c r="A17">
        <v>2025</v>
      </c>
      <c r="B17">
        <v>1</v>
      </c>
      <c r="C17" t="s">
        <v>33</v>
      </c>
      <c r="D17" t="s">
        <v>22</v>
      </c>
      <c r="E17" t="s">
        <v>36</v>
      </c>
      <c r="F17" t="s">
        <v>28</v>
      </c>
      <c r="G17" t="s">
        <v>25</v>
      </c>
      <c r="H17" t="s">
        <v>26</v>
      </c>
      <c r="I17" t="s">
        <v>25</v>
      </c>
      <c r="J17">
        <v>6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</row>
    <row r="18" spans="1:21" x14ac:dyDescent="0.25">
      <c r="A18">
        <v>2025</v>
      </c>
      <c r="B18">
        <v>1</v>
      </c>
      <c r="C18" t="s">
        <v>33</v>
      </c>
      <c r="D18" t="s">
        <v>22</v>
      </c>
      <c r="E18" t="s">
        <v>36</v>
      </c>
      <c r="F18" t="s">
        <v>24</v>
      </c>
      <c r="G18" t="s">
        <v>25</v>
      </c>
      <c r="H18" t="s">
        <v>26</v>
      </c>
      <c r="I18" t="s">
        <v>25</v>
      </c>
      <c r="J18">
        <v>470</v>
      </c>
      <c r="K18">
        <v>1</v>
      </c>
      <c r="L18">
        <v>0</v>
      </c>
      <c r="M18">
        <v>1</v>
      </c>
      <c r="N18">
        <v>53</v>
      </c>
      <c r="O18">
        <v>45</v>
      </c>
      <c r="P18">
        <v>43</v>
      </c>
      <c r="Q18">
        <v>30</v>
      </c>
      <c r="R18">
        <v>17</v>
      </c>
      <c r="S18">
        <v>7</v>
      </c>
      <c r="T18">
        <v>0</v>
      </c>
      <c r="U18">
        <v>469</v>
      </c>
    </row>
    <row r="19" spans="1:21" x14ac:dyDescent="0.25">
      <c r="A19">
        <v>2025</v>
      </c>
      <c r="B19">
        <v>1</v>
      </c>
      <c r="C19" t="s">
        <v>37</v>
      </c>
      <c r="D19" t="s">
        <v>22</v>
      </c>
      <c r="E19" t="s">
        <v>32</v>
      </c>
      <c r="F19" t="s">
        <v>28</v>
      </c>
      <c r="G19" t="s">
        <v>25</v>
      </c>
      <c r="H19" t="s">
        <v>26</v>
      </c>
      <c r="I19" t="s">
        <v>25</v>
      </c>
      <c r="J19">
        <v>5</v>
      </c>
      <c r="K19">
        <v>0</v>
      </c>
      <c r="L19">
        <v>1</v>
      </c>
      <c r="M19">
        <v>1</v>
      </c>
      <c r="N19">
        <v>1</v>
      </c>
      <c r="O19">
        <v>1</v>
      </c>
      <c r="P19">
        <v>1</v>
      </c>
      <c r="Q19">
        <v>0</v>
      </c>
      <c r="R19">
        <v>0</v>
      </c>
      <c r="S19">
        <v>0</v>
      </c>
      <c r="T19">
        <v>0</v>
      </c>
      <c r="U19">
        <v>5</v>
      </c>
    </row>
    <row r="20" spans="1:21" x14ac:dyDescent="0.25">
      <c r="A20">
        <v>2025</v>
      </c>
      <c r="B20">
        <v>1</v>
      </c>
      <c r="C20" t="s">
        <v>37</v>
      </c>
      <c r="D20" t="s">
        <v>22</v>
      </c>
      <c r="E20" t="s">
        <v>32</v>
      </c>
      <c r="F20" t="s">
        <v>24</v>
      </c>
      <c r="G20" t="s">
        <v>25</v>
      </c>
      <c r="H20" t="s">
        <v>26</v>
      </c>
      <c r="I20" t="s">
        <v>25</v>
      </c>
      <c r="J20">
        <v>1737</v>
      </c>
      <c r="K20">
        <v>13</v>
      </c>
      <c r="L20">
        <v>61</v>
      </c>
      <c r="M20">
        <v>74</v>
      </c>
      <c r="N20">
        <v>949</v>
      </c>
      <c r="O20">
        <v>807</v>
      </c>
      <c r="P20">
        <v>759</v>
      </c>
      <c r="Q20">
        <v>593</v>
      </c>
      <c r="R20">
        <v>474</v>
      </c>
      <c r="S20">
        <v>215</v>
      </c>
      <c r="T20">
        <v>62</v>
      </c>
      <c r="U20">
        <v>1701</v>
      </c>
    </row>
    <row r="21" spans="1:21" x14ac:dyDescent="0.25">
      <c r="A21">
        <v>2025</v>
      </c>
      <c r="B21">
        <v>1</v>
      </c>
      <c r="C21" t="s">
        <v>37</v>
      </c>
      <c r="D21" t="s">
        <v>22</v>
      </c>
      <c r="E21" t="s">
        <v>32</v>
      </c>
      <c r="F21" t="s">
        <v>29</v>
      </c>
      <c r="G21" t="s">
        <v>25</v>
      </c>
      <c r="H21" t="s">
        <v>26</v>
      </c>
      <c r="I21" t="s">
        <v>25</v>
      </c>
      <c r="J21">
        <v>1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</row>
    <row r="22" spans="1:21" x14ac:dyDescent="0.25">
      <c r="A22">
        <v>2025</v>
      </c>
      <c r="B22">
        <v>1</v>
      </c>
      <c r="C22" t="s">
        <v>37</v>
      </c>
      <c r="D22" t="s">
        <v>22</v>
      </c>
      <c r="E22" t="s">
        <v>38</v>
      </c>
      <c r="F22" t="s">
        <v>28</v>
      </c>
      <c r="G22" t="s">
        <v>25</v>
      </c>
      <c r="H22" t="s">
        <v>26</v>
      </c>
      <c r="I22" t="s">
        <v>25</v>
      </c>
      <c r="J22">
        <v>1</v>
      </c>
      <c r="K22">
        <v>0</v>
      </c>
      <c r="L22">
        <v>0</v>
      </c>
      <c r="M22">
        <v>0</v>
      </c>
      <c r="N22">
        <v>1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1</v>
      </c>
    </row>
    <row r="23" spans="1:21" x14ac:dyDescent="0.25">
      <c r="A23">
        <v>2025</v>
      </c>
      <c r="B23">
        <v>1</v>
      </c>
      <c r="C23" t="s">
        <v>37</v>
      </c>
      <c r="D23" t="s">
        <v>22</v>
      </c>
      <c r="E23" t="s">
        <v>38</v>
      </c>
      <c r="F23" t="s">
        <v>24</v>
      </c>
      <c r="G23" t="s">
        <v>25</v>
      </c>
      <c r="H23" t="s">
        <v>25</v>
      </c>
      <c r="I23" t="s">
        <v>25</v>
      </c>
      <c r="J23">
        <v>32</v>
      </c>
      <c r="K23">
        <v>0</v>
      </c>
      <c r="L23">
        <v>0</v>
      </c>
      <c r="M23">
        <v>0</v>
      </c>
      <c r="N23">
        <v>17</v>
      </c>
      <c r="O23">
        <v>13</v>
      </c>
      <c r="P23">
        <v>8</v>
      </c>
      <c r="Q23">
        <v>3</v>
      </c>
      <c r="R23">
        <v>3</v>
      </c>
      <c r="S23">
        <v>2</v>
      </c>
      <c r="T23">
        <v>1</v>
      </c>
      <c r="U23">
        <v>32</v>
      </c>
    </row>
    <row r="24" spans="1:21" x14ac:dyDescent="0.25">
      <c r="A24">
        <v>2025</v>
      </c>
      <c r="B24">
        <v>1</v>
      </c>
      <c r="C24" t="s">
        <v>37</v>
      </c>
      <c r="D24" t="s">
        <v>22</v>
      </c>
      <c r="E24" t="s">
        <v>38</v>
      </c>
      <c r="F24" t="s">
        <v>24</v>
      </c>
      <c r="G24" t="s">
        <v>25</v>
      </c>
      <c r="H24" t="s">
        <v>26</v>
      </c>
      <c r="I24" t="s">
        <v>25</v>
      </c>
      <c r="J24">
        <v>156</v>
      </c>
      <c r="K24">
        <v>2</v>
      </c>
      <c r="L24">
        <v>0</v>
      </c>
      <c r="M24">
        <v>2</v>
      </c>
      <c r="N24">
        <v>93</v>
      </c>
      <c r="O24">
        <v>79</v>
      </c>
      <c r="P24">
        <v>70</v>
      </c>
      <c r="Q24">
        <v>42</v>
      </c>
      <c r="R24">
        <v>27</v>
      </c>
      <c r="S24">
        <v>16</v>
      </c>
      <c r="T24">
        <v>5</v>
      </c>
      <c r="U24">
        <v>154</v>
      </c>
    </row>
    <row r="25" spans="1:21" x14ac:dyDescent="0.25">
      <c r="A25">
        <v>2025</v>
      </c>
      <c r="B25">
        <v>1</v>
      </c>
      <c r="C25" t="s">
        <v>37</v>
      </c>
      <c r="D25" t="s">
        <v>22</v>
      </c>
      <c r="E25" t="s">
        <v>34</v>
      </c>
      <c r="F25" t="s">
        <v>28</v>
      </c>
      <c r="G25" t="s">
        <v>25</v>
      </c>
      <c r="H25" t="s">
        <v>26</v>
      </c>
      <c r="I25" t="s">
        <v>26</v>
      </c>
      <c r="J25">
        <v>10</v>
      </c>
      <c r="K25">
        <v>1</v>
      </c>
      <c r="L25">
        <v>0</v>
      </c>
      <c r="M25">
        <v>1</v>
      </c>
      <c r="N25">
        <v>4</v>
      </c>
      <c r="O25">
        <v>4</v>
      </c>
      <c r="P25">
        <v>4</v>
      </c>
      <c r="Q25">
        <v>4</v>
      </c>
      <c r="R25">
        <v>3</v>
      </c>
      <c r="S25">
        <v>0</v>
      </c>
      <c r="T25">
        <v>0</v>
      </c>
      <c r="U25">
        <v>9</v>
      </c>
    </row>
    <row r="26" spans="1:21" x14ac:dyDescent="0.25">
      <c r="A26">
        <v>2025</v>
      </c>
      <c r="B26">
        <v>1</v>
      </c>
      <c r="C26" t="s">
        <v>37</v>
      </c>
      <c r="D26" t="s">
        <v>22</v>
      </c>
      <c r="E26" t="s">
        <v>34</v>
      </c>
      <c r="F26" t="s">
        <v>24</v>
      </c>
      <c r="G26" t="s">
        <v>25</v>
      </c>
      <c r="H26" t="s">
        <v>26</v>
      </c>
      <c r="I26" t="s">
        <v>26</v>
      </c>
      <c r="J26">
        <v>299</v>
      </c>
      <c r="K26">
        <v>4</v>
      </c>
      <c r="L26">
        <v>6</v>
      </c>
      <c r="M26">
        <v>10</v>
      </c>
      <c r="N26">
        <v>105</v>
      </c>
      <c r="O26">
        <v>83</v>
      </c>
      <c r="P26">
        <v>72</v>
      </c>
      <c r="Q26">
        <v>55</v>
      </c>
      <c r="R26">
        <v>45</v>
      </c>
      <c r="S26">
        <v>28</v>
      </c>
      <c r="T26">
        <v>16</v>
      </c>
      <c r="U26">
        <v>289</v>
      </c>
    </row>
    <row r="27" spans="1:21" x14ac:dyDescent="0.25">
      <c r="A27">
        <v>2025</v>
      </c>
      <c r="B27">
        <v>1</v>
      </c>
      <c r="C27" t="s">
        <v>37</v>
      </c>
      <c r="D27" t="s">
        <v>22</v>
      </c>
      <c r="E27" t="s">
        <v>23</v>
      </c>
      <c r="F27" t="s">
        <v>28</v>
      </c>
      <c r="G27" t="s">
        <v>25</v>
      </c>
      <c r="H27" t="s">
        <v>26</v>
      </c>
      <c r="I27" t="s">
        <v>25</v>
      </c>
      <c r="J27">
        <v>4237</v>
      </c>
      <c r="K27">
        <v>83</v>
      </c>
      <c r="L27">
        <v>256</v>
      </c>
      <c r="M27">
        <v>339</v>
      </c>
      <c r="N27">
        <v>1909</v>
      </c>
      <c r="O27">
        <v>1542</v>
      </c>
      <c r="P27">
        <v>1392</v>
      </c>
      <c r="Q27">
        <v>1005</v>
      </c>
      <c r="R27">
        <v>722</v>
      </c>
      <c r="S27">
        <v>321</v>
      </c>
      <c r="T27">
        <v>93</v>
      </c>
      <c r="U27">
        <v>4076</v>
      </c>
    </row>
    <row r="28" spans="1:21" x14ac:dyDescent="0.25">
      <c r="A28">
        <v>2025</v>
      </c>
      <c r="B28">
        <v>1</v>
      </c>
      <c r="C28" t="s">
        <v>37</v>
      </c>
      <c r="D28" t="s">
        <v>22</v>
      </c>
      <c r="E28" t="s">
        <v>23</v>
      </c>
      <c r="F28" t="s">
        <v>24</v>
      </c>
      <c r="G28" t="s">
        <v>25</v>
      </c>
      <c r="H28" t="s">
        <v>26</v>
      </c>
      <c r="I28" t="s">
        <v>25</v>
      </c>
      <c r="J28">
        <v>1685</v>
      </c>
      <c r="K28">
        <v>28</v>
      </c>
      <c r="L28">
        <v>73</v>
      </c>
      <c r="M28">
        <v>101</v>
      </c>
      <c r="N28">
        <v>657</v>
      </c>
      <c r="O28">
        <v>517</v>
      </c>
      <c r="P28">
        <v>470</v>
      </c>
      <c r="Q28">
        <v>366</v>
      </c>
      <c r="R28">
        <v>269</v>
      </c>
      <c r="S28">
        <v>115</v>
      </c>
      <c r="T28">
        <v>34</v>
      </c>
      <c r="U28">
        <v>1634</v>
      </c>
    </row>
    <row r="29" spans="1:21" x14ac:dyDescent="0.25">
      <c r="A29">
        <v>2025</v>
      </c>
      <c r="B29">
        <v>1</v>
      </c>
      <c r="C29" t="s">
        <v>37</v>
      </c>
      <c r="D29" t="s">
        <v>22</v>
      </c>
      <c r="E29" t="s">
        <v>39</v>
      </c>
      <c r="F29" t="s">
        <v>28</v>
      </c>
      <c r="G29" t="s">
        <v>26</v>
      </c>
      <c r="H29" t="s">
        <v>26</v>
      </c>
      <c r="I29" t="s">
        <v>25</v>
      </c>
      <c r="J29">
        <v>13830</v>
      </c>
      <c r="K29">
        <v>301</v>
      </c>
      <c r="L29">
        <v>799</v>
      </c>
      <c r="M29">
        <v>1100</v>
      </c>
      <c r="N29">
        <v>6989</v>
      </c>
      <c r="O29">
        <v>5978</v>
      </c>
      <c r="P29">
        <v>5567</v>
      </c>
      <c r="Q29">
        <v>4333</v>
      </c>
      <c r="R29">
        <v>3297</v>
      </c>
      <c r="S29">
        <v>1662</v>
      </c>
      <c r="T29">
        <v>429</v>
      </c>
      <c r="U29">
        <v>13210</v>
      </c>
    </row>
    <row r="30" spans="1:21" x14ac:dyDescent="0.25">
      <c r="A30">
        <v>2025</v>
      </c>
      <c r="B30">
        <v>1</v>
      </c>
      <c r="C30" t="s">
        <v>37</v>
      </c>
      <c r="D30" t="s">
        <v>22</v>
      </c>
      <c r="E30" t="s">
        <v>39</v>
      </c>
      <c r="F30" t="s">
        <v>24</v>
      </c>
      <c r="G30" t="s">
        <v>26</v>
      </c>
      <c r="H30" t="s">
        <v>26</v>
      </c>
      <c r="I30" t="s">
        <v>25</v>
      </c>
      <c r="J30">
        <v>3421</v>
      </c>
      <c r="K30">
        <v>36</v>
      </c>
      <c r="L30">
        <v>167</v>
      </c>
      <c r="M30">
        <v>203</v>
      </c>
      <c r="N30">
        <v>1959</v>
      </c>
      <c r="O30">
        <v>1609</v>
      </c>
      <c r="P30">
        <v>1494</v>
      </c>
      <c r="Q30">
        <v>1166</v>
      </c>
      <c r="R30">
        <v>911</v>
      </c>
      <c r="S30">
        <v>474</v>
      </c>
      <c r="T30">
        <v>123</v>
      </c>
      <c r="U30">
        <v>3326</v>
      </c>
    </row>
    <row r="31" spans="1:21" x14ac:dyDescent="0.25">
      <c r="A31">
        <v>2025</v>
      </c>
      <c r="B31">
        <v>1</v>
      </c>
      <c r="C31" t="s">
        <v>37</v>
      </c>
      <c r="D31" t="s">
        <v>22</v>
      </c>
      <c r="E31" t="s">
        <v>39</v>
      </c>
      <c r="F31" t="s">
        <v>29</v>
      </c>
      <c r="G31" t="s">
        <v>26</v>
      </c>
      <c r="H31" t="s">
        <v>26</v>
      </c>
      <c r="I31" t="s">
        <v>25</v>
      </c>
      <c r="J31">
        <v>16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</row>
    <row r="32" spans="1:21" x14ac:dyDescent="0.25">
      <c r="A32">
        <v>2025</v>
      </c>
      <c r="B32">
        <v>1</v>
      </c>
      <c r="C32" t="s">
        <v>37</v>
      </c>
      <c r="D32" t="s">
        <v>22</v>
      </c>
      <c r="E32" t="s">
        <v>40</v>
      </c>
      <c r="F32" t="s">
        <v>24</v>
      </c>
      <c r="G32" t="s">
        <v>25</v>
      </c>
      <c r="H32" t="s">
        <v>26</v>
      </c>
      <c r="I32" t="s">
        <v>25</v>
      </c>
      <c r="J32">
        <v>373</v>
      </c>
      <c r="K32">
        <v>4</v>
      </c>
      <c r="L32">
        <v>0</v>
      </c>
      <c r="M32">
        <v>4</v>
      </c>
      <c r="N32">
        <v>23</v>
      </c>
      <c r="O32">
        <v>9</v>
      </c>
      <c r="P32">
        <v>9</v>
      </c>
      <c r="Q32">
        <v>4</v>
      </c>
      <c r="R32">
        <v>0</v>
      </c>
      <c r="S32">
        <v>0</v>
      </c>
      <c r="T32">
        <v>0</v>
      </c>
      <c r="U32">
        <v>369</v>
      </c>
    </row>
    <row r="33" spans="1:21" x14ac:dyDescent="0.25">
      <c r="A33">
        <v>2025</v>
      </c>
      <c r="B33">
        <v>1</v>
      </c>
      <c r="C33" t="s">
        <v>37</v>
      </c>
      <c r="D33" t="s">
        <v>22</v>
      </c>
      <c r="E33" t="s">
        <v>35</v>
      </c>
      <c r="F33" t="s">
        <v>28</v>
      </c>
      <c r="G33" t="s">
        <v>25</v>
      </c>
      <c r="H33" t="s">
        <v>26</v>
      </c>
      <c r="I33" t="s">
        <v>26</v>
      </c>
      <c r="J33">
        <v>18</v>
      </c>
      <c r="K33">
        <v>0</v>
      </c>
      <c r="L33">
        <v>1</v>
      </c>
      <c r="M33">
        <v>1</v>
      </c>
      <c r="N33">
        <v>2</v>
      </c>
      <c r="O33">
        <v>2</v>
      </c>
      <c r="P33">
        <v>2</v>
      </c>
      <c r="Q33">
        <v>2</v>
      </c>
      <c r="R33">
        <v>2</v>
      </c>
      <c r="S33">
        <v>2</v>
      </c>
      <c r="T33">
        <v>0</v>
      </c>
      <c r="U33">
        <v>17</v>
      </c>
    </row>
    <row r="34" spans="1:21" x14ac:dyDescent="0.25">
      <c r="A34">
        <v>2025</v>
      </c>
      <c r="B34">
        <v>1</v>
      </c>
      <c r="C34" t="s">
        <v>37</v>
      </c>
      <c r="D34" t="s">
        <v>22</v>
      </c>
      <c r="E34" t="s">
        <v>35</v>
      </c>
      <c r="F34" t="s">
        <v>24</v>
      </c>
      <c r="G34" t="s">
        <v>25</v>
      </c>
      <c r="H34" t="s">
        <v>26</v>
      </c>
      <c r="I34" t="s">
        <v>26</v>
      </c>
      <c r="J34">
        <v>577</v>
      </c>
      <c r="K34">
        <v>10</v>
      </c>
      <c r="L34">
        <v>32</v>
      </c>
      <c r="M34">
        <v>42</v>
      </c>
      <c r="N34">
        <v>254</v>
      </c>
      <c r="O34">
        <v>223</v>
      </c>
      <c r="P34">
        <v>214</v>
      </c>
      <c r="Q34">
        <v>185</v>
      </c>
      <c r="R34">
        <v>158</v>
      </c>
      <c r="S34">
        <v>114</v>
      </c>
      <c r="T34">
        <v>53</v>
      </c>
      <c r="U34">
        <v>564</v>
      </c>
    </row>
    <row r="35" spans="1:21" x14ac:dyDescent="0.25">
      <c r="A35">
        <v>2025</v>
      </c>
      <c r="B35">
        <v>1</v>
      </c>
      <c r="C35" t="s">
        <v>37</v>
      </c>
      <c r="D35" t="s">
        <v>22</v>
      </c>
      <c r="E35" t="s">
        <v>36</v>
      </c>
      <c r="F35" t="s">
        <v>24</v>
      </c>
      <c r="G35" t="s">
        <v>25</v>
      </c>
      <c r="H35" t="s">
        <v>26</v>
      </c>
      <c r="I35" t="s">
        <v>25</v>
      </c>
      <c r="J35">
        <v>602</v>
      </c>
      <c r="K35">
        <v>7</v>
      </c>
      <c r="L35">
        <v>19</v>
      </c>
      <c r="M35">
        <v>26</v>
      </c>
      <c r="N35">
        <v>234</v>
      </c>
      <c r="O35">
        <v>181</v>
      </c>
      <c r="P35">
        <v>163</v>
      </c>
      <c r="Q35">
        <v>118</v>
      </c>
      <c r="R35">
        <v>94</v>
      </c>
      <c r="S35">
        <v>40</v>
      </c>
      <c r="T35">
        <v>11</v>
      </c>
      <c r="U35">
        <v>585</v>
      </c>
    </row>
    <row r="36" spans="1:21" x14ac:dyDescent="0.25">
      <c r="A36">
        <v>2025</v>
      </c>
      <c r="B36">
        <v>1</v>
      </c>
      <c r="C36" t="s">
        <v>37</v>
      </c>
      <c r="D36" t="s">
        <v>22</v>
      </c>
      <c r="E36" t="s">
        <v>41</v>
      </c>
      <c r="F36" t="s">
        <v>24</v>
      </c>
      <c r="G36" t="s">
        <v>26</v>
      </c>
      <c r="H36" t="s">
        <v>26</v>
      </c>
      <c r="I36" t="s">
        <v>25</v>
      </c>
      <c r="J36">
        <v>364</v>
      </c>
      <c r="K36">
        <v>8</v>
      </c>
      <c r="L36">
        <v>8</v>
      </c>
      <c r="M36">
        <v>16</v>
      </c>
      <c r="N36">
        <v>204</v>
      </c>
      <c r="O36">
        <v>170</v>
      </c>
      <c r="P36">
        <v>148</v>
      </c>
      <c r="Q36">
        <v>105</v>
      </c>
      <c r="R36">
        <v>80</v>
      </c>
      <c r="S36">
        <v>34</v>
      </c>
      <c r="T36">
        <v>6</v>
      </c>
      <c r="U36">
        <v>352</v>
      </c>
    </row>
    <row r="37" spans="1:21" x14ac:dyDescent="0.25">
      <c r="A37">
        <v>2025</v>
      </c>
      <c r="B37">
        <v>1</v>
      </c>
      <c r="C37" t="s">
        <v>37</v>
      </c>
      <c r="D37" t="s">
        <v>22</v>
      </c>
      <c r="E37" t="s">
        <v>42</v>
      </c>
      <c r="F37" t="s">
        <v>24</v>
      </c>
      <c r="G37" t="s">
        <v>26</v>
      </c>
      <c r="H37" t="s">
        <v>26</v>
      </c>
      <c r="I37" t="s">
        <v>25</v>
      </c>
      <c r="J37">
        <v>258</v>
      </c>
      <c r="K37">
        <v>0</v>
      </c>
      <c r="L37">
        <v>0</v>
      </c>
      <c r="M37">
        <v>0</v>
      </c>
      <c r="N37">
        <v>132</v>
      </c>
      <c r="O37">
        <v>96</v>
      </c>
      <c r="P37">
        <v>84</v>
      </c>
      <c r="Q37">
        <v>52</v>
      </c>
      <c r="R37">
        <v>27</v>
      </c>
      <c r="S37">
        <v>12</v>
      </c>
      <c r="T37">
        <v>3</v>
      </c>
      <c r="U37">
        <v>258</v>
      </c>
    </row>
    <row r="38" spans="1:21" x14ac:dyDescent="0.25">
      <c r="A38">
        <v>2025</v>
      </c>
      <c r="B38">
        <v>1</v>
      </c>
      <c r="C38" t="s">
        <v>37</v>
      </c>
      <c r="D38" t="s">
        <v>22</v>
      </c>
      <c r="E38" t="s">
        <v>27</v>
      </c>
      <c r="F38" t="s">
        <v>24</v>
      </c>
      <c r="G38" t="s">
        <v>26</v>
      </c>
      <c r="H38" t="s">
        <v>26</v>
      </c>
      <c r="I38" t="s">
        <v>25</v>
      </c>
      <c r="J38">
        <v>9</v>
      </c>
      <c r="K38">
        <v>0</v>
      </c>
      <c r="L38">
        <v>0</v>
      </c>
      <c r="M38">
        <v>0</v>
      </c>
      <c r="N38">
        <v>3</v>
      </c>
      <c r="O38">
        <v>2</v>
      </c>
      <c r="P38">
        <v>2</v>
      </c>
      <c r="Q38">
        <v>0</v>
      </c>
      <c r="R38">
        <v>0</v>
      </c>
      <c r="S38">
        <v>0</v>
      </c>
      <c r="T38">
        <v>0</v>
      </c>
      <c r="U38">
        <v>9</v>
      </c>
    </row>
    <row r="39" spans="1:21" x14ac:dyDescent="0.25">
      <c r="A39">
        <v>2025</v>
      </c>
      <c r="B39">
        <v>1</v>
      </c>
      <c r="C39" t="s">
        <v>43</v>
      </c>
      <c r="D39" t="s">
        <v>22</v>
      </c>
      <c r="E39" t="s">
        <v>32</v>
      </c>
      <c r="F39" t="s">
        <v>28</v>
      </c>
      <c r="G39" t="s">
        <v>25</v>
      </c>
      <c r="H39" t="s">
        <v>25</v>
      </c>
      <c r="I39" t="s">
        <v>25</v>
      </c>
      <c r="J39">
        <v>1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1</v>
      </c>
    </row>
    <row r="40" spans="1:21" x14ac:dyDescent="0.25">
      <c r="A40">
        <v>2025</v>
      </c>
      <c r="B40">
        <v>1</v>
      </c>
      <c r="C40" t="s">
        <v>43</v>
      </c>
      <c r="D40" t="s">
        <v>22</v>
      </c>
      <c r="E40" t="s">
        <v>32</v>
      </c>
      <c r="F40" t="s">
        <v>24</v>
      </c>
      <c r="G40" t="s">
        <v>25</v>
      </c>
      <c r="H40" t="s">
        <v>25</v>
      </c>
      <c r="I40" t="s">
        <v>25</v>
      </c>
      <c r="J40">
        <v>247</v>
      </c>
      <c r="K40">
        <v>2</v>
      </c>
      <c r="L40">
        <v>1</v>
      </c>
      <c r="M40">
        <v>3</v>
      </c>
      <c r="N40">
        <v>94</v>
      </c>
      <c r="O40">
        <v>82</v>
      </c>
      <c r="P40">
        <v>78</v>
      </c>
      <c r="Q40">
        <v>58</v>
      </c>
      <c r="R40">
        <v>44</v>
      </c>
      <c r="S40">
        <v>15</v>
      </c>
      <c r="T40">
        <v>4</v>
      </c>
      <c r="U40">
        <v>244</v>
      </c>
    </row>
    <row r="41" spans="1:21" x14ac:dyDescent="0.25">
      <c r="A41">
        <v>2025</v>
      </c>
      <c r="B41">
        <v>1</v>
      </c>
      <c r="C41" t="s">
        <v>43</v>
      </c>
      <c r="D41" t="s">
        <v>22</v>
      </c>
      <c r="E41" t="s">
        <v>34</v>
      </c>
      <c r="F41" t="s">
        <v>24</v>
      </c>
      <c r="G41" t="s">
        <v>25</v>
      </c>
      <c r="H41" t="s">
        <v>26</v>
      </c>
      <c r="I41" t="s">
        <v>26</v>
      </c>
      <c r="J41">
        <v>46</v>
      </c>
      <c r="K41">
        <v>1</v>
      </c>
      <c r="L41">
        <v>0</v>
      </c>
      <c r="M41">
        <v>1</v>
      </c>
      <c r="N41">
        <v>15</v>
      </c>
      <c r="O41">
        <v>14</v>
      </c>
      <c r="P41">
        <v>14</v>
      </c>
      <c r="Q41">
        <v>14</v>
      </c>
      <c r="R41">
        <v>13</v>
      </c>
      <c r="S41">
        <v>11</v>
      </c>
      <c r="T41">
        <v>5</v>
      </c>
      <c r="U41">
        <v>45</v>
      </c>
    </row>
    <row r="42" spans="1:21" x14ac:dyDescent="0.25">
      <c r="A42">
        <v>2025</v>
      </c>
      <c r="B42">
        <v>1</v>
      </c>
      <c r="C42" t="s">
        <v>43</v>
      </c>
      <c r="D42" t="s">
        <v>22</v>
      </c>
      <c r="E42" t="s">
        <v>23</v>
      </c>
      <c r="F42" t="s">
        <v>24</v>
      </c>
      <c r="G42" t="s">
        <v>25</v>
      </c>
      <c r="H42" t="s">
        <v>26</v>
      </c>
      <c r="I42" t="s">
        <v>25</v>
      </c>
      <c r="J42">
        <v>302</v>
      </c>
      <c r="K42">
        <v>1</v>
      </c>
      <c r="L42">
        <v>0</v>
      </c>
      <c r="M42">
        <v>1</v>
      </c>
      <c r="N42">
        <v>35</v>
      </c>
      <c r="O42">
        <v>20</v>
      </c>
      <c r="P42">
        <v>18</v>
      </c>
      <c r="Q42">
        <v>7</v>
      </c>
      <c r="R42">
        <v>6</v>
      </c>
      <c r="S42">
        <v>0</v>
      </c>
      <c r="T42">
        <v>0</v>
      </c>
      <c r="U42">
        <v>301</v>
      </c>
    </row>
    <row r="43" spans="1:21" x14ac:dyDescent="0.25">
      <c r="A43">
        <v>2025</v>
      </c>
      <c r="B43">
        <v>1</v>
      </c>
      <c r="C43" t="s">
        <v>44</v>
      </c>
      <c r="D43" t="s">
        <v>45</v>
      </c>
      <c r="E43" t="s">
        <v>46</v>
      </c>
      <c r="F43" t="s">
        <v>28</v>
      </c>
      <c r="G43" t="s">
        <v>25</v>
      </c>
      <c r="H43" t="s">
        <v>26</v>
      </c>
      <c r="I43" t="s">
        <v>26</v>
      </c>
      <c r="J43">
        <v>1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1</v>
      </c>
    </row>
    <row r="44" spans="1:21" x14ac:dyDescent="0.25">
      <c r="A44">
        <v>2025</v>
      </c>
      <c r="B44">
        <v>1</v>
      </c>
      <c r="C44" t="s">
        <v>44</v>
      </c>
      <c r="D44" t="s">
        <v>45</v>
      </c>
      <c r="E44" t="s">
        <v>46</v>
      </c>
      <c r="F44" t="s">
        <v>24</v>
      </c>
      <c r="G44" t="s">
        <v>25</v>
      </c>
      <c r="H44" t="s">
        <v>26</v>
      </c>
      <c r="I44" t="s">
        <v>26</v>
      </c>
      <c r="J44">
        <v>20</v>
      </c>
      <c r="K44">
        <v>0</v>
      </c>
      <c r="L44">
        <v>0</v>
      </c>
      <c r="M44">
        <v>0</v>
      </c>
      <c r="N44">
        <v>7</v>
      </c>
      <c r="O44">
        <v>6</v>
      </c>
      <c r="P44">
        <v>6</v>
      </c>
      <c r="Q44">
        <v>5</v>
      </c>
      <c r="R44">
        <v>4</v>
      </c>
      <c r="S44">
        <v>2</v>
      </c>
      <c r="T44">
        <v>0</v>
      </c>
      <c r="U44">
        <v>20</v>
      </c>
    </row>
    <row r="45" spans="1:21" x14ac:dyDescent="0.25">
      <c r="A45">
        <v>2025</v>
      </c>
      <c r="B45">
        <v>1</v>
      </c>
      <c r="C45" t="s">
        <v>47</v>
      </c>
      <c r="D45" t="s">
        <v>45</v>
      </c>
      <c r="E45" t="s">
        <v>48</v>
      </c>
      <c r="F45" t="s">
        <v>28</v>
      </c>
      <c r="G45" t="s">
        <v>26</v>
      </c>
      <c r="H45" t="s">
        <v>26</v>
      </c>
      <c r="I45" t="s">
        <v>25</v>
      </c>
      <c r="J45">
        <v>1</v>
      </c>
      <c r="K45">
        <v>0</v>
      </c>
      <c r="L45">
        <v>1</v>
      </c>
      <c r="M45">
        <v>1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</row>
    <row r="46" spans="1:21" x14ac:dyDescent="0.25">
      <c r="A46">
        <v>2025</v>
      </c>
      <c r="B46">
        <v>1</v>
      </c>
      <c r="C46" t="s">
        <v>47</v>
      </c>
      <c r="D46" t="s">
        <v>45</v>
      </c>
      <c r="E46" t="s">
        <v>48</v>
      </c>
      <c r="F46" t="s">
        <v>24</v>
      </c>
      <c r="G46" t="s">
        <v>26</v>
      </c>
      <c r="H46" t="s">
        <v>26</v>
      </c>
      <c r="I46" t="s">
        <v>25</v>
      </c>
      <c r="J46">
        <v>2960</v>
      </c>
      <c r="K46">
        <v>45</v>
      </c>
      <c r="L46">
        <v>261</v>
      </c>
      <c r="M46">
        <v>306</v>
      </c>
      <c r="N46">
        <v>857</v>
      </c>
      <c r="O46">
        <v>846</v>
      </c>
      <c r="P46">
        <v>841</v>
      </c>
      <c r="Q46">
        <v>660</v>
      </c>
      <c r="R46">
        <v>509</v>
      </c>
      <c r="S46">
        <v>198</v>
      </c>
      <c r="T46">
        <v>56</v>
      </c>
      <c r="U46">
        <v>2884</v>
      </c>
    </row>
    <row r="47" spans="1:21" x14ac:dyDescent="0.25">
      <c r="A47">
        <v>2025</v>
      </c>
      <c r="B47">
        <v>1</v>
      </c>
      <c r="C47" t="s">
        <v>47</v>
      </c>
      <c r="D47" t="s">
        <v>45</v>
      </c>
      <c r="E47" t="s">
        <v>48</v>
      </c>
      <c r="F47" t="s">
        <v>29</v>
      </c>
      <c r="G47" t="s">
        <v>26</v>
      </c>
      <c r="H47" t="s">
        <v>26</v>
      </c>
      <c r="I47" t="s">
        <v>25</v>
      </c>
      <c r="J47">
        <v>1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</row>
    <row r="48" spans="1:21" x14ac:dyDescent="0.25">
      <c r="A48">
        <v>2025</v>
      </c>
      <c r="B48">
        <v>1</v>
      </c>
      <c r="C48" t="s">
        <v>49</v>
      </c>
      <c r="D48" t="s">
        <v>45</v>
      </c>
      <c r="E48" t="s">
        <v>50</v>
      </c>
      <c r="F48" t="s">
        <v>28</v>
      </c>
      <c r="G48" t="s">
        <v>25</v>
      </c>
      <c r="H48" t="s">
        <v>26</v>
      </c>
      <c r="I48" t="s">
        <v>25</v>
      </c>
      <c r="J48">
        <v>361</v>
      </c>
      <c r="K48">
        <v>10</v>
      </c>
      <c r="L48">
        <v>21</v>
      </c>
      <c r="M48">
        <v>31</v>
      </c>
      <c r="N48">
        <v>194</v>
      </c>
      <c r="O48">
        <v>168</v>
      </c>
      <c r="P48">
        <v>159</v>
      </c>
      <c r="Q48">
        <v>126</v>
      </c>
      <c r="R48">
        <v>93</v>
      </c>
      <c r="S48">
        <v>53</v>
      </c>
      <c r="T48">
        <v>19</v>
      </c>
      <c r="U48">
        <v>349</v>
      </c>
    </row>
    <row r="49" spans="1:21" x14ac:dyDescent="0.25">
      <c r="A49">
        <v>2025</v>
      </c>
      <c r="B49">
        <v>1</v>
      </c>
      <c r="C49" t="s">
        <v>49</v>
      </c>
      <c r="D49" t="s">
        <v>45</v>
      </c>
      <c r="E49" t="s">
        <v>50</v>
      </c>
      <c r="F49" t="s">
        <v>24</v>
      </c>
      <c r="G49" t="s">
        <v>25</v>
      </c>
      <c r="H49" t="s">
        <v>26</v>
      </c>
      <c r="I49" t="s">
        <v>25</v>
      </c>
      <c r="J49">
        <v>23</v>
      </c>
      <c r="K49">
        <v>0</v>
      </c>
      <c r="L49">
        <v>1</v>
      </c>
      <c r="M49">
        <v>1</v>
      </c>
      <c r="N49">
        <v>8</v>
      </c>
      <c r="O49">
        <v>8</v>
      </c>
      <c r="P49">
        <v>8</v>
      </c>
      <c r="Q49">
        <v>5</v>
      </c>
      <c r="R49">
        <v>3</v>
      </c>
      <c r="S49">
        <v>1</v>
      </c>
      <c r="T49">
        <v>1</v>
      </c>
      <c r="U49">
        <v>23</v>
      </c>
    </row>
    <row r="50" spans="1:21" x14ac:dyDescent="0.25">
      <c r="A50">
        <v>2025</v>
      </c>
      <c r="B50">
        <v>1</v>
      </c>
      <c r="C50" t="s">
        <v>49</v>
      </c>
      <c r="D50" t="s">
        <v>45</v>
      </c>
      <c r="E50" t="s">
        <v>50</v>
      </c>
      <c r="F50" t="s">
        <v>29</v>
      </c>
      <c r="G50" t="s">
        <v>25</v>
      </c>
      <c r="H50" t="s">
        <v>26</v>
      </c>
      <c r="I50" t="s">
        <v>25</v>
      </c>
      <c r="J50">
        <v>2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</row>
    <row r="51" spans="1:21" x14ac:dyDescent="0.25">
      <c r="A51">
        <v>2025</v>
      </c>
      <c r="B51">
        <v>1</v>
      </c>
      <c r="C51" t="s">
        <v>51</v>
      </c>
      <c r="D51" t="s">
        <v>22</v>
      </c>
      <c r="E51" t="s">
        <v>31</v>
      </c>
      <c r="F51" t="s">
        <v>24</v>
      </c>
      <c r="G51" t="s">
        <v>25</v>
      </c>
      <c r="H51" t="s">
        <v>25</v>
      </c>
      <c r="I51" t="s">
        <v>25</v>
      </c>
      <c r="J51">
        <v>81</v>
      </c>
      <c r="K51">
        <v>0</v>
      </c>
      <c r="L51">
        <v>0</v>
      </c>
      <c r="M51">
        <v>0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81</v>
      </c>
    </row>
    <row r="52" spans="1:21" x14ac:dyDescent="0.25">
      <c r="A52">
        <v>2025</v>
      </c>
      <c r="B52">
        <v>1</v>
      </c>
      <c r="C52" t="s">
        <v>51</v>
      </c>
      <c r="D52" t="s">
        <v>22</v>
      </c>
      <c r="E52" t="s">
        <v>32</v>
      </c>
      <c r="F52" t="s">
        <v>24</v>
      </c>
      <c r="G52" t="s">
        <v>25</v>
      </c>
      <c r="H52" t="s">
        <v>25</v>
      </c>
      <c r="I52" t="s">
        <v>25</v>
      </c>
      <c r="J52">
        <v>56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35</v>
      </c>
    </row>
    <row r="53" spans="1:21" x14ac:dyDescent="0.25">
      <c r="A53">
        <v>2025</v>
      </c>
      <c r="B53">
        <v>1</v>
      </c>
      <c r="C53" t="s">
        <v>51</v>
      </c>
      <c r="D53" t="s">
        <v>22</v>
      </c>
      <c r="E53" t="s">
        <v>34</v>
      </c>
      <c r="F53" t="s">
        <v>28</v>
      </c>
      <c r="G53" t="s">
        <v>25</v>
      </c>
      <c r="H53" t="s">
        <v>26</v>
      </c>
      <c r="I53" t="s">
        <v>26</v>
      </c>
      <c r="J53">
        <v>9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1</v>
      </c>
    </row>
    <row r="54" spans="1:21" x14ac:dyDescent="0.25">
      <c r="A54">
        <v>2025</v>
      </c>
      <c r="B54">
        <v>1</v>
      </c>
      <c r="C54" t="s">
        <v>51</v>
      </c>
      <c r="D54" t="s">
        <v>22</v>
      </c>
      <c r="E54" t="s">
        <v>34</v>
      </c>
      <c r="F54" t="s">
        <v>24</v>
      </c>
      <c r="G54" t="s">
        <v>25</v>
      </c>
      <c r="H54" t="s">
        <v>26</v>
      </c>
      <c r="I54" t="s">
        <v>26</v>
      </c>
      <c r="J54">
        <v>83</v>
      </c>
      <c r="K54">
        <v>1</v>
      </c>
      <c r="L54">
        <v>1</v>
      </c>
      <c r="M54">
        <v>2</v>
      </c>
      <c r="N54">
        <v>5</v>
      </c>
      <c r="O54">
        <v>3</v>
      </c>
      <c r="P54">
        <v>3</v>
      </c>
      <c r="Q54">
        <v>3</v>
      </c>
      <c r="R54">
        <v>2</v>
      </c>
      <c r="S54">
        <v>2</v>
      </c>
      <c r="T54">
        <v>1</v>
      </c>
      <c r="U54">
        <v>68</v>
      </c>
    </row>
    <row r="55" spans="1:21" x14ac:dyDescent="0.25">
      <c r="A55">
        <v>2025</v>
      </c>
      <c r="B55">
        <v>1</v>
      </c>
      <c r="C55" t="s">
        <v>52</v>
      </c>
      <c r="D55" t="s">
        <v>22</v>
      </c>
      <c r="E55" t="s">
        <v>31</v>
      </c>
      <c r="F55" t="s">
        <v>24</v>
      </c>
      <c r="G55" t="s">
        <v>25</v>
      </c>
      <c r="H55" t="s">
        <v>25</v>
      </c>
      <c r="I55" t="s">
        <v>25</v>
      </c>
      <c r="J55">
        <v>45</v>
      </c>
      <c r="K55">
        <v>0</v>
      </c>
      <c r="L55">
        <v>0</v>
      </c>
      <c r="M55">
        <v>0</v>
      </c>
      <c r="N55">
        <v>2</v>
      </c>
      <c r="O55">
        <v>2</v>
      </c>
      <c r="P55">
        <v>2</v>
      </c>
      <c r="Q55">
        <v>1</v>
      </c>
      <c r="R55">
        <v>1</v>
      </c>
      <c r="S55">
        <v>1</v>
      </c>
      <c r="T55">
        <v>0</v>
      </c>
      <c r="U55">
        <v>45</v>
      </c>
    </row>
    <row r="56" spans="1:21" x14ac:dyDescent="0.25">
      <c r="A56">
        <v>2025</v>
      </c>
      <c r="B56">
        <v>1</v>
      </c>
      <c r="C56" t="s">
        <v>52</v>
      </c>
      <c r="D56" t="s">
        <v>22</v>
      </c>
      <c r="E56" t="s">
        <v>32</v>
      </c>
      <c r="F56" t="s">
        <v>24</v>
      </c>
      <c r="G56" t="s">
        <v>25</v>
      </c>
      <c r="H56" t="s">
        <v>26</v>
      </c>
      <c r="I56" t="s">
        <v>25</v>
      </c>
      <c r="J56">
        <v>443</v>
      </c>
      <c r="K56">
        <v>0</v>
      </c>
      <c r="L56">
        <v>0</v>
      </c>
      <c r="M56">
        <v>0</v>
      </c>
      <c r="N56">
        <v>60</v>
      </c>
      <c r="O56">
        <v>53</v>
      </c>
      <c r="P56">
        <v>49</v>
      </c>
      <c r="Q56">
        <v>36</v>
      </c>
      <c r="R56">
        <v>25</v>
      </c>
      <c r="S56">
        <v>11</v>
      </c>
      <c r="T56">
        <v>1</v>
      </c>
      <c r="U56">
        <v>401</v>
      </c>
    </row>
    <row r="57" spans="1:21" x14ac:dyDescent="0.25">
      <c r="A57">
        <v>2025</v>
      </c>
      <c r="B57">
        <v>1</v>
      </c>
      <c r="C57" t="s">
        <v>52</v>
      </c>
      <c r="D57" t="s">
        <v>22</v>
      </c>
      <c r="E57" t="s">
        <v>34</v>
      </c>
      <c r="F57" t="s">
        <v>28</v>
      </c>
      <c r="G57" t="s">
        <v>25</v>
      </c>
      <c r="H57" t="s">
        <v>26</v>
      </c>
      <c r="I57" t="s">
        <v>26</v>
      </c>
      <c r="J57">
        <v>2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2</v>
      </c>
    </row>
    <row r="58" spans="1:21" x14ac:dyDescent="0.25">
      <c r="A58">
        <v>2025</v>
      </c>
      <c r="B58">
        <v>1</v>
      </c>
      <c r="C58" t="s">
        <v>52</v>
      </c>
      <c r="D58" t="s">
        <v>22</v>
      </c>
      <c r="E58" t="s">
        <v>34</v>
      </c>
      <c r="F58" t="s">
        <v>24</v>
      </c>
      <c r="G58" t="s">
        <v>25</v>
      </c>
      <c r="H58" t="s">
        <v>26</v>
      </c>
      <c r="I58" t="s">
        <v>26</v>
      </c>
      <c r="J58">
        <v>195</v>
      </c>
      <c r="K58">
        <v>0</v>
      </c>
      <c r="L58">
        <v>0</v>
      </c>
      <c r="M58">
        <v>0</v>
      </c>
      <c r="N58">
        <v>4</v>
      </c>
      <c r="O58">
        <v>4</v>
      </c>
      <c r="P58">
        <v>4</v>
      </c>
      <c r="Q58">
        <v>4</v>
      </c>
      <c r="R58">
        <v>3</v>
      </c>
      <c r="S58">
        <v>3</v>
      </c>
      <c r="T58">
        <v>2</v>
      </c>
      <c r="U58">
        <v>166</v>
      </c>
    </row>
    <row r="59" spans="1:21" x14ac:dyDescent="0.25">
      <c r="A59">
        <v>2025</v>
      </c>
      <c r="B59">
        <v>1</v>
      </c>
      <c r="C59" t="s">
        <v>52</v>
      </c>
      <c r="D59" t="s">
        <v>22</v>
      </c>
      <c r="E59" t="s">
        <v>23</v>
      </c>
      <c r="F59" t="s">
        <v>24</v>
      </c>
      <c r="G59" t="s">
        <v>25</v>
      </c>
      <c r="H59" t="s">
        <v>26</v>
      </c>
      <c r="I59" t="s">
        <v>25</v>
      </c>
      <c r="J59">
        <v>159</v>
      </c>
      <c r="K59">
        <v>0</v>
      </c>
      <c r="L59">
        <v>0</v>
      </c>
      <c r="M59">
        <v>0</v>
      </c>
      <c r="N59">
        <v>1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148</v>
      </c>
    </row>
    <row r="60" spans="1:21" x14ac:dyDescent="0.25">
      <c r="A60">
        <v>2025</v>
      </c>
      <c r="B60">
        <v>1</v>
      </c>
      <c r="C60" t="s">
        <v>52</v>
      </c>
      <c r="D60" t="s">
        <v>22</v>
      </c>
      <c r="E60" t="s">
        <v>35</v>
      </c>
      <c r="F60" t="s">
        <v>24</v>
      </c>
      <c r="G60" t="s">
        <v>25</v>
      </c>
      <c r="H60" t="s">
        <v>26</v>
      </c>
      <c r="I60" t="s">
        <v>26</v>
      </c>
      <c r="J60">
        <v>6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</row>
    <row r="61" spans="1:21" x14ac:dyDescent="0.25">
      <c r="A61">
        <v>2025</v>
      </c>
      <c r="B61">
        <v>1</v>
      </c>
      <c r="C61" t="s">
        <v>52</v>
      </c>
      <c r="D61" t="s">
        <v>22</v>
      </c>
      <c r="E61" t="s">
        <v>41</v>
      </c>
      <c r="F61" t="s">
        <v>24</v>
      </c>
      <c r="G61" t="s">
        <v>26</v>
      </c>
      <c r="H61" t="s">
        <v>26</v>
      </c>
      <c r="I61" t="s">
        <v>25</v>
      </c>
      <c r="J61">
        <v>469</v>
      </c>
      <c r="K61">
        <v>1</v>
      </c>
      <c r="L61">
        <v>0</v>
      </c>
      <c r="M61">
        <v>1</v>
      </c>
      <c r="N61">
        <v>13</v>
      </c>
      <c r="O61">
        <v>10</v>
      </c>
      <c r="P61">
        <v>10</v>
      </c>
      <c r="Q61">
        <v>5</v>
      </c>
      <c r="R61">
        <v>4</v>
      </c>
      <c r="S61">
        <v>3</v>
      </c>
      <c r="T61">
        <v>1</v>
      </c>
      <c r="U61">
        <v>451</v>
      </c>
    </row>
    <row r="62" spans="1:21" x14ac:dyDescent="0.25">
      <c r="A62">
        <v>2025</v>
      </c>
      <c r="B62">
        <v>1</v>
      </c>
      <c r="C62" t="s">
        <v>53</v>
      </c>
      <c r="D62" t="s">
        <v>22</v>
      </c>
      <c r="E62" t="s">
        <v>54</v>
      </c>
      <c r="F62" t="s">
        <v>24</v>
      </c>
      <c r="G62" t="s">
        <v>25</v>
      </c>
      <c r="H62" t="s">
        <v>26</v>
      </c>
      <c r="I62" t="s">
        <v>25</v>
      </c>
      <c r="J62">
        <v>375</v>
      </c>
      <c r="K62">
        <v>2</v>
      </c>
      <c r="L62">
        <v>3</v>
      </c>
      <c r="M62">
        <v>5</v>
      </c>
      <c r="N62">
        <v>72</v>
      </c>
      <c r="O62">
        <v>41</v>
      </c>
      <c r="P62">
        <v>34</v>
      </c>
      <c r="Q62">
        <v>19</v>
      </c>
      <c r="R62">
        <v>9</v>
      </c>
      <c r="S62">
        <v>2</v>
      </c>
      <c r="T62">
        <v>0</v>
      </c>
      <c r="U62">
        <v>373</v>
      </c>
    </row>
    <row r="63" spans="1:21" x14ac:dyDescent="0.25">
      <c r="A63">
        <v>2025</v>
      </c>
      <c r="B63">
        <v>1</v>
      </c>
      <c r="C63" t="s">
        <v>53</v>
      </c>
      <c r="D63" t="s">
        <v>22</v>
      </c>
      <c r="E63" t="s">
        <v>55</v>
      </c>
      <c r="F63" t="s">
        <v>24</v>
      </c>
      <c r="G63" t="s">
        <v>25</v>
      </c>
      <c r="H63" t="s">
        <v>26</v>
      </c>
      <c r="I63" t="s">
        <v>25</v>
      </c>
      <c r="J63">
        <v>332</v>
      </c>
      <c r="K63">
        <v>2</v>
      </c>
      <c r="L63">
        <v>2</v>
      </c>
      <c r="M63">
        <v>4</v>
      </c>
      <c r="N63">
        <v>42</v>
      </c>
      <c r="O63">
        <v>26</v>
      </c>
      <c r="P63">
        <v>24</v>
      </c>
      <c r="Q63">
        <v>16</v>
      </c>
      <c r="R63">
        <v>11</v>
      </c>
      <c r="S63">
        <v>4</v>
      </c>
      <c r="T63">
        <v>0</v>
      </c>
      <c r="U63">
        <v>330</v>
      </c>
    </row>
    <row r="64" spans="1:21" x14ac:dyDescent="0.25">
      <c r="A64">
        <v>2025</v>
      </c>
      <c r="B64">
        <v>1</v>
      </c>
      <c r="C64" t="s">
        <v>53</v>
      </c>
      <c r="D64" t="s">
        <v>22</v>
      </c>
      <c r="E64" t="s">
        <v>23</v>
      </c>
      <c r="F64" t="s">
        <v>28</v>
      </c>
      <c r="G64" t="s">
        <v>25</v>
      </c>
      <c r="H64" t="s">
        <v>26</v>
      </c>
      <c r="I64" t="s">
        <v>25</v>
      </c>
      <c r="J64">
        <v>36369</v>
      </c>
      <c r="K64">
        <v>0</v>
      </c>
      <c r="L64">
        <v>4032</v>
      </c>
      <c r="M64">
        <v>4032</v>
      </c>
      <c r="N64">
        <v>4646</v>
      </c>
      <c r="O64">
        <v>2464</v>
      </c>
      <c r="P64">
        <v>1951</v>
      </c>
      <c r="Q64">
        <v>953</v>
      </c>
      <c r="R64">
        <v>416</v>
      </c>
      <c r="S64">
        <v>42</v>
      </c>
      <c r="T64">
        <v>4</v>
      </c>
      <c r="U64">
        <v>33189</v>
      </c>
    </row>
    <row r="65" spans="1:21" x14ac:dyDescent="0.25">
      <c r="A65">
        <v>2025</v>
      </c>
      <c r="B65">
        <v>1</v>
      </c>
      <c r="C65" t="s">
        <v>53</v>
      </c>
      <c r="D65" t="s">
        <v>22</v>
      </c>
      <c r="E65" t="s">
        <v>23</v>
      </c>
      <c r="F65" t="s">
        <v>24</v>
      </c>
      <c r="G65" t="s">
        <v>25</v>
      </c>
      <c r="H65" t="s">
        <v>26</v>
      </c>
      <c r="I65" t="s">
        <v>25</v>
      </c>
      <c r="J65">
        <v>421</v>
      </c>
      <c r="K65">
        <v>36</v>
      </c>
      <c r="L65">
        <v>6</v>
      </c>
      <c r="M65">
        <v>42</v>
      </c>
      <c r="N65">
        <v>171</v>
      </c>
      <c r="O65">
        <v>159</v>
      </c>
      <c r="P65">
        <v>153</v>
      </c>
      <c r="Q65">
        <v>143</v>
      </c>
      <c r="R65">
        <v>110</v>
      </c>
      <c r="S65">
        <v>57</v>
      </c>
      <c r="T65">
        <v>13</v>
      </c>
      <c r="U65">
        <v>380</v>
      </c>
    </row>
    <row r="66" spans="1:21" x14ac:dyDescent="0.25">
      <c r="A66">
        <v>2025</v>
      </c>
      <c r="B66">
        <v>1</v>
      </c>
      <c r="C66" t="s">
        <v>53</v>
      </c>
      <c r="D66" t="s">
        <v>22</v>
      </c>
      <c r="E66" t="s">
        <v>23</v>
      </c>
      <c r="F66" t="s">
        <v>29</v>
      </c>
      <c r="G66" t="s">
        <v>25</v>
      </c>
      <c r="H66" t="s">
        <v>26</v>
      </c>
      <c r="I66" t="s">
        <v>25</v>
      </c>
      <c r="J66">
        <v>1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</row>
    <row r="67" spans="1:21" x14ac:dyDescent="0.25">
      <c r="A67">
        <v>2025</v>
      </c>
      <c r="B67">
        <v>1</v>
      </c>
      <c r="C67" t="s">
        <v>53</v>
      </c>
      <c r="D67" t="s">
        <v>22</v>
      </c>
      <c r="E67" t="s">
        <v>56</v>
      </c>
      <c r="F67" t="s">
        <v>28</v>
      </c>
      <c r="G67" t="s">
        <v>25</v>
      </c>
      <c r="H67" t="s">
        <v>26</v>
      </c>
      <c r="I67" t="s">
        <v>25</v>
      </c>
      <c r="J67">
        <v>3640</v>
      </c>
      <c r="K67">
        <v>0</v>
      </c>
      <c r="L67">
        <v>931</v>
      </c>
      <c r="M67">
        <v>931</v>
      </c>
      <c r="N67">
        <v>508</v>
      </c>
      <c r="O67">
        <v>328</v>
      </c>
      <c r="P67">
        <v>276</v>
      </c>
      <c r="Q67">
        <v>169</v>
      </c>
      <c r="R67">
        <v>74</v>
      </c>
      <c r="S67">
        <v>9</v>
      </c>
      <c r="T67">
        <v>1</v>
      </c>
      <c r="U67">
        <v>2943</v>
      </c>
    </row>
    <row r="68" spans="1:21" x14ac:dyDescent="0.25">
      <c r="A68">
        <v>2025</v>
      </c>
      <c r="B68">
        <v>1</v>
      </c>
      <c r="C68" t="s">
        <v>53</v>
      </c>
      <c r="D68" t="s">
        <v>22</v>
      </c>
      <c r="E68" t="s">
        <v>39</v>
      </c>
      <c r="F68" t="s">
        <v>28</v>
      </c>
      <c r="G68" t="s">
        <v>26</v>
      </c>
      <c r="H68" t="s">
        <v>26</v>
      </c>
      <c r="I68" t="s">
        <v>25</v>
      </c>
      <c r="J68">
        <v>1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1</v>
      </c>
    </row>
    <row r="69" spans="1:21" x14ac:dyDescent="0.25">
      <c r="A69">
        <v>2025</v>
      </c>
      <c r="B69">
        <v>1</v>
      </c>
      <c r="C69" t="s">
        <v>53</v>
      </c>
      <c r="D69" t="s">
        <v>22</v>
      </c>
      <c r="E69" t="s">
        <v>39</v>
      </c>
      <c r="F69" t="s">
        <v>24</v>
      </c>
      <c r="G69" t="s">
        <v>26</v>
      </c>
      <c r="H69" t="s">
        <v>26</v>
      </c>
      <c r="I69" t="s">
        <v>25</v>
      </c>
      <c r="J69">
        <v>447</v>
      </c>
      <c r="K69">
        <v>0</v>
      </c>
      <c r="L69">
        <v>7</v>
      </c>
      <c r="M69">
        <v>7</v>
      </c>
      <c r="N69">
        <v>169</v>
      </c>
      <c r="O69">
        <v>153</v>
      </c>
      <c r="P69">
        <v>149</v>
      </c>
      <c r="Q69">
        <v>138</v>
      </c>
      <c r="R69">
        <v>110</v>
      </c>
      <c r="S69">
        <v>46</v>
      </c>
      <c r="T69">
        <v>8</v>
      </c>
      <c r="U69">
        <v>444</v>
      </c>
    </row>
    <row r="70" spans="1:21" x14ac:dyDescent="0.25">
      <c r="A70">
        <v>2025</v>
      </c>
      <c r="B70">
        <v>1</v>
      </c>
      <c r="C70" t="s">
        <v>53</v>
      </c>
      <c r="D70" t="s">
        <v>22</v>
      </c>
      <c r="E70" t="s">
        <v>35</v>
      </c>
      <c r="F70" t="s">
        <v>28</v>
      </c>
      <c r="G70" t="s">
        <v>25</v>
      </c>
      <c r="H70" t="s">
        <v>26</v>
      </c>
      <c r="I70" t="s">
        <v>26</v>
      </c>
      <c r="J70">
        <v>2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2</v>
      </c>
    </row>
    <row r="71" spans="1:21" x14ac:dyDescent="0.25">
      <c r="A71">
        <v>2025</v>
      </c>
      <c r="B71">
        <v>1</v>
      </c>
      <c r="C71" t="s">
        <v>53</v>
      </c>
      <c r="D71" t="s">
        <v>22</v>
      </c>
      <c r="E71" t="s">
        <v>35</v>
      </c>
      <c r="F71" t="s">
        <v>24</v>
      </c>
      <c r="G71" t="s">
        <v>25</v>
      </c>
      <c r="H71" t="s">
        <v>26</v>
      </c>
      <c r="I71" t="s">
        <v>26</v>
      </c>
      <c r="J71">
        <v>179</v>
      </c>
      <c r="K71">
        <v>4</v>
      </c>
      <c r="L71">
        <v>1</v>
      </c>
      <c r="M71">
        <v>5</v>
      </c>
      <c r="N71">
        <v>88</v>
      </c>
      <c r="O71">
        <v>81</v>
      </c>
      <c r="P71">
        <v>78</v>
      </c>
      <c r="Q71">
        <v>70</v>
      </c>
      <c r="R71">
        <v>61</v>
      </c>
      <c r="S71">
        <v>46</v>
      </c>
      <c r="T71">
        <v>25</v>
      </c>
      <c r="U71">
        <v>175</v>
      </c>
    </row>
    <row r="72" spans="1:21" x14ac:dyDescent="0.25">
      <c r="A72">
        <v>2025</v>
      </c>
      <c r="B72">
        <v>1</v>
      </c>
      <c r="C72" t="s">
        <v>53</v>
      </c>
      <c r="D72" t="s">
        <v>22</v>
      </c>
      <c r="E72" t="s">
        <v>57</v>
      </c>
      <c r="F72" t="s">
        <v>28</v>
      </c>
      <c r="G72" t="s">
        <v>25</v>
      </c>
      <c r="H72" t="s">
        <v>26</v>
      </c>
      <c r="I72" t="s">
        <v>26</v>
      </c>
      <c r="J72">
        <v>8</v>
      </c>
      <c r="K72">
        <v>0</v>
      </c>
      <c r="L72">
        <v>0</v>
      </c>
      <c r="M72">
        <v>0</v>
      </c>
      <c r="N72">
        <v>6</v>
      </c>
      <c r="O72">
        <v>4</v>
      </c>
      <c r="P72">
        <v>3</v>
      </c>
      <c r="Q72">
        <v>3</v>
      </c>
      <c r="R72">
        <v>2</v>
      </c>
      <c r="S72">
        <v>0</v>
      </c>
      <c r="T72">
        <v>0</v>
      </c>
      <c r="U72">
        <v>8</v>
      </c>
    </row>
    <row r="73" spans="1:21" x14ac:dyDescent="0.25">
      <c r="A73">
        <v>2025</v>
      </c>
      <c r="B73">
        <v>1</v>
      </c>
      <c r="C73" t="s">
        <v>53</v>
      </c>
      <c r="D73" t="s">
        <v>22</v>
      </c>
      <c r="E73" t="s">
        <v>58</v>
      </c>
      <c r="F73" t="s">
        <v>28</v>
      </c>
      <c r="G73" t="s">
        <v>25</v>
      </c>
      <c r="H73" t="s">
        <v>25</v>
      </c>
      <c r="I73" t="s">
        <v>25</v>
      </c>
      <c r="J73">
        <v>4191</v>
      </c>
      <c r="K73">
        <v>0</v>
      </c>
      <c r="L73">
        <v>50</v>
      </c>
      <c r="M73">
        <v>50</v>
      </c>
      <c r="N73">
        <v>338</v>
      </c>
      <c r="O73">
        <v>173</v>
      </c>
      <c r="P73">
        <v>131</v>
      </c>
      <c r="Q73">
        <v>57</v>
      </c>
      <c r="R73">
        <v>27</v>
      </c>
      <c r="S73">
        <v>1</v>
      </c>
      <c r="T73">
        <v>0</v>
      </c>
      <c r="U73">
        <v>4145</v>
      </c>
    </row>
    <row r="74" spans="1:21" x14ac:dyDescent="0.25">
      <c r="A74">
        <v>2025</v>
      </c>
      <c r="B74">
        <v>1</v>
      </c>
      <c r="C74" t="s">
        <v>53</v>
      </c>
      <c r="D74" t="s">
        <v>22</v>
      </c>
      <c r="E74" t="s">
        <v>58</v>
      </c>
      <c r="F74" t="s">
        <v>24</v>
      </c>
      <c r="G74" t="s">
        <v>25</v>
      </c>
      <c r="H74" t="s">
        <v>25</v>
      </c>
      <c r="I74" t="s">
        <v>25</v>
      </c>
      <c r="J74">
        <v>6</v>
      </c>
      <c r="K74">
        <v>5</v>
      </c>
      <c r="L74">
        <v>1</v>
      </c>
      <c r="M74">
        <v>6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</row>
    <row r="75" spans="1:21" x14ac:dyDescent="0.25">
      <c r="A75">
        <v>2025</v>
      </c>
      <c r="B75">
        <v>1</v>
      </c>
      <c r="C75" t="s">
        <v>53</v>
      </c>
      <c r="D75" t="s">
        <v>22</v>
      </c>
      <c r="E75" t="s">
        <v>59</v>
      </c>
      <c r="F75" t="s">
        <v>28</v>
      </c>
      <c r="G75" t="s">
        <v>25</v>
      </c>
      <c r="H75" t="s">
        <v>25</v>
      </c>
      <c r="I75" t="s">
        <v>25</v>
      </c>
      <c r="J75">
        <v>77886</v>
      </c>
      <c r="K75">
        <v>0</v>
      </c>
      <c r="L75">
        <v>3998</v>
      </c>
      <c r="M75">
        <v>3998</v>
      </c>
      <c r="N75">
        <v>5630</v>
      </c>
      <c r="O75">
        <v>2665</v>
      </c>
      <c r="P75">
        <v>1981</v>
      </c>
      <c r="Q75">
        <v>817</v>
      </c>
      <c r="R75">
        <v>317</v>
      </c>
      <c r="S75">
        <v>23</v>
      </c>
      <c r="T75">
        <v>0</v>
      </c>
      <c r="U75">
        <v>74806</v>
      </c>
    </row>
    <row r="76" spans="1:21" x14ac:dyDescent="0.25">
      <c r="A76">
        <v>2025</v>
      </c>
      <c r="B76">
        <v>1</v>
      </c>
      <c r="C76" t="s">
        <v>53</v>
      </c>
      <c r="D76" t="s">
        <v>22</v>
      </c>
      <c r="E76" t="s">
        <v>60</v>
      </c>
      <c r="F76" t="s">
        <v>28</v>
      </c>
      <c r="G76" t="s">
        <v>25</v>
      </c>
      <c r="H76" t="s">
        <v>25</v>
      </c>
      <c r="I76" t="s">
        <v>25</v>
      </c>
      <c r="J76">
        <v>40640</v>
      </c>
      <c r="K76">
        <v>0</v>
      </c>
      <c r="L76">
        <v>1124</v>
      </c>
      <c r="M76">
        <v>1124</v>
      </c>
      <c r="N76">
        <v>3027</v>
      </c>
      <c r="O76">
        <v>1109</v>
      </c>
      <c r="P76">
        <v>757</v>
      </c>
      <c r="Q76">
        <v>276</v>
      </c>
      <c r="R76">
        <v>118</v>
      </c>
      <c r="S76">
        <v>8</v>
      </c>
      <c r="T76">
        <v>0</v>
      </c>
      <c r="U76">
        <v>39793</v>
      </c>
    </row>
    <row r="77" spans="1:21" x14ac:dyDescent="0.25">
      <c r="A77">
        <v>2025</v>
      </c>
      <c r="B77">
        <v>1</v>
      </c>
      <c r="C77" t="s">
        <v>53</v>
      </c>
      <c r="D77" t="s">
        <v>22</v>
      </c>
      <c r="E77" t="s">
        <v>60</v>
      </c>
      <c r="F77" t="s">
        <v>24</v>
      </c>
      <c r="G77" t="s">
        <v>25</v>
      </c>
      <c r="H77" t="s">
        <v>25</v>
      </c>
      <c r="I77" t="s">
        <v>25</v>
      </c>
      <c r="J77">
        <v>18</v>
      </c>
      <c r="K77">
        <v>18</v>
      </c>
      <c r="L77">
        <v>0</v>
      </c>
      <c r="M77">
        <v>18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</row>
    <row r="78" spans="1:21" x14ac:dyDescent="0.25">
      <c r="A78">
        <v>2025</v>
      </c>
      <c r="B78">
        <v>1</v>
      </c>
      <c r="C78" t="s">
        <v>61</v>
      </c>
      <c r="D78" t="s">
        <v>22</v>
      </c>
      <c r="E78" t="s">
        <v>31</v>
      </c>
      <c r="F78" t="s">
        <v>28</v>
      </c>
      <c r="G78" t="s">
        <v>25</v>
      </c>
      <c r="H78" t="s">
        <v>26</v>
      </c>
      <c r="I78" t="s">
        <v>25</v>
      </c>
      <c r="J78">
        <v>475</v>
      </c>
      <c r="K78">
        <v>0</v>
      </c>
      <c r="L78">
        <v>2</v>
      </c>
      <c r="M78">
        <v>2</v>
      </c>
      <c r="N78">
        <v>89</v>
      </c>
      <c r="O78">
        <v>53</v>
      </c>
      <c r="P78">
        <v>47</v>
      </c>
      <c r="Q78">
        <v>23</v>
      </c>
      <c r="R78">
        <v>21</v>
      </c>
      <c r="S78">
        <v>5</v>
      </c>
      <c r="T78">
        <v>3</v>
      </c>
      <c r="U78">
        <v>473</v>
      </c>
    </row>
    <row r="79" spans="1:21" x14ac:dyDescent="0.25">
      <c r="A79">
        <v>2025</v>
      </c>
      <c r="B79">
        <v>1</v>
      </c>
      <c r="C79" t="s">
        <v>61</v>
      </c>
      <c r="D79" t="s">
        <v>22</v>
      </c>
      <c r="E79" t="s">
        <v>31</v>
      </c>
      <c r="F79" t="s">
        <v>24</v>
      </c>
      <c r="G79" t="s">
        <v>25</v>
      </c>
      <c r="H79" t="s">
        <v>26</v>
      </c>
      <c r="I79" t="s">
        <v>25</v>
      </c>
      <c r="J79">
        <v>396</v>
      </c>
      <c r="K79">
        <v>0</v>
      </c>
      <c r="L79">
        <v>0</v>
      </c>
      <c r="M79">
        <v>0</v>
      </c>
      <c r="N79">
        <v>68</v>
      </c>
      <c r="O79">
        <v>44</v>
      </c>
      <c r="P79">
        <v>30</v>
      </c>
      <c r="Q79">
        <v>16</v>
      </c>
      <c r="R79">
        <v>12</v>
      </c>
      <c r="S79">
        <v>7</v>
      </c>
      <c r="T79">
        <v>1</v>
      </c>
      <c r="U79">
        <v>396</v>
      </c>
    </row>
    <row r="80" spans="1:21" x14ac:dyDescent="0.25">
      <c r="A80">
        <v>2025</v>
      </c>
      <c r="B80">
        <v>1</v>
      </c>
      <c r="C80" t="s">
        <v>61</v>
      </c>
      <c r="D80" t="s">
        <v>22</v>
      </c>
      <c r="E80" t="s">
        <v>32</v>
      </c>
      <c r="F80" t="s">
        <v>28</v>
      </c>
      <c r="G80" t="s">
        <v>25</v>
      </c>
      <c r="H80" t="s">
        <v>26</v>
      </c>
      <c r="I80" t="s">
        <v>25</v>
      </c>
      <c r="J80">
        <v>5</v>
      </c>
      <c r="K80">
        <v>0</v>
      </c>
      <c r="L80">
        <v>0</v>
      </c>
      <c r="M80">
        <v>0</v>
      </c>
      <c r="N80">
        <v>3</v>
      </c>
      <c r="O80">
        <v>3</v>
      </c>
      <c r="P80">
        <v>2</v>
      </c>
      <c r="Q80">
        <v>2</v>
      </c>
      <c r="R80">
        <v>1</v>
      </c>
      <c r="S80">
        <v>0</v>
      </c>
      <c r="T80">
        <v>0</v>
      </c>
      <c r="U80">
        <v>5</v>
      </c>
    </row>
    <row r="81" spans="1:21" x14ac:dyDescent="0.25">
      <c r="A81">
        <v>2025</v>
      </c>
      <c r="B81">
        <v>1</v>
      </c>
      <c r="C81" t="s">
        <v>61</v>
      </c>
      <c r="D81" t="s">
        <v>22</v>
      </c>
      <c r="E81" t="s">
        <v>32</v>
      </c>
      <c r="F81" t="s">
        <v>24</v>
      </c>
      <c r="G81" t="s">
        <v>25</v>
      </c>
      <c r="H81" t="s">
        <v>26</v>
      </c>
      <c r="I81" t="s">
        <v>25</v>
      </c>
      <c r="J81">
        <v>1303</v>
      </c>
      <c r="K81">
        <v>2</v>
      </c>
      <c r="L81">
        <v>8</v>
      </c>
      <c r="M81">
        <v>10</v>
      </c>
      <c r="N81">
        <v>429</v>
      </c>
      <c r="O81">
        <v>333</v>
      </c>
      <c r="P81">
        <v>296</v>
      </c>
      <c r="Q81">
        <v>217</v>
      </c>
      <c r="R81">
        <v>155</v>
      </c>
      <c r="S81">
        <v>54</v>
      </c>
      <c r="T81">
        <v>17</v>
      </c>
      <c r="U81">
        <v>1241</v>
      </c>
    </row>
    <row r="82" spans="1:21" x14ac:dyDescent="0.25">
      <c r="A82">
        <v>2025</v>
      </c>
      <c r="B82">
        <v>1</v>
      </c>
      <c r="C82" t="s">
        <v>61</v>
      </c>
      <c r="D82" t="s">
        <v>22</v>
      </c>
      <c r="E82" t="s">
        <v>38</v>
      </c>
      <c r="F82" t="s">
        <v>24</v>
      </c>
      <c r="G82" t="s">
        <v>25</v>
      </c>
      <c r="H82" t="s">
        <v>26</v>
      </c>
      <c r="I82" t="s">
        <v>25</v>
      </c>
      <c r="J82">
        <v>47</v>
      </c>
      <c r="K82">
        <v>0</v>
      </c>
      <c r="L82">
        <v>0</v>
      </c>
      <c r="M82">
        <v>0</v>
      </c>
      <c r="N82">
        <v>15</v>
      </c>
      <c r="O82">
        <v>9</v>
      </c>
      <c r="P82">
        <v>9</v>
      </c>
      <c r="Q82">
        <v>2</v>
      </c>
      <c r="R82">
        <v>1</v>
      </c>
      <c r="S82">
        <v>0</v>
      </c>
      <c r="T82">
        <v>0</v>
      </c>
      <c r="U82">
        <v>47</v>
      </c>
    </row>
    <row r="83" spans="1:21" x14ac:dyDescent="0.25">
      <c r="A83">
        <v>2025</v>
      </c>
      <c r="B83">
        <v>1</v>
      </c>
      <c r="C83" t="s">
        <v>61</v>
      </c>
      <c r="D83" t="s">
        <v>22</v>
      </c>
      <c r="E83" t="s">
        <v>34</v>
      </c>
      <c r="F83" t="s">
        <v>28</v>
      </c>
      <c r="G83" t="s">
        <v>25</v>
      </c>
      <c r="H83" t="s">
        <v>26</v>
      </c>
      <c r="I83" t="s">
        <v>26</v>
      </c>
      <c r="J83">
        <v>17</v>
      </c>
      <c r="K83">
        <v>0</v>
      </c>
      <c r="L83">
        <v>0</v>
      </c>
      <c r="M83">
        <v>0</v>
      </c>
      <c r="N83">
        <v>1</v>
      </c>
      <c r="O83">
        <v>1</v>
      </c>
      <c r="P83">
        <v>1</v>
      </c>
      <c r="Q83">
        <v>1</v>
      </c>
      <c r="R83">
        <v>1</v>
      </c>
      <c r="S83">
        <v>0</v>
      </c>
      <c r="T83">
        <v>0</v>
      </c>
      <c r="U83">
        <v>17</v>
      </c>
    </row>
    <row r="84" spans="1:21" x14ac:dyDescent="0.25">
      <c r="A84">
        <v>2025</v>
      </c>
      <c r="B84">
        <v>1</v>
      </c>
      <c r="C84" t="s">
        <v>61</v>
      </c>
      <c r="D84" t="s">
        <v>22</v>
      </c>
      <c r="E84" t="s">
        <v>34</v>
      </c>
      <c r="F84" t="s">
        <v>24</v>
      </c>
      <c r="G84" t="s">
        <v>25</v>
      </c>
      <c r="H84" t="s">
        <v>26</v>
      </c>
      <c r="I84" t="s">
        <v>26</v>
      </c>
      <c r="J84">
        <v>281</v>
      </c>
      <c r="K84">
        <v>2</v>
      </c>
      <c r="L84">
        <v>0</v>
      </c>
      <c r="M84">
        <v>2</v>
      </c>
      <c r="N84">
        <v>60</v>
      </c>
      <c r="O84">
        <v>48</v>
      </c>
      <c r="P84">
        <v>46</v>
      </c>
      <c r="Q84">
        <v>38</v>
      </c>
      <c r="R84">
        <v>28</v>
      </c>
      <c r="S84">
        <v>18</v>
      </c>
      <c r="T84">
        <v>11</v>
      </c>
      <c r="U84">
        <v>262</v>
      </c>
    </row>
    <row r="85" spans="1:21" x14ac:dyDescent="0.25">
      <c r="A85">
        <v>2025</v>
      </c>
      <c r="B85">
        <v>1</v>
      </c>
      <c r="C85" t="s">
        <v>61</v>
      </c>
      <c r="D85" t="s">
        <v>22</v>
      </c>
      <c r="E85" t="s">
        <v>23</v>
      </c>
      <c r="F85" t="s">
        <v>28</v>
      </c>
      <c r="G85" t="s">
        <v>25</v>
      </c>
      <c r="H85" t="s">
        <v>26</v>
      </c>
      <c r="I85" t="s">
        <v>25</v>
      </c>
      <c r="J85">
        <v>1702</v>
      </c>
      <c r="K85">
        <v>1</v>
      </c>
      <c r="L85">
        <v>3</v>
      </c>
      <c r="M85">
        <v>4</v>
      </c>
      <c r="N85">
        <v>246</v>
      </c>
      <c r="O85">
        <v>162</v>
      </c>
      <c r="P85">
        <v>133</v>
      </c>
      <c r="Q85">
        <v>82</v>
      </c>
      <c r="R85">
        <v>61</v>
      </c>
      <c r="S85">
        <v>33</v>
      </c>
      <c r="T85">
        <v>14</v>
      </c>
      <c r="U85">
        <v>1699</v>
      </c>
    </row>
    <row r="86" spans="1:21" x14ac:dyDescent="0.25">
      <c r="A86">
        <v>2025</v>
      </c>
      <c r="B86">
        <v>1</v>
      </c>
      <c r="C86" t="s">
        <v>61</v>
      </c>
      <c r="D86" t="s">
        <v>22</v>
      </c>
      <c r="E86" t="s">
        <v>23</v>
      </c>
      <c r="F86" t="s">
        <v>24</v>
      </c>
      <c r="G86" t="s">
        <v>25</v>
      </c>
      <c r="H86" t="s">
        <v>26</v>
      </c>
      <c r="I86" t="s">
        <v>25</v>
      </c>
      <c r="J86">
        <v>472</v>
      </c>
      <c r="K86">
        <v>3</v>
      </c>
      <c r="L86">
        <v>0</v>
      </c>
      <c r="M86">
        <v>3</v>
      </c>
      <c r="N86">
        <v>101</v>
      </c>
      <c r="O86">
        <v>78</v>
      </c>
      <c r="P86">
        <v>69</v>
      </c>
      <c r="Q86">
        <v>59</v>
      </c>
      <c r="R86">
        <v>51</v>
      </c>
      <c r="S86">
        <v>23</v>
      </c>
      <c r="T86">
        <v>12</v>
      </c>
      <c r="U86">
        <v>451</v>
      </c>
    </row>
    <row r="87" spans="1:21" x14ac:dyDescent="0.25">
      <c r="A87">
        <v>2025</v>
      </c>
      <c r="B87">
        <v>1</v>
      </c>
      <c r="C87" t="s">
        <v>61</v>
      </c>
      <c r="D87" t="s">
        <v>22</v>
      </c>
      <c r="E87" t="s">
        <v>23</v>
      </c>
      <c r="F87" t="s">
        <v>29</v>
      </c>
      <c r="G87" t="s">
        <v>25</v>
      </c>
      <c r="H87" t="s">
        <v>26</v>
      </c>
      <c r="I87" t="s">
        <v>25</v>
      </c>
      <c r="J87">
        <v>1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</row>
    <row r="88" spans="1:21" x14ac:dyDescent="0.25">
      <c r="A88">
        <v>2025</v>
      </c>
      <c r="B88">
        <v>1</v>
      </c>
      <c r="C88" t="s">
        <v>61</v>
      </c>
      <c r="D88" t="s">
        <v>22</v>
      </c>
      <c r="E88" t="s">
        <v>39</v>
      </c>
      <c r="F88" t="s">
        <v>28</v>
      </c>
      <c r="G88" t="s">
        <v>26</v>
      </c>
      <c r="H88" t="s">
        <v>26</v>
      </c>
      <c r="I88" t="s">
        <v>25</v>
      </c>
      <c r="J88">
        <v>28</v>
      </c>
      <c r="K88">
        <v>0</v>
      </c>
      <c r="L88">
        <v>0</v>
      </c>
      <c r="M88">
        <v>0</v>
      </c>
      <c r="N88">
        <v>4</v>
      </c>
      <c r="O88">
        <v>3</v>
      </c>
      <c r="P88">
        <v>3</v>
      </c>
      <c r="Q88">
        <v>3</v>
      </c>
      <c r="R88">
        <v>3</v>
      </c>
      <c r="S88">
        <v>1</v>
      </c>
      <c r="T88">
        <v>0</v>
      </c>
      <c r="U88">
        <v>28</v>
      </c>
    </row>
    <row r="89" spans="1:21" x14ac:dyDescent="0.25">
      <c r="A89">
        <v>2025</v>
      </c>
      <c r="B89">
        <v>1</v>
      </c>
      <c r="C89" t="s">
        <v>61</v>
      </c>
      <c r="D89" t="s">
        <v>22</v>
      </c>
      <c r="E89" t="s">
        <v>39</v>
      </c>
      <c r="F89" t="s">
        <v>24</v>
      </c>
      <c r="G89" t="s">
        <v>26</v>
      </c>
      <c r="H89" t="s">
        <v>26</v>
      </c>
      <c r="I89" t="s">
        <v>25</v>
      </c>
      <c r="J89">
        <v>757</v>
      </c>
      <c r="K89">
        <v>13</v>
      </c>
      <c r="L89">
        <v>21</v>
      </c>
      <c r="M89">
        <v>34</v>
      </c>
      <c r="N89">
        <v>242</v>
      </c>
      <c r="O89">
        <v>191</v>
      </c>
      <c r="P89">
        <v>178</v>
      </c>
      <c r="Q89">
        <v>134</v>
      </c>
      <c r="R89">
        <v>106</v>
      </c>
      <c r="S89">
        <v>56</v>
      </c>
      <c r="T89">
        <v>14</v>
      </c>
      <c r="U89">
        <v>723</v>
      </c>
    </row>
    <row r="90" spans="1:21" x14ac:dyDescent="0.25">
      <c r="A90">
        <v>2025</v>
      </c>
      <c r="B90">
        <v>1</v>
      </c>
      <c r="C90" t="s">
        <v>61</v>
      </c>
      <c r="D90" t="s">
        <v>22</v>
      </c>
      <c r="E90" t="s">
        <v>35</v>
      </c>
      <c r="F90" t="s">
        <v>28</v>
      </c>
      <c r="G90" t="s">
        <v>25</v>
      </c>
      <c r="H90" t="s">
        <v>26</v>
      </c>
      <c r="I90" t="s">
        <v>26</v>
      </c>
      <c r="J90">
        <v>96</v>
      </c>
      <c r="K90">
        <v>0</v>
      </c>
      <c r="L90">
        <v>0</v>
      </c>
      <c r="M90">
        <v>0</v>
      </c>
      <c r="N90">
        <v>8</v>
      </c>
      <c r="O90">
        <v>5</v>
      </c>
      <c r="P90">
        <v>5</v>
      </c>
      <c r="Q90">
        <v>5</v>
      </c>
      <c r="R90">
        <v>3</v>
      </c>
      <c r="S90">
        <v>0</v>
      </c>
      <c r="T90">
        <v>0</v>
      </c>
      <c r="U90">
        <v>96</v>
      </c>
    </row>
    <row r="91" spans="1:21" x14ac:dyDescent="0.25">
      <c r="A91">
        <v>2025</v>
      </c>
      <c r="B91">
        <v>1</v>
      </c>
      <c r="C91" t="s">
        <v>61</v>
      </c>
      <c r="D91" t="s">
        <v>22</v>
      </c>
      <c r="E91" t="s">
        <v>35</v>
      </c>
      <c r="F91" t="s">
        <v>24</v>
      </c>
      <c r="G91" t="s">
        <v>25</v>
      </c>
      <c r="H91" t="s">
        <v>26</v>
      </c>
      <c r="I91" t="s">
        <v>26</v>
      </c>
      <c r="J91">
        <v>649</v>
      </c>
      <c r="K91">
        <v>6</v>
      </c>
      <c r="L91">
        <v>0</v>
      </c>
      <c r="M91">
        <v>6</v>
      </c>
      <c r="N91">
        <v>206</v>
      </c>
      <c r="O91">
        <v>165</v>
      </c>
      <c r="P91">
        <v>159</v>
      </c>
      <c r="Q91">
        <v>138</v>
      </c>
      <c r="R91">
        <v>125</v>
      </c>
      <c r="S91">
        <v>82</v>
      </c>
      <c r="T91">
        <v>38</v>
      </c>
      <c r="U91">
        <v>640</v>
      </c>
    </row>
    <row r="92" spans="1:21" x14ac:dyDescent="0.25">
      <c r="A92">
        <v>2025</v>
      </c>
      <c r="B92">
        <v>1</v>
      </c>
      <c r="C92" t="s">
        <v>61</v>
      </c>
      <c r="D92" t="s">
        <v>22</v>
      </c>
      <c r="E92" t="s">
        <v>36</v>
      </c>
      <c r="F92" t="s">
        <v>28</v>
      </c>
      <c r="G92" t="s">
        <v>25</v>
      </c>
      <c r="H92" t="s">
        <v>26</v>
      </c>
      <c r="I92" t="s">
        <v>25</v>
      </c>
      <c r="J92">
        <v>2083</v>
      </c>
      <c r="K92">
        <v>6</v>
      </c>
      <c r="L92">
        <v>53</v>
      </c>
      <c r="M92">
        <v>59</v>
      </c>
      <c r="N92">
        <v>297</v>
      </c>
      <c r="O92">
        <v>187</v>
      </c>
      <c r="P92">
        <v>157</v>
      </c>
      <c r="Q92">
        <v>94</v>
      </c>
      <c r="R92">
        <v>63</v>
      </c>
      <c r="S92">
        <v>26</v>
      </c>
      <c r="T92">
        <v>5</v>
      </c>
      <c r="U92">
        <v>2047</v>
      </c>
    </row>
    <row r="93" spans="1:21" x14ac:dyDescent="0.25">
      <c r="A93">
        <v>2025</v>
      </c>
      <c r="B93">
        <v>1</v>
      </c>
      <c r="C93" t="s">
        <v>61</v>
      </c>
      <c r="D93" t="s">
        <v>22</v>
      </c>
      <c r="E93" t="s">
        <v>36</v>
      </c>
      <c r="F93" t="s">
        <v>24</v>
      </c>
      <c r="G93" t="s">
        <v>25</v>
      </c>
      <c r="H93" t="s">
        <v>26</v>
      </c>
      <c r="I93" t="s">
        <v>25</v>
      </c>
      <c r="J93">
        <v>1081</v>
      </c>
      <c r="K93">
        <v>6</v>
      </c>
      <c r="L93">
        <v>9</v>
      </c>
      <c r="M93">
        <v>15</v>
      </c>
      <c r="N93">
        <v>315</v>
      </c>
      <c r="O93">
        <v>263</v>
      </c>
      <c r="P93">
        <v>245</v>
      </c>
      <c r="Q93">
        <v>178</v>
      </c>
      <c r="R93">
        <v>130</v>
      </c>
      <c r="S93">
        <v>57</v>
      </c>
      <c r="T93">
        <v>13</v>
      </c>
      <c r="U93">
        <v>1075</v>
      </c>
    </row>
    <row r="94" spans="1:21" x14ac:dyDescent="0.25">
      <c r="A94">
        <v>2025</v>
      </c>
      <c r="B94">
        <v>1</v>
      </c>
      <c r="C94" t="s">
        <v>61</v>
      </c>
      <c r="D94" t="s">
        <v>22</v>
      </c>
      <c r="E94" t="s">
        <v>36</v>
      </c>
      <c r="F94" t="s">
        <v>29</v>
      </c>
      <c r="G94" t="s">
        <v>25</v>
      </c>
      <c r="H94" t="s">
        <v>26</v>
      </c>
      <c r="I94" t="s">
        <v>25</v>
      </c>
      <c r="J94">
        <v>1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</row>
    <row r="95" spans="1:21" x14ac:dyDescent="0.25">
      <c r="A95">
        <v>2025</v>
      </c>
      <c r="B95">
        <v>1</v>
      </c>
      <c r="C95" t="s">
        <v>61</v>
      </c>
      <c r="D95" t="s">
        <v>22</v>
      </c>
      <c r="E95" t="s">
        <v>41</v>
      </c>
      <c r="F95" t="s">
        <v>28</v>
      </c>
      <c r="G95" t="s">
        <v>26</v>
      </c>
      <c r="H95" t="s">
        <v>26</v>
      </c>
      <c r="I95" t="s">
        <v>25</v>
      </c>
      <c r="J95">
        <v>906</v>
      </c>
      <c r="K95">
        <v>3</v>
      </c>
      <c r="L95">
        <v>52</v>
      </c>
      <c r="M95">
        <v>55</v>
      </c>
      <c r="N95">
        <v>249</v>
      </c>
      <c r="O95">
        <v>209</v>
      </c>
      <c r="P95">
        <v>191</v>
      </c>
      <c r="Q95">
        <v>142</v>
      </c>
      <c r="R95">
        <v>120</v>
      </c>
      <c r="S95">
        <v>47</v>
      </c>
      <c r="T95">
        <v>16</v>
      </c>
      <c r="U95">
        <v>875</v>
      </c>
    </row>
    <row r="96" spans="1:21" x14ac:dyDescent="0.25">
      <c r="A96">
        <v>2025</v>
      </c>
      <c r="B96">
        <v>1</v>
      </c>
      <c r="C96" t="s">
        <v>61</v>
      </c>
      <c r="D96" t="s">
        <v>22</v>
      </c>
      <c r="E96" t="s">
        <v>41</v>
      </c>
      <c r="F96" t="s">
        <v>24</v>
      </c>
      <c r="G96" t="s">
        <v>26</v>
      </c>
      <c r="H96" t="s">
        <v>26</v>
      </c>
      <c r="I96" t="s">
        <v>25</v>
      </c>
      <c r="J96">
        <v>976</v>
      </c>
      <c r="K96">
        <v>3</v>
      </c>
      <c r="L96">
        <v>10</v>
      </c>
      <c r="M96">
        <v>13</v>
      </c>
      <c r="N96">
        <v>264</v>
      </c>
      <c r="O96">
        <v>202</v>
      </c>
      <c r="P96">
        <v>188</v>
      </c>
      <c r="Q96">
        <v>144</v>
      </c>
      <c r="R96">
        <v>104</v>
      </c>
      <c r="S96">
        <v>46</v>
      </c>
      <c r="T96">
        <v>16</v>
      </c>
      <c r="U96">
        <v>969</v>
      </c>
    </row>
    <row r="97" spans="1:21" x14ac:dyDescent="0.25">
      <c r="A97">
        <v>2025</v>
      </c>
      <c r="B97">
        <v>1</v>
      </c>
      <c r="C97" t="s">
        <v>62</v>
      </c>
      <c r="D97" t="s">
        <v>22</v>
      </c>
      <c r="E97" t="s">
        <v>40</v>
      </c>
      <c r="F97" t="s">
        <v>28</v>
      </c>
      <c r="G97" t="s">
        <v>25</v>
      </c>
      <c r="H97" t="s">
        <v>25</v>
      </c>
      <c r="I97" t="s">
        <v>25</v>
      </c>
      <c r="J97">
        <v>7599</v>
      </c>
      <c r="K97">
        <v>4</v>
      </c>
      <c r="L97">
        <v>36</v>
      </c>
      <c r="M97">
        <v>40</v>
      </c>
      <c r="N97">
        <v>4</v>
      </c>
      <c r="O97">
        <v>2</v>
      </c>
      <c r="P97">
        <v>2</v>
      </c>
      <c r="Q97">
        <v>1</v>
      </c>
      <c r="R97">
        <v>1</v>
      </c>
      <c r="S97">
        <v>0</v>
      </c>
      <c r="T97">
        <v>0</v>
      </c>
      <c r="U97">
        <v>7563</v>
      </c>
    </row>
    <row r="98" spans="1:21" x14ac:dyDescent="0.25">
      <c r="A98">
        <v>2025</v>
      </c>
      <c r="B98">
        <v>1</v>
      </c>
      <c r="C98" t="s">
        <v>62</v>
      </c>
      <c r="D98" t="s">
        <v>22</v>
      </c>
      <c r="E98" t="s">
        <v>40</v>
      </c>
      <c r="F98" t="s">
        <v>24</v>
      </c>
      <c r="G98" t="s">
        <v>25</v>
      </c>
      <c r="H98" t="s">
        <v>25</v>
      </c>
      <c r="I98" t="s">
        <v>25</v>
      </c>
      <c r="J98">
        <v>23</v>
      </c>
      <c r="K98">
        <v>2</v>
      </c>
      <c r="L98">
        <v>0</v>
      </c>
      <c r="M98">
        <v>2</v>
      </c>
      <c r="N98">
        <v>1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17</v>
      </c>
    </row>
    <row r="99" spans="1:21" x14ac:dyDescent="0.25">
      <c r="A99">
        <v>2025</v>
      </c>
      <c r="B99">
        <v>1</v>
      </c>
      <c r="C99" t="s">
        <v>63</v>
      </c>
      <c r="D99" t="s">
        <v>45</v>
      </c>
      <c r="E99" t="s">
        <v>64</v>
      </c>
      <c r="F99" t="s">
        <v>28</v>
      </c>
      <c r="G99" t="s">
        <v>25</v>
      </c>
      <c r="H99" t="s">
        <v>25</v>
      </c>
      <c r="I99" t="s">
        <v>25</v>
      </c>
      <c r="J99">
        <v>2</v>
      </c>
      <c r="K99">
        <v>0</v>
      </c>
      <c r="L99">
        <v>0</v>
      </c>
      <c r="M99">
        <v>0</v>
      </c>
      <c r="N99">
        <v>1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2</v>
      </c>
    </row>
    <row r="100" spans="1:21" x14ac:dyDescent="0.25">
      <c r="A100">
        <v>2025</v>
      </c>
      <c r="B100">
        <v>1</v>
      </c>
      <c r="C100" t="s">
        <v>63</v>
      </c>
      <c r="D100" t="s">
        <v>45</v>
      </c>
      <c r="E100" t="s">
        <v>64</v>
      </c>
      <c r="F100" t="s">
        <v>24</v>
      </c>
      <c r="G100" t="s">
        <v>25</v>
      </c>
      <c r="H100" t="s">
        <v>25</v>
      </c>
      <c r="I100" t="s">
        <v>25</v>
      </c>
      <c r="J100">
        <v>70</v>
      </c>
      <c r="K100">
        <v>0</v>
      </c>
      <c r="L100">
        <v>0</v>
      </c>
      <c r="M100">
        <v>0</v>
      </c>
      <c r="N100">
        <v>14</v>
      </c>
      <c r="O100">
        <v>9</v>
      </c>
      <c r="P100">
        <v>9</v>
      </c>
      <c r="Q100">
        <v>9</v>
      </c>
      <c r="R100">
        <v>6</v>
      </c>
      <c r="S100">
        <v>1</v>
      </c>
      <c r="T100">
        <v>0</v>
      </c>
      <c r="U100">
        <v>70</v>
      </c>
    </row>
    <row r="101" spans="1:21" x14ac:dyDescent="0.25">
      <c r="A101">
        <v>2025</v>
      </c>
      <c r="B101">
        <v>1</v>
      </c>
      <c r="C101" t="s">
        <v>63</v>
      </c>
      <c r="D101" t="s">
        <v>45</v>
      </c>
      <c r="E101" t="s">
        <v>65</v>
      </c>
      <c r="F101" t="s">
        <v>28</v>
      </c>
      <c r="G101" t="s">
        <v>26</v>
      </c>
      <c r="H101" t="s">
        <v>26</v>
      </c>
      <c r="I101" t="s">
        <v>25</v>
      </c>
      <c r="J101">
        <v>1331</v>
      </c>
      <c r="K101">
        <v>7</v>
      </c>
      <c r="L101">
        <v>13</v>
      </c>
      <c r="M101">
        <v>20</v>
      </c>
      <c r="N101">
        <v>278</v>
      </c>
      <c r="O101">
        <v>251</v>
      </c>
      <c r="P101">
        <v>251</v>
      </c>
      <c r="Q101">
        <v>184</v>
      </c>
      <c r="R101">
        <v>150</v>
      </c>
      <c r="S101">
        <v>91</v>
      </c>
      <c r="T101">
        <v>49</v>
      </c>
      <c r="U101">
        <v>1319</v>
      </c>
    </row>
    <row r="102" spans="1:21" x14ac:dyDescent="0.25">
      <c r="A102">
        <v>2025</v>
      </c>
      <c r="B102">
        <v>1</v>
      </c>
      <c r="C102" t="s">
        <v>63</v>
      </c>
      <c r="D102" t="s">
        <v>45</v>
      </c>
      <c r="E102" t="s">
        <v>65</v>
      </c>
      <c r="F102" t="s">
        <v>29</v>
      </c>
      <c r="G102" t="s">
        <v>26</v>
      </c>
      <c r="H102" t="s">
        <v>26</v>
      </c>
      <c r="I102" t="s">
        <v>25</v>
      </c>
      <c r="J102">
        <v>39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</row>
    <row r="103" spans="1:21" x14ac:dyDescent="0.25">
      <c r="A103">
        <v>2025</v>
      </c>
      <c r="B103">
        <v>1</v>
      </c>
      <c r="C103" t="s">
        <v>66</v>
      </c>
      <c r="D103" t="s">
        <v>22</v>
      </c>
      <c r="E103" t="s">
        <v>32</v>
      </c>
      <c r="F103" t="s">
        <v>28</v>
      </c>
      <c r="G103" t="s">
        <v>25</v>
      </c>
      <c r="H103" t="s">
        <v>25</v>
      </c>
      <c r="I103" t="s">
        <v>25</v>
      </c>
      <c r="J103">
        <v>2</v>
      </c>
      <c r="K103">
        <v>0</v>
      </c>
      <c r="L103">
        <v>0</v>
      </c>
      <c r="M103">
        <v>0</v>
      </c>
      <c r="N103">
        <v>1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2</v>
      </c>
    </row>
    <row r="104" spans="1:21" x14ac:dyDescent="0.25">
      <c r="A104">
        <v>2025</v>
      </c>
      <c r="B104">
        <v>1</v>
      </c>
      <c r="C104" t="s">
        <v>66</v>
      </c>
      <c r="D104" t="s">
        <v>22</v>
      </c>
      <c r="E104" t="s">
        <v>32</v>
      </c>
      <c r="F104" t="s">
        <v>24</v>
      </c>
      <c r="G104" t="s">
        <v>25</v>
      </c>
      <c r="H104" t="s">
        <v>25</v>
      </c>
      <c r="I104" t="s">
        <v>25</v>
      </c>
      <c r="J104">
        <v>780</v>
      </c>
      <c r="K104">
        <v>0</v>
      </c>
      <c r="L104">
        <v>0</v>
      </c>
      <c r="M104">
        <v>0</v>
      </c>
      <c r="N104">
        <v>170</v>
      </c>
      <c r="O104">
        <v>147</v>
      </c>
      <c r="P104">
        <v>134</v>
      </c>
      <c r="Q104">
        <v>94</v>
      </c>
      <c r="R104">
        <v>60</v>
      </c>
      <c r="S104">
        <v>26</v>
      </c>
      <c r="T104">
        <v>13</v>
      </c>
      <c r="U104">
        <v>765</v>
      </c>
    </row>
    <row r="105" spans="1:21" x14ac:dyDescent="0.25">
      <c r="A105">
        <v>2025</v>
      </c>
      <c r="B105">
        <v>1</v>
      </c>
      <c r="C105" t="s">
        <v>66</v>
      </c>
      <c r="D105" t="s">
        <v>22</v>
      </c>
      <c r="E105" t="s">
        <v>34</v>
      </c>
      <c r="F105" t="s">
        <v>28</v>
      </c>
      <c r="G105" t="s">
        <v>25</v>
      </c>
      <c r="H105" t="s">
        <v>26</v>
      </c>
      <c r="I105" t="s">
        <v>26</v>
      </c>
      <c r="J105">
        <v>5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5</v>
      </c>
    </row>
    <row r="106" spans="1:21" x14ac:dyDescent="0.25">
      <c r="A106">
        <v>2025</v>
      </c>
      <c r="B106">
        <v>1</v>
      </c>
      <c r="C106" t="s">
        <v>66</v>
      </c>
      <c r="D106" t="s">
        <v>22</v>
      </c>
      <c r="E106" t="s">
        <v>34</v>
      </c>
      <c r="F106" t="s">
        <v>24</v>
      </c>
      <c r="G106" t="s">
        <v>25</v>
      </c>
      <c r="H106" t="s">
        <v>26</v>
      </c>
      <c r="I106" t="s">
        <v>26</v>
      </c>
      <c r="J106">
        <v>71</v>
      </c>
      <c r="K106">
        <v>0</v>
      </c>
      <c r="L106">
        <v>0</v>
      </c>
      <c r="M106">
        <v>0</v>
      </c>
      <c r="N106">
        <v>7</v>
      </c>
      <c r="O106">
        <v>6</v>
      </c>
      <c r="P106">
        <v>5</v>
      </c>
      <c r="Q106">
        <v>2</v>
      </c>
      <c r="R106">
        <v>1</v>
      </c>
      <c r="S106">
        <v>0</v>
      </c>
      <c r="T106">
        <v>0</v>
      </c>
      <c r="U106">
        <v>60</v>
      </c>
    </row>
    <row r="107" spans="1:21" x14ac:dyDescent="0.25">
      <c r="A107">
        <v>2025</v>
      </c>
      <c r="B107">
        <v>1</v>
      </c>
      <c r="C107" t="s">
        <v>66</v>
      </c>
      <c r="D107" t="s">
        <v>22</v>
      </c>
      <c r="E107" t="s">
        <v>23</v>
      </c>
      <c r="F107" t="s">
        <v>28</v>
      </c>
      <c r="G107" t="s">
        <v>25</v>
      </c>
      <c r="H107" t="s">
        <v>25</v>
      </c>
      <c r="I107" t="s">
        <v>25</v>
      </c>
      <c r="J107">
        <v>16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16</v>
      </c>
    </row>
    <row r="108" spans="1:21" x14ac:dyDescent="0.25">
      <c r="A108">
        <v>2025</v>
      </c>
      <c r="B108">
        <v>1</v>
      </c>
      <c r="C108" t="s">
        <v>66</v>
      </c>
      <c r="D108" t="s">
        <v>22</v>
      </c>
      <c r="E108" t="s">
        <v>23</v>
      </c>
      <c r="F108" t="s">
        <v>24</v>
      </c>
      <c r="G108" t="s">
        <v>25</v>
      </c>
      <c r="H108" t="s">
        <v>25</v>
      </c>
      <c r="I108" t="s">
        <v>25</v>
      </c>
      <c r="J108">
        <v>100</v>
      </c>
      <c r="K108">
        <v>0</v>
      </c>
      <c r="L108">
        <v>0</v>
      </c>
      <c r="M108">
        <v>0</v>
      </c>
      <c r="N108">
        <v>6</v>
      </c>
      <c r="O108">
        <v>3</v>
      </c>
      <c r="P108">
        <v>3</v>
      </c>
      <c r="Q108">
        <v>0</v>
      </c>
      <c r="R108">
        <v>0</v>
      </c>
      <c r="S108">
        <v>0</v>
      </c>
      <c r="T108">
        <v>0</v>
      </c>
      <c r="U108">
        <v>72</v>
      </c>
    </row>
    <row r="109" spans="1:21" x14ac:dyDescent="0.25">
      <c r="A109">
        <v>2025</v>
      </c>
      <c r="B109">
        <v>1</v>
      </c>
      <c r="C109" t="s">
        <v>66</v>
      </c>
      <c r="D109" t="s">
        <v>22</v>
      </c>
      <c r="E109" t="s">
        <v>23</v>
      </c>
      <c r="F109" t="s">
        <v>24</v>
      </c>
      <c r="G109" t="s">
        <v>25</v>
      </c>
      <c r="H109" t="s">
        <v>26</v>
      </c>
      <c r="I109" t="s">
        <v>25</v>
      </c>
      <c r="J109">
        <v>33</v>
      </c>
      <c r="K109">
        <v>0</v>
      </c>
      <c r="L109">
        <v>0</v>
      </c>
      <c r="M109">
        <v>0</v>
      </c>
      <c r="N109">
        <v>4</v>
      </c>
      <c r="O109">
        <v>3</v>
      </c>
      <c r="P109">
        <v>2</v>
      </c>
      <c r="Q109">
        <v>2</v>
      </c>
      <c r="R109">
        <v>1</v>
      </c>
      <c r="S109">
        <v>0</v>
      </c>
      <c r="T109">
        <v>0</v>
      </c>
      <c r="U109">
        <v>33</v>
      </c>
    </row>
    <row r="110" spans="1:21" x14ac:dyDescent="0.25">
      <c r="A110">
        <v>2025</v>
      </c>
      <c r="B110">
        <v>1</v>
      </c>
      <c r="C110" t="s">
        <v>66</v>
      </c>
      <c r="D110" t="s">
        <v>22</v>
      </c>
      <c r="E110" t="s">
        <v>23</v>
      </c>
      <c r="F110" t="s">
        <v>29</v>
      </c>
      <c r="G110" t="s">
        <v>25</v>
      </c>
      <c r="H110" t="s">
        <v>25</v>
      </c>
      <c r="I110" t="s">
        <v>25</v>
      </c>
      <c r="J110">
        <v>9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</row>
    <row r="111" spans="1:21" x14ac:dyDescent="0.25">
      <c r="A111">
        <v>2025</v>
      </c>
      <c r="B111">
        <v>1</v>
      </c>
      <c r="C111" t="s">
        <v>67</v>
      </c>
      <c r="D111" t="s">
        <v>22</v>
      </c>
      <c r="E111" t="s">
        <v>68</v>
      </c>
      <c r="F111" t="s">
        <v>28</v>
      </c>
      <c r="G111" t="s">
        <v>25</v>
      </c>
      <c r="H111" t="s">
        <v>25</v>
      </c>
      <c r="I111" t="s">
        <v>25</v>
      </c>
      <c r="J111">
        <v>670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670</v>
      </c>
    </row>
    <row r="112" spans="1:21" x14ac:dyDescent="0.25">
      <c r="A112">
        <v>2025</v>
      </c>
      <c r="B112">
        <v>1</v>
      </c>
      <c r="C112" t="s">
        <v>67</v>
      </c>
      <c r="D112" t="s">
        <v>22</v>
      </c>
      <c r="E112" t="s">
        <v>68</v>
      </c>
      <c r="F112" t="s">
        <v>24</v>
      </c>
      <c r="G112" t="s">
        <v>25</v>
      </c>
      <c r="H112" t="s">
        <v>25</v>
      </c>
      <c r="I112" t="s">
        <v>25</v>
      </c>
      <c r="J112">
        <v>36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36</v>
      </c>
    </row>
    <row r="113" spans="1:21" x14ac:dyDescent="0.25">
      <c r="A113">
        <v>2025</v>
      </c>
      <c r="B113">
        <v>1</v>
      </c>
      <c r="C113" t="s">
        <v>69</v>
      </c>
      <c r="D113" t="s">
        <v>22</v>
      </c>
      <c r="E113" t="s">
        <v>32</v>
      </c>
      <c r="F113" t="s">
        <v>28</v>
      </c>
      <c r="G113" t="s">
        <v>25</v>
      </c>
      <c r="H113" t="s">
        <v>26</v>
      </c>
      <c r="I113" t="s">
        <v>25</v>
      </c>
      <c r="J113">
        <v>47</v>
      </c>
      <c r="K113">
        <v>0</v>
      </c>
      <c r="L113">
        <v>0</v>
      </c>
      <c r="M113">
        <v>0</v>
      </c>
      <c r="N113">
        <v>1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47</v>
      </c>
    </row>
    <row r="114" spans="1:21" x14ac:dyDescent="0.25">
      <c r="A114">
        <v>2025</v>
      </c>
      <c r="B114">
        <v>1</v>
      </c>
      <c r="C114" t="s">
        <v>69</v>
      </c>
      <c r="D114" t="s">
        <v>22</v>
      </c>
      <c r="E114" t="s">
        <v>32</v>
      </c>
      <c r="F114" t="s">
        <v>24</v>
      </c>
      <c r="G114" t="s">
        <v>25</v>
      </c>
      <c r="H114" t="s">
        <v>26</v>
      </c>
      <c r="I114" t="s">
        <v>25</v>
      </c>
      <c r="J114">
        <v>1559</v>
      </c>
      <c r="K114">
        <v>12</v>
      </c>
      <c r="L114">
        <v>45</v>
      </c>
      <c r="M114">
        <v>57</v>
      </c>
      <c r="N114">
        <v>182</v>
      </c>
      <c r="O114">
        <v>136</v>
      </c>
      <c r="P114">
        <v>117</v>
      </c>
      <c r="Q114">
        <v>77</v>
      </c>
      <c r="R114">
        <v>48</v>
      </c>
      <c r="S114">
        <v>18</v>
      </c>
      <c r="T114">
        <v>6</v>
      </c>
      <c r="U114">
        <v>1517</v>
      </c>
    </row>
    <row r="115" spans="1:21" x14ac:dyDescent="0.25">
      <c r="A115">
        <v>2025</v>
      </c>
      <c r="B115">
        <v>1</v>
      </c>
      <c r="C115" t="s">
        <v>69</v>
      </c>
      <c r="D115" t="s">
        <v>22</v>
      </c>
      <c r="E115" t="s">
        <v>32</v>
      </c>
      <c r="F115" t="s">
        <v>29</v>
      </c>
      <c r="G115" t="s">
        <v>25</v>
      </c>
      <c r="H115" t="s">
        <v>26</v>
      </c>
      <c r="I115" t="s">
        <v>25</v>
      </c>
      <c r="J115">
        <v>1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</row>
    <row r="116" spans="1:21" x14ac:dyDescent="0.25">
      <c r="A116">
        <v>2025</v>
      </c>
      <c r="B116">
        <v>1</v>
      </c>
      <c r="C116" t="s">
        <v>69</v>
      </c>
      <c r="D116" t="s">
        <v>22</v>
      </c>
      <c r="E116" t="s">
        <v>38</v>
      </c>
      <c r="F116" t="s">
        <v>28</v>
      </c>
      <c r="G116" t="s">
        <v>25</v>
      </c>
      <c r="H116" t="s">
        <v>26</v>
      </c>
      <c r="I116" t="s">
        <v>25</v>
      </c>
      <c r="J116">
        <v>1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1</v>
      </c>
    </row>
    <row r="117" spans="1:21" x14ac:dyDescent="0.25">
      <c r="A117">
        <v>2025</v>
      </c>
      <c r="B117">
        <v>1</v>
      </c>
      <c r="C117" t="s">
        <v>69</v>
      </c>
      <c r="D117" t="s">
        <v>22</v>
      </c>
      <c r="E117" t="s">
        <v>38</v>
      </c>
      <c r="F117" t="s">
        <v>24</v>
      </c>
      <c r="G117" t="s">
        <v>25</v>
      </c>
      <c r="H117" t="s">
        <v>25</v>
      </c>
      <c r="I117" t="s">
        <v>25</v>
      </c>
      <c r="J117">
        <v>283</v>
      </c>
      <c r="K117">
        <v>1</v>
      </c>
      <c r="L117">
        <v>1</v>
      </c>
      <c r="M117">
        <v>2</v>
      </c>
      <c r="N117">
        <v>165</v>
      </c>
      <c r="O117">
        <v>133</v>
      </c>
      <c r="P117">
        <v>119</v>
      </c>
      <c r="Q117">
        <v>84</v>
      </c>
      <c r="R117">
        <v>36</v>
      </c>
      <c r="S117">
        <v>12</v>
      </c>
      <c r="T117">
        <v>6</v>
      </c>
      <c r="U117">
        <v>282</v>
      </c>
    </row>
    <row r="118" spans="1:21" x14ac:dyDescent="0.25">
      <c r="A118">
        <v>2025</v>
      </c>
      <c r="B118">
        <v>1</v>
      </c>
      <c r="C118" t="s">
        <v>69</v>
      </c>
      <c r="D118" t="s">
        <v>22</v>
      </c>
      <c r="E118" t="s">
        <v>38</v>
      </c>
      <c r="F118" t="s">
        <v>24</v>
      </c>
      <c r="G118" t="s">
        <v>25</v>
      </c>
      <c r="H118" t="s">
        <v>26</v>
      </c>
      <c r="I118" t="s">
        <v>25</v>
      </c>
      <c r="J118">
        <v>1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1</v>
      </c>
    </row>
    <row r="119" spans="1:21" x14ac:dyDescent="0.25">
      <c r="A119">
        <v>2025</v>
      </c>
      <c r="B119">
        <v>1</v>
      </c>
      <c r="C119" t="s">
        <v>69</v>
      </c>
      <c r="D119" t="s">
        <v>22</v>
      </c>
      <c r="E119" t="s">
        <v>34</v>
      </c>
      <c r="F119" t="s">
        <v>28</v>
      </c>
      <c r="G119" t="s">
        <v>25</v>
      </c>
      <c r="H119" t="s">
        <v>26</v>
      </c>
      <c r="I119" t="s">
        <v>26</v>
      </c>
      <c r="J119">
        <v>2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2</v>
      </c>
    </row>
    <row r="120" spans="1:21" x14ac:dyDescent="0.25">
      <c r="A120">
        <v>2025</v>
      </c>
      <c r="B120">
        <v>1</v>
      </c>
      <c r="C120" t="s">
        <v>69</v>
      </c>
      <c r="D120" t="s">
        <v>22</v>
      </c>
      <c r="E120" t="s">
        <v>34</v>
      </c>
      <c r="F120" t="s">
        <v>24</v>
      </c>
      <c r="G120" t="s">
        <v>25</v>
      </c>
      <c r="H120" t="s">
        <v>26</v>
      </c>
      <c r="I120" t="s">
        <v>26</v>
      </c>
      <c r="J120">
        <v>171</v>
      </c>
      <c r="K120">
        <v>0</v>
      </c>
      <c r="L120">
        <v>0</v>
      </c>
      <c r="M120">
        <v>0</v>
      </c>
      <c r="N120">
        <v>23</v>
      </c>
      <c r="O120">
        <v>14</v>
      </c>
      <c r="P120">
        <v>13</v>
      </c>
      <c r="Q120">
        <v>13</v>
      </c>
      <c r="R120">
        <v>11</v>
      </c>
      <c r="S120">
        <v>10</v>
      </c>
      <c r="T120">
        <v>5</v>
      </c>
      <c r="U120">
        <v>157</v>
      </c>
    </row>
    <row r="121" spans="1:21" x14ac:dyDescent="0.25">
      <c r="A121">
        <v>2025</v>
      </c>
      <c r="B121">
        <v>1</v>
      </c>
      <c r="C121" t="s">
        <v>69</v>
      </c>
      <c r="D121" t="s">
        <v>22</v>
      </c>
      <c r="E121" t="s">
        <v>34</v>
      </c>
      <c r="F121" t="s">
        <v>29</v>
      </c>
      <c r="G121" t="s">
        <v>25</v>
      </c>
      <c r="H121" t="s">
        <v>26</v>
      </c>
      <c r="I121" t="s">
        <v>26</v>
      </c>
      <c r="J121">
        <v>2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</row>
    <row r="122" spans="1:21" x14ac:dyDescent="0.25">
      <c r="A122">
        <v>2025</v>
      </c>
      <c r="B122">
        <v>1</v>
      </c>
      <c r="C122" t="s">
        <v>69</v>
      </c>
      <c r="D122" t="s">
        <v>22</v>
      </c>
      <c r="E122" t="s">
        <v>23</v>
      </c>
      <c r="F122" t="s">
        <v>28</v>
      </c>
      <c r="G122" t="s">
        <v>25</v>
      </c>
      <c r="H122" t="s">
        <v>26</v>
      </c>
      <c r="I122" t="s">
        <v>25</v>
      </c>
      <c r="J122">
        <v>11323</v>
      </c>
      <c r="K122">
        <v>25</v>
      </c>
      <c r="L122">
        <v>89</v>
      </c>
      <c r="M122">
        <v>114</v>
      </c>
      <c r="N122">
        <v>49</v>
      </c>
      <c r="O122">
        <v>42</v>
      </c>
      <c r="P122">
        <v>38</v>
      </c>
      <c r="Q122">
        <v>25</v>
      </c>
      <c r="R122">
        <v>13</v>
      </c>
      <c r="S122">
        <v>2</v>
      </c>
      <c r="T122">
        <v>0</v>
      </c>
      <c r="U122">
        <v>11210</v>
      </c>
    </row>
    <row r="123" spans="1:21" x14ac:dyDescent="0.25">
      <c r="A123">
        <v>2025</v>
      </c>
      <c r="B123">
        <v>1</v>
      </c>
      <c r="C123" t="s">
        <v>69</v>
      </c>
      <c r="D123" t="s">
        <v>22</v>
      </c>
      <c r="E123" t="s">
        <v>23</v>
      </c>
      <c r="F123" t="s">
        <v>24</v>
      </c>
      <c r="G123" t="s">
        <v>25</v>
      </c>
      <c r="H123" t="s">
        <v>26</v>
      </c>
      <c r="I123" t="s">
        <v>25</v>
      </c>
      <c r="J123">
        <v>1105</v>
      </c>
      <c r="K123">
        <v>11</v>
      </c>
      <c r="L123">
        <v>12</v>
      </c>
      <c r="M123">
        <v>23</v>
      </c>
      <c r="N123">
        <v>151</v>
      </c>
      <c r="O123">
        <v>111</v>
      </c>
      <c r="P123">
        <v>94</v>
      </c>
      <c r="Q123">
        <v>70</v>
      </c>
      <c r="R123">
        <v>56</v>
      </c>
      <c r="S123">
        <v>15</v>
      </c>
      <c r="T123">
        <v>9</v>
      </c>
      <c r="U123">
        <v>1085</v>
      </c>
    </row>
    <row r="124" spans="1:21" x14ac:dyDescent="0.25">
      <c r="A124">
        <v>2025</v>
      </c>
      <c r="B124">
        <v>1</v>
      </c>
      <c r="C124" t="s">
        <v>69</v>
      </c>
      <c r="D124" t="s">
        <v>22</v>
      </c>
      <c r="E124" t="s">
        <v>23</v>
      </c>
      <c r="F124" t="s">
        <v>29</v>
      </c>
      <c r="G124" t="s">
        <v>25</v>
      </c>
      <c r="H124" t="s">
        <v>26</v>
      </c>
      <c r="I124" t="s">
        <v>25</v>
      </c>
      <c r="J124">
        <v>4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</row>
    <row r="125" spans="1:21" x14ac:dyDescent="0.25">
      <c r="A125">
        <v>2025</v>
      </c>
      <c r="B125">
        <v>1</v>
      </c>
      <c r="C125" t="s">
        <v>69</v>
      </c>
      <c r="D125" t="s">
        <v>22</v>
      </c>
      <c r="E125" t="s">
        <v>39</v>
      </c>
      <c r="F125" t="s">
        <v>28</v>
      </c>
      <c r="G125" t="s">
        <v>26</v>
      </c>
      <c r="H125" t="s">
        <v>26</v>
      </c>
      <c r="I125" t="s">
        <v>25</v>
      </c>
      <c r="J125">
        <v>31</v>
      </c>
      <c r="K125">
        <v>0</v>
      </c>
      <c r="L125">
        <v>0</v>
      </c>
      <c r="M125">
        <v>0</v>
      </c>
      <c r="N125">
        <v>3</v>
      </c>
      <c r="O125">
        <v>1</v>
      </c>
      <c r="P125">
        <v>1</v>
      </c>
      <c r="Q125">
        <v>1</v>
      </c>
      <c r="R125">
        <v>0</v>
      </c>
      <c r="S125">
        <v>0</v>
      </c>
      <c r="T125">
        <v>0</v>
      </c>
      <c r="U125">
        <v>31</v>
      </c>
    </row>
    <row r="126" spans="1:21" x14ac:dyDescent="0.25">
      <c r="A126">
        <v>2025</v>
      </c>
      <c r="B126">
        <v>1</v>
      </c>
      <c r="C126" t="s">
        <v>69</v>
      </c>
      <c r="D126" t="s">
        <v>22</v>
      </c>
      <c r="E126" t="s">
        <v>39</v>
      </c>
      <c r="F126" t="s">
        <v>24</v>
      </c>
      <c r="G126" t="s">
        <v>26</v>
      </c>
      <c r="H126" t="s">
        <v>26</v>
      </c>
      <c r="I126" t="s">
        <v>25</v>
      </c>
      <c r="J126">
        <v>1193</v>
      </c>
      <c r="K126">
        <v>51</v>
      </c>
      <c r="L126">
        <v>90</v>
      </c>
      <c r="M126">
        <v>141</v>
      </c>
      <c r="N126">
        <v>211</v>
      </c>
      <c r="O126">
        <v>150</v>
      </c>
      <c r="P126">
        <v>126</v>
      </c>
      <c r="Q126">
        <v>76</v>
      </c>
      <c r="R126">
        <v>44</v>
      </c>
      <c r="S126">
        <v>11</v>
      </c>
      <c r="T126">
        <v>2</v>
      </c>
      <c r="U126">
        <v>1082</v>
      </c>
    </row>
    <row r="127" spans="1:21" x14ac:dyDescent="0.25">
      <c r="A127">
        <v>2025</v>
      </c>
      <c r="B127">
        <v>1</v>
      </c>
      <c r="C127" t="s">
        <v>69</v>
      </c>
      <c r="D127" t="s">
        <v>22</v>
      </c>
      <c r="E127" t="s">
        <v>39</v>
      </c>
      <c r="F127" t="s">
        <v>29</v>
      </c>
      <c r="G127" t="s">
        <v>26</v>
      </c>
      <c r="H127" t="s">
        <v>26</v>
      </c>
      <c r="I127" t="s">
        <v>25</v>
      </c>
      <c r="J127">
        <v>1</v>
      </c>
      <c r="K127">
        <v>1</v>
      </c>
      <c r="L127">
        <v>0</v>
      </c>
      <c r="M127">
        <v>1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</row>
    <row r="128" spans="1:21" x14ac:dyDescent="0.25">
      <c r="A128">
        <v>2025</v>
      </c>
      <c r="B128">
        <v>1</v>
      </c>
      <c r="C128" t="s">
        <v>69</v>
      </c>
      <c r="D128" t="s">
        <v>22</v>
      </c>
      <c r="E128" t="s">
        <v>40</v>
      </c>
      <c r="F128" t="s">
        <v>28</v>
      </c>
      <c r="G128" t="s">
        <v>25</v>
      </c>
      <c r="H128" t="s">
        <v>26</v>
      </c>
      <c r="I128" t="s">
        <v>25</v>
      </c>
      <c r="J128">
        <v>12672</v>
      </c>
      <c r="K128">
        <v>31</v>
      </c>
      <c r="L128">
        <v>103</v>
      </c>
      <c r="M128">
        <v>134</v>
      </c>
      <c r="N128">
        <v>24</v>
      </c>
      <c r="O128">
        <v>20</v>
      </c>
      <c r="P128">
        <v>19</v>
      </c>
      <c r="Q128">
        <v>13</v>
      </c>
      <c r="R128">
        <v>5</v>
      </c>
      <c r="S128">
        <v>0</v>
      </c>
      <c r="T128">
        <v>0</v>
      </c>
      <c r="U128">
        <v>12459</v>
      </c>
    </row>
    <row r="129" spans="1:21" x14ac:dyDescent="0.25">
      <c r="A129">
        <v>2025</v>
      </c>
      <c r="B129">
        <v>1</v>
      </c>
      <c r="C129" t="s">
        <v>69</v>
      </c>
      <c r="D129" t="s">
        <v>22</v>
      </c>
      <c r="E129" t="s">
        <v>40</v>
      </c>
      <c r="F129" t="s">
        <v>24</v>
      </c>
      <c r="G129" t="s">
        <v>25</v>
      </c>
      <c r="H129" t="s">
        <v>26</v>
      </c>
      <c r="I129" t="s">
        <v>25</v>
      </c>
      <c r="J129">
        <v>972</v>
      </c>
      <c r="K129">
        <v>3</v>
      </c>
      <c r="L129">
        <v>16</v>
      </c>
      <c r="M129">
        <v>19</v>
      </c>
      <c r="N129">
        <v>39</v>
      </c>
      <c r="O129">
        <v>16</v>
      </c>
      <c r="P129">
        <v>12</v>
      </c>
      <c r="Q129">
        <v>8</v>
      </c>
      <c r="R129">
        <v>1</v>
      </c>
      <c r="S129">
        <v>0</v>
      </c>
      <c r="T129">
        <v>0</v>
      </c>
      <c r="U129">
        <v>936</v>
      </c>
    </row>
    <row r="130" spans="1:21" x14ac:dyDescent="0.25">
      <c r="A130">
        <v>2025</v>
      </c>
      <c r="B130">
        <v>1</v>
      </c>
      <c r="C130" t="s">
        <v>69</v>
      </c>
      <c r="D130" t="s">
        <v>22</v>
      </c>
      <c r="E130" t="s">
        <v>70</v>
      </c>
      <c r="F130" t="s">
        <v>28</v>
      </c>
      <c r="G130" t="s">
        <v>26</v>
      </c>
      <c r="H130" t="s">
        <v>26</v>
      </c>
      <c r="I130" t="s">
        <v>25</v>
      </c>
      <c r="J130">
        <v>2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2</v>
      </c>
    </row>
    <row r="131" spans="1:21" x14ac:dyDescent="0.25">
      <c r="A131">
        <v>2025</v>
      </c>
      <c r="B131">
        <v>1</v>
      </c>
      <c r="C131" t="s">
        <v>69</v>
      </c>
      <c r="D131" t="s">
        <v>22</v>
      </c>
      <c r="E131" t="s">
        <v>70</v>
      </c>
      <c r="F131" t="s">
        <v>24</v>
      </c>
      <c r="G131" t="s">
        <v>26</v>
      </c>
      <c r="H131" t="s">
        <v>26</v>
      </c>
      <c r="I131" t="s">
        <v>25</v>
      </c>
      <c r="J131">
        <v>791</v>
      </c>
      <c r="K131">
        <v>10</v>
      </c>
      <c r="L131">
        <v>14</v>
      </c>
      <c r="M131">
        <v>24</v>
      </c>
      <c r="N131">
        <v>161</v>
      </c>
      <c r="O131">
        <v>127</v>
      </c>
      <c r="P131">
        <v>123</v>
      </c>
      <c r="Q131">
        <v>101</v>
      </c>
      <c r="R131">
        <v>81</v>
      </c>
      <c r="S131">
        <v>42</v>
      </c>
      <c r="T131">
        <v>15</v>
      </c>
      <c r="U131">
        <v>776</v>
      </c>
    </row>
    <row r="132" spans="1:21" x14ac:dyDescent="0.25">
      <c r="A132">
        <v>2025</v>
      </c>
      <c r="B132">
        <v>1</v>
      </c>
      <c r="C132" t="s">
        <v>69</v>
      </c>
      <c r="D132" t="s">
        <v>22</v>
      </c>
      <c r="E132" t="s">
        <v>70</v>
      </c>
      <c r="F132" t="s">
        <v>29</v>
      </c>
      <c r="G132" t="s">
        <v>26</v>
      </c>
      <c r="H132" t="s">
        <v>26</v>
      </c>
      <c r="I132" t="s">
        <v>25</v>
      </c>
      <c r="J132">
        <v>6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</row>
    <row r="133" spans="1:21" x14ac:dyDescent="0.25">
      <c r="A133">
        <v>2025</v>
      </c>
      <c r="B133">
        <v>1</v>
      </c>
      <c r="C133" t="s">
        <v>69</v>
      </c>
      <c r="D133" t="s">
        <v>22</v>
      </c>
      <c r="E133" t="s">
        <v>35</v>
      </c>
      <c r="F133" t="s">
        <v>28</v>
      </c>
      <c r="G133" t="s">
        <v>25</v>
      </c>
      <c r="H133" t="s">
        <v>26</v>
      </c>
      <c r="I133" t="s">
        <v>26</v>
      </c>
      <c r="J133">
        <v>23</v>
      </c>
      <c r="K133">
        <v>0</v>
      </c>
      <c r="L133">
        <v>0</v>
      </c>
      <c r="M133">
        <v>0</v>
      </c>
      <c r="N133">
        <v>6</v>
      </c>
      <c r="O133">
        <v>6</v>
      </c>
      <c r="P133">
        <v>6</v>
      </c>
      <c r="Q133">
        <v>4</v>
      </c>
      <c r="R133">
        <v>4</v>
      </c>
      <c r="S133">
        <v>4</v>
      </c>
      <c r="T133">
        <v>2</v>
      </c>
      <c r="U133">
        <v>23</v>
      </c>
    </row>
    <row r="134" spans="1:21" x14ac:dyDescent="0.25">
      <c r="A134">
        <v>2025</v>
      </c>
      <c r="B134">
        <v>1</v>
      </c>
      <c r="C134" t="s">
        <v>69</v>
      </c>
      <c r="D134" t="s">
        <v>22</v>
      </c>
      <c r="E134" t="s">
        <v>35</v>
      </c>
      <c r="F134" t="s">
        <v>24</v>
      </c>
      <c r="G134" t="s">
        <v>25</v>
      </c>
      <c r="H134" t="s">
        <v>26</v>
      </c>
      <c r="I134" t="s">
        <v>26</v>
      </c>
      <c r="J134">
        <v>274</v>
      </c>
      <c r="K134">
        <v>2</v>
      </c>
      <c r="L134">
        <v>0</v>
      </c>
      <c r="M134">
        <v>2</v>
      </c>
      <c r="N134">
        <v>65</v>
      </c>
      <c r="O134">
        <v>47</v>
      </c>
      <c r="P134">
        <v>38</v>
      </c>
      <c r="Q134">
        <v>30</v>
      </c>
      <c r="R134">
        <v>25</v>
      </c>
      <c r="S134">
        <v>22</v>
      </c>
      <c r="T134">
        <v>14</v>
      </c>
      <c r="U134">
        <v>272</v>
      </c>
    </row>
    <row r="135" spans="1:21" x14ac:dyDescent="0.25">
      <c r="A135">
        <v>2025</v>
      </c>
      <c r="B135">
        <v>1</v>
      </c>
      <c r="C135" t="s">
        <v>69</v>
      </c>
      <c r="D135" t="s">
        <v>22</v>
      </c>
      <c r="E135" t="s">
        <v>35</v>
      </c>
      <c r="F135" t="s">
        <v>29</v>
      </c>
      <c r="G135" t="s">
        <v>25</v>
      </c>
      <c r="H135" t="s">
        <v>26</v>
      </c>
      <c r="I135" t="s">
        <v>26</v>
      </c>
      <c r="J135">
        <v>3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</row>
    <row r="136" spans="1:21" x14ac:dyDescent="0.25">
      <c r="A136">
        <v>2025</v>
      </c>
      <c r="B136">
        <v>1</v>
      </c>
      <c r="C136" t="s">
        <v>69</v>
      </c>
      <c r="D136" t="s">
        <v>22</v>
      </c>
      <c r="E136" t="s">
        <v>41</v>
      </c>
      <c r="F136" t="s">
        <v>24</v>
      </c>
      <c r="G136" t="s">
        <v>26</v>
      </c>
      <c r="H136" t="s">
        <v>26</v>
      </c>
      <c r="I136" t="s">
        <v>25</v>
      </c>
      <c r="J136">
        <v>357</v>
      </c>
      <c r="K136">
        <v>0</v>
      </c>
      <c r="L136">
        <v>0</v>
      </c>
      <c r="M136">
        <v>0</v>
      </c>
      <c r="N136">
        <v>19</v>
      </c>
      <c r="O136">
        <v>15</v>
      </c>
      <c r="P136">
        <v>15</v>
      </c>
      <c r="Q136">
        <v>12</v>
      </c>
      <c r="R136">
        <v>11</v>
      </c>
      <c r="S136">
        <v>3</v>
      </c>
      <c r="T136">
        <v>0</v>
      </c>
      <c r="U136">
        <v>336</v>
      </c>
    </row>
    <row r="137" spans="1:21" x14ac:dyDescent="0.25">
      <c r="A137">
        <v>2025</v>
      </c>
      <c r="B137">
        <v>1</v>
      </c>
      <c r="C137" t="s">
        <v>71</v>
      </c>
      <c r="D137" t="s">
        <v>22</v>
      </c>
      <c r="E137" t="s">
        <v>34</v>
      </c>
      <c r="F137" t="s">
        <v>28</v>
      </c>
      <c r="G137" t="s">
        <v>25</v>
      </c>
      <c r="H137" t="s">
        <v>26</v>
      </c>
      <c r="I137" t="s">
        <v>26</v>
      </c>
      <c r="J137">
        <v>1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</row>
    <row r="138" spans="1:21" x14ac:dyDescent="0.25">
      <c r="A138">
        <v>2025</v>
      </c>
      <c r="B138">
        <v>1</v>
      </c>
      <c r="C138" t="s">
        <v>71</v>
      </c>
      <c r="D138" t="s">
        <v>22</v>
      </c>
      <c r="E138" t="s">
        <v>34</v>
      </c>
      <c r="F138" t="s">
        <v>24</v>
      </c>
      <c r="G138" t="s">
        <v>25</v>
      </c>
      <c r="H138" t="s">
        <v>26</v>
      </c>
      <c r="I138" t="s">
        <v>26</v>
      </c>
      <c r="J138">
        <v>46</v>
      </c>
      <c r="K138">
        <v>1</v>
      </c>
      <c r="L138">
        <v>0</v>
      </c>
      <c r="M138">
        <v>1</v>
      </c>
      <c r="N138">
        <v>12</v>
      </c>
      <c r="O138">
        <v>12</v>
      </c>
      <c r="P138">
        <v>12</v>
      </c>
      <c r="Q138">
        <v>12</v>
      </c>
      <c r="R138">
        <v>12</v>
      </c>
      <c r="S138">
        <v>9</v>
      </c>
      <c r="T138">
        <v>5</v>
      </c>
      <c r="U138">
        <v>45</v>
      </c>
    </row>
    <row r="139" spans="1:21" x14ac:dyDescent="0.25">
      <c r="A139">
        <v>2025</v>
      </c>
      <c r="B139">
        <v>1</v>
      </c>
      <c r="C139" t="s">
        <v>71</v>
      </c>
      <c r="D139" t="s">
        <v>22</v>
      </c>
      <c r="E139" t="s">
        <v>23</v>
      </c>
      <c r="F139" t="s">
        <v>24</v>
      </c>
      <c r="G139" t="s">
        <v>25</v>
      </c>
      <c r="H139" t="s">
        <v>26</v>
      </c>
      <c r="I139" t="s">
        <v>25</v>
      </c>
      <c r="J139">
        <v>2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2</v>
      </c>
    </row>
    <row r="140" spans="1:21" x14ac:dyDescent="0.25">
      <c r="A140">
        <v>2025</v>
      </c>
      <c r="B140">
        <v>1</v>
      </c>
      <c r="C140" t="s">
        <v>72</v>
      </c>
      <c r="D140" t="s">
        <v>22</v>
      </c>
      <c r="E140" t="s">
        <v>54</v>
      </c>
      <c r="F140" t="s">
        <v>24</v>
      </c>
      <c r="G140" t="s">
        <v>25</v>
      </c>
      <c r="H140" t="s">
        <v>25</v>
      </c>
      <c r="I140" t="s">
        <v>25</v>
      </c>
      <c r="J140">
        <v>375</v>
      </c>
      <c r="K140">
        <v>4</v>
      </c>
      <c r="L140">
        <v>8</v>
      </c>
      <c r="M140">
        <v>12</v>
      </c>
      <c r="N140">
        <v>85</v>
      </c>
      <c r="O140">
        <v>60</v>
      </c>
      <c r="P140">
        <v>50</v>
      </c>
      <c r="Q140">
        <v>25</v>
      </c>
      <c r="R140">
        <v>14</v>
      </c>
      <c r="S140">
        <v>1</v>
      </c>
      <c r="T140">
        <v>0</v>
      </c>
      <c r="U140">
        <v>364</v>
      </c>
    </row>
    <row r="141" spans="1:21" x14ac:dyDescent="0.25">
      <c r="A141">
        <v>2025</v>
      </c>
      <c r="B141">
        <v>1</v>
      </c>
      <c r="C141" t="s">
        <v>72</v>
      </c>
      <c r="D141" t="s">
        <v>22</v>
      </c>
      <c r="E141" t="s">
        <v>55</v>
      </c>
      <c r="F141" t="s">
        <v>24</v>
      </c>
      <c r="G141" t="s">
        <v>25</v>
      </c>
      <c r="H141" t="s">
        <v>25</v>
      </c>
      <c r="I141" t="s">
        <v>25</v>
      </c>
      <c r="J141">
        <v>381</v>
      </c>
      <c r="K141">
        <v>15</v>
      </c>
      <c r="L141">
        <v>2</v>
      </c>
      <c r="M141">
        <v>17</v>
      </c>
      <c r="N141">
        <v>96</v>
      </c>
      <c r="O141">
        <v>61</v>
      </c>
      <c r="P141">
        <v>48</v>
      </c>
      <c r="Q141">
        <v>25</v>
      </c>
      <c r="R141">
        <v>12</v>
      </c>
      <c r="S141">
        <v>3</v>
      </c>
      <c r="T141">
        <v>0</v>
      </c>
      <c r="U141">
        <v>366</v>
      </c>
    </row>
    <row r="142" spans="1:21" x14ac:dyDescent="0.25">
      <c r="A142">
        <v>2025</v>
      </c>
      <c r="B142">
        <v>1</v>
      </c>
      <c r="C142" t="s">
        <v>72</v>
      </c>
      <c r="D142" t="s">
        <v>22</v>
      </c>
      <c r="E142" t="s">
        <v>23</v>
      </c>
      <c r="F142" t="s">
        <v>28</v>
      </c>
      <c r="G142" t="s">
        <v>25</v>
      </c>
      <c r="H142" t="s">
        <v>26</v>
      </c>
      <c r="I142" t="s">
        <v>25</v>
      </c>
      <c r="J142">
        <v>28401</v>
      </c>
      <c r="K142">
        <v>97</v>
      </c>
      <c r="L142">
        <v>494</v>
      </c>
      <c r="M142">
        <v>591</v>
      </c>
      <c r="N142">
        <v>5699</v>
      </c>
      <c r="O142">
        <v>3421</v>
      </c>
      <c r="P142">
        <v>2732</v>
      </c>
      <c r="Q142">
        <v>1258</v>
      </c>
      <c r="R142">
        <v>651</v>
      </c>
      <c r="S142">
        <v>117</v>
      </c>
      <c r="T142">
        <v>7</v>
      </c>
      <c r="U142">
        <v>27977</v>
      </c>
    </row>
    <row r="143" spans="1:21" x14ac:dyDescent="0.25">
      <c r="A143">
        <v>2025</v>
      </c>
      <c r="B143">
        <v>1</v>
      </c>
      <c r="C143" t="s">
        <v>72</v>
      </c>
      <c r="D143" t="s">
        <v>22</v>
      </c>
      <c r="E143" t="s">
        <v>23</v>
      </c>
      <c r="F143" t="s">
        <v>24</v>
      </c>
      <c r="G143" t="s">
        <v>25</v>
      </c>
      <c r="H143" t="s">
        <v>26</v>
      </c>
      <c r="I143" t="s">
        <v>25</v>
      </c>
      <c r="J143">
        <v>3237</v>
      </c>
      <c r="K143">
        <v>16</v>
      </c>
      <c r="L143">
        <v>47</v>
      </c>
      <c r="M143">
        <v>63</v>
      </c>
      <c r="N143">
        <v>536</v>
      </c>
      <c r="O143">
        <v>313</v>
      </c>
      <c r="P143">
        <v>263</v>
      </c>
      <c r="Q143">
        <v>133</v>
      </c>
      <c r="R143">
        <v>80</v>
      </c>
      <c r="S143">
        <v>19</v>
      </c>
      <c r="T143">
        <v>2</v>
      </c>
      <c r="U143">
        <v>3179</v>
      </c>
    </row>
    <row r="144" spans="1:21" x14ac:dyDescent="0.25">
      <c r="A144">
        <v>2025</v>
      </c>
      <c r="B144">
        <v>1</v>
      </c>
      <c r="C144" t="s">
        <v>72</v>
      </c>
      <c r="D144" t="s">
        <v>22</v>
      </c>
      <c r="E144" t="s">
        <v>23</v>
      </c>
      <c r="F144" t="s">
        <v>29</v>
      </c>
      <c r="G144" t="s">
        <v>25</v>
      </c>
      <c r="H144" t="s">
        <v>26</v>
      </c>
      <c r="I144" t="s">
        <v>25</v>
      </c>
      <c r="J144">
        <v>2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</row>
    <row r="145" spans="1:21" x14ac:dyDescent="0.25">
      <c r="A145">
        <v>2025</v>
      </c>
      <c r="B145">
        <v>1</v>
      </c>
      <c r="C145" t="s">
        <v>72</v>
      </c>
      <c r="D145" t="s">
        <v>22</v>
      </c>
      <c r="E145" t="s">
        <v>39</v>
      </c>
      <c r="F145" t="s">
        <v>24</v>
      </c>
      <c r="G145" t="s">
        <v>26</v>
      </c>
      <c r="H145" t="s">
        <v>26</v>
      </c>
      <c r="I145" t="s">
        <v>25</v>
      </c>
      <c r="J145">
        <v>427</v>
      </c>
      <c r="K145">
        <v>8</v>
      </c>
      <c r="L145">
        <v>15</v>
      </c>
      <c r="M145">
        <v>23</v>
      </c>
      <c r="N145">
        <v>154</v>
      </c>
      <c r="O145">
        <v>123</v>
      </c>
      <c r="P145">
        <v>110</v>
      </c>
      <c r="Q145">
        <v>76</v>
      </c>
      <c r="R145">
        <v>47</v>
      </c>
      <c r="S145">
        <v>19</v>
      </c>
      <c r="T145">
        <v>3</v>
      </c>
      <c r="U145">
        <v>413</v>
      </c>
    </row>
    <row r="146" spans="1:21" x14ac:dyDescent="0.25">
      <c r="A146">
        <v>2025</v>
      </c>
      <c r="B146">
        <v>1</v>
      </c>
      <c r="C146" t="s">
        <v>72</v>
      </c>
      <c r="D146" t="s">
        <v>22</v>
      </c>
      <c r="E146" t="s">
        <v>73</v>
      </c>
      <c r="F146" t="s">
        <v>28</v>
      </c>
      <c r="G146" t="s">
        <v>25</v>
      </c>
      <c r="H146" t="s">
        <v>25</v>
      </c>
      <c r="I146" t="s">
        <v>25</v>
      </c>
      <c r="J146">
        <v>17849</v>
      </c>
      <c r="K146">
        <v>39</v>
      </c>
      <c r="L146">
        <v>114</v>
      </c>
      <c r="M146">
        <v>153</v>
      </c>
      <c r="N146">
        <v>3093</v>
      </c>
      <c r="O146">
        <v>1671</v>
      </c>
      <c r="P146">
        <v>1299</v>
      </c>
      <c r="Q146">
        <v>509</v>
      </c>
      <c r="R146">
        <v>238</v>
      </c>
      <c r="S146">
        <v>39</v>
      </c>
      <c r="T146">
        <v>3</v>
      </c>
      <c r="U146">
        <v>17754</v>
      </c>
    </row>
    <row r="147" spans="1:21" x14ac:dyDescent="0.25">
      <c r="A147">
        <v>2025</v>
      </c>
      <c r="B147">
        <v>1</v>
      </c>
      <c r="C147" t="s">
        <v>72</v>
      </c>
      <c r="D147" t="s">
        <v>22</v>
      </c>
      <c r="E147" t="s">
        <v>73</v>
      </c>
      <c r="F147" t="s">
        <v>24</v>
      </c>
      <c r="G147" t="s">
        <v>25</v>
      </c>
      <c r="H147" t="s">
        <v>25</v>
      </c>
      <c r="I147" t="s">
        <v>25</v>
      </c>
      <c r="J147">
        <v>5286</v>
      </c>
      <c r="K147">
        <v>14</v>
      </c>
      <c r="L147">
        <v>25</v>
      </c>
      <c r="M147">
        <v>39</v>
      </c>
      <c r="N147">
        <v>384</v>
      </c>
      <c r="O147">
        <v>195</v>
      </c>
      <c r="P147">
        <v>153</v>
      </c>
      <c r="Q147">
        <v>46</v>
      </c>
      <c r="R147">
        <v>23</v>
      </c>
      <c r="S147">
        <v>6</v>
      </c>
      <c r="T147">
        <v>0</v>
      </c>
      <c r="U147">
        <v>5272</v>
      </c>
    </row>
    <row r="148" spans="1:21" x14ac:dyDescent="0.25">
      <c r="A148">
        <v>2025</v>
      </c>
      <c r="B148">
        <v>1</v>
      </c>
      <c r="C148" t="s">
        <v>72</v>
      </c>
      <c r="D148" t="s">
        <v>22</v>
      </c>
      <c r="E148" t="s">
        <v>35</v>
      </c>
      <c r="F148" t="s">
        <v>28</v>
      </c>
      <c r="G148" t="s">
        <v>25</v>
      </c>
      <c r="H148" t="s">
        <v>26</v>
      </c>
      <c r="I148" t="s">
        <v>26</v>
      </c>
      <c r="J148">
        <v>3</v>
      </c>
      <c r="K148">
        <v>0</v>
      </c>
      <c r="L148">
        <v>0</v>
      </c>
      <c r="M148">
        <v>0</v>
      </c>
      <c r="N148">
        <v>1</v>
      </c>
      <c r="O148">
        <v>1</v>
      </c>
      <c r="P148">
        <v>1</v>
      </c>
      <c r="Q148">
        <v>1</v>
      </c>
      <c r="R148">
        <v>1</v>
      </c>
      <c r="S148">
        <v>0</v>
      </c>
      <c r="T148">
        <v>0</v>
      </c>
      <c r="U148">
        <v>3</v>
      </c>
    </row>
    <row r="149" spans="1:21" x14ac:dyDescent="0.25">
      <c r="A149">
        <v>2025</v>
      </c>
      <c r="B149">
        <v>1</v>
      </c>
      <c r="C149" t="s">
        <v>72</v>
      </c>
      <c r="D149" t="s">
        <v>22</v>
      </c>
      <c r="E149" t="s">
        <v>35</v>
      </c>
      <c r="F149" t="s">
        <v>24</v>
      </c>
      <c r="G149" t="s">
        <v>25</v>
      </c>
      <c r="H149" t="s">
        <v>26</v>
      </c>
      <c r="I149" t="s">
        <v>26</v>
      </c>
      <c r="J149">
        <v>47</v>
      </c>
      <c r="K149">
        <v>6</v>
      </c>
      <c r="L149">
        <v>0</v>
      </c>
      <c r="M149">
        <v>6</v>
      </c>
      <c r="N149">
        <v>12</v>
      </c>
      <c r="O149">
        <v>8</v>
      </c>
      <c r="P149">
        <v>8</v>
      </c>
      <c r="Q149">
        <v>6</v>
      </c>
      <c r="R149">
        <v>4</v>
      </c>
      <c r="S149">
        <v>1</v>
      </c>
      <c r="T149">
        <v>0</v>
      </c>
      <c r="U149">
        <v>39</v>
      </c>
    </row>
    <row r="150" spans="1:21" x14ac:dyDescent="0.25">
      <c r="A150">
        <v>2025</v>
      </c>
      <c r="B150">
        <v>1</v>
      </c>
      <c r="C150" t="s">
        <v>72</v>
      </c>
      <c r="D150" t="s">
        <v>22</v>
      </c>
      <c r="E150" t="s">
        <v>74</v>
      </c>
      <c r="F150" t="s">
        <v>28</v>
      </c>
      <c r="G150" t="s">
        <v>25</v>
      </c>
      <c r="H150" t="s">
        <v>25</v>
      </c>
      <c r="I150" t="s">
        <v>25</v>
      </c>
      <c r="J150">
        <v>5107</v>
      </c>
      <c r="K150">
        <v>52</v>
      </c>
      <c r="L150">
        <v>24</v>
      </c>
      <c r="M150">
        <v>76</v>
      </c>
      <c r="N150">
        <v>1146</v>
      </c>
      <c r="O150">
        <v>652</v>
      </c>
      <c r="P150">
        <v>509</v>
      </c>
      <c r="Q150">
        <v>237</v>
      </c>
      <c r="R150">
        <v>127</v>
      </c>
      <c r="S150">
        <v>28</v>
      </c>
      <c r="T150">
        <v>2</v>
      </c>
      <c r="U150">
        <v>5038</v>
      </c>
    </row>
    <row r="151" spans="1:21" x14ac:dyDescent="0.25">
      <c r="A151">
        <v>2025</v>
      </c>
      <c r="B151">
        <v>1</v>
      </c>
      <c r="C151" t="s">
        <v>72</v>
      </c>
      <c r="D151" t="s">
        <v>22</v>
      </c>
      <c r="E151" t="s">
        <v>74</v>
      </c>
      <c r="F151" t="s">
        <v>24</v>
      </c>
      <c r="G151" t="s">
        <v>25</v>
      </c>
      <c r="H151" t="s">
        <v>25</v>
      </c>
      <c r="I151" t="s">
        <v>25</v>
      </c>
      <c r="J151">
        <v>265</v>
      </c>
      <c r="K151">
        <v>4</v>
      </c>
      <c r="L151">
        <v>3</v>
      </c>
      <c r="M151">
        <v>7</v>
      </c>
      <c r="N151">
        <v>29</v>
      </c>
      <c r="O151">
        <v>14</v>
      </c>
      <c r="P151">
        <v>10</v>
      </c>
      <c r="Q151">
        <v>5</v>
      </c>
      <c r="R151">
        <v>4</v>
      </c>
      <c r="S151">
        <v>0</v>
      </c>
      <c r="T151">
        <v>0</v>
      </c>
      <c r="U151">
        <v>260</v>
      </c>
    </row>
    <row r="152" spans="1:21" x14ac:dyDescent="0.25">
      <c r="A152">
        <v>2025</v>
      </c>
      <c r="B152">
        <v>1</v>
      </c>
      <c r="C152" t="s">
        <v>72</v>
      </c>
      <c r="D152" t="s">
        <v>22</v>
      </c>
      <c r="E152" t="s">
        <v>58</v>
      </c>
      <c r="F152" t="s">
        <v>28</v>
      </c>
      <c r="G152" t="s">
        <v>25</v>
      </c>
      <c r="H152" t="s">
        <v>25</v>
      </c>
      <c r="I152" t="s">
        <v>25</v>
      </c>
      <c r="J152">
        <v>28054</v>
      </c>
      <c r="K152">
        <v>66</v>
      </c>
      <c r="L152">
        <v>308</v>
      </c>
      <c r="M152">
        <v>374</v>
      </c>
      <c r="N152">
        <v>3840</v>
      </c>
      <c r="O152">
        <v>2091</v>
      </c>
      <c r="P152">
        <v>1620</v>
      </c>
      <c r="Q152">
        <v>689</v>
      </c>
      <c r="R152">
        <v>330</v>
      </c>
      <c r="S152">
        <v>71</v>
      </c>
      <c r="T152">
        <v>8</v>
      </c>
      <c r="U152">
        <v>27838</v>
      </c>
    </row>
    <row r="153" spans="1:21" x14ac:dyDescent="0.25">
      <c r="A153">
        <v>2025</v>
      </c>
      <c r="B153">
        <v>1</v>
      </c>
      <c r="C153" t="s">
        <v>72</v>
      </c>
      <c r="D153" t="s">
        <v>22</v>
      </c>
      <c r="E153" t="s">
        <v>58</v>
      </c>
      <c r="F153" t="s">
        <v>24</v>
      </c>
      <c r="G153" t="s">
        <v>25</v>
      </c>
      <c r="H153" t="s">
        <v>25</v>
      </c>
      <c r="I153" t="s">
        <v>25</v>
      </c>
      <c r="J153">
        <v>2979</v>
      </c>
      <c r="K153">
        <v>29</v>
      </c>
      <c r="L153">
        <v>71</v>
      </c>
      <c r="M153">
        <v>100</v>
      </c>
      <c r="N153">
        <v>546</v>
      </c>
      <c r="O153">
        <v>322</v>
      </c>
      <c r="P153">
        <v>259</v>
      </c>
      <c r="Q153">
        <v>104</v>
      </c>
      <c r="R153">
        <v>44</v>
      </c>
      <c r="S153">
        <v>11</v>
      </c>
      <c r="T153">
        <v>0</v>
      </c>
      <c r="U153">
        <v>2906</v>
      </c>
    </row>
    <row r="154" spans="1:21" x14ac:dyDescent="0.25">
      <c r="A154">
        <v>2025</v>
      </c>
      <c r="B154">
        <v>1</v>
      </c>
      <c r="C154" t="s">
        <v>72</v>
      </c>
      <c r="D154" t="s">
        <v>22</v>
      </c>
      <c r="E154" t="s">
        <v>27</v>
      </c>
      <c r="F154" t="s">
        <v>24</v>
      </c>
      <c r="G154" t="s">
        <v>26</v>
      </c>
      <c r="H154" t="s">
        <v>26</v>
      </c>
      <c r="I154" t="s">
        <v>25</v>
      </c>
      <c r="J154">
        <v>109</v>
      </c>
      <c r="K154">
        <v>1</v>
      </c>
      <c r="L154">
        <v>0</v>
      </c>
      <c r="M154">
        <v>1</v>
      </c>
      <c r="N154">
        <v>74</v>
      </c>
      <c r="O154">
        <v>34</v>
      </c>
      <c r="P154">
        <v>34</v>
      </c>
      <c r="Q154">
        <v>29</v>
      </c>
      <c r="R154">
        <v>14</v>
      </c>
      <c r="S154">
        <v>5</v>
      </c>
      <c r="T154">
        <v>0</v>
      </c>
      <c r="U154">
        <v>108</v>
      </c>
    </row>
    <row r="155" spans="1:21" x14ac:dyDescent="0.25">
      <c r="A155">
        <v>2025</v>
      </c>
      <c r="B155">
        <v>1</v>
      </c>
      <c r="C155" t="s">
        <v>72</v>
      </c>
      <c r="D155" t="s">
        <v>22</v>
      </c>
      <c r="E155" t="s">
        <v>27</v>
      </c>
      <c r="F155" t="s">
        <v>29</v>
      </c>
      <c r="G155" t="s">
        <v>26</v>
      </c>
      <c r="H155" t="s">
        <v>26</v>
      </c>
      <c r="I155" t="s">
        <v>25</v>
      </c>
      <c r="J155">
        <v>1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</row>
    <row r="156" spans="1:21" x14ac:dyDescent="0.25">
      <c r="A156">
        <v>2025</v>
      </c>
      <c r="B156">
        <v>1</v>
      </c>
      <c r="C156" t="s">
        <v>75</v>
      </c>
      <c r="D156" t="s">
        <v>22</v>
      </c>
      <c r="E156" t="s">
        <v>76</v>
      </c>
      <c r="F156" t="s">
        <v>28</v>
      </c>
      <c r="G156" t="s">
        <v>25</v>
      </c>
      <c r="H156" t="s">
        <v>26</v>
      </c>
      <c r="I156" t="s">
        <v>25</v>
      </c>
      <c r="J156">
        <v>2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2</v>
      </c>
    </row>
    <row r="157" spans="1:21" x14ac:dyDescent="0.25">
      <c r="A157">
        <v>2025</v>
      </c>
      <c r="B157">
        <v>1</v>
      </c>
      <c r="C157" t="s">
        <v>75</v>
      </c>
      <c r="D157" t="s">
        <v>22</v>
      </c>
      <c r="E157" t="s">
        <v>23</v>
      </c>
      <c r="F157" t="s">
        <v>24</v>
      </c>
      <c r="G157" t="s">
        <v>25</v>
      </c>
      <c r="H157" t="s">
        <v>26</v>
      </c>
      <c r="I157" t="s">
        <v>25</v>
      </c>
      <c r="J157">
        <v>1827</v>
      </c>
      <c r="K157">
        <v>4</v>
      </c>
      <c r="L157">
        <v>35</v>
      </c>
      <c r="M157">
        <v>39</v>
      </c>
      <c r="N157">
        <v>156</v>
      </c>
      <c r="O157">
        <v>97</v>
      </c>
      <c r="P157">
        <v>75</v>
      </c>
      <c r="Q157">
        <v>36</v>
      </c>
      <c r="R157">
        <v>15</v>
      </c>
      <c r="S157">
        <v>1</v>
      </c>
      <c r="T157">
        <v>0</v>
      </c>
      <c r="U157">
        <v>1823</v>
      </c>
    </row>
    <row r="158" spans="1:21" x14ac:dyDescent="0.25">
      <c r="A158">
        <v>2025</v>
      </c>
      <c r="B158">
        <v>1</v>
      </c>
      <c r="C158" t="s">
        <v>75</v>
      </c>
      <c r="D158" t="s">
        <v>22</v>
      </c>
      <c r="E158" t="s">
        <v>39</v>
      </c>
      <c r="F158" t="s">
        <v>28</v>
      </c>
      <c r="G158" t="s">
        <v>26</v>
      </c>
      <c r="H158" t="s">
        <v>26</v>
      </c>
      <c r="I158" t="s">
        <v>25</v>
      </c>
      <c r="J158">
        <v>1</v>
      </c>
      <c r="K158">
        <v>0</v>
      </c>
      <c r="L158">
        <v>0</v>
      </c>
      <c r="M158">
        <v>0</v>
      </c>
      <c r="N158">
        <v>1</v>
      </c>
      <c r="O158">
        <v>1</v>
      </c>
      <c r="P158">
        <v>1</v>
      </c>
      <c r="Q158">
        <v>0</v>
      </c>
      <c r="R158">
        <v>0</v>
      </c>
      <c r="S158">
        <v>0</v>
      </c>
      <c r="T158">
        <v>0</v>
      </c>
      <c r="U158">
        <v>1</v>
      </c>
    </row>
    <row r="159" spans="1:21" x14ac:dyDescent="0.25">
      <c r="A159">
        <v>2025</v>
      </c>
      <c r="B159">
        <v>1</v>
      </c>
      <c r="C159" t="s">
        <v>75</v>
      </c>
      <c r="D159" t="s">
        <v>22</v>
      </c>
      <c r="E159" t="s">
        <v>39</v>
      </c>
      <c r="F159" t="s">
        <v>24</v>
      </c>
      <c r="G159" t="s">
        <v>26</v>
      </c>
      <c r="H159" t="s">
        <v>26</v>
      </c>
      <c r="I159" t="s">
        <v>25</v>
      </c>
      <c r="J159">
        <v>600</v>
      </c>
      <c r="K159">
        <v>17</v>
      </c>
      <c r="L159">
        <v>2</v>
      </c>
      <c r="M159">
        <v>19</v>
      </c>
      <c r="N159">
        <v>169</v>
      </c>
      <c r="O159">
        <v>108</v>
      </c>
      <c r="P159">
        <v>107</v>
      </c>
      <c r="Q159">
        <v>83</v>
      </c>
      <c r="R159">
        <v>65</v>
      </c>
      <c r="S159">
        <v>33</v>
      </c>
      <c r="T159">
        <v>8</v>
      </c>
      <c r="U159">
        <v>582</v>
      </c>
    </row>
    <row r="160" spans="1:21" x14ac:dyDescent="0.25">
      <c r="A160">
        <v>2025</v>
      </c>
      <c r="B160">
        <v>1</v>
      </c>
      <c r="C160" t="s">
        <v>75</v>
      </c>
      <c r="D160" t="s">
        <v>22</v>
      </c>
      <c r="E160" t="s">
        <v>39</v>
      </c>
      <c r="F160" t="s">
        <v>29</v>
      </c>
      <c r="G160" t="s">
        <v>26</v>
      </c>
      <c r="H160" t="s">
        <v>26</v>
      </c>
      <c r="I160" t="s">
        <v>25</v>
      </c>
      <c r="J160">
        <v>2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</row>
    <row r="161" spans="1:21" x14ac:dyDescent="0.25">
      <c r="A161">
        <v>2025</v>
      </c>
      <c r="B161">
        <v>1</v>
      </c>
      <c r="C161" t="s">
        <v>75</v>
      </c>
      <c r="D161" t="s">
        <v>22</v>
      </c>
      <c r="E161" t="s">
        <v>77</v>
      </c>
      <c r="F161" t="s">
        <v>28</v>
      </c>
      <c r="G161" t="s">
        <v>25</v>
      </c>
      <c r="H161" t="s">
        <v>26</v>
      </c>
      <c r="I161" t="s">
        <v>25</v>
      </c>
      <c r="J161">
        <v>1687</v>
      </c>
      <c r="K161">
        <v>22</v>
      </c>
      <c r="L161">
        <v>38</v>
      </c>
      <c r="M161">
        <v>60</v>
      </c>
      <c r="N161">
        <v>543</v>
      </c>
      <c r="O161">
        <v>367</v>
      </c>
      <c r="P161">
        <v>367</v>
      </c>
      <c r="Q161">
        <v>279</v>
      </c>
      <c r="R161">
        <v>221</v>
      </c>
      <c r="S161">
        <v>144</v>
      </c>
      <c r="T161">
        <v>63</v>
      </c>
      <c r="U161">
        <v>1652</v>
      </c>
    </row>
    <row r="162" spans="1:21" x14ac:dyDescent="0.25">
      <c r="A162">
        <v>2025</v>
      </c>
      <c r="B162">
        <v>1</v>
      </c>
      <c r="C162" t="s">
        <v>75</v>
      </c>
      <c r="D162" t="s">
        <v>22</v>
      </c>
      <c r="E162" t="s">
        <v>77</v>
      </c>
      <c r="F162" t="s">
        <v>29</v>
      </c>
      <c r="G162" t="s">
        <v>25</v>
      </c>
      <c r="H162" t="s">
        <v>26</v>
      </c>
      <c r="I162" t="s">
        <v>25</v>
      </c>
      <c r="J162">
        <v>26</v>
      </c>
      <c r="K162">
        <v>3</v>
      </c>
      <c r="L162">
        <v>0</v>
      </c>
      <c r="M162">
        <v>3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</row>
    <row r="163" spans="1:21" x14ac:dyDescent="0.25">
      <c r="A163">
        <v>2025</v>
      </c>
      <c r="B163">
        <v>1</v>
      </c>
      <c r="C163" t="s">
        <v>75</v>
      </c>
      <c r="D163" t="s">
        <v>22</v>
      </c>
      <c r="E163" t="s">
        <v>78</v>
      </c>
      <c r="F163" t="s">
        <v>28</v>
      </c>
      <c r="G163" t="s">
        <v>25</v>
      </c>
      <c r="H163" t="s">
        <v>26</v>
      </c>
      <c r="I163" t="s">
        <v>26</v>
      </c>
      <c r="J163">
        <v>139</v>
      </c>
      <c r="K163">
        <v>5</v>
      </c>
      <c r="L163">
        <v>2</v>
      </c>
      <c r="M163">
        <v>7</v>
      </c>
      <c r="N163">
        <v>36</v>
      </c>
      <c r="O163">
        <v>27</v>
      </c>
      <c r="P163">
        <v>27</v>
      </c>
      <c r="Q163">
        <v>12</v>
      </c>
      <c r="R163">
        <v>9</v>
      </c>
      <c r="S163">
        <v>7</v>
      </c>
      <c r="T163">
        <v>3</v>
      </c>
      <c r="U163">
        <v>132</v>
      </c>
    </row>
    <row r="164" spans="1:21" x14ac:dyDescent="0.25">
      <c r="A164">
        <v>2025</v>
      </c>
      <c r="B164">
        <v>1</v>
      </c>
      <c r="C164" t="s">
        <v>75</v>
      </c>
      <c r="D164" t="s">
        <v>22</v>
      </c>
      <c r="E164" t="s">
        <v>78</v>
      </c>
      <c r="F164" t="s">
        <v>29</v>
      </c>
      <c r="G164" t="s">
        <v>25</v>
      </c>
      <c r="H164" t="s">
        <v>26</v>
      </c>
      <c r="I164" t="s">
        <v>26</v>
      </c>
      <c r="J164">
        <v>87</v>
      </c>
      <c r="K164">
        <v>3</v>
      </c>
      <c r="L164">
        <v>0</v>
      </c>
      <c r="M164">
        <v>3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</row>
    <row r="165" spans="1:21" x14ac:dyDescent="0.25">
      <c r="A165">
        <v>2025</v>
      </c>
      <c r="B165">
        <v>1</v>
      </c>
      <c r="C165" t="s">
        <v>75</v>
      </c>
      <c r="D165" t="s">
        <v>22</v>
      </c>
      <c r="E165" t="s">
        <v>70</v>
      </c>
      <c r="F165" t="s">
        <v>28</v>
      </c>
      <c r="G165" t="s">
        <v>26</v>
      </c>
      <c r="H165" t="s">
        <v>26</v>
      </c>
      <c r="I165" t="s">
        <v>25</v>
      </c>
      <c r="J165">
        <v>30</v>
      </c>
      <c r="K165">
        <v>0</v>
      </c>
      <c r="L165">
        <v>1</v>
      </c>
      <c r="M165">
        <v>1</v>
      </c>
      <c r="N165">
        <v>14</v>
      </c>
      <c r="O165">
        <v>11</v>
      </c>
      <c r="P165">
        <v>11</v>
      </c>
      <c r="Q165">
        <v>7</v>
      </c>
      <c r="R165">
        <v>5</v>
      </c>
      <c r="S165">
        <v>4</v>
      </c>
      <c r="T165">
        <v>1</v>
      </c>
      <c r="U165">
        <v>30</v>
      </c>
    </row>
    <row r="166" spans="1:21" x14ac:dyDescent="0.25">
      <c r="A166">
        <v>2025</v>
      </c>
      <c r="B166">
        <v>1</v>
      </c>
      <c r="C166" t="s">
        <v>75</v>
      </c>
      <c r="D166" t="s">
        <v>22</v>
      </c>
      <c r="E166" t="s">
        <v>70</v>
      </c>
      <c r="F166" t="s">
        <v>24</v>
      </c>
      <c r="G166" t="s">
        <v>26</v>
      </c>
      <c r="H166" t="s">
        <v>26</v>
      </c>
      <c r="I166" t="s">
        <v>25</v>
      </c>
      <c r="J166">
        <v>952</v>
      </c>
      <c r="K166">
        <v>0</v>
      </c>
      <c r="L166">
        <v>2</v>
      </c>
      <c r="M166">
        <v>2</v>
      </c>
      <c r="N166">
        <v>201</v>
      </c>
      <c r="O166">
        <v>126</v>
      </c>
      <c r="P166">
        <v>126</v>
      </c>
      <c r="Q166">
        <v>102</v>
      </c>
      <c r="R166">
        <v>85</v>
      </c>
      <c r="S166">
        <v>47</v>
      </c>
      <c r="T166">
        <v>21</v>
      </c>
      <c r="U166">
        <v>949</v>
      </c>
    </row>
    <row r="167" spans="1:21" x14ac:dyDescent="0.25">
      <c r="A167">
        <v>2025</v>
      </c>
      <c r="B167">
        <v>1</v>
      </c>
      <c r="C167" t="s">
        <v>75</v>
      </c>
      <c r="D167" t="s">
        <v>22</v>
      </c>
      <c r="E167" t="s">
        <v>70</v>
      </c>
      <c r="F167" t="s">
        <v>29</v>
      </c>
      <c r="G167" t="s">
        <v>26</v>
      </c>
      <c r="H167" t="s">
        <v>26</v>
      </c>
      <c r="I167" t="s">
        <v>25</v>
      </c>
      <c r="J167">
        <v>16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</row>
    <row r="168" spans="1:21" x14ac:dyDescent="0.25">
      <c r="A168">
        <v>2025</v>
      </c>
      <c r="B168">
        <v>1</v>
      </c>
      <c r="C168" t="s">
        <v>75</v>
      </c>
      <c r="D168" t="s">
        <v>22</v>
      </c>
      <c r="E168" t="s">
        <v>35</v>
      </c>
      <c r="F168" t="s">
        <v>24</v>
      </c>
      <c r="G168" t="s">
        <v>25</v>
      </c>
      <c r="H168" t="s">
        <v>26</v>
      </c>
      <c r="I168" t="s">
        <v>26</v>
      </c>
      <c r="J168">
        <v>43</v>
      </c>
      <c r="K168">
        <v>2</v>
      </c>
      <c r="L168">
        <v>0</v>
      </c>
      <c r="M168">
        <v>2</v>
      </c>
      <c r="N168">
        <v>5</v>
      </c>
      <c r="O168">
        <v>5</v>
      </c>
      <c r="P168">
        <v>5</v>
      </c>
      <c r="Q168">
        <v>5</v>
      </c>
      <c r="R168">
        <v>5</v>
      </c>
      <c r="S168">
        <v>5</v>
      </c>
      <c r="T168">
        <v>1</v>
      </c>
      <c r="U168">
        <v>37</v>
      </c>
    </row>
    <row r="169" spans="1:21" x14ac:dyDescent="0.25">
      <c r="A169">
        <v>2025</v>
      </c>
      <c r="B169">
        <v>1</v>
      </c>
      <c r="C169" t="s">
        <v>75</v>
      </c>
      <c r="D169" t="s">
        <v>22</v>
      </c>
      <c r="E169" t="s">
        <v>42</v>
      </c>
      <c r="F169" t="s">
        <v>24</v>
      </c>
      <c r="G169" t="s">
        <v>26</v>
      </c>
      <c r="H169" t="s">
        <v>26</v>
      </c>
      <c r="I169" t="s">
        <v>25</v>
      </c>
      <c r="J169">
        <v>113</v>
      </c>
      <c r="K169">
        <v>0</v>
      </c>
      <c r="L169">
        <v>0</v>
      </c>
      <c r="M169">
        <v>0</v>
      </c>
      <c r="N169">
        <v>24</v>
      </c>
      <c r="O169">
        <v>16</v>
      </c>
      <c r="P169">
        <v>15</v>
      </c>
      <c r="Q169">
        <v>8</v>
      </c>
      <c r="R169">
        <v>5</v>
      </c>
      <c r="S169">
        <v>3</v>
      </c>
      <c r="T169">
        <v>2</v>
      </c>
      <c r="U169">
        <v>113</v>
      </c>
    </row>
    <row r="170" spans="1:21" x14ac:dyDescent="0.25">
      <c r="A170">
        <v>2025</v>
      </c>
      <c r="B170">
        <v>1</v>
      </c>
      <c r="C170" t="s">
        <v>75</v>
      </c>
      <c r="D170" t="s">
        <v>22</v>
      </c>
      <c r="E170" t="s">
        <v>27</v>
      </c>
      <c r="F170" t="s">
        <v>28</v>
      </c>
      <c r="G170" t="s">
        <v>26</v>
      </c>
      <c r="H170" t="s">
        <v>26</v>
      </c>
      <c r="I170" t="s">
        <v>25</v>
      </c>
      <c r="J170">
        <v>10881</v>
      </c>
      <c r="K170">
        <v>27</v>
      </c>
      <c r="L170">
        <v>116</v>
      </c>
      <c r="M170">
        <v>143</v>
      </c>
      <c r="N170">
        <v>2866</v>
      </c>
      <c r="O170">
        <v>1720</v>
      </c>
      <c r="P170">
        <v>1720</v>
      </c>
      <c r="Q170">
        <v>1201</v>
      </c>
      <c r="R170">
        <v>916</v>
      </c>
      <c r="S170">
        <v>453</v>
      </c>
      <c r="T170">
        <v>179</v>
      </c>
      <c r="U170">
        <v>10824</v>
      </c>
    </row>
    <row r="171" spans="1:21" x14ac:dyDescent="0.25">
      <c r="A171">
        <v>2025</v>
      </c>
      <c r="B171">
        <v>1</v>
      </c>
      <c r="C171" t="s">
        <v>75</v>
      </c>
      <c r="D171" t="s">
        <v>22</v>
      </c>
      <c r="E171" t="s">
        <v>27</v>
      </c>
      <c r="F171" t="s">
        <v>24</v>
      </c>
      <c r="G171" t="s">
        <v>26</v>
      </c>
      <c r="H171" t="s">
        <v>26</v>
      </c>
      <c r="I171" t="s">
        <v>25</v>
      </c>
      <c r="J171">
        <v>702</v>
      </c>
      <c r="K171">
        <v>0</v>
      </c>
      <c r="L171">
        <v>2</v>
      </c>
      <c r="M171">
        <v>2</v>
      </c>
      <c r="N171">
        <v>284</v>
      </c>
      <c r="O171">
        <v>156</v>
      </c>
      <c r="P171">
        <v>156</v>
      </c>
      <c r="Q171">
        <v>114</v>
      </c>
      <c r="R171">
        <v>78</v>
      </c>
      <c r="S171">
        <v>33</v>
      </c>
      <c r="T171">
        <v>12</v>
      </c>
      <c r="U171">
        <v>701</v>
      </c>
    </row>
    <row r="172" spans="1:21" x14ac:dyDescent="0.25">
      <c r="A172">
        <v>2025</v>
      </c>
      <c r="B172">
        <v>1</v>
      </c>
      <c r="C172" t="s">
        <v>75</v>
      </c>
      <c r="D172" t="s">
        <v>22</v>
      </c>
      <c r="E172" t="s">
        <v>27</v>
      </c>
      <c r="F172" t="s">
        <v>29</v>
      </c>
      <c r="G172" t="s">
        <v>26</v>
      </c>
      <c r="H172" t="s">
        <v>26</v>
      </c>
      <c r="I172" t="s">
        <v>25</v>
      </c>
      <c r="J172">
        <v>684</v>
      </c>
      <c r="K172">
        <v>4</v>
      </c>
      <c r="L172">
        <v>0</v>
      </c>
      <c r="M172">
        <v>4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</row>
    <row r="173" spans="1:21" x14ac:dyDescent="0.25">
      <c r="A173">
        <v>2025</v>
      </c>
      <c r="B173">
        <v>1</v>
      </c>
      <c r="C173" t="s">
        <v>79</v>
      </c>
      <c r="D173" t="s">
        <v>22</v>
      </c>
      <c r="E173" t="s">
        <v>31</v>
      </c>
      <c r="F173" t="s">
        <v>24</v>
      </c>
      <c r="G173" t="s">
        <v>25</v>
      </c>
      <c r="H173" t="s">
        <v>25</v>
      </c>
      <c r="I173" t="s">
        <v>25</v>
      </c>
      <c r="J173">
        <v>342</v>
      </c>
      <c r="K173">
        <v>0</v>
      </c>
      <c r="L173">
        <v>0</v>
      </c>
      <c r="M173">
        <v>0</v>
      </c>
      <c r="N173">
        <v>9</v>
      </c>
      <c r="O173">
        <v>7</v>
      </c>
      <c r="P173">
        <v>5</v>
      </c>
      <c r="Q173">
        <v>3</v>
      </c>
      <c r="R173">
        <v>3</v>
      </c>
      <c r="S173">
        <v>2</v>
      </c>
      <c r="T173">
        <v>1</v>
      </c>
      <c r="U173">
        <v>342</v>
      </c>
    </row>
    <row r="174" spans="1:21" x14ac:dyDescent="0.25">
      <c r="A174">
        <v>2025</v>
      </c>
      <c r="B174">
        <v>1</v>
      </c>
      <c r="C174" t="s">
        <v>79</v>
      </c>
      <c r="D174" t="s">
        <v>22</v>
      </c>
      <c r="E174" t="s">
        <v>32</v>
      </c>
      <c r="F174" t="s">
        <v>24</v>
      </c>
      <c r="G174" t="s">
        <v>25</v>
      </c>
      <c r="H174" t="s">
        <v>25</v>
      </c>
      <c r="I174" t="s">
        <v>25</v>
      </c>
      <c r="J174">
        <v>124</v>
      </c>
      <c r="K174">
        <v>0</v>
      </c>
      <c r="L174">
        <v>0</v>
      </c>
      <c r="M174">
        <v>0</v>
      </c>
      <c r="N174">
        <v>3</v>
      </c>
      <c r="O174">
        <v>3</v>
      </c>
      <c r="P174">
        <v>3</v>
      </c>
      <c r="Q174">
        <v>3</v>
      </c>
      <c r="R174">
        <v>3</v>
      </c>
      <c r="S174">
        <v>2</v>
      </c>
      <c r="T174">
        <v>1</v>
      </c>
      <c r="U174">
        <v>110</v>
      </c>
    </row>
    <row r="175" spans="1:21" x14ac:dyDescent="0.25">
      <c r="A175">
        <v>2025</v>
      </c>
      <c r="B175">
        <v>1</v>
      </c>
      <c r="C175" t="s">
        <v>79</v>
      </c>
      <c r="D175" t="s">
        <v>22</v>
      </c>
      <c r="E175" t="s">
        <v>34</v>
      </c>
      <c r="F175" t="s">
        <v>24</v>
      </c>
      <c r="G175" t="s">
        <v>25</v>
      </c>
      <c r="H175" t="s">
        <v>26</v>
      </c>
      <c r="I175" t="s">
        <v>26</v>
      </c>
      <c r="J175">
        <v>105</v>
      </c>
      <c r="K175">
        <v>1</v>
      </c>
      <c r="L175">
        <v>0</v>
      </c>
      <c r="M175">
        <v>1</v>
      </c>
      <c r="N175">
        <v>6</v>
      </c>
      <c r="O175">
        <v>4</v>
      </c>
      <c r="P175">
        <v>4</v>
      </c>
      <c r="Q175">
        <v>4</v>
      </c>
      <c r="R175">
        <v>2</v>
      </c>
      <c r="S175">
        <v>2</v>
      </c>
      <c r="T175">
        <v>2</v>
      </c>
      <c r="U175">
        <v>83</v>
      </c>
    </row>
    <row r="176" spans="1:21" x14ac:dyDescent="0.25">
      <c r="A176">
        <v>2025</v>
      </c>
      <c r="B176">
        <v>1</v>
      </c>
      <c r="C176" t="s">
        <v>79</v>
      </c>
      <c r="D176" t="s">
        <v>22</v>
      </c>
      <c r="E176" t="s">
        <v>23</v>
      </c>
      <c r="F176" t="s">
        <v>24</v>
      </c>
      <c r="G176" t="s">
        <v>25</v>
      </c>
      <c r="H176" t="s">
        <v>25</v>
      </c>
      <c r="I176" t="s">
        <v>25</v>
      </c>
      <c r="J176">
        <v>59</v>
      </c>
      <c r="K176">
        <v>0</v>
      </c>
      <c r="L176">
        <v>0</v>
      </c>
      <c r="M176">
        <v>0</v>
      </c>
      <c r="N176">
        <v>7</v>
      </c>
      <c r="O176">
        <v>6</v>
      </c>
      <c r="P176">
        <v>6</v>
      </c>
      <c r="Q176">
        <v>5</v>
      </c>
      <c r="R176">
        <v>4</v>
      </c>
      <c r="S176">
        <v>2</v>
      </c>
      <c r="T176">
        <v>1</v>
      </c>
      <c r="U176">
        <v>45</v>
      </c>
    </row>
    <row r="177" spans="1:21" x14ac:dyDescent="0.25">
      <c r="A177">
        <v>2025</v>
      </c>
      <c r="B177">
        <v>1</v>
      </c>
      <c r="C177" t="s">
        <v>80</v>
      </c>
      <c r="D177" t="s">
        <v>22</v>
      </c>
      <c r="E177" t="s">
        <v>31</v>
      </c>
      <c r="F177" t="s">
        <v>24</v>
      </c>
      <c r="G177" t="s">
        <v>25</v>
      </c>
      <c r="H177" t="s">
        <v>25</v>
      </c>
      <c r="I177" t="s">
        <v>25</v>
      </c>
      <c r="J177">
        <v>54</v>
      </c>
      <c r="K177">
        <v>0</v>
      </c>
      <c r="L177">
        <v>0</v>
      </c>
      <c r="M177">
        <v>0</v>
      </c>
      <c r="N177">
        <v>12</v>
      </c>
      <c r="O177">
        <v>10</v>
      </c>
      <c r="P177">
        <v>8</v>
      </c>
      <c r="Q177">
        <v>5</v>
      </c>
      <c r="R177">
        <v>5</v>
      </c>
      <c r="S177">
        <v>3</v>
      </c>
      <c r="T177">
        <v>0</v>
      </c>
      <c r="U177">
        <v>54</v>
      </c>
    </row>
    <row r="178" spans="1:21" x14ac:dyDescent="0.25">
      <c r="A178">
        <v>2025</v>
      </c>
      <c r="B178">
        <v>1</v>
      </c>
      <c r="C178" t="s">
        <v>80</v>
      </c>
      <c r="D178" t="s">
        <v>22</v>
      </c>
      <c r="E178" t="s">
        <v>32</v>
      </c>
      <c r="F178" t="s">
        <v>28</v>
      </c>
      <c r="G178" t="s">
        <v>25</v>
      </c>
      <c r="H178" t="s">
        <v>25</v>
      </c>
      <c r="I178" t="s">
        <v>25</v>
      </c>
      <c r="J178">
        <v>92</v>
      </c>
      <c r="K178">
        <v>0</v>
      </c>
      <c r="L178">
        <v>0</v>
      </c>
      <c r="M178">
        <v>0</v>
      </c>
      <c r="N178">
        <v>43</v>
      </c>
      <c r="O178">
        <v>34</v>
      </c>
      <c r="P178">
        <v>26</v>
      </c>
      <c r="Q178">
        <v>15</v>
      </c>
      <c r="R178">
        <v>10</v>
      </c>
      <c r="S178">
        <v>5</v>
      </c>
      <c r="T178">
        <v>3</v>
      </c>
      <c r="U178">
        <v>92</v>
      </c>
    </row>
    <row r="179" spans="1:21" x14ac:dyDescent="0.25">
      <c r="A179">
        <v>2025</v>
      </c>
      <c r="B179">
        <v>1</v>
      </c>
      <c r="C179" t="s">
        <v>80</v>
      </c>
      <c r="D179" t="s">
        <v>22</v>
      </c>
      <c r="E179" t="s">
        <v>32</v>
      </c>
      <c r="F179" t="s">
        <v>24</v>
      </c>
      <c r="G179" t="s">
        <v>25</v>
      </c>
      <c r="H179" t="s">
        <v>25</v>
      </c>
      <c r="I179" t="s">
        <v>25</v>
      </c>
      <c r="J179">
        <v>1412</v>
      </c>
      <c r="K179">
        <v>5</v>
      </c>
      <c r="L179">
        <v>18</v>
      </c>
      <c r="M179">
        <v>23</v>
      </c>
      <c r="N179">
        <v>412</v>
      </c>
      <c r="O179">
        <v>327</v>
      </c>
      <c r="P179">
        <v>279</v>
      </c>
      <c r="Q179">
        <v>184</v>
      </c>
      <c r="R179">
        <v>124</v>
      </c>
      <c r="S179">
        <v>52</v>
      </c>
      <c r="T179">
        <v>20</v>
      </c>
      <c r="U179">
        <v>1384</v>
      </c>
    </row>
    <row r="180" spans="1:21" x14ac:dyDescent="0.25">
      <c r="A180">
        <v>2025</v>
      </c>
      <c r="B180">
        <v>1</v>
      </c>
      <c r="C180" t="s">
        <v>80</v>
      </c>
      <c r="D180" t="s">
        <v>22</v>
      </c>
      <c r="E180" t="s">
        <v>34</v>
      </c>
      <c r="F180" t="s">
        <v>28</v>
      </c>
      <c r="G180" t="s">
        <v>25</v>
      </c>
      <c r="H180" t="s">
        <v>26</v>
      </c>
      <c r="I180" t="s">
        <v>26</v>
      </c>
      <c r="J180">
        <v>3</v>
      </c>
      <c r="K180">
        <v>0</v>
      </c>
      <c r="L180">
        <v>2</v>
      </c>
      <c r="M180">
        <v>2</v>
      </c>
      <c r="N180">
        <v>1</v>
      </c>
      <c r="O180">
        <v>1</v>
      </c>
      <c r="P180">
        <v>1</v>
      </c>
      <c r="Q180">
        <v>1</v>
      </c>
      <c r="R180">
        <v>1</v>
      </c>
      <c r="S180">
        <v>0</v>
      </c>
      <c r="T180">
        <v>0</v>
      </c>
      <c r="U180">
        <v>3</v>
      </c>
    </row>
    <row r="181" spans="1:21" x14ac:dyDescent="0.25">
      <c r="A181">
        <v>2025</v>
      </c>
      <c r="B181">
        <v>1</v>
      </c>
      <c r="C181" t="s">
        <v>80</v>
      </c>
      <c r="D181" t="s">
        <v>22</v>
      </c>
      <c r="E181" t="s">
        <v>34</v>
      </c>
      <c r="F181" t="s">
        <v>24</v>
      </c>
      <c r="G181" t="s">
        <v>25</v>
      </c>
      <c r="H181" t="s">
        <v>26</v>
      </c>
      <c r="I181" t="s">
        <v>26</v>
      </c>
      <c r="J181">
        <v>27</v>
      </c>
      <c r="K181">
        <v>0</v>
      </c>
      <c r="L181">
        <v>17</v>
      </c>
      <c r="M181">
        <v>17</v>
      </c>
      <c r="N181">
        <v>2</v>
      </c>
      <c r="O181">
        <v>2</v>
      </c>
      <c r="P181">
        <v>2</v>
      </c>
      <c r="Q181">
        <v>2</v>
      </c>
      <c r="R181">
        <v>2</v>
      </c>
      <c r="S181">
        <v>1</v>
      </c>
      <c r="T181">
        <v>1</v>
      </c>
      <c r="U181">
        <v>27</v>
      </c>
    </row>
    <row r="182" spans="1:21" x14ac:dyDescent="0.25">
      <c r="A182">
        <v>2025</v>
      </c>
      <c r="B182">
        <v>1</v>
      </c>
      <c r="C182" t="s">
        <v>80</v>
      </c>
      <c r="D182" t="s">
        <v>22</v>
      </c>
      <c r="E182" t="s">
        <v>76</v>
      </c>
      <c r="F182" t="s">
        <v>28</v>
      </c>
      <c r="G182" t="s">
        <v>25</v>
      </c>
      <c r="H182" t="s">
        <v>26</v>
      </c>
      <c r="I182" t="s">
        <v>25</v>
      </c>
      <c r="J182">
        <v>5</v>
      </c>
      <c r="K182">
        <v>0</v>
      </c>
      <c r="L182">
        <v>1</v>
      </c>
      <c r="M182">
        <v>1</v>
      </c>
      <c r="N182">
        <v>2</v>
      </c>
      <c r="O182">
        <v>2</v>
      </c>
      <c r="P182">
        <v>2</v>
      </c>
      <c r="Q182">
        <v>2</v>
      </c>
      <c r="R182">
        <v>2</v>
      </c>
      <c r="S182">
        <v>1</v>
      </c>
      <c r="T182">
        <v>0</v>
      </c>
      <c r="U182">
        <v>4</v>
      </c>
    </row>
    <row r="183" spans="1:21" x14ac:dyDescent="0.25">
      <c r="A183">
        <v>2025</v>
      </c>
      <c r="B183">
        <v>1</v>
      </c>
      <c r="C183" t="s">
        <v>80</v>
      </c>
      <c r="D183" t="s">
        <v>22</v>
      </c>
      <c r="E183" t="s">
        <v>81</v>
      </c>
      <c r="F183" t="s">
        <v>28</v>
      </c>
      <c r="G183" t="s">
        <v>25</v>
      </c>
      <c r="H183" t="s">
        <v>26</v>
      </c>
      <c r="I183" t="s">
        <v>25</v>
      </c>
      <c r="J183">
        <v>512</v>
      </c>
      <c r="K183">
        <v>0</v>
      </c>
      <c r="L183">
        <v>19</v>
      </c>
      <c r="M183">
        <v>19</v>
      </c>
      <c r="N183">
        <v>266</v>
      </c>
      <c r="O183">
        <v>214</v>
      </c>
      <c r="P183">
        <v>182</v>
      </c>
      <c r="Q183">
        <v>123</v>
      </c>
      <c r="R183">
        <v>100</v>
      </c>
      <c r="S183">
        <v>46</v>
      </c>
      <c r="T183">
        <v>17</v>
      </c>
      <c r="U183">
        <v>495</v>
      </c>
    </row>
    <row r="184" spans="1:21" x14ac:dyDescent="0.25">
      <c r="A184">
        <v>2025</v>
      </c>
      <c r="B184">
        <v>1</v>
      </c>
      <c r="C184" t="s">
        <v>80</v>
      </c>
      <c r="D184" t="s">
        <v>22</v>
      </c>
      <c r="E184" t="s">
        <v>82</v>
      </c>
      <c r="F184" t="s">
        <v>28</v>
      </c>
      <c r="G184" t="s">
        <v>25</v>
      </c>
      <c r="H184" t="s">
        <v>26</v>
      </c>
      <c r="I184" t="s">
        <v>25</v>
      </c>
      <c r="J184">
        <v>296</v>
      </c>
      <c r="K184">
        <v>0</v>
      </c>
      <c r="L184">
        <v>9</v>
      </c>
      <c r="M184">
        <v>9</v>
      </c>
      <c r="N184">
        <v>142</v>
      </c>
      <c r="O184">
        <v>106</v>
      </c>
      <c r="P184">
        <v>88</v>
      </c>
      <c r="Q184">
        <v>64</v>
      </c>
      <c r="R184">
        <v>41</v>
      </c>
      <c r="S184">
        <v>17</v>
      </c>
      <c r="T184">
        <v>7</v>
      </c>
      <c r="U184">
        <v>288</v>
      </c>
    </row>
    <row r="185" spans="1:21" x14ac:dyDescent="0.25">
      <c r="A185">
        <v>2025</v>
      </c>
      <c r="B185">
        <v>1</v>
      </c>
      <c r="C185" t="s">
        <v>80</v>
      </c>
      <c r="D185" t="s">
        <v>22</v>
      </c>
      <c r="E185" t="s">
        <v>83</v>
      </c>
      <c r="F185" t="s">
        <v>28</v>
      </c>
      <c r="G185" t="s">
        <v>26</v>
      </c>
      <c r="H185" t="s">
        <v>26</v>
      </c>
      <c r="I185" t="s">
        <v>25</v>
      </c>
      <c r="J185">
        <v>7091</v>
      </c>
      <c r="K185">
        <v>0</v>
      </c>
      <c r="L185">
        <v>176</v>
      </c>
      <c r="M185">
        <v>176</v>
      </c>
      <c r="N185">
        <v>2989</v>
      </c>
      <c r="O185">
        <v>2283</v>
      </c>
      <c r="P185">
        <v>2057</v>
      </c>
      <c r="Q185">
        <v>1453</v>
      </c>
      <c r="R185">
        <v>1071</v>
      </c>
      <c r="S185">
        <v>553</v>
      </c>
      <c r="T185">
        <v>171</v>
      </c>
      <c r="U185">
        <v>6934</v>
      </c>
    </row>
    <row r="186" spans="1:21" x14ac:dyDescent="0.25">
      <c r="A186">
        <v>2025</v>
      </c>
      <c r="B186">
        <v>1</v>
      </c>
      <c r="C186" t="s">
        <v>80</v>
      </c>
      <c r="D186" t="s">
        <v>22</v>
      </c>
      <c r="E186" t="s">
        <v>83</v>
      </c>
      <c r="F186" t="s">
        <v>29</v>
      </c>
      <c r="G186" t="s">
        <v>26</v>
      </c>
      <c r="H186" t="s">
        <v>26</v>
      </c>
      <c r="I186" t="s">
        <v>25</v>
      </c>
      <c r="J186">
        <v>1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</row>
    <row r="187" spans="1:21" x14ac:dyDescent="0.25">
      <c r="A187">
        <v>2025</v>
      </c>
      <c r="B187">
        <v>1</v>
      </c>
      <c r="C187" t="s">
        <v>80</v>
      </c>
      <c r="D187" t="s">
        <v>22</v>
      </c>
      <c r="E187" t="s">
        <v>23</v>
      </c>
      <c r="F187" t="s">
        <v>28</v>
      </c>
      <c r="G187" t="s">
        <v>25</v>
      </c>
      <c r="H187" t="s">
        <v>26</v>
      </c>
      <c r="I187" t="s">
        <v>25</v>
      </c>
      <c r="J187">
        <v>3277</v>
      </c>
      <c r="K187">
        <v>0</v>
      </c>
      <c r="L187">
        <v>174</v>
      </c>
      <c r="M187">
        <v>174</v>
      </c>
      <c r="N187">
        <v>1283</v>
      </c>
      <c r="O187">
        <v>1018</v>
      </c>
      <c r="P187">
        <v>910</v>
      </c>
      <c r="Q187">
        <v>608</v>
      </c>
      <c r="R187">
        <v>437</v>
      </c>
      <c r="S187">
        <v>232</v>
      </c>
      <c r="T187">
        <v>89</v>
      </c>
      <c r="U187">
        <v>3129</v>
      </c>
    </row>
    <row r="188" spans="1:21" x14ac:dyDescent="0.25">
      <c r="A188">
        <v>2025</v>
      </c>
      <c r="B188">
        <v>1</v>
      </c>
      <c r="C188" t="s">
        <v>80</v>
      </c>
      <c r="D188" t="s">
        <v>22</v>
      </c>
      <c r="E188" t="s">
        <v>84</v>
      </c>
      <c r="F188" t="s">
        <v>28</v>
      </c>
      <c r="G188" t="s">
        <v>25</v>
      </c>
      <c r="H188" t="s">
        <v>26</v>
      </c>
      <c r="I188" t="s">
        <v>26</v>
      </c>
      <c r="J188">
        <v>545</v>
      </c>
      <c r="K188">
        <v>0</v>
      </c>
      <c r="L188">
        <v>0</v>
      </c>
      <c r="M188">
        <v>0</v>
      </c>
      <c r="N188">
        <v>137</v>
      </c>
      <c r="O188">
        <v>114</v>
      </c>
      <c r="P188">
        <v>101</v>
      </c>
      <c r="Q188">
        <v>72</v>
      </c>
      <c r="R188">
        <v>59</v>
      </c>
      <c r="S188">
        <v>35</v>
      </c>
      <c r="T188">
        <v>19</v>
      </c>
      <c r="U188">
        <v>545</v>
      </c>
    </row>
    <row r="189" spans="1:21" x14ac:dyDescent="0.25">
      <c r="A189">
        <v>2025</v>
      </c>
      <c r="B189">
        <v>1</v>
      </c>
      <c r="C189" t="s">
        <v>80</v>
      </c>
      <c r="D189" t="s">
        <v>22</v>
      </c>
      <c r="E189" t="s">
        <v>40</v>
      </c>
      <c r="F189" t="s">
        <v>28</v>
      </c>
      <c r="G189" t="s">
        <v>25</v>
      </c>
      <c r="H189" t="s">
        <v>26</v>
      </c>
      <c r="I189" t="s">
        <v>25</v>
      </c>
      <c r="J189">
        <v>5</v>
      </c>
      <c r="K189">
        <v>0</v>
      </c>
      <c r="L189">
        <v>4</v>
      </c>
      <c r="M189">
        <v>4</v>
      </c>
      <c r="N189">
        <v>1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4</v>
      </c>
    </row>
    <row r="190" spans="1:21" x14ac:dyDescent="0.25">
      <c r="A190">
        <v>2025</v>
      </c>
      <c r="B190">
        <v>1</v>
      </c>
      <c r="C190" t="s">
        <v>80</v>
      </c>
      <c r="D190" t="s">
        <v>22</v>
      </c>
      <c r="E190" t="s">
        <v>40</v>
      </c>
      <c r="F190" t="s">
        <v>24</v>
      </c>
      <c r="G190" t="s">
        <v>25</v>
      </c>
      <c r="H190" t="s">
        <v>26</v>
      </c>
      <c r="I190" t="s">
        <v>25</v>
      </c>
      <c r="J190">
        <v>50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50</v>
      </c>
    </row>
    <row r="191" spans="1:21" x14ac:dyDescent="0.25">
      <c r="A191">
        <v>2025</v>
      </c>
      <c r="B191">
        <v>1</v>
      </c>
      <c r="C191" t="s">
        <v>80</v>
      </c>
      <c r="D191" t="s">
        <v>22</v>
      </c>
      <c r="E191" t="s">
        <v>85</v>
      </c>
      <c r="F191" t="s">
        <v>28</v>
      </c>
      <c r="G191" t="s">
        <v>25</v>
      </c>
      <c r="H191" t="s">
        <v>25</v>
      </c>
      <c r="I191" t="s">
        <v>25</v>
      </c>
      <c r="J191">
        <v>6721</v>
      </c>
      <c r="K191">
        <v>0</v>
      </c>
      <c r="L191">
        <v>327</v>
      </c>
      <c r="M191">
        <v>327</v>
      </c>
      <c r="N191">
        <v>468</v>
      </c>
      <c r="O191">
        <v>238</v>
      </c>
      <c r="P191">
        <v>191</v>
      </c>
      <c r="Q191">
        <v>100</v>
      </c>
      <c r="R191">
        <v>52</v>
      </c>
      <c r="S191">
        <v>12</v>
      </c>
      <c r="T191">
        <v>4</v>
      </c>
      <c r="U191">
        <v>6464</v>
      </c>
    </row>
    <row r="192" spans="1:21" x14ac:dyDescent="0.25">
      <c r="A192">
        <v>2025</v>
      </c>
      <c r="B192">
        <v>1</v>
      </c>
      <c r="C192" t="s">
        <v>80</v>
      </c>
      <c r="D192" t="s">
        <v>22</v>
      </c>
      <c r="E192" t="s">
        <v>86</v>
      </c>
      <c r="F192" t="s">
        <v>28</v>
      </c>
      <c r="G192" t="s">
        <v>25</v>
      </c>
      <c r="H192" t="s">
        <v>25</v>
      </c>
      <c r="I192" t="s">
        <v>25</v>
      </c>
      <c r="J192">
        <v>3</v>
      </c>
      <c r="K192">
        <v>0</v>
      </c>
      <c r="L192">
        <v>1</v>
      </c>
      <c r="M192">
        <v>1</v>
      </c>
      <c r="N192">
        <v>1</v>
      </c>
      <c r="O192">
        <v>1</v>
      </c>
      <c r="P192">
        <v>1</v>
      </c>
      <c r="Q192">
        <v>0</v>
      </c>
      <c r="R192">
        <v>0</v>
      </c>
      <c r="S192">
        <v>0</v>
      </c>
      <c r="T192">
        <v>0</v>
      </c>
      <c r="U192">
        <v>2</v>
      </c>
    </row>
    <row r="193" spans="1:21" x14ac:dyDescent="0.25">
      <c r="A193">
        <v>2025</v>
      </c>
      <c r="B193">
        <v>1</v>
      </c>
      <c r="C193" t="s">
        <v>80</v>
      </c>
      <c r="D193" t="s">
        <v>22</v>
      </c>
      <c r="E193" t="s">
        <v>86</v>
      </c>
      <c r="F193" t="s">
        <v>29</v>
      </c>
      <c r="G193" t="s">
        <v>25</v>
      </c>
      <c r="H193" t="s">
        <v>25</v>
      </c>
      <c r="I193" t="s">
        <v>25</v>
      </c>
      <c r="J193">
        <v>13</v>
      </c>
      <c r="K193">
        <v>3</v>
      </c>
      <c r="L193">
        <v>0</v>
      </c>
      <c r="M193">
        <v>3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</row>
    <row r="194" spans="1:21" x14ac:dyDescent="0.25">
      <c r="A194">
        <v>2025</v>
      </c>
      <c r="B194">
        <v>1</v>
      </c>
      <c r="C194" t="s">
        <v>80</v>
      </c>
      <c r="D194" t="s">
        <v>22</v>
      </c>
      <c r="E194" t="s">
        <v>35</v>
      </c>
      <c r="F194" t="s">
        <v>28</v>
      </c>
      <c r="G194" t="s">
        <v>25</v>
      </c>
      <c r="H194" t="s">
        <v>26</v>
      </c>
      <c r="I194" t="s">
        <v>26</v>
      </c>
      <c r="J194">
        <v>52</v>
      </c>
      <c r="K194">
        <v>0</v>
      </c>
      <c r="L194">
        <v>0</v>
      </c>
      <c r="M194">
        <v>0</v>
      </c>
      <c r="N194">
        <v>18</v>
      </c>
      <c r="O194">
        <v>16</v>
      </c>
      <c r="P194">
        <v>16</v>
      </c>
      <c r="Q194">
        <v>14</v>
      </c>
      <c r="R194">
        <v>14</v>
      </c>
      <c r="S194">
        <v>7</v>
      </c>
      <c r="T194">
        <v>5</v>
      </c>
      <c r="U194">
        <v>52</v>
      </c>
    </row>
    <row r="195" spans="1:21" x14ac:dyDescent="0.25">
      <c r="A195">
        <v>2025</v>
      </c>
      <c r="B195">
        <v>1</v>
      </c>
      <c r="C195" t="s">
        <v>80</v>
      </c>
      <c r="D195" t="s">
        <v>22</v>
      </c>
      <c r="E195" t="s">
        <v>35</v>
      </c>
      <c r="F195" t="s">
        <v>24</v>
      </c>
      <c r="G195" t="s">
        <v>25</v>
      </c>
      <c r="H195" t="s">
        <v>26</v>
      </c>
      <c r="I195" t="s">
        <v>26</v>
      </c>
      <c r="J195">
        <v>169</v>
      </c>
      <c r="K195">
        <v>1</v>
      </c>
      <c r="L195">
        <v>9</v>
      </c>
      <c r="M195">
        <v>10</v>
      </c>
      <c r="N195">
        <v>20</v>
      </c>
      <c r="O195">
        <v>19</v>
      </c>
      <c r="P195">
        <v>17</v>
      </c>
      <c r="Q195">
        <v>16</v>
      </c>
      <c r="R195">
        <v>15</v>
      </c>
      <c r="S195">
        <v>10</v>
      </c>
      <c r="T195">
        <v>4</v>
      </c>
      <c r="U195">
        <v>156</v>
      </c>
    </row>
    <row r="196" spans="1:21" x14ac:dyDescent="0.25">
      <c r="A196">
        <v>2025</v>
      </c>
      <c r="B196">
        <v>1</v>
      </c>
      <c r="C196" t="s">
        <v>80</v>
      </c>
      <c r="D196" t="s">
        <v>22</v>
      </c>
      <c r="E196" t="s">
        <v>87</v>
      </c>
      <c r="F196" t="s">
        <v>28</v>
      </c>
      <c r="G196" t="s">
        <v>25</v>
      </c>
      <c r="H196" t="s">
        <v>25</v>
      </c>
      <c r="I196" t="s">
        <v>25</v>
      </c>
      <c r="J196">
        <v>224570</v>
      </c>
      <c r="K196">
        <v>234</v>
      </c>
      <c r="L196">
        <v>7586</v>
      </c>
      <c r="M196">
        <v>7820</v>
      </c>
      <c r="N196">
        <v>42279</v>
      </c>
      <c r="O196">
        <v>23477</v>
      </c>
      <c r="P196">
        <v>18494</v>
      </c>
      <c r="Q196">
        <v>9176</v>
      </c>
      <c r="R196">
        <v>5310</v>
      </c>
      <c r="S196">
        <v>1693</v>
      </c>
      <c r="T196">
        <v>375</v>
      </c>
      <c r="U196">
        <v>217988</v>
      </c>
    </row>
    <row r="197" spans="1:21" x14ac:dyDescent="0.25">
      <c r="A197">
        <v>2025</v>
      </c>
      <c r="B197">
        <v>1</v>
      </c>
      <c r="C197" t="s">
        <v>80</v>
      </c>
      <c r="D197" t="s">
        <v>22</v>
      </c>
      <c r="E197" t="s">
        <v>87</v>
      </c>
      <c r="F197" t="s">
        <v>24</v>
      </c>
      <c r="G197" t="s">
        <v>25</v>
      </c>
      <c r="H197" t="s">
        <v>25</v>
      </c>
      <c r="I197" t="s">
        <v>25</v>
      </c>
      <c r="J197">
        <v>5999</v>
      </c>
      <c r="K197">
        <v>260</v>
      </c>
      <c r="L197">
        <v>74</v>
      </c>
      <c r="M197">
        <v>334</v>
      </c>
      <c r="N197">
        <v>1247</v>
      </c>
      <c r="O197">
        <v>660</v>
      </c>
      <c r="P197">
        <v>481</v>
      </c>
      <c r="Q197">
        <v>193</v>
      </c>
      <c r="R197">
        <v>105</v>
      </c>
      <c r="S197">
        <v>18</v>
      </c>
      <c r="T197">
        <v>2</v>
      </c>
      <c r="U197">
        <v>5675</v>
      </c>
    </row>
    <row r="198" spans="1:21" x14ac:dyDescent="0.25">
      <c r="A198">
        <v>2025</v>
      </c>
      <c r="B198">
        <v>1</v>
      </c>
      <c r="C198" t="s">
        <v>80</v>
      </c>
      <c r="D198" t="s">
        <v>22</v>
      </c>
      <c r="E198" t="s">
        <v>36</v>
      </c>
      <c r="F198" t="s">
        <v>24</v>
      </c>
      <c r="G198" t="s">
        <v>25</v>
      </c>
      <c r="H198" t="s">
        <v>26</v>
      </c>
      <c r="I198" t="s">
        <v>25</v>
      </c>
      <c r="J198">
        <v>138</v>
      </c>
      <c r="K198">
        <v>0</v>
      </c>
      <c r="L198">
        <v>0</v>
      </c>
      <c r="M198">
        <v>0</v>
      </c>
      <c r="N198">
        <v>15</v>
      </c>
      <c r="O198">
        <v>14</v>
      </c>
      <c r="P198">
        <v>13</v>
      </c>
      <c r="Q198">
        <v>11</v>
      </c>
      <c r="R198">
        <v>9</v>
      </c>
      <c r="S198">
        <v>4</v>
      </c>
      <c r="T198">
        <v>2</v>
      </c>
      <c r="U198">
        <v>138</v>
      </c>
    </row>
    <row r="199" spans="1:21" x14ac:dyDescent="0.25">
      <c r="A199">
        <v>2025</v>
      </c>
      <c r="B199">
        <v>1</v>
      </c>
      <c r="C199" t="s">
        <v>80</v>
      </c>
      <c r="D199" t="s">
        <v>22</v>
      </c>
      <c r="E199" t="s">
        <v>41</v>
      </c>
      <c r="F199" t="s">
        <v>24</v>
      </c>
      <c r="G199" t="s">
        <v>26</v>
      </c>
      <c r="H199" t="s">
        <v>26</v>
      </c>
      <c r="I199" t="s">
        <v>25</v>
      </c>
      <c r="J199">
        <v>7</v>
      </c>
      <c r="K199">
        <v>0</v>
      </c>
      <c r="L199">
        <v>0</v>
      </c>
      <c r="M199">
        <v>0</v>
      </c>
      <c r="N199">
        <v>2</v>
      </c>
      <c r="O199">
        <v>2</v>
      </c>
      <c r="P199">
        <v>2</v>
      </c>
      <c r="Q199">
        <v>1</v>
      </c>
      <c r="R199">
        <v>0</v>
      </c>
      <c r="S199">
        <v>0</v>
      </c>
      <c r="T199">
        <v>0</v>
      </c>
      <c r="U199">
        <v>7</v>
      </c>
    </row>
    <row r="200" spans="1:21" x14ac:dyDescent="0.25">
      <c r="A200">
        <v>2025</v>
      </c>
      <c r="B200">
        <v>1</v>
      </c>
      <c r="C200" t="s">
        <v>88</v>
      </c>
      <c r="D200" t="s">
        <v>45</v>
      </c>
      <c r="E200" t="s">
        <v>83</v>
      </c>
      <c r="F200" t="s">
        <v>28</v>
      </c>
      <c r="G200" t="s">
        <v>26</v>
      </c>
      <c r="H200" t="s">
        <v>26</v>
      </c>
      <c r="I200" t="s">
        <v>25</v>
      </c>
      <c r="J200">
        <v>271</v>
      </c>
      <c r="K200">
        <v>0</v>
      </c>
      <c r="L200">
        <v>0</v>
      </c>
      <c r="M200">
        <v>0</v>
      </c>
      <c r="N200">
        <v>52</v>
      </c>
      <c r="O200">
        <v>35</v>
      </c>
      <c r="P200">
        <v>30</v>
      </c>
      <c r="Q200">
        <v>16</v>
      </c>
      <c r="R200">
        <v>9</v>
      </c>
      <c r="S200">
        <v>5</v>
      </c>
      <c r="T200">
        <v>2</v>
      </c>
      <c r="U200">
        <v>271</v>
      </c>
    </row>
    <row r="201" spans="1:21" x14ac:dyDescent="0.25">
      <c r="A201">
        <v>2025</v>
      </c>
      <c r="B201">
        <v>1</v>
      </c>
      <c r="C201" t="s">
        <v>89</v>
      </c>
      <c r="D201" t="s">
        <v>22</v>
      </c>
      <c r="E201" t="s">
        <v>90</v>
      </c>
      <c r="F201" t="s">
        <v>28</v>
      </c>
      <c r="G201" t="s">
        <v>25</v>
      </c>
      <c r="H201" t="s">
        <v>25</v>
      </c>
      <c r="I201" t="s">
        <v>25</v>
      </c>
      <c r="J201">
        <v>7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7</v>
      </c>
    </row>
    <row r="202" spans="1:21" x14ac:dyDescent="0.25">
      <c r="A202">
        <v>2025</v>
      </c>
      <c r="B202">
        <v>1</v>
      </c>
      <c r="C202" t="s">
        <v>89</v>
      </c>
      <c r="D202" t="s">
        <v>22</v>
      </c>
      <c r="E202" t="s">
        <v>91</v>
      </c>
      <c r="F202" t="s">
        <v>28</v>
      </c>
      <c r="G202" t="s">
        <v>25</v>
      </c>
      <c r="H202" t="s">
        <v>25</v>
      </c>
      <c r="I202" t="s">
        <v>25</v>
      </c>
      <c r="J202">
        <v>175</v>
      </c>
      <c r="K202">
        <v>0</v>
      </c>
      <c r="L202">
        <v>0</v>
      </c>
      <c r="M202">
        <v>0</v>
      </c>
      <c r="N202">
        <v>2</v>
      </c>
      <c r="O202">
        <v>2</v>
      </c>
      <c r="P202">
        <v>2</v>
      </c>
      <c r="Q202">
        <v>2</v>
      </c>
      <c r="R202">
        <v>1</v>
      </c>
      <c r="S202">
        <v>0</v>
      </c>
      <c r="T202">
        <v>0</v>
      </c>
      <c r="U202">
        <v>175</v>
      </c>
    </row>
    <row r="203" spans="1:21" x14ac:dyDescent="0.25">
      <c r="A203">
        <v>2025</v>
      </c>
      <c r="B203">
        <v>1</v>
      </c>
      <c r="C203" t="s">
        <v>89</v>
      </c>
      <c r="D203" t="s">
        <v>22</v>
      </c>
      <c r="E203" t="s">
        <v>91</v>
      </c>
      <c r="F203" t="s">
        <v>24</v>
      </c>
      <c r="G203" t="s">
        <v>25</v>
      </c>
      <c r="H203" t="s">
        <v>25</v>
      </c>
      <c r="I203" t="s">
        <v>25</v>
      </c>
      <c r="J203">
        <v>466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466</v>
      </c>
    </row>
    <row r="204" spans="1:21" x14ac:dyDescent="0.25">
      <c r="A204">
        <v>2025</v>
      </c>
      <c r="B204">
        <v>1</v>
      </c>
      <c r="C204" t="s">
        <v>89</v>
      </c>
      <c r="D204" t="s">
        <v>22</v>
      </c>
      <c r="E204" t="s">
        <v>92</v>
      </c>
      <c r="F204" t="s">
        <v>28</v>
      </c>
      <c r="G204" t="s">
        <v>25</v>
      </c>
      <c r="H204" t="s">
        <v>25</v>
      </c>
      <c r="I204" t="s">
        <v>25</v>
      </c>
      <c r="J204">
        <v>734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734</v>
      </c>
    </row>
    <row r="205" spans="1:21" x14ac:dyDescent="0.25">
      <c r="A205">
        <v>2025</v>
      </c>
      <c r="B205">
        <v>1</v>
      </c>
      <c r="C205" t="s">
        <v>89</v>
      </c>
      <c r="D205" t="s">
        <v>22</v>
      </c>
      <c r="E205" t="s">
        <v>93</v>
      </c>
      <c r="F205" t="s">
        <v>28</v>
      </c>
      <c r="G205" t="s">
        <v>25</v>
      </c>
      <c r="H205" t="s">
        <v>25</v>
      </c>
      <c r="I205" t="s">
        <v>25</v>
      </c>
      <c r="J205">
        <v>3</v>
      </c>
      <c r="K205">
        <v>0</v>
      </c>
      <c r="L205">
        <v>0</v>
      </c>
      <c r="M205">
        <v>0</v>
      </c>
      <c r="N205">
        <v>2</v>
      </c>
      <c r="O205">
        <v>1</v>
      </c>
      <c r="P205">
        <v>1</v>
      </c>
      <c r="Q205">
        <v>1</v>
      </c>
      <c r="R205">
        <v>1</v>
      </c>
      <c r="S205">
        <v>1</v>
      </c>
      <c r="T205">
        <v>0</v>
      </c>
      <c r="U205">
        <v>3</v>
      </c>
    </row>
    <row r="206" spans="1:21" x14ac:dyDescent="0.25">
      <c r="A206">
        <v>2025</v>
      </c>
      <c r="B206">
        <v>1</v>
      </c>
      <c r="C206" t="s">
        <v>89</v>
      </c>
      <c r="D206" t="s">
        <v>22</v>
      </c>
      <c r="E206" t="s">
        <v>38</v>
      </c>
      <c r="F206" t="s">
        <v>24</v>
      </c>
      <c r="G206" t="s">
        <v>25</v>
      </c>
      <c r="H206" t="s">
        <v>25</v>
      </c>
      <c r="I206" t="s">
        <v>25</v>
      </c>
      <c r="J206">
        <v>106</v>
      </c>
      <c r="K206">
        <v>1</v>
      </c>
      <c r="L206">
        <v>1</v>
      </c>
      <c r="M206">
        <v>2</v>
      </c>
      <c r="N206">
        <v>42</v>
      </c>
      <c r="O206">
        <v>27</v>
      </c>
      <c r="P206">
        <v>23</v>
      </c>
      <c r="Q206">
        <v>9</v>
      </c>
      <c r="R206">
        <v>5</v>
      </c>
      <c r="S206">
        <v>3</v>
      </c>
      <c r="T206">
        <v>2</v>
      </c>
      <c r="U206">
        <v>104</v>
      </c>
    </row>
    <row r="207" spans="1:21" x14ac:dyDescent="0.25">
      <c r="A207">
        <v>2025</v>
      </c>
      <c r="B207">
        <v>1</v>
      </c>
      <c r="C207" t="s">
        <v>89</v>
      </c>
      <c r="D207" t="s">
        <v>22</v>
      </c>
      <c r="E207" t="s">
        <v>94</v>
      </c>
      <c r="F207" t="s">
        <v>24</v>
      </c>
      <c r="G207" t="s">
        <v>25</v>
      </c>
      <c r="H207" t="s">
        <v>25</v>
      </c>
      <c r="I207" t="s">
        <v>25</v>
      </c>
      <c r="J207">
        <v>14</v>
      </c>
      <c r="K207">
        <v>0</v>
      </c>
      <c r="L207">
        <v>0</v>
      </c>
      <c r="M207">
        <v>0</v>
      </c>
      <c r="N207">
        <v>2</v>
      </c>
      <c r="O207">
        <v>1</v>
      </c>
      <c r="P207">
        <v>1</v>
      </c>
      <c r="Q207">
        <v>1</v>
      </c>
      <c r="R207">
        <v>1</v>
      </c>
      <c r="S207">
        <v>0</v>
      </c>
      <c r="T207">
        <v>0</v>
      </c>
      <c r="U207">
        <v>14</v>
      </c>
    </row>
    <row r="208" spans="1:21" x14ac:dyDescent="0.25">
      <c r="A208">
        <v>2025</v>
      </c>
      <c r="B208">
        <v>1</v>
      </c>
      <c r="C208" t="s">
        <v>89</v>
      </c>
      <c r="D208" t="s">
        <v>22</v>
      </c>
      <c r="E208" t="s">
        <v>95</v>
      </c>
      <c r="F208" t="s">
        <v>28</v>
      </c>
      <c r="G208" t="s">
        <v>25</v>
      </c>
      <c r="H208" t="s">
        <v>25</v>
      </c>
      <c r="I208" t="s">
        <v>25</v>
      </c>
      <c r="J208">
        <v>33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33</v>
      </c>
    </row>
    <row r="209" spans="1:21" x14ac:dyDescent="0.25">
      <c r="A209">
        <v>2025</v>
      </c>
      <c r="B209">
        <v>1</v>
      </c>
      <c r="C209" t="s">
        <v>89</v>
      </c>
      <c r="D209" t="s">
        <v>22</v>
      </c>
      <c r="E209" t="s">
        <v>95</v>
      </c>
      <c r="F209" t="s">
        <v>24</v>
      </c>
      <c r="G209" t="s">
        <v>25</v>
      </c>
      <c r="H209" t="s">
        <v>25</v>
      </c>
      <c r="I209" t="s">
        <v>25</v>
      </c>
      <c r="J209">
        <v>38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38</v>
      </c>
    </row>
    <row r="210" spans="1:21" x14ac:dyDescent="0.25">
      <c r="A210">
        <v>2025</v>
      </c>
      <c r="B210">
        <v>1</v>
      </c>
      <c r="C210" t="s">
        <v>89</v>
      </c>
      <c r="D210" t="s">
        <v>22</v>
      </c>
      <c r="E210" t="s">
        <v>23</v>
      </c>
      <c r="F210" t="s">
        <v>24</v>
      </c>
      <c r="G210" t="s">
        <v>25</v>
      </c>
      <c r="H210" t="s">
        <v>25</v>
      </c>
      <c r="I210" t="s">
        <v>25</v>
      </c>
      <c r="J210">
        <v>78</v>
      </c>
      <c r="K210">
        <v>0</v>
      </c>
      <c r="L210">
        <v>0</v>
      </c>
      <c r="M210">
        <v>0</v>
      </c>
      <c r="N210">
        <v>5</v>
      </c>
      <c r="O210">
        <v>4</v>
      </c>
      <c r="P210">
        <v>3</v>
      </c>
      <c r="Q210">
        <v>1</v>
      </c>
      <c r="R210">
        <v>1</v>
      </c>
      <c r="S210">
        <v>0</v>
      </c>
      <c r="T210">
        <v>0</v>
      </c>
      <c r="U210">
        <v>78</v>
      </c>
    </row>
    <row r="211" spans="1:21" x14ac:dyDescent="0.25">
      <c r="A211">
        <v>2025</v>
      </c>
      <c r="B211">
        <v>1</v>
      </c>
      <c r="C211" t="s">
        <v>89</v>
      </c>
      <c r="D211" t="s">
        <v>22</v>
      </c>
      <c r="E211" t="s">
        <v>40</v>
      </c>
      <c r="F211" t="s">
        <v>24</v>
      </c>
      <c r="G211" t="s">
        <v>25</v>
      </c>
      <c r="H211" t="s">
        <v>25</v>
      </c>
      <c r="I211" t="s">
        <v>25</v>
      </c>
      <c r="J211">
        <v>146</v>
      </c>
      <c r="K211">
        <v>0</v>
      </c>
      <c r="L211">
        <v>0</v>
      </c>
      <c r="M211">
        <v>0</v>
      </c>
      <c r="N211">
        <v>11</v>
      </c>
      <c r="O211">
        <v>3</v>
      </c>
      <c r="P211">
        <v>3</v>
      </c>
      <c r="Q211">
        <v>0</v>
      </c>
      <c r="R211">
        <v>0</v>
      </c>
      <c r="S211">
        <v>0</v>
      </c>
      <c r="T211">
        <v>0</v>
      </c>
      <c r="U211">
        <v>146</v>
      </c>
    </row>
    <row r="212" spans="1:21" x14ac:dyDescent="0.25">
      <c r="A212">
        <v>2025</v>
      </c>
      <c r="B212">
        <v>1</v>
      </c>
      <c r="C212" t="s">
        <v>89</v>
      </c>
      <c r="D212" t="s">
        <v>22</v>
      </c>
      <c r="E212" t="s">
        <v>96</v>
      </c>
      <c r="F212" t="s">
        <v>24</v>
      </c>
      <c r="G212" t="s">
        <v>25</v>
      </c>
      <c r="H212" t="s">
        <v>25</v>
      </c>
      <c r="I212" t="s">
        <v>25</v>
      </c>
      <c r="J212">
        <v>21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21</v>
      </c>
    </row>
    <row r="213" spans="1:21" x14ac:dyDescent="0.25">
      <c r="A213">
        <v>2025</v>
      </c>
      <c r="B213">
        <v>1</v>
      </c>
      <c r="C213" t="s">
        <v>89</v>
      </c>
      <c r="D213" t="s">
        <v>22</v>
      </c>
      <c r="E213" t="s">
        <v>97</v>
      </c>
      <c r="F213" t="s">
        <v>24</v>
      </c>
      <c r="G213" t="s">
        <v>25</v>
      </c>
      <c r="H213" t="s">
        <v>25</v>
      </c>
      <c r="I213" t="s">
        <v>25</v>
      </c>
      <c r="J213">
        <v>6</v>
      </c>
      <c r="K213">
        <v>0</v>
      </c>
      <c r="L213">
        <v>0</v>
      </c>
      <c r="M213">
        <v>0</v>
      </c>
      <c r="N213">
        <v>1</v>
      </c>
      <c r="O213">
        <v>1</v>
      </c>
      <c r="P213">
        <v>1</v>
      </c>
      <c r="Q213">
        <v>1</v>
      </c>
      <c r="R213">
        <v>0</v>
      </c>
      <c r="S213">
        <v>0</v>
      </c>
      <c r="T213">
        <v>0</v>
      </c>
      <c r="U213">
        <v>6</v>
      </c>
    </row>
    <row r="214" spans="1:21" x14ac:dyDescent="0.25">
      <c r="A214">
        <v>2025</v>
      </c>
      <c r="B214">
        <v>1</v>
      </c>
      <c r="C214" t="s">
        <v>89</v>
      </c>
      <c r="D214" t="s">
        <v>22</v>
      </c>
      <c r="F214" t="s">
        <v>28</v>
      </c>
      <c r="G214" t="s">
        <v>25</v>
      </c>
      <c r="H214" t="s">
        <v>25</v>
      </c>
      <c r="I214" t="s">
        <v>25</v>
      </c>
      <c r="J214">
        <v>17</v>
      </c>
      <c r="K214">
        <v>2</v>
      </c>
      <c r="L214">
        <v>1</v>
      </c>
      <c r="M214">
        <v>3</v>
      </c>
      <c r="N214">
        <v>6</v>
      </c>
      <c r="O214">
        <v>5</v>
      </c>
      <c r="P214">
        <v>5</v>
      </c>
      <c r="Q214">
        <v>5</v>
      </c>
      <c r="R214">
        <v>2</v>
      </c>
      <c r="S214">
        <v>1</v>
      </c>
      <c r="T214">
        <v>1</v>
      </c>
      <c r="U214">
        <v>15</v>
      </c>
    </row>
    <row r="215" spans="1:21" x14ac:dyDescent="0.25">
      <c r="A215">
        <v>2025</v>
      </c>
      <c r="B215">
        <v>1</v>
      </c>
      <c r="C215" t="s">
        <v>98</v>
      </c>
      <c r="D215" t="s">
        <v>22</v>
      </c>
      <c r="E215" t="s">
        <v>31</v>
      </c>
      <c r="F215" t="s">
        <v>24</v>
      </c>
      <c r="G215" t="s">
        <v>25</v>
      </c>
      <c r="H215" t="s">
        <v>25</v>
      </c>
      <c r="I215" t="s">
        <v>25</v>
      </c>
      <c r="J215">
        <v>19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19</v>
      </c>
    </row>
    <row r="216" spans="1:21" x14ac:dyDescent="0.25">
      <c r="A216">
        <v>2025</v>
      </c>
      <c r="B216">
        <v>1</v>
      </c>
      <c r="C216" t="s">
        <v>99</v>
      </c>
      <c r="D216" t="s">
        <v>45</v>
      </c>
      <c r="E216" t="s">
        <v>100</v>
      </c>
      <c r="F216" t="s">
        <v>28</v>
      </c>
      <c r="G216" t="s">
        <v>25</v>
      </c>
      <c r="H216" t="s">
        <v>26</v>
      </c>
      <c r="I216" t="s">
        <v>25</v>
      </c>
      <c r="J216">
        <v>1385</v>
      </c>
      <c r="K216">
        <v>0</v>
      </c>
      <c r="L216">
        <v>0</v>
      </c>
      <c r="M216">
        <v>0</v>
      </c>
      <c r="N216">
        <v>16</v>
      </c>
      <c r="O216">
        <v>13</v>
      </c>
      <c r="P216">
        <v>12</v>
      </c>
      <c r="Q216">
        <v>7</v>
      </c>
      <c r="R216">
        <v>4</v>
      </c>
      <c r="S216">
        <v>3</v>
      </c>
      <c r="T216">
        <v>0</v>
      </c>
      <c r="U216">
        <v>1110</v>
      </c>
    </row>
    <row r="217" spans="1:21" x14ac:dyDescent="0.25">
      <c r="A217">
        <v>2025</v>
      </c>
      <c r="B217">
        <v>1</v>
      </c>
      <c r="C217" t="s">
        <v>99</v>
      </c>
      <c r="D217" t="s">
        <v>45</v>
      </c>
      <c r="E217" t="s">
        <v>100</v>
      </c>
      <c r="F217" t="s">
        <v>24</v>
      </c>
      <c r="G217" t="s">
        <v>25</v>
      </c>
      <c r="H217" t="s">
        <v>26</v>
      </c>
      <c r="I217" t="s">
        <v>25</v>
      </c>
      <c r="J217">
        <v>363</v>
      </c>
      <c r="K217">
        <v>0</v>
      </c>
      <c r="L217">
        <v>10</v>
      </c>
      <c r="M217">
        <v>10</v>
      </c>
      <c r="N217">
        <v>138</v>
      </c>
      <c r="O217">
        <v>102</v>
      </c>
      <c r="P217">
        <v>85</v>
      </c>
      <c r="Q217">
        <v>47</v>
      </c>
      <c r="R217">
        <v>22</v>
      </c>
      <c r="S217">
        <v>6</v>
      </c>
      <c r="T217">
        <v>2</v>
      </c>
      <c r="U217">
        <v>363</v>
      </c>
    </row>
    <row r="218" spans="1:21" x14ac:dyDescent="0.25">
      <c r="A218">
        <v>2025</v>
      </c>
      <c r="B218">
        <v>1</v>
      </c>
      <c r="C218" t="s">
        <v>101</v>
      </c>
      <c r="D218" t="s">
        <v>22</v>
      </c>
      <c r="E218" t="s">
        <v>32</v>
      </c>
      <c r="F218" t="s">
        <v>24</v>
      </c>
      <c r="G218" t="s">
        <v>25</v>
      </c>
      <c r="H218" t="s">
        <v>25</v>
      </c>
      <c r="I218" t="s">
        <v>25</v>
      </c>
      <c r="J218">
        <v>68</v>
      </c>
      <c r="K218">
        <v>0</v>
      </c>
      <c r="L218">
        <v>0</v>
      </c>
      <c r="M218">
        <v>0</v>
      </c>
      <c r="N218">
        <v>5</v>
      </c>
      <c r="O218">
        <v>5</v>
      </c>
      <c r="P218">
        <v>4</v>
      </c>
      <c r="Q218">
        <v>3</v>
      </c>
      <c r="R218">
        <v>2</v>
      </c>
      <c r="S218">
        <v>0</v>
      </c>
      <c r="T218">
        <v>0</v>
      </c>
      <c r="U218">
        <v>68</v>
      </c>
    </row>
    <row r="219" spans="1:21" x14ac:dyDescent="0.25">
      <c r="A219">
        <v>2025</v>
      </c>
      <c r="B219">
        <v>1</v>
      </c>
      <c r="C219" t="s">
        <v>101</v>
      </c>
      <c r="D219" t="s">
        <v>22</v>
      </c>
      <c r="E219" t="s">
        <v>34</v>
      </c>
      <c r="F219" t="s">
        <v>24</v>
      </c>
      <c r="G219" t="s">
        <v>25</v>
      </c>
      <c r="H219" t="s">
        <v>26</v>
      </c>
      <c r="I219" t="s">
        <v>26</v>
      </c>
      <c r="J219">
        <v>87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49</v>
      </c>
    </row>
    <row r="220" spans="1:21" x14ac:dyDescent="0.25">
      <c r="A220">
        <v>2025</v>
      </c>
      <c r="B220">
        <v>1</v>
      </c>
      <c r="C220" t="s">
        <v>101</v>
      </c>
      <c r="D220" t="s">
        <v>22</v>
      </c>
      <c r="E220" t="s">
        <v>35</v>
      </c>
      <c r="F220" t="s">
        <v>24</v>
      </c>
      <c r="G220" t="s">
        <v>25</v>
      </c>
      <c r="H220" t="s">
        <v>26</v>
      </c>
      <c r="I220" t="s">
        <v>26</v>
      </c>
      <c r="J220">
        <v>6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</row>
    <row r="221" spans="1:21" x14ac:dyDescent="0.25">
      <c r="A221">
        <v>2025</v>
      </c>
      <c r="B221">
        <v>1</v>
      </c>
      <c r="C221" t="s">
        <v>101</v>
      </c>
      <c r="D221" t="s">
        <v>22</v>
      </c>
      <c r="E221" t="s">
        <v>41</v>
      </c>
      <c r="F221" t="s">
        <v>24</v>
      </c>
      <c r="G221" t="s">
        <v>26</v>
      </c>
      <c r="H221" t="s">
        <v>26</v>
      </c>
      <c r="I221" t="s">
        <v>25</v>
      </c>
      <c r="J221">
        <v>45</v>
      </c>
      <c r="K221">
        <v>0</v>
      </c>
      <c r="L221">
        <v>0</v>
      </c>
      <c r="M221">
        <v>0</v>
      </c>
      <c r="N221">
        <v>2</v>
      </c>
      <c r="O221">
        <v>1</v>
      </c>
      <c r="P221">
        <v>1</v>
      </c>
      <c r="Q221">
        <v>1</v>
      </c>
      <c r="R221">
        <v>1</v>
      </c>
      <c r="S221">
        <v>0</v>
      </c>
      <c r="T221">
        <v>0</v>
      </c>
      <c r="U221">
        <v>45</v>
      </c>
    </row>
    <row r="222" spans="1:21" x14ac:dyDescent="0.25">
      <c r="A222">
        <v>2025</v>
      </c>
      <c r="B222">
        <v>2</v>
      </c>
      <c r="C222" t="s">
        <v>21</v>
      </c>
      <c r="D222" t="s">
        <v>22</v>
      </c>
      <c r="E222" t="s">
        <v>23</v>
      </c>
      <c r="F222" t="s">
        <v>24</v>
      </c>
      <c r="G222" t="s">
        <v>25</v>
      </c>
      <c r="H222" t="s">
        <v>26</v>
      </c>
      <c r="I222" t="s">
        <v>25</v>
      </c>
      <c r="J222">
        <v>809</v>
      </c>
      <c r="K222">
        <v>8</v>
      </c>
      <c r="L222">
        <v>0</v>
      </c>
      <c r="M222">
        <v>8</v>
      </c>
      <c r="N222">
        <v>161</v>
      </c>
      <c r="O222">
        <v>92</v>
      </c>
      <c r="P222">
        <v>69</v>
      </c>
      <c r="Q222">
        <v>43</v>
      </c>
      <c r="R222">
        <v>29</v>
      </c>
      <c r="S222">
        <v>8</v>
      </c>
      <c r="T222">
        <v>0</v>
      </c>
      <c r="U222">
        <v>801</v>
      </c>
    </row>
    <row r="223" spans="1:21" x14ac:dyDescent="0.25">
      <c r="A223">
        <v>2025</v>
      </c>
      <c r="B223">
        <v>2</v>
      </c>
      <c r="C223" t="s">
        <v>21</v>
      </c>
      <c r="D223" t="s">
        <v>22</v>
      </c>
      <c r="E223" t="s">
        <v>27</v>
      </c>
      <c r="F223" t="s">
        <v>24</v>
      </c>
      <c r="G223" t="s">
        <v>26</v>
      </c>
      <c r="H223" t="s">
        <v>26</v>
      </c>
      <c r="I223" t="s">
        <v>25</v>
      </c>
      <c r="J223">
        <v>68</v>
      </c>
      <c r="K223">
        <v>0</v>
      </c>
      <c r="L223">
        <v>0</v>
      </c>
      <c r="M223">
        <v>0</v>
      </c>
      <c r="N223">
        <v>39</v>
      </c>
      <c r="O223">
        <v>21</v>
      </c>
      <c r="P223">
        <v>21</v>
      </c>
      <c r="Q223">
        <v>19</v>
      </c>
      <c r="R223">
        <v>12</v>
      </c>
      <c r="S223">
        <v>5</v>
      </c>
      <c r="T223">
        <v>3</v>
      </c>
      <c r="U223">
        <v>68</v>
      </c>
    </row>
    <row r="224" spans="1:21" x14ac:dyDescent="0.25">
      <c r="A224">
        <v>2025</v>
      </c>
      <c r="B224">
        <v>2</v>
      </c>
      <c r="C224" t="s">
        <v>21</v>
      </c>
      <c r="D224" t="s">
        <v>22</v>
      </c>
      <c r="E224" t="s">
        <v>27</v>
      </c>
      <c r="F224" t="s">
        <v>29</v>
      </c>
      <c r="G224" t="s">
        <v>26</v>
      </c>
      <c r="H224" t="s">
        <v>26</v>
      </c>
      <c r="I224" t="s">
        <v>25</v>
      </c>
      <c r="J224">
        <v>4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</row>
    <row r="225" spans="1:21" x14ac:dyDescent="0.25">
      <c r="A225">
        <v>2025</v>
      </c>
      <c r="B225">
        <v>2</v>
      </c>
      <c r="C225" t="s">
        <v>30</v>
      </c>
      <c r="D225" t="s">
        <v>22</v>
      </c>
      <c r="E225" t="s">
        <v>31</v>
      </c>
      <c r="F225" t="s">
        <v>24</v>
      </c>
      <c r="G225" t="s">
        <v>25</v>
      </c>
      <c r="H225" t="s">
        <v>25</v>
      </c>
      <c r="I225" t="s">
        <v>25</v>
      </c>
      <c r="J225">
        <v>54</v>
      </c>
      <c r="K225">
        <v>0</v>
      </c>
      <c r="L225">
        <v>0</v>
      </c>
      <c r="M225">
        <v>0</v>
      </c>
      <c r="N225">
        <v>1</v>
      </c>
      <c r="O225">
        <v>1</v>
      </c>
      <c r="P225">
        <v>1</v>
      </c>
      <c r="Q225">
        <v>0</v>
      </c>
      <c r="R225">
        <v>0</v>
      </c>
      <c r="S225">
        <v>0</v>
      </c>
      <c r="T225">
        <v>0</v>
      </c>
      <c r="U225">
        <v>54</v>
      </c>
    </row>
    <row r="226" spans="1:21" x14ac:dyDescent="0.25">
      <c r="A226">
        <v>2025</v>
      </c>
      <c r="B226">
        <v>2</v>
      </c>
      <c r="C226" t="s">
        <v>33</v>
      </c>
      <c r="D226" t="s">
        <v>22</v>
      </c>
      <c r="E226" t="s">
        <v>32</v>
      </c>
      <c r="F226" t="s">
        <v>24</v>
      </c>
      <c r="G226" t="s">
        <v>25</v>
      </c>
      <c r="H226" t="s">
        <v>25</v>
      </c>
      <c r="I226" t="s">
        <v>25</v>
      </c>
      <c r="J226">
        <v>876</v>
      </c>
      <c r="K226">
        <v>1</v>
      </c>
      <c r="L226">
        <v>0</v>
      </c>
      <c r="M226">
        <v>1</v>
      </c>
      <c r="N226">
        <v>128</v>
      </c>
      <c r="O226">
        <v>102</v>
      </c>
      <c r="P226">
        <v>92</v>
      </c>
      <c r="Q226">
        <v>64</v>
      </c>
      <c r="R226">
        <v>49</v>
      </c>
      <c r="S226">
        <v>24</v>
      </c>
      <c r="T226">
        <v>6</v>
      </c>
      <c r="U226">
        <v>875</v>
      </c>
    </row>
    <row r="227" spans="1:21" x14ac:dyDescent="0.25">
      <c r="A227">
        <v>2025</v>
      </c>
      <c r="B227">
        <v>2</v>
      </c>
      <c r="C227" t="s">
        <v>33</v>
      </c>
      <c r="D227" t="s">
        <v>22</v>
      </c>
      <c r="E227" t="s">
        <v>34</v>
      </c>
      <c r="F227" t="s">
        <v>24</v>
      </c>
      <c r="G227" t="s">
        <v>25</v>
      </c>
      <c r="H227" t="s">
        <v>26</v>
      </c>
      <c r="I227" t="s">
        <v>26</v>
      </c>
      <c r="J227">
        <v>159</v>
      </c>
      <c r="K227">
        <v>0</v>
      </c>
      <c r="L227">
        <v>0</v>
      </c>
      <c r="M227">
        <v>0</v>
      </c>
      <c r="N227">
        <v>43</v>
      </c>
      <c r="O227">
        <v>39</v>
      </c>
      <c r="P227">
        <v>37</v>
      </c>
      <c r="Q227">
        <v>29</v>
      </c>
      <c r="R227">
        <v>24</v>
      </c>
      <c r="S227">
        <v>15</v>
      </c>
      <c r="T227">
        <v>6</v>
      </c>
      <c r="U227">
        <v>159</v>
      </c>
    </row>
    <row r="228" spans="1:21" x14ac:dyDescent="0.25">
      <c r="A228">
        <v>2025</v>
      </c>
      <c r="B228">
        <v>2</v>
      </c>
      <c r="C228" t="s">
        <v>33</v>
      </c>
      <c r="D228" t="s">
        <v>22</v>
      </c>
      <c r="E228" t="s">
        <v>23</v>
      </c>
      <c r="F228" t="s">
        <v>24</v>
      </c>
      <c r="G228" t="s">
        <v>25</v>
      </c>
      <c r="H228" t="s">
        <v>25</v>
      </c>
      <c r="I228" t="s">
        <v>25</v>
      </c>
      <c r="J228">
        <v>223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223</v>
      </c>
    </row>
    <row r="229" spans="1:21" x14ac:dyDescent="0.25">
      <c r="A229">
        <v>2025</v>
      </c>
      <c r="B229">
        <v>2</v>
      </c>
      <c r="C229" t="s">
        <v>33</v>
      </c>
      <c r="D229" t="s">
        <v>22</v>
      </c>
      <c r="E229" t="s">
        <v>23</v>
      </c>
      <c r="F229" t="s">
        <v>24</v>
      </c>
      <c r="G229" t="s">
        <v>25</v>
      </c>
      <c r="H229" t="s">
        <v>26</v>
      </c>
      <c r="I229" t="s">
        <v>25</v>
      </c>
      <c r="J229">
        <v>53</v>
      </c>
      <c r="K229">
        <v>0</v>
      </c>
      <c r="L229">
        <v>0</v>
      </c>
      <c r="M229">
        <v>0</v>
      </c>
      <c r="N229">
        <v>7</v>
      </c>
      <c r="O229">
        <v>7</v>
      </c>
      <c r="P229">
        <v>7</v>
      </c>
      <c r="Q229">
        <v>6</v>
      </c>
      <c r="R229">
        <v>6</v>
      </c>
      <c r="S229">
        <v>5</v>
      </c>
      <c r="T229">
        <v>0</v>
      </c>
      <c r="U229">
        <v>53</v>
      </c>
    </row>
    <row r="230" spans="1:21" x14ac:dyDescent="0.25">
      <c r="A230">
        <v>2025</v>
      </c>
      <c r="B230">
        <v>2</v>
      </c>
      <c r="C230" t="s">
        <v>33</v>
      </c>
      <c r="D230" t="s">
        <v>22</v>
      </c>
      <c r="E230" t="s">
        <v>35</v>
      </c>
      <c r="F230" t="s">
        <v>24</v>
      </c>
      <c r="G230" t="s">
        <v>25</v>
      </c>
      <c r="H230" t="s">
        <v>26</v>
      </c>
      <c r="I230" t="s">
        <v>26</v>
      </c>
      <c r="J230">
        <v>56</v>
      </c>
      <c r="K230">
        <v>0</v>
      </c>
      <c r="L230">
        <v>0</v>
      </c>
      <c r="M230">
        <v>0</v>
      </c>
      <c r="N230">
        <v>19</v>
      </c>
      <c r="O230">
        <v>18</v>
      </c>
      <c r="P230">
        <v>18</v>
      </c>
      <c r="Q230">
        <v>11</v>
      </c>
      <c r="R230">
        <v>8</v>
      </c>
      <c r="S230">
        <v>4</v>
      </c>
      <c r="T230">
        <v>3</v>
      </c>
      <c r="U230">
        <v>56</v>
      </c>
    </row>
    <row r="231" spans="1:21" x14ac:dyDescent="0.25">
      <c r="A231">
        <v>2025</v>
      </c>
      <c r="B231">
        <v>2</v>
      </c>
      <c r="C231" t="s">
        <v>33</v>
      </c>
      <c r="D231" t="s">
        <v>22</v>
      </c>
      <c r="E231" t="s">
        <v>36</v>
      </c>
      <c r="F231" t="s">
        <v>24</v>
      </c>
      <c r="G231" t="s">
        <v>25</v>
      </c>
      <c r="H231" t="s">
        <v>26</v>
      </c>
      <c r="I231" t="s">
        <v>25</v>
      </c>
      <c r="J231">
        <v>445</v>
      </c>
      <c r="K231">
        <v>0</v>
      </c>
      <c r="L231">
        <v>0</v>
      </c>
      <c r="M231">
        <v>0</v>
      </c>
      <c r="N231">
        <v>35</v>
      </c>
      <c r="O231">
        <v>27</v>
      </c>
      <c r="P231">
        <v>26</v>
      </c>
      <c r="Q231">
        <v>15</v>
      </c>
      <c r="R231">
        <v>7</v>
      </c>
      <c r="S231">
        <v>5</v>
      </c>
      <c r="T231">
        <v>3</v>
      </c>
      <c r="U231">
        <v>445</v>
      </c>
    </row>
    <row r="232" spans="1:21" x14ac:dyDescent="0.25">
      <c r="A232">
        <v>2025</v>
      </c>
      <c r="B232">
        <v>2</v>
      </c>
      <c r="C232" t="s">
        <v>37</v>
      </c>
      <c r="D232" t="s">
        <v>22</v>
      </c>
      <c r="E232" t="s">
        <v>32</v>
      </c>
      <c r="F232" t="s">
        <v>28</v>
      </c>
      <c r="G232" t="s">
        <v>25</v>
      </c>
      <c r="H232" t="s">
        <v>26</v>
      </c>
      <c r="I232" t="s">
        <v>25</v>
      </c>
      <c r="J232">
        <v>15</v>
      </c>
      <c r="K232">
        <v>0</v>
      </c>
      <c r="L232">
        <v>1</v>
      </c>
      <c r="M232">
        <v>1</v>
      </c>
      <c r="N232">
        <v>7</v>
      </c>
      <c r="O232">
        <v>7</v>
      </c>
      <c r="P232">
        <v>6</v>
      </c>
      <c r="Q232">
        <v>5</v>
      </c>
      <c r="R232">
        <v>3</v>
      </c>
      <c r="S232">
        <v>1</v>
      </c>
      <c r="T232">
        <v>0</v>
      </c>
      <c r="U232">
        <v>14</v>
      </c>
    </row>
    <row r="233" spans="1:21" x14ac:dyDescent="0.25">
      <c r="A233">
        <v>2025</v>
      </c>
      <c r="B233">
        <v>2</v>
      </c>
      <c r="C233" t="s">
        <v>37</v>
      </c>
      <c r="D233" t="s">
        <v>22</v>
      </c>
      <c r="E233" t="s">
        <v>32</v>
      </c>
      <c r="F233" t="s">
        <v>24</v>
      </c>
      <c r="G233" t="s">
        <v>25</v>
      </c>
      <c r="H233" t="s">
        <v>26</v>
      </c>
      <c r="I233" t="s">
        <v>25</v>
      </c>
      <c r="J233">
        <v>1735</v>
      </c>
      <c r="K233">
        <v>19</v>
      </c>
      <c r="L233">
        <v>120</v>
      </c>
      <c r="M233">
        <v>139</v>
      </c>
      <c r="N233">
        <v>955</v>
      </c>
      <c r="O233">
        <v>805</v>
      </c>
      <c r="P233">
        <v>744</v>
      </c>
      <c r="Q233">
        <v>582</v>
      </c>
      <c r="R233">
        <v>457</v>
      </c>
      <c r="S233">
        <v>241</v>
      </c>
      <c r="T233">
        <v>68</v>
      </c>
      <c r="U233">
        <v>1661</v>
      </c>
    </row>
    <row r="234" spans="1:21" x14ac:dyDescent="0.25">
      <c r="A234">
        <v>2025</v>
      </c>
      <c r="B234">
        <v>2</v>
      </c>
      <c r="C234" t="s">
        <v>37</v>
      </c>
      <c r="D234" t="s">
        <v>22</v>
      </c>
      <c r="E234" t="s">
        <v>32</v>
      </c>
      <c r="F234" t="s">
        <v>29</v>
      </c>
      <c r="G234" t="s">
        <v>25</v>
      </c>
      <c r="H234" t="s">
        <v>26</v>
      </c>
      <c r="I234" t="s">
        <v>25</v>
      </c>
      <c r="J234">
        <v>1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</row>
    <row r="235" spans="1:21" x14ac:dyDescent="0.25">
      <c r="A235">
        <v>2025</v>
      </c>
      <c r="B235">
        <v>2</v>
      </c>
      <c r="C235" t="s">
        <v>37</v>
      </c>
      <c r="D235" t="s">
        <v>22</v>
      </c>
      <c r="E235" t="s">
        <v>38</v>
      </c>
      <c r="F235" t="s">
        <v>24</v>
      </c>
      <c r="G235" t="s">
        <v>25</v>
      </c>
      <c r="H235" t="s">
        <v>26</v>
      </c>
      <c r="I235" t="s">
        <v>25</v>
      </c>
      <c r="J235">
        <v>54</v>
      </c>
      <c r="K235">
        <v>0</v>
      </c>
      <c r="L235">
        <v>0</v>
      </c>
      <c r="M235">
        <v>0</v>
      </c>
      <c r="N235">
        <v>33</v>
      </c>
      <c r="O235">
        <v>26</v>
      </c>
      <c r="P235">
        <v>24</v>
      </c>
      <c r="Q235">
        <v>13</v>
      </c>
      <c r="R235">
        <v>8</v>
      </c>
      <c r="S235">
        <v>2</v>
      </c>
      <c r="T235">
        <v>2</v>
      </c>
      <c r="U235">
        <v>54</v>
      </c>
    </row>
    <row r="236" spans="1:21" x14ac:dyDescent="0.25">
      <c r="A236">
        <v>2025</v>
      </c>
      <c r="B236">
        <v>2</v>
      </c>
      <c r="C236" t="s">
        <v>37</v>
      </c>
      <c r="D236" t="s">
        <v>22</v>
      </c>
      <c r="E236" t="s">
        <v>34</v>
      </c>
      <c r="F236" t="s">
        <v>28</v>
      </c>
      <c r="G236" t="s">
        <v>25</v>
      </c>
      <c r="H236" t="s">
        <v>26</v>
      </c>
      <c r="I236" t="s">
        <v>26</v>
      </c>
      <c r="J236">
        <v>4</v>
      </c>
      <c r="K236">
        <v>0</v>
      </c>
      <c r="L236">
        <v>0</v>
      </c>
      <c r="M236">
        <v>0</v>
      </c>
      <c r="N236">
        <v>1</v>
      </c>
      <c r="O236">
        <v>1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4</v>
      </c>
    </row>
    <row r="237" spans="1:21" x14ac:dyDescent="0.25">
      <c r="A237">
        <v>2025</v>
      </c>
      <c r="B237">
        <v>2</v>
      </c>
      <c r="C237" t="s">
        <v>37</v>
      </c>
      <c r="D237" t="s">
        <v>22</v>
      </c>
      <c r="E237" t="s">
        <v>34</v>
      </c>
      <c r="F237" t="s">
        <v>24</v>
      </c>
      <c r="G237" t="s">
        <v>25</v>
      </c>
      <c r="H237" t="s">
        <v>26</v>
      </c>
      <c r="I237" t="s">
        <v>26</v>
      </c>
      <c r="J237">
        <v>331</v>
      </c>
      <c r="K237">
        <v>3</v>
      </c>
      <c r="L237">
        <v>2</v>
      </c>
      <c r="M237">
        <v>5</v>
      </c>
      <c r="N237">
        <v>114</v>
      </c>
      <c r="O237">
        <v>96</v>
      </c>
      <c r="P237">
        <v>89</v>
      </c>
      <c r="Q237">
        <v>70</v>
      </c>
      <c r="R237">
        <v>56</v>
      </c>
      <c r="S237">
        <v>37</v>
      </c>
      <c r="T237">
        <v>18</v>
      </c>
      <c r="U237">
        <v>328</v>
      </c>
    </row>
    <row r="238" spans="1:21" x14ac:dyDescent="0.25">
      <c r="A238">
        <v>2025</v>
      </c>
      <c r="B238">
        <v>2</v>
      </c>
      <c r="C238" t="s">
        <v>37</v>
      </c>
      <c r="D238" t="s">
        <v>22</v>
      </c>
      <c r="E238" t="s">
        <v>23</v>
      </c>
      <c r="F238" t="s">
        <v>28</v>
      </c>
      <c r="G238" t="s">
        <v>25</v>
      </c>
      <c r="H238" t="s">
        <v>26</v>
      </c>
      <c r="I238" t="s">
        <v>25</v>
      </c>
      <c r="J238">
        <v>3964</v>
      </c>
      <c r="K238">
        <v>163</v>
      </c>
      <c r="L238">
        <v>334</v>
      </c>
      <c r="M238">
        <v>497</v>
      </c>
      <c r="N238">
        <v>1803</v>
      </c>
      <c r="O238">
        <v>1446</v>
      </c>
      <c r="P238">
        <v>1313</v>
      </c>
      <c r="Q238">
        <v>937</v>
      </c>
      <c r="R238">
        <v>688</v>
      </c>
      <c r="S238">
        <v>290</v>
      </c>
      <c r="T238">
        <v>66</v>
      </c>
      <c r="U238">
        <v>3674</v>
      </c>
    </row>
    <row r="239" spans="1:21" x14ac:dyDescent="0.25">
      <c r="A239">
        <v>2025</v>
      </c>
      <c r="B239">
        <v>2</v>
      </c>
      <c r="C239" t="s">
        <v>37</v>
      </c>
      <c r="D239" t="s">
        <v>22</v>
      </c>
      <c r="E239" t="s">
        <v>23</v>
      </c>
      <c r="F239" t="s">
        <v>24</v>
      </c>
      <c r="G239" t="s">
        <v>25</v>
      </c>
      <c r="H239" t="s">
        <v>26</v>
      </c>
      <c r="I239" t="s">
        <v>25</v>
      </c>
      <c r="J239">
        <v>1639</v>
      </c>
      <c r="K239">
        <v>23</v>
      </c>
      <c r="L239">
        <v>67</v>
      </c>
      <c r="M239">
        <v>90</v>
      </c>
      <c r="N239">
        <v>599</v>
      </c>
      <c r="O239">
        <v>472</v>
      </c>
      <c r="P239">
        <v>440</v>
      </c>
      <c r="Q239">
        <v>332</v>
      </c>
      <c r="R239">
        <v>240</v>
      </c>
      <c r="S239">
        <v>103</v>
      </c>
      <c r="T239">
        <v>32</v>
      </c>
      <c r="U239">
        <v>1593</v>
      </c>
    </row>
    <row r="240" spans="1:21" x14ac:dyDescent="0.25">
      <c r="A240">
        <v>2025</v>
      </c>
      <c r="B240">
        <v>2</v>
      </c>
      <c r="C240" t="s">
        <v>37</v>
      </c>
      <c r="D240" t="s">
        <v>22</v>
      </c>
      <c r="E240" t="s">
        <v>23</v>
      </c>
      <c r="F240" t="s">
        <v>29</v>
      </c>
      <c r="G240" t="s">
        <v>25</v>
      </c>
      <c r="H240" t="s">
        <v>26</v>
      </c>
      <c r="I240" t="s">
        <v>25</v>
      </c>
      <c r="J240">
        <v>1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</row>
    <row r="241" spans="1:21" x14ac:dyDescent="0.25">
      <c r="A241">
        <v>2025</v>
      </c>
      <c r="B241">
        <v>2</v>
      </c>
      <c r="C241" t="s">
        <v>37</v>
      </c>
      <c r="D241" t="s">
        <v>22</v>
      </c>
      <c r="E241" t="s">
        <v>39</v>
      </c>
      <c r="F241" t="s">
        <v>28</v>
      </c>
      <c r="G241" t="s">
        <v>26</v>
      </c>
      <c r="H241" t="s">
        <v>26</v>
      </c>
      <c r="I241" t="s">
        <v>25</v>
      </c>
      <c r="J241">
        <v>13313</v>
      </c>
      <c r="K241">
        <v>468</v>
      </c>
      <c r="L241">
        <v>1094</v>
      </c>
      <c r="M241">
        <v>1562</v>
      </c>
      <c r="N241">
        <v>7076</v>
      </c>
      <c r="O241">
        <v>6004</v>
      </c>
      <c r="P241">
        <v>5588</v>
      </c>
      <c r="Q241">
        <v>4311</v>
      </c>
      <c r="R241">
        <v>3304</v>
      </c>
      <c r="S241">
        <v>1546</v>
      </c>
      <c r="T241">
        <v>431</v>
      </c>
      <c r="U241">
        <v>12428</v>
      </c>
    </row>
    <row r="242" spans="1:21" x14ac:dyDescent="0.25">
      <c r="A242">
        <v>2025</v>
      </c>
      <c r="B242">
        <v>2</v>
      </c>
      <c r="C242" t="s">
        <v>37</v>
      </c>
      <c r="D242" t="s">
        <v>22</v>
      </c>
      <c r="E242" t="s">
        <v>39</v>
      </c>
      <c r="F242" t="s">
        <v>24</v>
      </c>
      <c r="G242" t="s">
        <v>26</v>
      </c>
      <c r="H242" t="s">
        <v>26</v>
      </c>
      <c r="I242" t="s">
        <v>25</v>
      </c>
      <c r="J242">
        <v>3173</v>
      </c>
      <c r="K242">
        <v>44</v>
      </c>
      <c r="L242">
        <v>211</v>
      </c>
      <c r="M242">
        <v>255</v>
      </c>
      <c r="N242">
        <v>1914</v>
      </c>
      <c r="O242">
        <v>1598</v>
      </c>
      <c r="P242">
        <v>1509</v>
      </c>
      <c r="Q242">
        <v>1154</v>
      </c>
      <c r="R242">
        <v>917</v>
      </c>
      <c r="S242">
        <v>433</v>
      </c>
      <c r="T242">
        <v>110</v>
      </c>
      <c r="U242">
        <v>3043</v>
      </c>
    </row>
    <row r="243" spans="1:21" x14ac:dyDescent="0.25">
      <c r="A243">
        <v>2025</v>
      </c>
      <c r="B243">
        <v>2</v>
      </c>
      <c r="C243" t="s">
        <v>37</v>
      </c>
      <c r="D243" t="s">
        <v>22</v>
      </c>
      <c r="E243" t="s">
        <v>39</v>
      </c>
      <c r="F243" t="s">
        <v>29</v>
      </c>
      <c r="G243" t="s">
        <v>26</v>
      </c>
      <c r="H243" t="s">
        <v>26</v>
      </c>
      <c r="I243" t="s">
        <v>25</v>
      </c>
      <c r="J243">
        <v>2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</row>
    <row r="244" spans="1:21" x14ac:dyDescent="0.25">
      <c r="A244">
        <v>2025</v>
      </c>
      <c r="B244">
        <v>2</v>
      </c>
      <c r="C244" t="s">
        <v>37</v>
      </c>
      <c r="D244" t="s">
        <v>22</v>
      </c>
      <c r="E244" t="s">
        <v>40</v>
      </c>
      <c r="F244" t="s">
        <v>24</v>
      </c>
      <c r="G244" t="s">
        <v>25</v>
      </c>
      <c r="H244" t="s">
        <v>26</v>
      </c>
      <c r="I244" t="s">
        <v>25</v>
      </c>
      <c r="J244">
        <v>449</v>
      </c>
      <c r="K244">
        <v>10</v>
      </c>
      <c r="L244">
        <v>0</v>
      </c>
      <c r="M244">
        <v>10</v>
      </c>
      <c r="N244">
        <v>22</v>
      </c>
      <c r="O244">
        <v>9</v>
      </c>
      <c r="P244">
        <v>8</v>
      </c>
      <c r="Q244">
        <v>4</v>
      </c>
      <c r="R244">
        <v>0</v>
      </c>
      <c r="S244">
        <v>0</v>
      </c>
      <c r="T244">
        <v>0</v>
      </c>
      <c r="U244">
        <v>439</v>
      </c>
    </row>
    <row r="245" spans="1:21" x14ac:dyDescent="0.25">
      <c r="A245">
        <v>2025</v>
      </c>
      <c r="B245">
        <v>2</v>
      </c>
      <c r="C245" t="s">
        <v>37</v>
      </c>
      <c r="D245" t="s">
        <v>22</v>
      </c>
      <c r="E245" t="s">
        <v>35</v>
      </c>
      <c r="F245" t="s">
        <v>28</v>
      </c>
      <c r="G245" t="s">
        <v>25</v>
      </c>
      <c r="H245" t="s">
        <v>26</v>
      </c>
      <c r="I245" t="s">
        <v>26</v>
      </c>
      <c r="J245">
        <v>1</v>
      </c>
      <c r="K245">
        <v>0</v>
      </c>
      <c r="L245">
        <v>1</v>
      </c>
      <c r="M245">
        <v>1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</row>
    <row r="246" spans="1:21" x14ac:dyDescent="0.25">
      <c r="A246">
        <v>2025</v>
      </c>
      <c r="B246">
        <v>2</v>
      </c>
      <c r="C246" t="s">
        <v>37</v>
      </c>
      <c r="D246" t="s">
        <v>22</v>
      </c>
      <c r="E246" t="s">
        <v>35</v>
      </c>
      <c r="F246" t="s">
        <v>24</v>
      </c>
      <c r="G246" t="s">
        <v>25</v>
      </c>
      <c r="H246" t="s">
        <v>26</v>
      </c>
      <c r="I246" t="s">
        <v>26</v>
      </c>
      <c r="J246">
        <v>533</v>
      </c>
      <c r="K246">
        <v>1</v>
      </c>
      <c r="L246">
        <v>26</v>
      </c>
      <c r="M246">
        <v>27</v>
      </c>
      <c r="N246">
        <v>302</v>
      </c>
      <c r="O246">
        <v>253</v>
      </c>
      <c r="P246">
        <v>241</v>
      </c>
      <c r="Q246">
        <v>215</v>
      </c>
      <c r="R246">
        <v>176</v>
      </c>
      <c r="S246">
        <v>109</v>
      </c>
      <c r="T246">
        <v>57</v>
      </c>
      <c r="U246">
        <v>526</v>
      </c>
    </row>
    <row r="247" spans="1:21" x14ac:dyDescent="0.25">
      <c r="A247">
        <v>2025</v>
      </c>
      <c r="B247">
        <v>2</v>
      </c>
      <c r="C247" t="s">
        <v>37</v>
      </c>
      <c r="D247" t="s">
        <v>22</v>
      </c>
      <c r="E247" t="s">
        <v>36</v>
      </c>
      <c r="F247" t="s">
        <v>24</v>
      </c>
      <c r="G247" t="s">
        <v>25</v>
      </c>
      <c r="H247" t="s">
        <v>26</v>
      </c>
      <c r="I247" t="s">
        <v>25</v>
      </c>
      <c r="J247">
        <v>556</v>
      </c>
      <c r="K247">
        <v>1</v>
      </c>
      <c r="L247">
        <v>21</v>
      </c>
      <c r="M247">
        <v>22</v>
      </c>
      <c r="N247">
        <v>277</v>
      </c>
      <c r="O247">
        <v>211</v>
      </c>
      <c r="P247">
        <v>182</v>
      </c>
      <c r="Q247">
        <v>128</v>
      </c>
      <c r="R247">
        <v>89</v>
      </c>
      <c r="S247">
        <v>29</v>
      </c>
      <c r="T247">
        <v>10</v>
      </c>
      <c r="U247">
        <v>546</v>
      </c>
    </row>
    <row r="248" spans="1:21" x14ac:dyDescent="0.25">
      <c r="A248">
        <v>2025</v>
      </c>
      <c r="B248">
        <v>2</v>
      </c>
      <c r="C248" t="s">
        <v>37</v>
      </c>
      <c r="D248" t="s">
        <v>22</v>
      </c>
      <c r="E248" t="s">
        <v>41</v>
      </c>
      <c r="F248" t="s">
        <v>24</v>
      </c>
      <c r="G248" t="s">
        <v>26</v>
      </c>
      <c r="H248" t="s">
        <v>26</v>
      </c>
      <c r="I248" t="s">
        <v>25</v>
      </c>
      <c r="J248">
        <v>344</v>
      </c>
      <c r="K248">
        <v>2</v>
      </c>
      <c r="L248">
        <v>9</v>
      </c>
      <c r="M248">
        <v>11</v>
      </c>
      <c r="N248">
        <v>214</v>
      </c>
      <c r="O248">
        <v>170</v>
      </c>
      <c r="P248">
        <v>152</v>
      </c>
      <c r="Q248">
        <v>106</v>
      </c>
      <c r="R248">
        <v>81</v>
      </c>
      <c r="S248">
        <v>24</v>
      </c>
      <c r="T248">
        <v>4</v>
      </c>
      <c r="U248">
        <v>337</v>
      </c>
    </row>
    <row r="249" spans="1:21" x14ac:dyDescent="0.25">
      <c r="A249">
        <v>2025</v>
      </c>
      <c r="B249">
        <v>2</v>
      </c>
      <c r="C249" t="s">
        <v>37</v>
      </c>
      <c r="D249" t="s">
        <v>22</v>
      </c>
      <c r="E249" t="s">
        <v>42</v>
      </c>
      <c r="F249" t="s">
        <v>24</v>
      </c>
      <c r="G249" t="s">
        <v>26</v>
      </c>
      <c r="H249" t="s">
        <v>26</v>
      </c>
      <c r="I249" t="s">
        <v>25</v>
      </c>
      <c r="J249">
        <v>171</v>
      </c>
      <c r="K249">
        <v>0</v>
      </c>
      <c r="L249">
        <v>1</v>
      </c>
      <c r="M249">
        <v>1</v>
      </c>
      <c r="N249">
        <v>85</v>
      </c>
      <c r="O249">
        <v>61</v>
      </c>
      <c r="P249">
        <v>52</v>
      </c>
      <c r="Q249">
        <v>26</v>
      </c>
      <c r="R249">
        <v>16</v>
      </c>
      <c r="S249">
        <v>8</v>
      </c>
      <c r="T249">
        <v>4</v>
      </c>
      <c r="U249">
        <v>170</v>
      </c>
    </row>
    <row r="250" spans="1:21" x14ac:dyDescent="0.25">
      <c r="A250">
        <v>2025</v>
      </c>
      <c r="B250">
        <v>2</v>
      </c>
      <c r="C250" t="s">
        <v>37</v>
      </c>
      <c r="D250" t="s">
        <v>22</v>
      </c>
      <c r="E250" t="s">
        <v>27</v>
      </c>
      <c r="F250" t="s">
        <v>24</v>
      </c>
      <c r="G250" t="s">
        <v>26</v>
      </c>
      <c r="H250" t="s">
        <v>26</v>
      </c>
      <c r="I250" t="s">
        <v>25</v>
      </c>
      <c r="J250">
        <v>2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2</v>
      </c>
    </row>
    <row r="251" spans="1:21" x14ac:dyDescent="0.25">
      <c r="A251">
        <v>2025</v>
      </c>
      <c r="B251">
        <v>2</v>
      </c>
      <c r="C251" t="s">
        <v>43</v>
      </c>
      <c r="D251" t="s">
        <v>22</v>
      </c>
      <c r="E251" t="s">
        <v>32</v>
      </c>
      <c r="F251" t="s">
        <v>24</v>
      </c>
      <c r="G251" t="s">
        <v>25</v>
      </c>
      <c r="H251" t="s">
        <v>25</v>
      </c>
      <c r="I251" t="s">
        <v>25</v>
      </c>
      <c r="J251">
        <v>277</v>
      </c>
      <c r="K251">
        <v>2</v>
      </c>
      <c r="L251">
        <v>0</v>
      </c>
      <c r="M251">
        <v>2</v>
      </c>
      <c r="N251">
        <v>119</v>
      </c>
      <c r="O251">
        <v>105</v>
      </c>
      <c r="P251">
        <v>97</v>
      </c>
      <c r="Q251">
        <v>75</v>
      </c>
      <c r="R251">
        <v>54</v>
      </c>
      <c r="S251">
        <v>16</v>
      </c>
      <c r="T251">
        <v>5</v>
      </c>
      <c r="U251">
        <v>275</v>
      </c>
    </row>
    <row r="252" spans="1:21" x14ac:dyDescent="0.25">
      <c r="A252">
        <v>2025</v>
      </c>
      <c r="B252">
        <v>2</v>
      </c>
      <c r="C252" t="s">
        <v>43</v>
      </c>
      <c r="D252" t="s">
        <v>22</v>
      </c>
      <c r="E252" t="s">
        <v>34</v>
      </c>
      <c r="F252" t="s">
        <v>24</v>
      </c>
      <c r="G252" t="s">
        <v>25</v>
      </c>
      <c r="H252" t="s">
        <v>26</v>
      </c>
      <c r="I252" t="s">
        <v>26</v>
      </c>
      <c r="J252">
        <v>56</v>
      </c>
      <c r="K252">
        <v>1</v>
      </c>
      <c r="L252">
        <v>0</v>
      </c>
      <c r="M252">
        <v>1</v>
      </c>
      <c r="N252">
        <v>12</v>
      </c>
      <c r="O252">
        <v>12</v>
      </c>
      <c r="P252">
        <v>11</v>
      </c>
      <c r="Q252">
        <v>11</v>
      </c>
      <c r="R252">
        <v>10</v>
      </c>
      <c r="S252">
        <v>9</v>
      </c>
      <c r="T252">
        <v>7</v>
      </c>
      <c r="U252">
        <v>55</v>
      </c>
    </row>
    <row r="253" spans="1:21" x14ac:dyDescent="0.25">
      <c r="A253">
        <v>2025</v>
      </c>
      <c r="B253">
        <v>2</v>
      </c>
      <c r="C253" t="s">
        <v>43</v>
      </c>
      <c r="D253" t="s">
        <v>22</v>
      </c>
      <c r="E253" t="s">
        <v>23</v>
      </c>
      <c r="F253" t="s">
        <v>28</v>
      </c>
      <c r="G253" t="s">
        <v>25</v>
      </c>
      <c r="H253" t="s">
        <v>26</v>
      </c>
      <c r="I253" t="s">
        <v>25</v>
      </c>
      <c r="J253">
        <v>5</v>
      </c>
      <c r="K253">
        <v>3</v>
      </c>
      <c r="L253">
        <v>2</v>
      </c>
      <c r="M253">
        <v>5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</row>
    <row r="254" spans="1:21" x14ac:dyDescent="0.25">
      <c r="A254">
        <v>2025</v>
      </c>
      <c r="B254">
        <v>2</v>
      </c>
      <c r="C254" t="s">
        <v>43</v>
      </c>
      <c r="D254" t="s">
        <v>22</v>
      </c>
      <c r="E254" t="s">
        <v>23</v>
      </c>
      <c r="F254" t="s">
        <v>24</v>
      </c>
      <c r="G254" t="s">
        <v>25</v>
      </c>
      <c r="H254" t="s">
        <v>26</v>
      </c>
      <c r="I254" t="s">
        <v>25</v>
      </c>
      <c r="J254">
        <v>415</v>
      </c>
      <c r="K254">
        <v>0</v>
      </c>
      <c r="L254">
        <v>0</v>
      </c>
      <c r="M254">
        <v>0</v>
      </c>
      <c r="N254">
        <v>57</v>
      </c>
      <c r="O254">
        <v>34</v>
      </c>
      <c r="P254">
        <v>30</v>
      </c>
      <c r="Q254">
        <v>16</v>
      </c>
      <c r="R254">
        <v>12</v>
      </c>
      <c r="S254">
        <v>3</v>
      </c>
      <c r="T254">
        <v>1</v>
      </c>
      <c r="U254">
        <v>415</v>
      </c>
    </row>
    <row r="255" spans="1:21" x14ac:dyDescent="0.25">
      <c r="A255">
        <v>2025</v>
      </c>
      <c r="B255">
        <v>2</v>
      </c>
      <c r="C255" t="s">
        <v>44</v>
      </c>
      <c r="D255" t="s">
        <v>45</v>
      </c>
      <c r="E255" t="s">
        <v>46</v>
      </c>
      <c r="F255" t="s">
        <v>28</v>
      </c>
      <c r="G255" t="s">
        <v>25</v>
      </c>
      <c r="H255" t="s">
        <v>26</v>
      </c>
      <c r="I255" t="s">
        <v>26</v>
      </c>
      <c r="J255">
        <v>2</v>
      </c>
      <c r="K255">
        <v>0</v>
      </c>
      <c r="L255">
        <v>0</v>
      </c>
      <c r="M255">
        <v>0</v>
      </c>
      <c r="N255">
        <v>1</v>
      </c>
      <c r="O255">
        <v>1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2</v>
      </c>
    </row>
    <row r="256" spans="1:21" x14ac:dyDescent="0.25">
      <c r="A256">
        <v>2025</v>
      </c>
      <c r="B256">
        <v>2</v>
      </c>
      <c r="C256" t="s">
        <v>44</v>
      </c>
      <c r="D256" t="s">
        <v>45</v>
      </c>
      <c r="E256" t="s">
        <v>46</v>
      </c>
      <c r="F256" t="s">
        <v>24</v>
      </c>
      <c r="G256" t="s">
        <v>25</v>
      </c>
      <c r="H256" t="s">
        <v>26</v>
      </c>
      <c r="I256" t="s">
        <v>26</v>
      </c>
      <c r="J256">
        <v>26</v>
      </c>
      <c r="K256">
        <v>0</v>
      </c>
      <c r="L256">
        <v>1</v>
      </c>
      <c r="M256">
        <v>1</v>
      </c>
      <c r="N256">
        <v>13</v>
      </c>
      <c r="O256">
        <v>12</v>
      </c>
      <c r="P256">
        <v>12</v>
      </c>
      <c r="Q256">
        <v>10</v>
      </c>
      <c r="R256">
        <v>8</v>
      </c>
      <c r="S256">
        <v>6</v>
      </c>
      <c r="T256">
        <v>4</v>
      </c>
      <c r="U256">
        <v>26</v>
      </c>
    </row>
    <row r="257" spans="1:21" x14ac:dyDescent="0.25">
      <c r="A257">
        <v>2025</v>
      </c>
      <c r="B257">
        <v>2</v>
      </c>
      <c r="C257" t="s">
        <v>47</v>
      </c>
      <c r="D257" t="s">
        <v>45</v>
      </c>
      <c r="E257" t="s">
        <v>48</v>
      </c>
      <c r="F257" t="s">
        <v>24</v>
      </c>
      <c r="G257" t="s">
        <v>26</v>
      </c>
      <c r="H257" t="s">
        <v>26</v>
      </c>
      <c r="I257" t="s">
        <v>25</v>
      </c>
      <c r="J257">
        <v>3111</v>
      </c>
      <c r="K257">
        <v>45</v>
      </c>
      <c r="L257">
        <v>231</v>
      </c>
      <c r="M257">
        <v>276</v>
      </c>
      <c r="N257">
        <v>744</v>
      </c>
      <c r="O257">
        <v>734</v>
      </c>
      <c r="P257">
        <v>729</v>
      </c>
      <c r="Q257">
        <v>533</v>
      </c>
      <c r="R257">
        <v>403</v>
      </c>
      <c r="S257">
        <v>176</v>
      </c>
      <c r="T257">
        <v>46</v>
      </c>
      <c r="U257">
        <v>3021</v>
      </c>
    </row>
    <row r="258" spans="1:21" x14ac:dyDescent="0.25">
      <c r="A258">
        <v>2025</v>
      </c>
      <c r="B258">
        <v>2</v>
      </c>
      <c r="C258" t="s">
        <v>49</v>
      </c>
      <c r="D258" t="s">
        <v>45</v>
      </c>
      <c r="E258" t="s">
        <v>50</v>
      </c>
      <c r="F258" t="s">
        <v>28</v>
      </c>
      <c r="G258" t="s">
        <v>25</v>
      </c>
      <c r="H258" t="s">
        <v>26</v>
      </c>
      <c r="I258" t="s">
        <v>25</v>
      </c>
      <c r="J258">
        <v>402</v>
      </c>
      <c r="K258">
        <v>0</v>
      </c>
      <c r="L258">
        <v>27</v>
      </c>
      <c r="M258">
        <v>27</v>
      </c>
      <c r="N258">
        <v>239</v>
      </c>
      <c r="O258">
        <v>208</v>
      </c>
      <c r="P258">
        <v>196</v>
      </c>
      <c r="Q258">
        <v>155</v>
      </c>
      <c r="R258">
        <v>131</v>
      </c>
      <c r="S258">
        <v>77</v>
      </c>
      <c r="T258">
        <v>32</v>
      </c>
      <c r="U258">
        <v>398</v>
      </c>
    </row>
    <row r="259" spans="1:21" x14ac:dyDescent="0.25">
      <c r="A259">
        <v>2025</v>
      </c>
      <c r="B259">
        <v>2</v>
      </c>
      <c r="C259" t="s">
        <v>49</v>
      </c>
      <c r="D259" t="s">
        <v>45</v>
      </c>
      <c r="E259" t="s">
        <v>50</v>
      </c>
      <c r="F259" t="s">
        <v>24</v>
      </c>
      <c r="G259" t="s">
        <v>25</v>
      </c>
      <c r="H259" t="s">
        <v>26</v>
      </c>
      <c r="I259" t="s">
        <v>25</v>
      </c>
      <c r="J259">
        <v>22</v>
      </c>
      <c r="K259">
        <v>0</v>
      </c>
      <c r="L259">
        <v>2</v>
      </c>
      <c r="M259">
        <v>2</v>
      </c>
      <c r="N259">
        <v>7</v>
      </c>
      <c r="O259">
        <v>3</v>
      </c>
      <c r="P259">
        <v>3</v>
      </c>
      <c r="Q259">
        <v>3</v>
      </c>
      <c r="R259">
        <v>3</v>
      </c>
      <c r="S259">
        <v>0</v>
      </c>
      <c r="T259">
        <v>0</v>
      </c>
      <c r="U259">
        <v>22</v>
      </c>
    </row>
    <row r="260" spans="1:21" x14ac:dyDescent="0.25">
      <c r="A260">
        <v>2025</v>
      </c>
      <c r="B260">
        <v>2</v>
      </c>
      <c r="C260" t="s">
        <v>51</v>
      </c>
      <c r="D260" t="s">
        <v>22</v>
      </c>
      <c r="E260" t="s">
        <v>31</v>
      </c>
      <c r="F260" t="s">
        <v>24</v>
      </c>
      <c r="G260" t="s">
        <v>25</v>
      </c>
      <c r="H260" t="s">
        <v>25</v>
      </c>
      <c r="I260" t="s">
        <v>25</v>
      </c>
      <c r="J260">
        <v>167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167</v>
      </c>
    </row>
    <row r="261" spans="1:21" x14ac:dyDescent="0.25">
      <c r="A261">
        <v>2025</v>
      </c>
      <c r="B261">
        <v>2</v>
      </c>
      <c r="C261" t="s">
        <v>51</v>
      </c>
      <c r="D261" t="s">
        <v>22</v>
      </c>
      <c r="E261" t="s">
        <v>34</v>
      </c>
      <c r="F261" t="s">
        <v>24</v>
      </c>
      <c r="G261" t="s">
        <v>25</v>
      </c>
      <c r="H261" t="s">
        <v>26</v>
      </c>
      <c r="I261" t="s">
        <v>26</v>
      </c>
      <c r="J261">
        <v>110</v>
      </c>
      <c r="K261">
        <v>0</v>
      </c>
      <c r="L261">
        <v>0</v>
      </c>
      <c r="M261">
        <v>0</v>
      </c>
      <c r="N261">
        <v>4</v>
      </c>
      <c r="O261">
        <v>3</v>
      </c>
      <c r="P261">
        <v>3</v>
      </c>
      <c r="Q261">
        <v>2</v>
      </c>
      <c r="R261">
        <v>2</v>
      </c>
      <c r="S261">
        <v>1</v>
      </c>
      <c r="T261">
        <v>1</v>
      </c>
      <c r="U261">
        <v>110</v>
      </c>
    </row>
    <row r="262" spans="1:21" x14ac:dyDescent="0.25">
      <c r="A262">
        <v>2025</v>
      </c>
      <c r="B262">
        <v>2</v>
      </c>
      <c r="C262" t="s">
        <v>52</v>
      </c>
      <c r="D262" t="s">
        <v>22</v>
      </c>
      <c r="E262" t="s">
        <v>31</v>
      </c>
      <c r="F262" t="s">
        <v>24</v>
      </c>
      <c r="G262" t="s">
        <v>25</v>
      </c>
      <c r="H262" t="s">
        <v>25</v>
      </c>
      <c r="I262" t="s">
        <v>25</v>
      </c>
      <c r="J262">
        <v>108</v>
      </c>
      <c r="K262">
        <v>0</v>
      </c>
      <c r="L262">
        <v>0</v>
      </c>
      <c r="M262">
        <v>0</v>
      </c>
      <c r="N262">
        <v>2</v>
      </c>
      <c r="O262">
        <v>1</v>
      </c>
      <c r="P262">
        <v>1</v>
      </c>
      <c r="Q262">
        <v>0</v>
      </c>
      <c r="R262">
        <v>0</v>
      </c>
      <c r="S262">
        <v>0</v>
      </c>
      <c r="T262">
        <v>0</v>
      </c>
      <c r="U262">
        <v>108</v>
      </c>
    </row>
    <row r="263" spans="1:21" x14ac:dyDescent="0.25">
      <c r="A263">
        <v>2025</v>
      </c>
      <c r="B263">
        <v>2</v>
      </c>
      <c r="C263" t="s">
        <v>52</v>
      </c>
      <c r="D263" t="s">
        <v>22</v>
      </c>
      <c r="E263" t="s">
        <v>32</v>
      </c>
      <c r="F263" t="s">
        <v>24</v>
      </c>
      <c r="G263" t="s">
        <v>25</v>
      </c>
      <c r="H263" t="s">
        <v>26</v>
      </c>
      <c r="I263" t="s">
        <v>25</v>
      </c>
      <c r="J263">
        <v>501</v>
      </c>
      <c r="K263">
        <v>0</v>
      </c>
      <c r="L263">
        <v>0</v>
      </c>
      <c r="M263">
        <v>0</v>
      </c>
      <c r="N263">
        <v>49</v>
      </c>
      <c r="O263">
        <v>41</v>
      </c>
      <c r="P263">
        <v>39</v>
      </c>
      <c r="Q263">
        <v>30</v>
      </c>
      <c r="R263">
        <v>21</v>
      </c>
      <c r="S263">
        <v>15</v>
      </c>
      <c r="T263">
        <v>4</v>
      </c>
      <c r="U263">
        <v>501</v>
      </c>
    </row>
    <row r="264" spans="1:21" x14ac:dyDescent="0.25">
      <c r="A264">
        <v>2025</v>
      </c>
      <c r="B264">
        <v>2</v>
      </c>
      <c r="C264" t="s">
        <v>52</v>
      </c>
      <c r="D264" t="s">
        <v>22</v>
      </c>
      <c r="E264" t="s">
        <v>34</v>
      </c>
      <c r="F264" t="s">
        <v>24</v>
      </c>
      <c r="G264" t="s">
        <v>25</v>
      </c>
      <c r="H264" t="s">
        <v>26</v>
      </c>
      <c r="I264" t="s">
        <v>26</v>
      </c>
      <c r="J264">
        <v>158</v>
      </c>
      <c r="K264">
        <v>0</v>
      </c>
      <c r="L264">
        <v>0</v>
      </c>
      <c r="M264">
        <v>0</v>
      </c>
      <c r="N264">
        <v>1</v>
      </c>
      <c r="O264">
        <v>1</v>
      </c>
      <c r="P264">
        <v>1</v>
      </c>
      <c r="Q264">
        <v>1</v>
      </c>
      <c r="R264">
        <v>1</v>
      </c>
      <c r="S264">
        <v>1</v>
      </c>
      <c r="T264">
        <v>0</v>
      </c>
      <c r="U264">
        <v>158</v>
      </c>
    </row>
    <row r="265" spans="1:21" x14ac:dyDescent="0.25">
      <c r="A265">
        <v>2025</v>
      </c>
      <c r="B265">
        <v>2</v>
      </c>
      <c r="C265" t="s">
        <v>52</v>
      </c>
      <c r="D265" t="s">
        <v>22</v>
      </c>
      <c r="E265" t="s">
        <v>23</v>
      </c>
      <c r="F265" t="s">
        <v>24</v>
      </c>
      <c r="G265" t="s">
        <v>25</v>
      </c>
      <c r="H265" t="s">
        <v>26</v>
      </c>
      <c r="I265" t="s">
        <v>25</v>
      </c>
      <c r="J265">
        <v>223</v>
      </c>
      <c r="K265">
        <v>0</v>
      </c>
      <c r="L265">
        <v>0</v>
      </c>
      <c r="M265">
        <v>0</v>
      </c>
      <c r="N265">
        <v>2</v>
      </c>
      <c r="O265">
        <v>1</v>
      </c>
      <c r="P265">
        <v>1</v>
      </c>
      <c r="Q265">
        <v>1</v>
      </c>
      <c r="R265">
        <v>1</v>
      </c>
      <c r="S265">
        <v>1</v>
      </c>
      <c r="T265">
        <v>0</v>
      </c>
      <c r="U265">
        <v>223</v>
      </c>
    </row>
    <row r="266" spans="1:21" x14ac:dyDescent="0.25">
      <c r="A266">
        <v>2025</v>
      </c>
      <c r="B266">
        <v>2</v>
      </c>
      <c r="C266" t="s">
        <v>52</v>
      </c>
      <c r="D266" t="s">
        <v>22</v>
      </c>
      <c r="E266" t="s">
        <v>41</v>
      </c>
      <c r="F266" t="s">
        <v>24</v>
      </c>
      <c r="G266" t="s">
        <v>26</v>
      </c>
      <c r="H266" t="s">
        <v>26</v>
      </c>
      <c r="I266" t="s">
        <v>25</v>
      </c>
      <c r="J266">
        <v>448</v>
      </c>
      <c r="K266">
        <v>0</v>
      </c>
      <c r="L266">
        <v>0</v>
      </c>
      <c r="M266">
        <v>0</v>
      </c>
      <c r="N266">
        <v>22</v>
      </c>
      <c r="O266">
        <v>20</v>
      </c>
      <c r="P266">
        <v>16</v>
      </c>
      <c r="Q266">
        <v>11</v>
      </c>
      <c r="R266">
        <v>7</v>
      </c>
      <c r="S266">
        <v>4</v>
      </c>
      <c r="T266">
        <v>0</v>
      </c>
      <c r="U266">
        <v>448</v>
      </c>
    </row>
    <row r="267" spans="1:21" x14ac:dyDescent="0.25">
      <c r="A267">
        <v>2025</v>
      </c>
      <c r="B267">
        <v>2</v>
      </c>
      <c r="C267" t="s">
        <v>53</v>
      </c>
      <c r="D267" t="s">
        <v>22</v>
      </c>
      <c r="E267" t="s">
        <v>54</v>
      </c>
      <c r="F267" t="s">
        <v>24</v>
      </c>
      <c r="G267" t="s">
        <v>25</v>
      </c>
      <c r="H267" t="s">
        <v>26</v>
      </c>
      <c r="I267" t="s">
        <v>25</v>
      </c>
      <c r="J267">
        <v>685</v>
      </c>
      <c r="K267">
        <v>7</v>
      </c>
      <c r="L267">
        <v>9</v>
      </c>
      <c r="M267">
        <v>16</v>
      </c>
      <c r="N267">
        <v>157</v>
      </c>
      <c r="O267">
        <v>101</v>
      </c>
      <c r="P267">
        <v>90</v>
      </c>
      <c r="Q267">
        <v>55</v>
      </c>
      <c r="R267">
        <v>33</v>
      </c>
      <c r="S267">
        <v>4</v>
      </c>
      <c r="T267">
        <v>1</v>
      </c>
      <c r="U267">
        <v>672</v>
      </c>
    </row>
    <row r="268" spans="1:21" x14ac:dyDescent="0.25">
      <c r="A268">
        <v>2025</v>
      </c>
      <c r="B268">
        <v>2</v>
      </c>
      <c r="C268" t="s">
        <v>53</v>
      </c>
      <c r="D268" t="s">
        <v>22</v>
      </c>
      <c r="E268" t="s">
        <v>55</v>
      </c>
      <c r="F268" t="s">
        <v>24</v>
      </c>
      <c r="G268" t="s">
        <v>25</v>
      </c>
      <c r="H268" t="s">
        <v>26</v>
      </c>
      <c r="I268" t="s">
        <v>25</v>
      </c>
      <c r="J268">
        <v>573</v>
      </c>
      <c r="K268">
        <v>4</v>
      </c>
      <c r="L268">
        <v>9</v>
      </c>
      <c r="M268">
        <v>13</v>
      </c>
      <c r="N268">
        <v>97</v>
      </c>
      <c r="O268">
        <v>79</v>
      </c>
      <c r="P268">
        <v>67</v>
      </c>
      <c r="Q268">
        <v>48</v>
      </c>
      <c r="R268">
        <v>34</v>
      </c>
      <c r="S268">
        <v>11</v>
      </c>
      <c r="T268">
        <v>0</v>
      </c>
      <c r="U268">
        <v>565</v>
      </c>
    </row>
    <row r="269" spans="1:21" x14ac:dyDescent="0.25">
      <c r="A269">
        <v>2025</v>
      </c>
      <c r="B269">
        <v>2</v>
      </c>
      <c r="C269" t="s">
        <v>53</v>
      </c>
      <c r="D269" t="s">
        <v>22</v>
      </c>
      <c r="E269" t="s">
        <v>55</v>
      </c>
      <c r="F269" t="s">
        <v>29</v>
      </c>
      <c r="G269" t="s">
        <v>25</v>
      </c>
      <c r="H269" t="s">
        <v>26</v>
      </c>
      <c r="I269" t="s">
        <v>25</v>
      </c>
      <c r="J269">
        <v>1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</row>
    <row r="270" spans="1:21" x14ac:dyDescent="0.25">
      <c r="A270">
        <v>2025</v>
      </c>
      <c r="B270">
        <v>2</v>
      </c>
      <c r="C270" t="s">
        <v>53</v>
      </c>
      <c r="D270" t="s">
        <v>22</v>
      </c>
      <c r="E270" t="s">
        <v>23</v>
      </c>
      <c r="F270" t="s">
        <v>28</v>
      </c>
      <c r="G270" t="s">
        <v>25</v>
      </c>
      <c r="H270" t="s">
        <v>26</v>
      </c>
      <c r="I270" t="s">
        <v>25</v>
      </c>
      <c r="J270">
        <v>34117</v>
      </c>
      <c r="K270">
        <v>0</v>
      </c>
      <c r="L270">
        <v>5344</v>
      </c>
      <c r="M270">
        <v>5344</v>
      </c>
      <c r="N270">
        <v>3807</v>
      </c>
      <c r="O270">
        <v>2151</v>
      </c>
      <c r="P270">
        <v>1678</v>
      </c>
      <c r="Q270">
        <v>785</v>
      </c>
      <c r="R270">
        <v>355</v>
      </c>
      <c r="S270">
        <v>31</v>
      </c>
      <c r="T270">
        <v>1</v>
      </c>
      <c r="U270">
        <v>29372</v>
      </c>
    </row>
    <row r="271" spans="1:21" x14ac:dyDescent="0.25">
      <c r="A271">
        <v>2025</v>
      </c>
      <c r="B271">
        <v>2</v>
      </c>
      <c r="C271" t="s">
        <v>53</v>
      </c>
      <c r="D271" t="s">
        <v>22</v>
      </c>
      <c r="E271" t="s">
        <v>23</v>
      </c>
      <c r="F271" t="s">
        <v>24</v>
      </c>
      <c r="G271" t="s">
        <v>25</v>
      </c>
      <c r="H271" t="s">
        <v>26</v>
      </c>
      <c r="I271" t="s">
        <v>25</v>
      </c>
      <c r="J271">
        <v>296</v>
      </c>
      <c r="K271">
        <v>14</v>
      </c>
      <c r="L271">
        <v>8</v>
      </c>
      <c r="M271">
        <v>22</v>
      </c>
      <c r="N271">
        <v>125</v>
      </c>
      <c r="O271">
        <v>108</v>
      </c>
      <c r="P271">
        <v>105</v>
      </c>
      <c r="Q271">
        <v>99</v>
      </c>
      <c r="R271">
        <v>75</v>
      </c>
      <c r="S271">
        <v>41</v>
      </c>
      <c r="T271">
        <v>12</v>
      </c>
      <c r="U271">
        <v>275</v>
      </c>
    </row>
    <row r="272" spans="1:21" x14ac:dyDescent="0.25">
      <c r="A272">
        <v>2025</v>
      </c>
      <c r="B272">
        <v>2</v>
      </c>
      <c r="C272" t="s">
        <v>53</v>
      </c>
      <c r="D272" t="s">
        <v>22</v>
      </c>
      <c r="E272" t="s">
        <v>56</v>
      </c>
      <c r="F272" t="s">
        <v>28</v>
      </c>
      <c r="G272" t="s">
        <v>25</v>
      </c>
      <c r="H272" t="s">
        <v>26</v>
      </c>
      <c r="I272" t="s">
        <v>25</v>
      </c>
      <c r="J272">
        <v>3198</v>
      </c>
      <c r="K272">
        <v>0</v>
      </c>
      <c r="L272">
        <v>807</v>
      </c>
      <c r="M272">
        <v>807</v>
      </c>
      <c r="N272">
        <v>437</v>
      </c>
      <c r="O272">
        <v>278</v>
      </c>
      <c r="P272">
        <v>244</v>
      </c>
      <c r="Q272">
        <v>142</v>
      </c>
      <c r="R272">
        <v>62</v>
      </c>
      <c r="S272">
        <v>8</v>
      </c>
      <c r="T272">
        <v>0</v>
      </c>
      <c r="U272">
        <v>2551</v>
      </c>
    </row>
    <row r="273" spans="1:21" x14ac:dyDescent="0.25">
      <c r="A273">
        <v>2025</v>
      </c>
      <c r="B273">
        <v>2</v>
      </c>
      <c r="C273" t="s">
        <v>53</v>
      </c>
      <c r="D273" t="s">
        <v>22</v>
      </c>
      <c r="E273" t="s">
        <v>39</v>
      </c>
      <c r="F273" t="s">
        <v>24</v>
      </c>
      <c r="G273" t="s">
        <v>26</v>
      </c>
      <c r="H273" t="s">
        <v>26</v>
      </c>
      <c r="I273" t="s">
        <v>25</v>
      </c>
      <c r="J273">
        <v>417</v>
      </c>
      <c r="K273">
        <v>4</v>
      </c>
      <c r="L273">
        <v>12</v>
      </c>
      <c r="M273">
        <v>16</v>
      </c>
      <c r="N273">
        <v>159</v>
      </c>
      <c r="O273">
        <v>138</v>
      </c>
      <c r="P273">
        <v>134</v>
      </c>
      <c r="Q273">
        <v>111</v>
      </c>
      <c r="R273">
        <v>83</v>
      </c>
      <c r="S273">
        <v>33</v>
      </c>
      <c r="T273">
        <v>10</v>
      </c>
      <c r="U273">
        <v>408</v>
      </c>
    </row>
    <row r="274" spans="1:21" x14ac:dyDescent="0.25">
      <c r="A274">
        <v>2025</v>
      </c>
      <c r="B274">
        <v>2</v>
      </c>
      <c r="C274" t="s">
        <v>53</v>
      </c>
      <c r="D274" t="s">
        <v>22</v>
      </c>
      <c r="E274" t="s">
        <v>35</v>
      </c>
      <c r="F274" t="s">
        <v>24</v>
      </c>
      <c r="G274" t="s">
        <v>25</v>
      </c>
      <c r="H274" t="s">
        <v>26</v>
      </c>
      <c r="I274" t="s">
        <v>26</v>
      </c>
      <c r="J274">
        <v>158</v>
      </c>
      <c r="K274">
        <v>0</v>
      </c>
      <c r="L274">
        <v>0</v>
      </c>
      <c r="M274">
        <v>0</v>
      </c>
      <c r="N274">
        <v>79</v>
      </c>
      <c r="O274">
        <v>67</v>
      </c>
      <c r="P274">
        <v>64</v>
      </c>
      <c r="Q274">
        <v>62</v>
      </c>
      <c r="R274">
        <v>56</v>
      </c>
      <c r="S274">
        <v>43</v>
      </c>
      <c r="T274">
        <v>28</v>
      </c>
      <c r="U274">
        <v>158</v>
      </c>
    </row>
    <row r="275" spans="1:21" x14ac:dyDescent="0.25">
      <c r="A275">
        <v>2025</v>
      </c>
      <c r="B275">
        <v>2</v>
      </c>
      <c r="C275" t="s">
        <v>53</v>
      </c>
      <c r="D275" t="s">
        <v>22</v>
      </c>
      <c r="E275" t="s">
        <v>57</v>
      </c>
      <c r="F275" t="s">
        <v>28</v>
      </c>
      <c r="G275" t="s">
        <v>25</v>
      </c>
      <c r="H275" t="s">
        <v>26</v>
      </c>
      <c r="I275" t="s">
        <v>26</v>
      </c>
      <c r="J275">
        <v>10</v>
      </c>
      <c r="K275">
        <v>0</v>
      </c>
      <c r="L275">
        <v>0</v>
      </c>
      <c r="M275">
        <v>0</v>
      </c>
      <c r="N275">
        <v>6</v>
      </c>
      <c r="O275">
        <v>5</v>
      </c>
      <c r="P275">
        <v>5</v>
      </c>
      <c r="Q275">
        <v>4</v>
      </c>
      <c r="R275">
        <v>3</v>
      </c>
      <c r="S275">
        <v>0</v>
      </c>
      <c r="T275">
        <v>0</v>
      </c>
      <c r="U275">
        <v>10</v>
      </c>
    </row>
    <row r="276" spans="1:21" x14ac:dyDescent="0.25">
      <c r="A276">
        <v>2025</v>
      </c>
      <c r="B276">
        <v>2</v>
      </c>
      <c r="C276" t="s">
        <v>53</v>
      </c>
      <c r="D276" t="s">
        <v>22</v>
      </c>
      <c r="E276" t="s">
        <v>58</v>
      </c>
      <c r="F276" t="s">
        <v>28</v>
      </c>
      <c r="G276" t="s">
        <v>25</v>
      </c>
      <c r="H276" t="s">
        <v>25</v>
      </c>
      <c r="I276" t="s">
        <v>25</v>
      </c>
      <c r="J276">
        <v>3606</v>
      </c>
      <c r="K276">
        <v>0</v>
      </c>
      <c r="L276">
        <v>451</v>
      </c>
      <c r="M276">
        <v>451</v>
      </c>
      <c r="N276">
        <v>244</v>
      </c>
      <c r="O276">
        <v>115</v>
      </c>
      <c r="P276">
        <v>93</v>
      </c>
      <c r="Q276">
        <v>48</v>
      </c>
      <c r="R276">
        <v>18</v>
      </c>
      <c r="S276">
        <v>1</v>
      </c>
      <c r="T276">
        <v>0</v>
      </c>
      <c r="U276">
        <v>3160</v>
      </c>
    </row>
    <row r="277" spans="1:21" x14ac:dyDescent="0.25">
      <c r="A277">
        <v>2025</v>
      </c>
      <c r="B277">
        <v>2</v>
      </c>
      <c r="C277" t="s">
        <v>53</v>
      </c>
      <c r="D277" t="s">
        <v>22</v>
      </c>
      <c r="E277" t="s">
        <v>58</v>
      </c>
      <c r="F277" t="s">
        <v>24</v>
      </c>
      <c r="G277" t="s">
        <v>25</v>
      </c>
      <c r="H277" t="s">
        <v>25</v>
      </c>
      <c r="I277" t="s">
        <v>25</v>
      </c>
      <c r="J277">
        <v>523</v>
      </c>
      <c r="K277">
        <v>317</v>
      </c>
      <c r="L277">
        <v>198</v>
      </c>
      <c r="M277">
        <v>515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11</v>
      </c>
    </row>
    <row r="278" spans="1:21" x14ac:dyDescent="0.25">
      <c r="A278">
        <v>2025</v>
      </c>
      <c r="B278">
        <v>2</v>
      </c>
      <c r="C278" t="s">
        <v>53</v>
      </c>
      <c r="D278" t="s">
        <v>22</v>
      </c>
      <c r="E278" t="s">
        <v>59</v>
      </c>
      <c r="F278" t="s">
        <v>28</v>
      </c>
      <c r="G278" t="s">
        <v>25</v>
      </c>
      <c r="H278" t="s">
        <v>25</v>
      </c>
      <c r="I278" t="s">
        <v>25</v>
      </c>
      <c r="J278">
        <v>71015</v>
      </c>
      <c r="K278">
        <v>0</v>
      </c>
      <c r="L278">
        <v>8948</v>
      </c>
      <c r="M278">
        <v>8948</v>
      </c>
      <c r="N278">
        <v>4575</v>
      </c>
      <c r="O278">
        <v>2108</v>
      </c>
      <c r="P278">
        <v>1534</v>
      </c>
      <c r="Q278">
        <v>608</v>
      </c>
      <c r="R278">
        <v>232</v>
      </c>
      <c r="S278">
        <v>27</v>
      </c>
      <c r="T278">
        <v>2</v>
      </c>
      <c r="U278">
        <v>62717</v>
      </c>
    </row>
    <row r="279" spans="1:21" x14ac:dyDescent="0.25">
      <c r="A279">
        <v>2025</v>
      </c>
      <c r="B279">
        <v>2</v>
      </c>
      <c r="C279" t="s">
        <v>53</v>
      </c>
      <c r="D279" t="s">
        <v>22</v>
      </c>
      <c r="E279" t="s">
        <v>60</v>
      </c>
      <c r="F279" t="s">
        <v>28</v>
      </c>
      <c r="G279" t="s">
        <v>25</v>
      </c>
      <c r="H279" t="s">
        <v>25</v>
      </c>
      <c r="I279" t="s">
        <v>25</v>
      </c>
      <c r="J279">
        <v>36063</v>
      </c>
      <c r="K279">
        <v>0</v>
      </c>
      <c r="L279">
        <v>4839</v>
      </c>
      <c r="M279">
        <v>4839</v>
      </c>
      <c r="N279">
        <v>2081</v>
      </c>
      <c r="O279">
        <v>838</v>
      </c>
      <c r="P279">
        <v>553</v>
      </c>
      <c r="Q279">
        <v>202</v>
      </c>
      <c r="R279">
        <v>73</v>
      </c>
      <c r="S279">
        <v>6</v>
      </c>
      <c r="T279">
        <v>0</v>
      </c>
      <c r="U279">
        <v>31444</v>
      </c>
    </row>
    <row r="280" spans="1:21" x14ac:dyDescent="0.25">
      <c r="A280">
        <v>2025</v>
      </c>
      <c r="B280">
        <v>2</v>
      </c>
      <c r="C280" t="s">
        <v>53</v>
      </c>
      <c r="D280" t="s">
        <v>22</v>
      </c>
      <c r="E280" t="s">
        <v>60</v>
      </c>
      <c r="F280" t="s">
        <v>24</v>
      </c>
      <c r="G280" t="s">
        <v>25</v>
      </c>
      <c r="H280" t="s">
        <v>25</v>
      </c>
      <c r="I280" t="s">
        <v>25</v>
      </c>
      <c r="J280">
        <v>570</v>
      </c>
      <c r="K280">
        <v>277</v>
      </c>
      <c r="L280">
        <v>279</v>
      </c>
      <c r="M280">
        <v>556</v>
      </c>
      <c r="N280">
        <v>2</v>
      </c>
      <c r="O280">
        <v>2</v>
      </c>
      <c r="P280">
        <v>2</v>
      </c>
      <c r="Q280">
        <v>2</v>
      </c>
      <c r="R280">
        <v>2</v>
      </c>
      <c r="S280">
        <v>0</v>
      </c>
      <c r="T280">
        <v>0</v>
      </c>
      <c r="U280">
        <v>16</v>
      </c>
    </row>
    <row r="281" spans="1:21" x14ac:dyDescent="0.25">
      <c r="A281">
        <v>2025</v>
      </c>
      <c r="B281">
        <v>2</v>
      </c>
      <c r="C281" t="s">
        <v>61</v>
      </c>
      <c r="D281" t="s">
        <v>22</v>
      </c>
      <c r="E281" t="s">
        <v>31</v>
      </c>
      <c r="F281" t="s">
        <v>28</v>
      </c>
      <c r="G281" t="s">
        <v>25</v>
      </c>
      <c r="H281" t="s">
        <v>26</v>
      </c>
      <c r="I281" t="s">
        <v>25</v>
      </c>
      <c r="J281">
        <v>712</v>
      </c>
      <c r="K281">
        <v>2</v>
      </c>
      <c r="L281">
        <v>4</v>
      </c>
      <c r="M281">
        <v>6</v>
      </c>
      <c r="N281">
        <v>111</v>
      </c>
      <c r="O281">
        <v>78</v>
      </c>
      <c r="P281">
        <v>66</v>
      </c>
      <c r="Q281">
        <v>43</v>
      </c>
      <c r="R281">
        <v>28</v>
      </c>
      <c r="S281">
        <v>12</v>
      </c>
      <c r="T281">
        <v>5</v>
      </c>
      <c r="U281">
        <v>707</v>
      </c>
    </row>
    <row r="282" spans="1:21" x14ac:dyDescent="0.25">
      <c r="A282">
        <v>2025</v>
      </c>
      <c r="B282">
        <v>2</v>
      </c>
      <c r="C282" t="s">
        <v>61</v>
      </c>
      <c r="D282" t="s">
        <v>22</v>
      </c>
      <c r="E282" t="s">
        <v>31</v>
      </c>
      <c r="F282" t="s">
        <v>24</v>
      </c>
      <c r="G282" t="s">
        <v>25</v>
      </c>
      <c r="H282" t="s">
        <v>26</v>
      </c>
      <c r="I282" t="s">
        <v>25</v>
      </c>
      <c r="J282">
        <v>865</v>
      </c>
      <c r="K282">
        <v>0</v>
      </c>
      <c r="L282">
        <v>0</v>
      </c>
      <c r="M282">
        <v>0</v>
      </c>
      <c r="N282">
        <v>129</v>
      </c>
      <c r="O282">
        <v>87</v>
      </c>
      <c r="P282">
        <v>69</v>
      </c>
      <c r="Q282">
        <v>41</v>
      </c>
      <c r="R282">
        <v>35</v>
      </c>
      <c r="S282">
        <v>10</v>
      </c>
      <c r="T282">
        <v>2</v>
      </c>
      <c r="U282">
        <v>865</v>
      </c>
    </row>
    <row r="283" spans="1:21" x14ac:dyDescent="0.25">
      <c r="A283">
        <v>2025</v>
      </c>
      <c r="B283">
        <v>2</v>
      </c>
      <c r="C283" t="s">
        <v>61</v>
      </c>
      <c r="D283" t="s">
        <v>22</v>
      </c>
      <c r="E283" t="s">
        <v>32</v>
      </c>
      <c r="F283" t="s">
        <v>24</v>
      </c>
      <c r="G283" t="s">
        <v>25</v>
      </c>
      <c r="H283" t="s">
        <v>26</v>
      </c>
      <c r="I283" t="s">
        <v>25</v>
      </c>
      <c r="J283">
        <v>1456</v>
      </c>
      <c r="K283">
        <v>3</v>
      </c>
      <c r="L283">
        <v>2</v>
      </c>
      <c r="M283">
        <v>5</v>
      </c>
      <c r="N283">
        <v>523</v>
      </c>
      <c r="O283">
        <v>395</v>
      </c>
      <c r="P283">
        <v>346</v>
      </c>
      <c r="Q283">
        <v>239</v>
      </c>
      <c r="R283">
        <v>150</v>
      </c>
      <c r="S283">
        <v>57</v>
      </c>
      <c r="T283">
        <v>20</v>
      </c>
      <c r="U283">
        <v>1451</v>
      </c>
    </row>
    <row r="284" spans="1:21" x14ac:dyDescent="0.25">
      <c r="A284">
        <v>2025</v>
      </c>
      <c r="B284">
        <v>2</v>
      </c>
      <c r="C284" t="s">
        <v>61</v>
      </c>
      <c r="D284" t="s">
        <v>22</v>
      </c>
      <c r="E284" t="s">
        <v>38</v>
      </c>
      <c r="F284" t="s">
        <v>24</v>
      </c>
      <c r="G284" t="s">
        <v>25</v>
      </c>
      <c r="H284" t="s">
        <v>26</v>
      </c>
      <c r="I284" t="s">
        <v>25</v>
      </c>
      <c r="J284">
        <v>2</v>
      </c>
      <c r="K284">
        <v>0</v>
      </c>
      <c r="L284">
        <v>0</v>
      </c>
      <c r="M284">
        <v>0</v>
      </c>
      <c r="N284">
        <v>1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2</v>
      </c>
    </row>
    <row r="285" spans="1:21" x14ac:dyDescent="0.25">
      <c r="A285">
        <v>2025</v>
      </c>
      <c r="B285">
        <v>2</v>
      </c>
      <c r="C285" t="s">
        <v>61</v>
      </c>
      <c r="D285" t="s">
        <v>22</v>
      </c>
      <c r="E285" t="s">
        <v>34</v>
      </c>
      <c r="F285" t="s">
        <v>24</v>
      </c>
      <c r="G285" t="s">
        <v>25</v>
      </c>
      <c r="H285" t="s">
        <v>26</v>
      </c>
      <c r="I285" t="s">
        <v>26</v>
      </c>
      <c r="J285">
        <v>304</v>
      </c>
      <c r="K285">
        <v>0</v>
      </c>
      <c r="L285">
        <v>0</v>
      </c>
      <c r="M285">
        <v>0</v>
      </c>
      <c r="N285">
        <v>34</v>
      </c>
      <c r="O285">
        <v>24</v>
      </c>
      <c r="P285">
        <v>24</v>
      </c>
      <c r="Q285">
        <v>20</v>
      </c>
      <c r="R285">
        <v>18</v>
      </c>
      <c r="S285">
        <v>9</v>
      </c>
      <c r="T285">
        <v>2</v>
      </c>
      <c r="U285">
        <v>304</v>
      </c>
    </row>
    <row r="286" spans="1:21" x14ac:dyDescent="0.25">
      <c r="A286">
        <v>2025</v>
      </c>
      <c r="B286">
        <v>2</v>
      </c>
      <c r="C286" t="s">
        <v>61</v>
      </c>
      <c r="D286" t="s">
        <v>22</v>
      </c>
      <c r="E286" t="s">
        <v>23</v>
      </c>
      <c r="F286" t="s">
        <v>28</v>
      </c>
      <c r="G286" t="s">
        <v>25</v>
      </c>
      <c r="H286" t="s">
        <v>26</v>
      </c>
      <c r="I286" t="s">
        <v>25</v>
      </c>
      <c r="J286">
        <v>1613</v>
      </c>
      <c r="K286">
        <v>1</v>
      </c>
      <c r="L286">
        <v>5</v>
      </c>
      <c r="M286">
        <v>6</v>
      </c>
      <c r="N286">
        <v>185</v>
      </c>
      <c r="O286">
        <v>123</v>
      </c>
      <c r="P286">
        <v>107</v>
      </c>
      <c r="Q286">
        <v>73</v>
      </c>
      <c r="R286">
        <v>51</v>
      </c>
      <c r="S286">
        <v>22</v>
      </c>
      <c r="T286">
        <v>5</v>
      </c>
      <c r="U286">
        <v>1610</v>
      </c>
    </row>
    <row r="287" spans="1:21" x14ac:dyDescent="0.25">
      <c r="A287">
        <v>2025</v>
      </c>
      <c r="B287">
        <v>2</v>
      </c>
      <c r="C287" t="s">
        <v>61</v>
      </c>
      <c r="D287" t="s">
        <v>22</v>
      </c>
      <c r="E287" t="s">
        <v>23</v>
      </c>
      <c r="F287" t="s">
        <v>24</v>
      </c>
      <c r="G287" t="s">
        <v>25</v>
      </c>
      <c r="H287" t="s">
        <v>26</v>
      </c>
      <c r="I287" t="s">
        <v>25</v>
      </c>
      <c r="J287">
        <v>542</v>
      </c>
      <c r="K287">
        <v>2</v>
      </c>
      <c r="L287">
        <v>0</v>
      </c>
      <c r="M287">
        <v>2</v>
      </c>
      <c r="N287">
        <v>61</v>
      </c>
      <c r="O287">
        <v>46</v>
      </c>
      <c r="P287">
        <v>40</v>
      </c>
      <c r="Q287">
        <v>33</v>
      </c>
      <c r="R287">
        <v>28</v>
      </c>
      <c r="S287">
        <v>14</v>
      </c>
      <c r="T287">
        <v>4</v>
      </c>
      <c r="U287">
        <v>540</v>
      </c>
    </row>
    <row r="288" spans="1:21" x14ac:dyDescent="0.25">
      <c r="A288">
        <v>2025</v>
      </c>
      <c r="B288">
        <v>2</v>
      </c>
      <c r="C288" t="s">
        <v>61</v>
      </c>
      <c r="D288" t="s">
        <v>22</v>
      </c>
      <c r="E288" t="s">
        <v>39</v>
      </c>
      <c r="F288" t="s">
        <v>28</v>
      </c>
      <c r="G288" t="s">
        <v>26</v>
      </c>
      <c r="H288" t="s">
        <v>26</v>
      </c>
      <c r="I288" t="s">
        <v>25</v>
      </c>
      <c r="J288">
        <v>30</v>
      </c>
      <c r="K288">
        <v>0</v>
      </c>
      <c r="L288">
        <v>0</v>
      </c>
      <c r="M288">
        <v>0</v>
      </c>
      <c r="N288">
        <v>4</v>
      </c>
      <c r="O288">
        <v>2</v>
      </c>
      <c r="P288">
        <v>2</v>
      </c>
      <c r="Q288">
        <v>1</v>
      </c>
      <c r="R288">
        <v>0</v>
      </c>
      <c r="S288">
        <v>0</v>
      </c>
      <c r="T288">
        <v>0</v>
      </c>
      <c r="U288">
        <v>30</v>
      </c>
    </row>
    <row r="289" spans="1:21" x14ac:dyDescent="0.25">
      <c r="A289">
        <v>2025</v>
      </c>
      <c r="B289">
        <v>2</v>
      </c>
      <c r="C289" t="s">
        <v>61</v>
      </c>
      <c r="D289" t="s">
        <v>22</v>
      </c>
      <c r="E289" t="s">
        <v>39</v>
      </c>
      <c r="F289" t="s">
        <v>24</v>
      </c>
      <c r="G289" t="s">
        <v>26</v>
      </c>
      <c r="H289" t="s">
        <v>26</v>
      </c>
      <c r="I289" t="s">
        <v>25</v>
      </c>
      <c r="J289">
        <v>693</v>
      </c>
      <c r="K289">
        <v>13</v>
      </c>
      <c r="L289">
        <v>2</v>
      </c>
      <c r="M289">
        <v>15</v>
      </c>
      <c r="N289">
        <v>221</v>
      </c>
      <c r="O289">
        <v>180</v>
      </c>
      <c r="P289">
        <v>172</v>
      </c>
      <c r="Q289">
        <v>139</v>
      </c>
      <c r="R289">
        <v>111</v>
      </c>
      <c r="S289">
        <v>49</v>
      </c>
      <c r="T289">
        <v>17</v>
      </c>
      <c r="U289">
        <v>678</v>
      </c>
    </row>
    <row r="290" spans="1:21" x14ac:dyDescent="0.25">
      <c r="A290">
        <v>2025</v>
      </c>
      <c r="B290">
        <v>2</v>
      </c>
      <c r="C290" t="s">
        <v>61</v>
      </c>
      <c r="D290" t="s">
        <v>22</v>
      </c>
      <c r="E290" t="s">
        <v>35</v>
      </c>
      <c r="F290" t="s">
        <v>28</v>
      </c>
      <c r="G290" t="s">
        <v>25</v>
      </c>
      <c r="H290" t="s">
        <v>26</v>
      </c>
      <c r="I290" t="s">
        <v>26</v>
      </c>
      <c r="J290">
        <v>65</v>
      </c>
      <c r="K290">
        <v>1</v>
      </c>
      <c r="L290">
        <v>0</v>
      </c>
      <c r="M290">
        <v>1</v>
      </c>
      <c r="N290">
        <v>16</v>
      </c>
      <c r="O290">
        <v>9</v>
      </c>
      <c r="P290">
        <v>8</v>
      </c>
      <c r="Q290">
        <v>8</v>
      </c>
      <c r="R290">
        <v>3</v>
      </c>
      <c r="S290">
        <v>1</v>
      </c>
      <c r="T290">
        <v>0</v>
      </c>
      <c r="U290">
        <v>64</v>
      </c>
    </row>
    <row r="291" spans="1:21" x14ac:dyDescent="0.25">
      <c r="A291">
        <v>2025</v>
      </c>
      <c r="B291">
        <v>2</v>
      </c>
      <c r="C291" t="s">
        <v>61</v>
      </c>
      <c r="D291" t="s">
        <v>22</v>
      </c>
      <c r="E291" t="s">
        <v>35</v>
      </c>
      <c r="F291" t="s">
        <v>24</v>
      </c>
      <c r="G291" t="s">
        <v>25</v>
      </c>
      <c r="H291" t="s">
        <v>26</v>
      </c>
      <c r="I291" t="s">
        <v>26</v>
      </c>
      <c r="J291">
        <v>624</v>
      </c>
      <c r="K291">
        <v>1</v>
      </c>
      <c r="L291">
        <v>0</v>
      </c>
      <c r="M291">
        <v>1</v>
      </c>
      <c r="N291">
        <v>193</v>
      </c>
      <c r="O291">
        <v>152</v>
      </c>
      <c r="P291">
        <v>148</v>
      </c>
      <c r="Q291">
        <v>126</v>
      </c>
      <c r="R291">
        <v>94</v>
      </c>
      <c r="S291">
        <v>65</v>
      </c>
      <c r="T291">
        <v>27</v>
      </c>
      <c r="U291">
        <v>623</v>
      </c>
    </row>
    <row r="292" spans="1:21" x14ac:dyDescent="0.25">
      <c r="A292">
        <v>2025</v>
      </c>
      <c r="B292">
        <v>2</v>
      </c>
      <c r="C292" t="s">
        <v>61</v>
      </c>
      <c r="D292" t="s">
        <v>22</v>
      </c>
      <c r="E292" t="s">
        <v>35</v>
      </c>
      <c r="F292" t="s">
        <v>29</v>
      </c>
      <c r="G292" t="s">
        <v>25</v>
      </c>
      <c r="H292" t="s">
        <v>26</v>
      </c>
      <c r="I292" t="s">
        <v>26</v>
      </c>
      <c r="J292">
        <v>2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</row>
    <row r="293" spans="1:21" x14ac:dyDescent="0.25">
      <c r="A293">
        <v>2025</v>
      </c>
      <c r="B293">
        <v>2</v>
      </c>
      <c r="C293" t="s">
        <v>61</v>
      </c>
      <c r="D293" t="s">
        <v>22</v>
      </c>
      <c r="E293" t="s">
        <v>36</v>
      </c>
      <c r="F293" t="s">
        <v>28</v>
      </c>
      <c r="G293" t="s">
        <v>25</v>
      </c>
      <c r="H293" t="s">
        <v>26</v>
      </c>
      <c r="I293" t="s">
        <v>25</v>
      </c>
      <c r="J293">
        <v>1927</v>
      </c>
      <c r="K293">
        <v>4</v>
      </c>
      <c r="L293">
        <v>50</v>
      </c>
      <c r="M293">
        <v>54</v>
      </c>
      <c r="N293">
        <v>251</v>
      </c>
      <c r="O293">
        <v>133</v>
      </c>
      <c r="P293">
        <v>106</v>
      </c>
      <c r="Q293">
        <v>63</v>
      </c>
      <c r="R293">
        <v>36</v>
      </c>
      <c r="S293">
        <v>16</v>
      </c>
      <c r="T293">
        <v>4</v>
      </c>
      <c r="U293">
        <v>1896</v>
      </c>
    </row>
    <row r="294" spans="1:21" x14ac:dyDescent="0.25">
      <c r="A294">
        <v>2025</v>
      </c>
      <c r="B294">
        <v>2</v>
      </c>
      <c r="C294" t="s">
        <v>61</v>
      </c>
      <c r="D294" t="s">
        <v>22</v>
      </c>
      <c r="E294" t="s">
        <v>36</v>
      </c>
      <c r="F294" t="s">
        <v>24</v>
      </c>
      <c r="G294" t="s">
        <v>25</v>
      </c>
      <c r="H294" t="s">
        <v>26</v>
      </c>
      <c r="I294" t="s">
        <v>25</v>
      </c>
      <c r="J294">
        <v>1012</v>
      </c>
      <c r="K294">
        <v>1</v>
      </c>
      <c r="L294">
        <v>2</v>
      </c>
      <c r="M294">
        <v>3</v>
      </c>
      <c r="N294">
        <v>286</v>
      </c>
      <c r="O294">
        <v>229</v>
      </c>
      <c r="P294">
        <v>212</v>
      </c>
      <c r="Q294">
        <v>145</v>
      </c>
      <c r="R294">
        <v>106</v>
      </c>
      <c r="S294">
        <v>47</v>
      </c>
      <c r="T294">
        <v>14</v>
      </c>
      <c r="U294">
        <v>1009</v>
      </c>
    </row>
    <row r="295" spans="1:21" x14ac:dyDescent="0.25">
      <c r="A295">
        <v>2025</v>
      </c>
      <c r="B295">
        <v>2</v>
      </c>
      <c r="C295" t="s">
        <v>61</v>
      </c>
      <c r="D295" t="s">
        <v>22</v>
      </c>
      <c r="E295" t="s">
        <v>41</v>
      </c>
      <c r="F295" t="s">
        <v>28</v>
      </c>
      <c r="G295" t="s">
        <v>26</v>
      </c>
      <c r="H295" t="s">
        <v>26</v>
      </c>
      <c r="I295" t="s">
        <v>25</v>
      </c>
      <c r="J295">
        <v>838</v>
      </c>
      <c r="K295">
        <v>2</v>
      </c>
      <c r="L295">
        <v>29</v>
      </c>
      <c r="M295">
        <v>31</v>
      </c>
      <c r="N295">
        <v>313</v>
      </c>
      <c r="O295">
        <v>265</v>
      </c>
      <c r="P295">
        <v>243</v>
      </c>
      <c r="Q295">
        <v>174</v>
      </c>
      <c r="R295">
        <v>137</v>
      </c>
      <c r="S295">
        <v>60</v>
      </c>
      <c r="T295">
        <v>5</v>
      </c>
      <c r="U295">
        <v>822</v>
      </c>
    </row>
    <row r="296" spans="1:21" x14ac:dyDescent="0.25">
      <c r="A296">
        <v>2025</v>
      </c>
      <c r="B296">
        <v>2</v>
      </c>
      <c r="C296" t="s">
        <v>61</v>
      </c>
      <c r="D296" t="s">
        <v>22</v>
      </c>
      <c r="E296" t="s">
        <v>41</v>
      </c>
      <c r="F296" t="s">
        <v>24</v>
      </c>
      <c r="G296" t="s">
        <v>26</v>
      </c>
      <c r="H296" t="s">
        <v>26</v>
      </c>
      <c r="I296" t="s">
        <v>25</v>
      </c>
      <c r="J296">
        <v>931</v>
      </c>
      <c r="K296">
        <v>1</v>
      </c>
      <c r="L296">
        <v>12</v>
      </c>
      <c r="M296">
        <v>13</v>
      </c>
      <c r="N296">
        <v>300</v>
      </c>
      <c r="O296">
        <v>248</v>
      </c>
      <c r="P296">
        <v>227</v>
      </c>
      <c r="Q296">
        <v>173</v>
      </c>
      <c r="R296">
        <v>137</v>
      </c>
      <c r="S296">
        <v>70</v>
      </c>
      <c r="T296">
        <v>12</v>
      </c>
      <c r="U296">
        <v>927</v>
      </c>
    </row>
    <row r="297" spans="1:21" x14ac:dyDescent="0.25">
      <c r="A297">
        <v>2025</v>
      </c>
      <c r="B297">
        <v>2</v>
      </c>
      <c r="C297" t="s">
        <v>62</v>
      </c>
      <c r="D297" t="s">
        <v>22</v>
      </c>
      <c r="E297" t="s">
        <v>40</v>
      </c>
      <c r="F297" t="s">
        <v>28</v>
      </c>
      <c r="G297" t="s">
        <v>25</v>
      </c>
      <c r="H297" t="s">
        <v>25</v>
      </c>
      <c r="I297" t="s">
        <v>25</v>
      </c>
      <c r="J297">
        <v>9934</v>
      </c>
      <c r="K297">
        <v>3</v>
      </c>
      <c r="L297">
        <v>83</v>
      </c>
      <c r="M297">
        <v>86</v>
      </c>
      <c r="N297">
        <v>8</v>
      </c>
      <c r="O297">
        <v>4</v>
      </c>
      <c r="P297">
        <v>3</v>
      </c>
      <c r="Q297">
        <v>0</v>
      </c>
      <c r="R297">
        <v>0</v>
      </c>
      <c r="S297">
        <v>0</v>
      </c>
      <c r="T297">
        <v>0</v>
      </c>
      <c r="U297">
        <v>9869</v>
      </c>
    </row>
    <row r="298" spans="1:21" x14ac:dyDescent="0.25">
      <c r="A298">
        <v>2025</v>
      </c>
      <c r="B298">
        <v>2</v>
      </c>
      <c r="C298" t="s">
        <v>62</v>
      </c>
      <c r="D298" t="s">
        <v>22</v>
      </c>
      <c r="E298" t="s">
        <v>40</v>
      </c>
      <c r="F298" t="s">
        <v>24</v>
      </c>
      <c r="G298" t="s">
        <v>25</v>
      </c>
      <c r="H298" t="s">
        <v>25</v>
      </c>
      <c r="I298" t="s">
        <v>25</v>
      </c>
      <c r="J298">
        <v>22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22</v>
      </c>
    </row>
    <row r="299" spans="1:21" x14ac:dyDescent="0.25">
      <c r="A299">
        <v>2025</v>
      </c>
      <c r="B299">
        <v>2</v>
      </c>
      <c r="C299" t="s">
        <v>63</v>
      </c>
      <c r="D299" t="s">
        <v>45</v>
      </c>
      <c r="E299" t="s">
        <v>64</v>
      </c>
      <c r="F299" t="s">
        <v>24</v>
      </c>
      <c r="G299" t="s">
        <v>25</v>
      </c>
      <c r="H299" t="s">
        <v>25</v>
      </c>
      <c r="I299" t="s">
        <v>25</v>
      </c>
      <c r="J299">
        <v>142</v>
      </c>
      <c r="K299">
        <v>1</v>
      </c>
      <c r="L299">
        <v>1</v>
      </c>
      <c r="M299">
        <v>2</v>
      </c>
      <c r="N299">
        <v>31</v>
      </c>
      <c r="O299">
        <v>21</v>
      </c>
      <c r="P299">
        <v>20</v>
      </c>
      <c r="Q299">
        <v>15</v>
      </c>
      <c r="R299">
        <v>9</v>
      </c>
      <c r="S299">
        <v>6</v>
      </c>
      <c r="T299">
        <v>3</v>
      </c>
      <c r="U299">
        <v>140</v>
      </c>
    </row>
    <row r="300" spans="1:21" x14ac:dyDescent="0.25">
      <c r="A300">
        <v>2025</v>
      </c>
      <c r="B300">
        <v>2</v>
      </c>
      <c r="C300" t="s">
        <v>63</v>
      </c>
      <c r="D300" t="s">
        <v>45</v>
      </c>
      <c r="E300" t="s">
        <v>64</v>
      </c>
      <c r="F300" t="s">
        <v>29</v>
      </c>
      <c r="G300" t="s">
        <v>25</v>
      </c>
      <c r="H300" t="s">
        <v>25</v>
      </c>
      <c r="I300" t="s">
        <v>25</v>
      </c>
      <c r="J300">
        <v>1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</row>
    <row r="301" spans="1:21" x14ac:dyDescent="0.25">
      <c r="A301">
        <v>2025</v>
      </c>
      <c r="B301">
        <v>2</v>
      </c>
      <c r="C301" t="s">
        <v>63</v>
      </c>
      <c r="D301" t="s">
        <v>45</v>
      </c>
      <c r="E301" t="s">
        <v>65</v>
      </c>
      <c r="F301" t="s">
        <v>28</v>
      </c>
      <c r="G301" t="s">
        <v>26</v>
      </c>
      <c r="H301" t="s">
        <v>26</v>
      </c>
      <c r="I301" t="s">
        <v>25</v>
      </c>
      <c r="J301">
        <v>1566</v>
      </c>
      <c r="K301">
        <v>5</v>
      </c>
      <c r="L301">
        <v>28</v>
      </c>
      <c r="M301">
        <v>33</v>
      </c>
      <c r="N301">
        <v>305</v>
      </c>
      <c r="O301">
        <v>284</v>
      </c>
      <c r="P301">
        <v>284</v>
      </c>
      <c r="Q301">
        <v>212</v>
      </c>
      <c r="R301">
        <v>171</v>
      </c>
      <c r="S301">
        <v>98</v>
      </c>
      <c r="T301">
        <v>43</v>
      </c>
      <c r="U301">
        <v>1550</v>
      </c>
    </row>
    <row r="302" spans="1:21" x14ac:dyDescent="0.25">
      <c r="A302">
        <v>2025</v>
      </c>
      <c r="B302">
        <v>2</v>
      </c>
      <c r="C302" t="s">
        <v>63</v>
      </c>
      <c r="D302" t="s">
        <v>45</v>
      </c>
      <c r="E302" t="s">
        <v>65</v>
      </c>
      <c r="F302" t="s">
        <v>29</v>
      </c>
      <c r="G302" t="s">
        <v>26</v>
      </c>
      <c r="H302" t="s">
        <v>26</v>
      </c>
      <c r="I302" t="s">
        <v>25</v>
      </c>
      <c r="J302">
        <v>55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</row>
    <row r="303" spans="1:21" x14ac:dyDescent="0.25">
      <c r="A303">
        <v>2025</v>
      </c>
      <c r="B303">
        <v>2</v>
      </c>
      <c r="C303" t="s">
        <v>66</v>
      </c>
      <c r="D303" t="s">
        <v>22</v>
      </c>
      <c r="E303" t="s">
        <v>32</v>
      </c>
      <c r="F303" t="s">
        <v>24</v>
      </c>
      <c r="G303" t="s">
        <v>25</v>
      </c>
      <c r="H303" t="s">
        <v>25</v>
      </c>
      <c r="I303" t="s">
        <v>25</v>
      </c>
      <c r="J303">
        <v>820</v>
      </c>
      <c r="K303">
        <v>0</v>
      </c>
      <c r="L303">
        <v>0</v>
      </c>
      <c r="M303">
        <v>0</v>
      </c>
      <c r="N303">
        <v>173</v>
      </c>
      <c r="O303">
        <v>143</v>
      </c>
      <c r="P303">
        <v>135</v>
      </c>
      <c r="Q303">
        <v>109</v>
      </c>
      <c r="R303">
        <v>81</v>
      </c>
      <c r="S303">
        <v>45</v>
      </c>
      <c r="T303">
        <v>20</v>
      </c>
      <c r="U303">
        <v>820</v>
      </c>
    </row>
    <row r="304" spans="1:21" x14ac:dyDescent="0.25">
      <c r="A304">
        <v>2025</v>
      </c>
      <c r="B304">
        <v>2</v>
      </c>
      <c r="C304" t="s">
        <v>66</v>
      </c>
      <c r="D304" t="s">
        <v>22</v>
      </c>
      <c r="E304" t="s">
        <v>34</v>
      </c>
      <c r="F304" t="s">
        <v>24</v>
      </c>
      <c r="G304" t="s">
        <v>25</v>
      </c>
      <c r="H304" t="s">
        <v>26</v>
      </c>
      <c r="I304" t="s">
        <v>26</v>
      </c>
      <c r="J304">
        <v>54</v>
      </c>
      <c r="K304">
        <v>0</v>
      </c>
      <c r="L304">
        <v>0</v>
      </c>
      <c r="M304">
        <v>0</v>
      </c>
      <c r="N304">
        <v>7</v>
      </c>
      <c r="O304">
        <v>6</v>
      </c>
      <c r="P304">
        <v>6</v>
      </c>
      <c r="Q304">
        <v>3</v>
      </c>
      <c r="R304">
        <v>2</v>
      </c>
      <c r="S304">
        <v>0</v>
      </c>
      <c r="T304">
        <v>0</v>
      </c>
      <c r="U304">
        <v>54</v>
      </c>
    </row>
    <row r="305" spans="1:21" x14ac:dyDescent="0.25">
      <c r="A305">
        <v>2025</v>
      </c>
      <c r="B305">
        <v>2</v>
      </c>
      <c r="C305" t="s">
        <v>66</v>
      </c>
      <c r="D305" t="s">
        <v>22</v>
      </c>
      <c r="E305" t="s">
        <v>23</v>
      </c>
      <c r="F305" t="s">
        <v>24</v>
      </c>
      <c r="G305" t="s">
        <v>25</v>
      </c>
      <c r="H305" t="s">
        <v>25</v>
      </c>
      <c r="I305" t="s">
        <v>25</v>
      </c>
      <c r="J305">
        <v>1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1</v>
      </c>
    </row>
    <row r="306" spans="1:21" x14ac:dyDescent="0.25">
      <c r="A306">
        <v>2025</v>
      </c>
      <c r="B306">
        <v>2</v>
      </c>
      <c r="C306" t="s">
        <v>66</v>
      </c>
      <c r="D306" t="s">
        <v>22</v>
      </c>
      <c r="E306" t="s">
        <v>23</v>
      </c>
      <c r="F306" t="s">
        <v>24</v>
      </c>
      <c r="G306" t="s">
        <v>25</v>
      </c>
      <c r="H306" t="s">
        <v>26</v>
      </c>
      <c r="I306" t="s">
        <v>25</v>
      </c>
      <c r="J306">
        <v>53</v>
      </c>
      <c r="K306">
        <v>0</v>
      </c>
      <c r="L306">
        <v>0</v>
      </c>
      <c r="M306">
        <v>0</v>
      </c>
      <c r="N306">
        <v>6</v>
      </c>
      <c r="O306">
        <v>5</v>
      </c>
      <c r="P306">
        <v>5</v>
      </c>
      <c r="Q306">
        <v>2</v>
      </c>
      <c r="R306">
        <v>1</v>
      </c>
      <c r="S306">
        <v>0</v>
      </c>
      <c r="T306">
        <v>0</v>
      </c>
      <c r="U306">
        <v>53</v>
      </c>
    </row>
    <row r="307" spans="1:21" x14ac:dyDescent="0.25">
      <c r="A307">
        <v>2025</v>
      </c>
      <c r="B307">
        <v>2</v>
      </c>
      <c r="C307" t="s">
        <v>67</v>
      </c>
      <c r="D307" t="s">
        <v>22</v>
      </c>
      <c r="E307" t="s">
        <v>68</v>
      </c>
      <c r="F307" t="s">
        <v>28</v>
      </c>
      <c r="G307" t="s">
        <v>25</v>
      </c>
      <c r="H307" t="s">
        <v>25</v>
      </c>
      <c r="I307" t="s">
        <v>25</v>
      </c>
      <c r="J307">
        <v>1292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1292</v>
      </c>
    </row>
    <row r="308" spans="1:21" x14ac:dyDescent="0.25">
      <c r="A308">
        <v>2025</v>
      </c>
      <c r="B308">
        <v>2</v>
      </c>
      <c r="C308" t="s">
        <v>67</v>
      </c>
      <c r="D308" t="s">
        <v>22</v>
      </c>
      <c r="E308" t="s">
        <v>68</v>
      </c>
      <c r="F308" t="s">
        <v>24</v>
      </c>
      <c r="G308" t="s">
        <v>25</v>
      </c>
      <c r="H308" t="s">
        <v>25</v>
      </c>
      <c r="I308" t="s">
        <v>25</v>
      </c>
      <c r="J308">
        <v>84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84</v>
      </c>
    </row>
    <row r="309" spans="1:21" x14ac:dyDescent="0.25">
      <c r="A309">
        <v>2025</v>
      </c>
      <c r="B309">
        <v>2</v>
      </c>
      <c r="C309" t="s">
        <v>69</v>
      </c>
      <c r="D309" t="s">
        <v>22</v>
      </c>
      <c r="E309" t="s">
        <v>32</v>
      </c>
      <c r="F309" t="s">
        <v>28</v>
      </c>
      <c r="G309" t="s">
        <v>25</v>
      </c>
      <c r="H309" t="s">
        <v>26</v>
      </c>
      <c r="I309" t="s">
        <v>25</v>
      </c>
      <c r="J309">
        <v>43</v>
      </c>
      <c r="K309">
        <v>2</v>
      </c>
      <c r="L309">
        <v>0</v>
      </c>
      <c r="M309">
        <v>2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41</v>
      </c>
    </row>
    <row r="310" spans="1:21" x14ac:dyDescent="0.25">
      <c r="A310">
        <v>2025</v>
      </c>
      <c r="B310">
        <v>2</v>
      </c>
      <c r="C310" t="s">
        <v>69</v>
      </c>
      <c r="D310" t="s">
        <v>22</v>
      </c>
      <c r="E310" t="s">
        <v>32</v>
      </c>
      <c r="F310" t="s">
        <v>24</v>
      </c>
      <c r="G310" t="s">
        <v>25</v>
      </c>
      <c r="H310" t="s">
        <v>26</v>
      </c>
      <c r="I310" t="s">
        <v>25</v>
      </c>
      <c r="J310">
        <v>1721</v>
      </c>
      <c r="K310">
        <v>5</v>
      </c>
      <c r="L310">
        <v>57</v>
      </c>
      <c r="M310">
        <v>62</v>
      </c>
      <c r="N310">
        <v>241</v>
      </c>
      <c r="O310">
        <v>171</v>
      </c>
      <c r="P310">
        <v>141</v>
      </c>
      <c r="Q310">
        <v>86</v>
      </c>
      <c r="R310">
        <v>50</v>
      </c>
      <c r="S310">
        <v>19</v>
      </c>
      <c r="T310">
        <v>6</v>
      </c>
      <c r="U310">
        <v>1671</v>
      </c>
    </row>
    <row r="311" spans="1:21" x14ac:dyDescent="0.25">
      <c r="A311">
        <v>2025</v>
      </c>
      <c r="B311">
        <v>2</v>
      </c>
      <c r="C311" t="s">
        <v>69</v>
      </c>
      <c r="D311" t="s">
        <v>22</v>
      </c>
      <c r="E311" t="s">
        <v>38</v>
      </c>
      <c r="F311" t="s">
        <v>24</v>
      </c>
      <c r="G311" t="s">
        <v>25</v>
      </c>
      <c r="H311" t="s">
        <v>25</v>
      </c>
      <c r="I311" t="s">
        <v>25</v>
      </c>
      <c r="J311">
        <v>251</v>
      </c>
      <c r="K311">
        <v>2</v>
      </c>
      <c r="L311">
        <v>4</v>
      </c>
      <c r="M311">
        <v>6</v>
      </c>
      <c r="N311">
        <v>163</v>
      </c>
      <c r="O311">
        <v>129</v>
      </c>
      <c r="P311">
        <v>117</v>
      </c>
      <c r="Q311">
        <v>65</v>
      </c>
      <c r="R311">
        <v>32</v>
      </c>
      <c r="S311">
        <v>11</v>
      </c>
      <c r="T311">
        <v>3</v>
      </c>
      <c r="U311">
        <v>248</v>
      </c>
    </row>
    <row r="312" spans="1:21" x14ac:dyDescent="0.25">
      <c r="A312">
        <v>2025</v>
      </c>
      <c r="B312">
        <v>2</v>
      </c>
      <c r="C312" t="s">
        <v>69</v>
      </c>
      <c r="D312" t="s">
        <v>22</v>
      </c>
      <c r="E312" t="s">
        <v>38</v>
      </c>
      <c r="F312" t="s">
        <v>24</v>
      </c>
      <c r="G312" t="s">
        <v>25</v>
      </c>
      <c r="H312" t="s">
        <v>26</v>
      </c>
      <c r="I312" t="s">
        <v>25</v>
      </c>
      <c r="J312">
        <v>1</v>
      </c>
      <c r="K312">
        <v>0</v>
      </c>
      <c r="L312">
        <v>0</v>
      </c>
      <c r="M312">
        <v>0</v>
      </c>
      <c r="N312">
        <v>1</v>
      </c>
      <c r="O312">
        <v>1</v>
      </c>
      <c r="P312">
        <v>1</v>
      </c>
      <c r="Q312">
        <v>1</v>
      </c>
      <c r="R312">
        <v>1</v>
      </c>
      <c r="S312">
        <v>0</v>
      </c>
      <c r="T312">
        <v>0</v>
      </c>
      <c r="U312">
        <v>1</v>
      </c>
    </row>
    <row r="313" spans="1:21" x14ac:dyDescent="0.25">
      <c r="A313">
        <v>2025</v>
      </c>
      <c r="B313">
        <v>2</v>
      </c>
      <c r="C313" t="s">
        <v>69</v>
      </c>
      <c r="D313" t="s">
        <v>22</v>
      </c>
      <c r="E313" t="s">
        <v>34</v>
      </c>
      <c r="F313" t="s">
        <v>24</v>
      </c>
      <c r="G313" t="s">
        <v>25</v>
      </c>
      <c r="H313" t="s">
        <v>26</v>
      </c>
      <c r="I313" t="s">
        <v>26</v>
      </c>
      <c r="J313">
        <v>166</v>
      </c>
      <c r="K313">
        <v>0</v>
      </c>
      <c r="L313">
        <v>0</v>
      </c>
      <c r="M313">
        <v>0</v>
      </c>
      <c r="N313">
        <v>24</v>
      </c>
      <c r="O313">
        <v>17</v>
      </c>
      <c r="P313">
        <v>11</v>
      </c>
      <c r="Q313">
        <v>9</v>
      </c>
      <c r="R313">
        <v>6</v>
      </c>
      <c r="S313">
        <v>4</v>
      </c>
      <c r="T313">
        <v>1</v>
      </c>
      <c r="U313">
        <v>166</v>
      </c>
    </row>
    <row r="314" spans="1:21" x14ac:dyDescent="0.25">
      <c r="A314">
        <v>2025</v>
      </c>
      <c r="B314">
        <v>2</v>
      </c>
      <c r="C314" t="s">
        <v>69</v>
      </c>
      <c r="D314" t="s">
        <v>22</v>
      </c>
      <c r="E314" t="s">
        <v>23</v>
      </c>
      <c r="F314" t="s">
        <v>28</v>
      </c>
      <c r="G314" t="s">
        <v>25</v>
      </c>
      <c r="H314" t="s">
        <v>26</v>
      </c>
      <c r="I314" t="s">
        <v>25</v>
      </c>
      <c r="J314">
        <v>10618</v>
      </c>
      <c r="K314">
        <v>25</v>
      </c>
      <c r="L314">
        <v>221</v>
      </c>
      <c r="M314">
        <v>246</v>
      </c>
      <c r="N314">
        <v>13</v>
      </c>
      <c r="O314">
        <v>7</v>
      </c>
      <c r="P314">
        <v>5</v>
      </c>
      <c r="Q314">
        <v>4</v>
      </c>
      <c r="R314">
        <v>4</v>
      </c>
      <c r="S314">
        <v>2</v>
      </c>
      <c r="T314">
        <v>1</v>
      </c>
      <c r="U314">
        <v>10414</v>
      </c>
    </row>
    <row r="315" spans="1:21" x14ac:dyDescent="0.25">
      <c r="A315">
        <v>2025</v>
      </c>
      <c r="B315">
        <v>2</v>
      </c>
      <c r="C315" t="s">
        <v>69</v>
      </c>
      <c r="D315" t="s">
        <v>22</v>
      </c>
      <c r="E315" t="s">
        <v>23</v>
      </c>
      <c r="F315" t="s">
        <v>24</v>
      </c>
      <c r="G315" t="s">
        <v>25</v>
      </c>
      <c r="H315" t="s">
        <v>26</v>
      </c>
      <c r="I315" t="s">
        <v>25</v>
      </c>
      <c r="J315">
        <v>1068</v>
      </c>
      <c r="K315">
        <v>16</v>
      </c>
      <c r="L315">
        <v>13</v>
      </c>
      <c r="M315">
        <v>29</v>
      </c>
      <c r="N315">
        <v>116</v>
      </c>
      <c r="O315">
        <v>85</v>
      </c>
      <c r="P315">
        <v>74</v>
      </c>
      <c r="Q315">
        <v>58</v>
      </c>
      <c r="R315">
        <v>40</v>
      </c>
      <c r="S315">
        <v>11</v>
      </c>
      <c r="T315">
        <v>4</v>
      </c>
      <c r="U315">
        <v>1046</v>
      </c>
    </row>
    <row r="316" spans="1:21" x14ac:dyDescent="0.25">
      <c r="A316">
        <v>2025</v>
      </c>
      <c r="B316">
        <v>2</v>
      </c>
      <c r="C316" t="s">
        <v>69</v>
      </c>
      <c r="D316" t="s">
        <v>22</v>
      </c>
      <c r="E316" t="s">
        <v>39</v>
      </c>
      <c r="F316" t="s">
        <v>28</v>
      </c>
      <c r="G316" t="s">
        <v>26</v>
      </c>
      <c r="H316" t="s">
        <v>26</v>
      </c>
      <c r="I316" t="s">
        <v>25</v>
      </c>
      <c r="J316">
        <v>56</v>
      </c>
      <c r="K316">
        <v>0</v>
      </c>
      <c r="L316">
        <v>1</v>
      </c>
      <c r="M316">
        <v>1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56</v>
      </c>
    </row>
    <row r="317" spans="1:21" x14ac:dyDescent="0.25">
      <c r="A317">
        <v>2025</v>
      </c>
      <c r="B317">
        <v>2</v>
      </c>
      <c r="C317" t="s">
        <v>69</v>
      </c>
      <c r="D317" t="s">
        <v>22</v>
      </c>
      <c r="E317" t="s">
        <v>39</v>
      </c>
      <c r="F317" t="s">
        <v>24</v>
      </c>
      <c r="G317" t="s">
        <v>26</v>
      </c>
      <c r="H317" t="s">
        <v>26</v>
      </c>
      <c r="I317" t="s">
        <v>25</v>
      </c>
      <c r="J317">
        <v>1068</v>
      </c>
      <c r="K317">
        <v>44</v>
      </c>
      <c r="L317">
        <v>159</v>
      </c>
      <c r="M317">
        <v>203</v>
      </c>
      <c r="N317">
        <v>224</v>
      </c>
      <c r="O317">
        <v>175</v>
      </c>
      <c r="P317">
        <v>146</v>
      </c>
      <c r="Q317">
        <v>100</v>
      </c>
      <c r="R317">
        <v>76</v>
      </c>
      <c r="S317">
        <v>29</v>
      </c>
      <c r="T317">
        <v>8</v>
      </c>
      <c r="U317">
        <v>929</v>
      </c>
    </row>
    <row r="318" spans="1:21" x14ac:dyDescent="0.25">
      <c r="A318">
        <v>2025</v>
      </c>
      <c r="B318">
        <v>2</v>
      </c>
      <c r="C318" t="s">
        <v>69</v>
      </c>
      <c r="D318" t="s">
        <v>22</v>
      </c>
      <c r="E318" t="s">
        <v>40</v>
      </c>
      <c r="F318" t="s">
        <v>28</v>
      </c>
      <c r="G318" t="s">
        <v>25</v>
      </c>
      <c r="H318" t="s">
        <v>26</v>
      </c>
      <c r="I318" t="s">
        <v>25</v>
      </c>
      <c r="J318">
        <v>11916</v>
      </c>
      <c r="K318">
        <v>34</v>
      </c>
      <c r="L318">
        <v>130</v>
      </c>
      <c r="M318">
        <v>164</v>
      </c>
      <c r="N318">
        <v>19</v>
      </c>
      <c r="O318">
        <v>12</v>
      </c>
      <c r="P318">
        <v>11</v>
      </c>
      <c r="Q318">
        <v>7</v>
      </c>
      <c r="R318">
        <v>4</v>
      </c>
      <c r="S318">
        <v>2</v>
      </c>
      <c r="T318">
        <v>2</v>
      </c>
      <c r="U318">
        <v>11787</v>
      </c>
    </row>
    <row r="319" spans="1:21" x14ac:dyDescent="0.25">
      <c r="A319">
        <v>2025</v>
      </c>
      <c r="B319">
        <v>2</v>
      </c>
      <c r="C319" t="s">
        <v>69</v>
      </c>
      <c r="D319" t="s">
        <v>22</v>
      </c>
      <c r="E319" t="s">
        <v>40</v>
      </c>
      <c r="F319" t="s">
        <v>24</v>
      </c>
      <c r="G319" t="s">
        <v>25</v>
      </c>
      <c r="H319" t="s">
        <v>26</v>
      </c>
      <c r="I319" t="s">
        <v>25</v>
      </c>
      <c r="J319">
        <v>965</v>
      </c>
      <c r="K319">
        <v>0</v>
      </c>
      <c r="L319">
        <v>18</v>
      </c>
      <c r="M319">
        <v>18</v>
      </c>
      <c r="N319">
        <v>36</v>
      </c>
      <c r="O319">
        <v>11</v>
      </c>
      <c r="P319">
        <v>11</v>
      </c>
      <c r="Q319">
        <v>10</v>
      </c>
      <c r="R319">
        <v>2</v>
      </c>
      <c r="S319">
        <v>0</v>
      </c>
      <c r="T319">
        <v>0</v>
      </c>
      <c r="U319">
        <v>951</v>
      </c>
    </row>
    <row r="320" spans="1:21" x14ac:dyDescent="0.25">
      <c r="A320">
        <v>2025</v>
      </c>
      <c r="B320">
        <v>2</v>
      </c>
      <c r="C320" t="s">
        <v>69</v>
      </c>
      <c r="D320" t="s">
        <v>22</v>
      </c>
      <c r="E320" t="s">
        <v>40</v>
      </c>
      <c r="F320" t="s">
        <v>29</v>
      </c>
      <c r="G320" t="s">
        <v>25</v>
      </c>
      <c r="H320" t="s">
        <v>26</v>
      </c>
      <c r="I320" t="s">
        <v>25</v>
      </c>
      <c r="J320">
        <v>4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</row>
    <row r="321" spans="1:21" x14ac:dyDescent="0.25">
      <c r="A321">
        <v>2025</v>
      </c>
      <c r="B321">
        <v>2</v>
      </c>
      <c r="C321" t="s">
        <v>69</v>
      </c>
      <c r="D321" t="s">
        <v>22</v>
      </c>
      <c r="E321" t="s">
        <v>70</v>
      </c>
      <c r="F321" t="s">
        <v>28</v>
      </c>
      <c r="G321" t="s">
        <v>26</v>
      </c>
      <c r="H321" t="s">
        <v>26</v>
      </c>
      <c r="I321" t="s">
        <v>25</v>
      </c>
      <c r="J321">
        <v>3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3</v>
      </c>
    </row>
    <row r="322" spans="1:21" x14ac:dyDescent="0.25">
      <c r="A322">
        <v>2025</v>
      </c>
      <c r="B322">
        <v>2</v>
      </c>
      <c r="C322" t="s">
        <v>69</v>
      </c>
      <c r="D322" t="s">
        <v>22</v>
      </c>
      <c r="E322" t="s">
        <v>70</v>
      </c>
      <c r="F322" t="s">
        <v>24</v>
      </c>
      <c r="G322" t="s">
        <v>26</v>
      </c>
      <c r="H322" t="s">
        <v>26</v>
      </c>
      <c r="I322" t="s">
        <v>25</v>
      </c>
      <c r="J322">
        <v>805</v>
      </c>
      <c r="K322">
        <v>3</v>
      </c>
      <c r="L322">
        <v>16</v>
      </c>
      <c r="M322">
        <v>19</v>
      </c>
      <c r="N322">
        <v>116</v>
      </c>
      <c r="O322">
        <v>78</v>
      </c>
      <c r="P322">
        <v>74</v>
      </c>
      <c r="Q322">
        <v>59</v>
      </c>
      <c r="R322">
        <v>46</v>
      </c>
      <c r="S322">
        <v>22</v>
      </c>
      <c r="T322">
        <v>6</v>
      </c>
      <c r="U322">
        <v>795</v>
      </c>
    </row>
    <row r="323" spans="1:21" x14ac:dyDescent="0.25">
      <c r="A323">
        <v>2025</v>
      </c>
      <c r="B323">
        <v>2</v>
      </c>
      <c r="C323" t="s">
        <v>69</v>
      </c>
      <c r="D323" t="s">
        <v>22</v>
      </c>
      <c r="E323" t="s">
        <v>70</v>
      </c>
      <c r="F323" t="s">
        <v>29</v>
      </c>
      <c r="G323" t="s">
        <v>26</v>
      </c>
      <c r="H323" t="s">
        <v>26</v>
      </c>
      <c r="I323" t="s">
        <v>25</v>
      </c>
      <c r="J323">
        <v>9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</row>
    <row r="324" spans="1:21" x14ac:dyDescent="0.25">
      <c r="A324">
        <v>2025</v>
      </c>
      <c r="B324">
        <v>2</v>
      </c>
      <c r="C324" t="s">
        <v>69</v>
      </c>
      <c r="D324" t="s">
        <v>22</v>
      </c>
      <c r="E324" t="s">
        <v>35</v>
      </c>
      <c r="F324" t="s">
        <v>24</v>
      </c>
      <c r="G324" t="s">
        <v>25</v>
      </c>
      <c r="H324" t="s">
        <v>26</v>
      </c>
      <c r="I324" t="s">
        <v>26</v>
      </c>
      <c r="J324">
        <v>279</v>
      </c>
      <c r="K324">
        <v>0</v>
      </c>
      <c r="L324">
        <v>2</v>
      </c>
      <c r="M324">
        <v>2</v>
      </c>
      <c r="N324">
        <v>63</v>
      </c>
      <c r="O324">
        <v>50</v>
      </c>
      <c r="P324">
        <v>40</v>
      </c>
      <c r="Q324">
        <v>29</v>
      </c>
      <c r="R324">
        <v>23</v>
      </c>
      <c r="S324">
        <v>16</v>
      </c>
      <c r="T324">
        <v>5</v>
      </c>
      <c r="U324">
        <v>278</v>
      </c>
    </row>
    <row r="325" spans="1:21" x14ac:dyDescent="0.25">
      <c r="A325">
        <v>2025</v>
      </c>
      <c r="B325">
        <v>2</v>
      </c>
      <c r="C325" t="s">
        <v>69</v>
      </c>
      <c r="D325" t="s">
        <v>22</v>
      </c>
      <c r="E325" t="s">
        <v>41</v>
      </c>
      <c r="F325" t="s">
        <v>24</v>
      </c>
      <c r="G325" t="s">
        <v>26</v>
      </c>
      <c r="H325" t="s">
        <v>26</v>
      </c>
      <c r="I325" t="s">
        <v>25</v>
      </c>
      <c r="J325">
        <v>336</v>
      </c>
      <c r="K325">
        <v>0</v>
      </c>
      <c r="L325">
        <v>1</v>
      </c>
      <c r="M325">
        <v>1</v>
      </c>
      <c r="N325">
        <v>31</v>
      </c>
      <c r="O325">
        <v>20</v>
      </c>
      <c r="P325">
        <v>17</v>
      </c>
      <c r="Q325">
        <v>13</v>
      </c>
      <c r="R325">
        <v>11</v>
      </c>
      <c r="S325">
        <v>3</v>
      </c>
      <c r="T325">
        <v>1</v>
      </c>
      <c r="U325">
        <v>335</v>
      </c>
    </row>
    <row r="326" spans="1:21" x14ac:dyDescent="0.25">
      <c r="A326">
        <v>2025</v>
      </c>
      <c r="B326">
        <v>2</v>
      </c>
      <c r="C326" t="s">
        <v>71</v>
      </c>
      <c r="D326" t="s">
        <v>22</v>
      </c>
      <c r="E326" t="s">
        <v>34</v>
      </c>
      <c r="F326" t="s">
        <v>24</v>
      </c>
      <c r="G326" t="s">
        <v>25</v>
      </c>
      <c r="H326" t="s">
        <v>26</v>
      </c>
      <c r="I326" t="s">
        <v>26</v>
      </c>
      <c r="J326">
        <v>56</v>
      </c>
      <c r="K326">
        <v>1</v>
      </c>
      <c r="L326">
        <v>0</v>
      </c>
      <c r="M326">
        <v>1</v>
      </c>
      <c r="N326">
        <v>6</v>
      </c>
      <c r="O326">
        <v>5</v>
      </c>
      <c r="P326">
        <v>5</v>
      </c>
      <c r="Q326">
        <v>5</v>
      </c>
      <c r="R326">
        <v>5</v>
      </c>
      <c r="S326">
        <v>5</v>
      </c>
      <c r="T326">
        <v>4</v>
      </c>
      <c r="U326">
        <v>55</v>
      </c>
    </row>
    <row r="327" spans="1:21" x14ac:dyDescent="0.25">
      <c r="A327">
        <v>2025</v>
      </c>
      <c r="B327">
        <v>2</v>
      </c>
      <c r="C327" t="s">
        <v>71</v>
      </c>
      <c r="D327" t="s">
        <v>22</v>
      </c>
      <c r="E327" t="s">
        <v>23</v>
      </c>
      <c r="F327" t="s">
        <v>24</v>
      </c>
      <c r="G327" t="s">
        <v>25</v>
      </c>
      <c r="H327" t="s">
        <v>26</v>
      </c>
      <c r="I327" t="s">
        <v>25</v>
      </c>
      <c r="J327">
        <v>5</v>
      </c>
      <c r="K327">
        <v>0</v>
      </c>
      <c r="L327">
        <v>0</v>
      </c>
      <c r="M327">
        <v>0</v>
      </c>
      <c r="N327">
        <v>1</v>
      </c>
      <c r="O327">
        <v>1</v>
      </c>
      <c r="P327">
        <v>1</v>
      </c>
      <c r="Q327">
        <v>1</v>
      </c>
      <c r="R327">
        <v>1</v>
      </c>
      <c r="S327">
        <v>0</v>
      </c>
      <c r="T327">
        <v>0</v>
      </c>
      <c r="U327">
        <v>5</v>
      </c>
    </row>
    <row r="328" spans="1:21" x14ac:dyDescent="0.25">
      <c r="A328">
        <v>2025</v>
      </c>
      <c r="B328">
        <v>2</v>
      </c>
      <c r="C328" t="s">
        <v>72</v>
      </c>
      <c r="D328" t="s">
        <v>22</v>
      </c>
      <c r="E328" t="s">
        <v>54</v>
      </c>
      <c r="F328" t="s">
        <v>24</v>
      </c>
      <c r="G328" t="s">
        <v>25</v>
      </c>
      <c r="H328" t="s">
        <v>25</v>
      </c>
      <c r="I328" t="s">
        <v>25</v>
      </c>
      <c r="J328">
        <v>708</v>
      </c>
      <c r="K328">
        <v>20</v>
      </c>
      <c r="L328">
        <v>10</v>
      </c>
      <c r="M328">
        <v>30</v>
      </c>
      <c r="N328">
        <v>203</v>
      </c>
      <c r="O328">
        <v>131</v>
      </c>
      <c r="P328">
        <v>117</v>
      </c>
      <c r="Q328">
        <v>60</v>
      </c>
      <c r="R328">
        <v>38</v>
      </c>
      <c r="S328">
        <v>4</v>
      </c>
      <c r="T328">
        <v>1</v>
      </c>
      <c r="U328">
        <v>679</v>
      </c>
    </row>
    <row r="329" spans="1:21" x14ac:dyDescent="0.25">
      <c r="A329">
        <v>2025</v>
      </c>
      <c r="B329">
        <v>2</v>
      </c>
      <c r="C329" t="s">
        <v>72</v>
      </c>
      <c r="D329" t="s">
        <v>22</v>
      </c>
      <c r="E329" t="s">
        <v>55</v>
      </c>
      <c r="F329" t="s">
        <v>24</v>
      </c>
      <c r="G329" t="s">
        <v>25</v>
      </c>
      <c r="H329" t="s">
        <v>25</v>
      </c>
      <c r="I329" t="s">
        <v>25</v>
      </c>
      <c r="J329">
        <v>601</v>
      </c>
      <c r="K329">
        <v>9</v>
      </c>
      <c r="L329">
        <v>0</v>
      </c>
      <c r="M329">
        <v>9</v>
      </c>
      <c r="N329">
        <v>273</v>
      </c>
      <c r="O329">
        <v>190</v>
      </c>
      <c r="P329">
        <v>162</v>
      </c>
      <c r="Q329">
        <v>100</v>
      </c>
      <c r="R329">
        <v>63</v>
      </c>
      <c r="S329">
        <v>25</v>
      </c>
      <c r="T329">
        <v>5</v>
      </c>
      <c r="U329">
        <v>590</v>
      </c>
    </row>
    <row r="330" spans="1:21" x14ac:dyDescent="0.25">
      <c r="A330">
        <v>2025</v>
      </c>
      <c r="B330">
        <v>2</v>
      </c>
      <c r="C330" t="s">
        <v>72</v>
      </c>
      <c r="D330" t="s">
        <v>22</v>
      </c>
      <c r="E330" t="s">
        <v>23</v>
      </c>
      <c r="F330" t="s">
        <v>28</v>
      </c>
      <c r="G330" t="s">
        <v>25</v>
      </c>
      <c r="H330" t="s">
        <v>26</v>
      </c>
      <c r="I330" t="s">
        <v>25</v>
      </c>
      <c r="J330">
        <v>22581</v>
      </c>
      <c r="K330">
        <v>102</v>
      </c>
      <c r="L330">
        <v>520</v>
      </c>
      <c r="M330">
        <v>622</v>
      </c>
      <c r="N330">
        <v>5025</v>
      </c>
      <c r="O330">
        <v>3241</v>
      </c>
      <c r="P330">
        <v>2653</v>
      </c>
      <c r="Q330">
        <v>1358</v>
      </c>
      <c r="R330">
        <v>694</v>
      </c>
      <c r="S330">
        <v>122</v>
      </c>
      <c r="T330">
        <v>13</v>
      </c>
      <c r="U330">
        <v>22165</v>
      </c>
    </row>
    <row r="331" spans="1:21" x14ac:dyDescent="0.25">
      <c r="A331">
        <v>2025</v>
      </c>
      <c r="B331">
        <v>2</v>
      </c>
      <c r="C331" t="s">
        <v>72</v>
      </c>
      <c r="D331" t="s">
        <v>22</v>
      </c>
      <c r="E331" t="s">
        <v>23</v>
      </c>
      <c r="F331" t="s">
        <v>24</v>
      </c>
      <c r="G331" t="s">
        <v>25</v>
      </c>
      <c r="H331" t="s">
        <v>26</v>
      </c>
      <c r="I331" t="s">
        <v>25</v>
      </c>
      <c r="J331">
        <v>2409</v>
      </c>
      <c r="K331">
        <v>17</v>
      </c>
      <c r="L331">
        <v>38</v>
      </c>
      <c r="M331">
        <v>55</v>
      </c>
      <c r="N331">
        <v>450</v>
      </c>
      <c r="O331">
        <v>302</v>
      </c>
      <c r="P331">
        <v>249</v>
      </c>
      <c r="Q331">
        <v>121</v>
      </c>
      <c r="R331">
        <v>68</v>
      </c>
      <c r="S331">
        <v>21</v>
      </c>
      <c r="T331">
        <v>2</v>
      </c>
      <c r="U331">
        <v>2358</v>
      </c>
    </row>
    <row r="332" spans="1:21" x14ac:dyDescent="0.25">
      <c r="A332">
        <v>2025</v>
      </c>
      <c r="B332">
        <v>2</v>
      </c>
      <c r="C332" t="s">
        <v>72</v>
      </c>
      <c r="D332" t="s">
        <v>22</v>
      </c>
      <c r="E332" t="s">
        <v>23</v>
      </c>
      <c r="F332" t="s">
        <v>29</v>
      </c>
      <c r="G332" t="s">
        <v>25</v>
      </c>
      <c r="H332" t="s">
        <v>26</v>
      </c>
      <c r="I332" t="s">
        <v>25</v>
      </c>
      <c r="J332">
        <v>11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</row>
    <row r="333" spans="1:21" x14ac:dyDescent="0.25">
      <c r="A333">
        <v>2025</v>
      </c>
      <c r="B333">
        <v>2</v>
      </c>
      <c r="C333" t="s">
        <v>72</v>
      </c>
      <c r="D333" t="s">
        <v>22</v>
      </c>
      <c r="E333" t="s">
        <v>39</v>
      </c>
      <c r="F333" t="s">
        <v>24</v>
      </c>
      <c r="G333" t="s">
        <v>26</v>
      </c>
      <c r="H333" t="s">
        <v>26</v>
      </c>
      <c r="I333" t="s">
        <v>25</v>
      </c>
      <c r="J333">
        <v>400</v>
      </c>
      <c r="K333">
        <v>18</v>
      </c>
      <c r="L333">
        <v>5</v>
      </c>
      <c r="M333">
        <v>23</v>
      </c>
      <c r="N333">
        <v>189</v>
      </c>
      <c r="O333">
        <v>142</v>
      </c>
      <c r="P333">
        <v>122</v>
      </c>
      <c r="Q333">
        <v>79</v>
      </c>
      <c r="R333">
        <v>52</v>
      </c>
      <c r="S333">
        <v>13</v>
      </c>
      <c r="T333">
        <v>1</v>
      </c>
      <c r="U333">
        <v>380</v>
      </c>
    </row>
    <row r="334" spans="1:21" x14ac:dyDescent="0.25">
      <c r="A334">
        <v>2025</v>
      </c>
      <c r="B334">
        <v>2</v>
      </c>
      <c r="C334" t="s">
        <v>72</v>
      </c>
      <c r="D334" t="s">
        <v>22</v>
      </c>
      <c r="E334" t="s">
        <v>73</v>
      </c>
      <c r="F334" t="s">
        <v>28</v>
      </c>
      <c r="G334" t="s">
        <v>25</v>
      </c>
      <c r="H334" t="s">
        <v>25</v>
      </c>
      <c r="I334" t="s">
        <v>25</v>
      </c>
      <c r="J334">
        <v>13334</v>
      </c>
      <c r="K334">
        <v>75</v>
      </c>
      <c r="L334">
        <v>89</v>
      </c>
      <c r="M334">
        <v>164</v>
      </c>
      <c r="N334">
        <v>2253</v>
      </c>
      <c r="O334">
        <v>1265</v>
      </c>
      <c r="P334">
        <v>993</v>
      </c>
      <c r="Q334">
        <v>428</v>
      </c>
      <c r="R334">
        <v>197</v>
      </c>
      <c r="S334">
        <v>37</v>
      </c>
      <c r="T334">
        <v>1</v>
      </c>
      <c r="U334">
        <v>13198</v>
      </c>
    </row>
    <row r="335" spans="1:21" x14ac:dyDescent="0.25">
      <c r="A335">
        <v>2025</v>
      </c>
      <c r="B335">
        <v>2</v>
      </c>
      <c r="C335" t="s">
        <v>72</v>
      </c>
      <c r="D335" t="s">
        <v>22</v>
      </c>
      <c r="E335" t="s">
        <v>73</v>
      </c>
      <c r="F335" t="s">
        <v>24</v>
      </c>
      <c r="G335" t="s">
        <v>25</v>
      </c>
      <c r="H335" t="s">
        <v>25</v>
      </c>
      <c r="I335" t="s">
        <v>25</v>
      </c>
      <c r="J335">
        <v>3878</v>
      </c>
      <c r="K335">
        <v>13</v>
      </c>
      <c r="L335">
        <v>22</v>
      </c>
      <c r="M335">
        <v>35</v>
      </c>
      <c r="N335">
        <v>263</v>
      </c>
      <c r="O335">
        <v>145</v>
      </c>
      <c r="P335">
        <v>114</v>
      </c>
      <c r="Q335">
        <v>55</v>
      </c>
      <c r="R335">
        <v>33</v>
      </c>
      <c r="S335">
        <v>6</v>
      </c>
      <c r="T335">
        <v>0</v>
      </c>
      <c r="U335">
        <v>3865</v>
      </c>
    </row>
    <row r="336" spans="1:21" x14ac:dyDescent="0.25">
      <c r="A336">
        <v>2025</v>
      </c>
      <c r="B336">
        <v>2</v>
      </c>
      <c r="C336" t="s">
        <v>72</v>
      </c>
      <c r="D336" t="s">
        <v>22</v>
      </c>
      <c r="E336" t="s">
        <v>35</v>
      </c>
      <c r="F336" t="s">
        <v>24</v>
      </c>
      <c r="G336" t="s">
        <v>25</v>
      </c>
      <c r="H336" t="s">
        <v>26</v>
      </c>
      <c r="I336" t="s">
        <v>26</v>
      </c>
      <c r="J336">
        <v>48</v>
      </c>
      <c r="K336">
        <v>11</v>
      </c>
      <c r="L336">
        <v>0</v>
      </c>
      <c r="M336">
        <v>11</v>
      </c>
      <c r="N336">
        <v>14</v>
      </c>
      <c r="O336">
        <v>11</v>
      </c>
      <c r="P336">
        <v>11</v>
      </c>
      <c r="Q336">
        <v>10</v>
      </c>
      <c r="R336">
        <v>9</v>
      </c>
      <c r="S336">
        <v>5</v>
      </c>
      <c r="T336">
        <v>5</v>
      </c>
      <c r="U336">
        <v>37</v>
      </c>
    </row>
    <row r="337" spans="1:21" x14ac:dyDescent="0.25">
      <c r="A337">
        <v>2025</v>
      </c>
      <c r="B337">
        <v>2</v>
      </c>
      <c r="C337" t="s">
        <v>72</v>
      </c>
      <c r="D337" t="s">
        <v>22</v>
      </c>
      <c r="E337" t="s">
        <v>74</v>
      </c>
      <c r="F337" t="s">
        <v>28</v>
      </c>
      <c r="G337" t="s">
        <v>25</v>
      </c>
      <c r="H337" t="s">
        <v>25</v>
      </c>
      <c r="I337" t="s">
        <v>25</v>
      </c>
      <c r="J337">
        <v>3709</v>
      </c>
      <c r="K337">
        <v>42</v>
      </c>
      <c r="L337">
        <v>17</v>
      </c>
      <c r="M337">
        <v>59</v>
      </c>
      <c r="N337">
        <v>906</v>
      </c>
      <c r="O337">
        <v>558</v>
      </c>
      <c r="P337">
        <v>449</v>
      </c>
      <c r="Q337">
        <v>203</v>
      </c>
      <c r="R337">
        <v>107</v>
      </c>
      <c r="S337">
        <v>24</v>
      </c>
      <c r="T337">
        <v>4</v>
      </c>
      <c r="U337">
        <v>3652</v>
      </c>
    </row>
    <row r="338" spans="1:21" x14ac:dyDescent="0.25">
      <c r="A338">
        <v>2025</v>
      </c>
      <c r="B338">
        <v>2</v>
      </c>
      <c r="C338" t="s">
        <v>72</v>
      </c>
      <c r="D338" t="s">
        <v>22</v>
      </c>
      <c r="E338" t="s">
        <v>74</v>
      </c>
      <c r="F338" t="s">
        <v>24</v>
      </c>
      <c r="G338" t="s">
        <v>25</v>
      </c>
      <c r="H338" t="s">
        <v>25</v>
      </c>
      <c r="I338" t="s">
        <v>25</v>
      </c>
      <c r="J338">
        <v>130</v>
      </c>
      <c r="K338">
        <v>0</v>
      </c>
      <c r="L338">
        <v>1</v>
      </c>
      <c r="M338">
        <v>1</v>
      </c>
      <c r="N338">
        <v>20</v>
      </c>
      <c r="O338">
        <v>16</v>
      </c>
      <c r="P338">
        <v>13</v>
      </c>
      <c r="Q338">
        <v>7</v>
      </c>
      <c r="R338">
        <v>6</v>
      </c>
      <c r="S338">
        <v>1</v>
      </c>
      <c r="T338">
        <v>0</v>
      </c>
      <c r="U338">
        <v>130</v>
      </c>
    </row>
    <row r="339" spans="1:21" x14ac:dyDescent="0.25">
      <c r="A339">
        <v>2025</v>
      </c>
      <c r="B339">
        <v>2</v>
      </c>
      <c r="C339" t="s">
        <v>72</v>
      </c>
      <c r="D339" t="s">
        <v>22</v>
      </c>
      <c r="E339" t="s">
        <v>58</v>
      </c>
      <c r="F339" t="s">
        <v>28</v>
      </c>
      <c r="G339" t="s">
        <v>25</v>
      </c>
      <c r="H339" t="s">
        <v>25</v>
      </c>
      <c r="I339" t="s">
        <v>25</v>
      </c>
      <c r="J339">
        <v>21955</v>
      </c>
      <c r="K339">
        <v>93</v>
      </c>
      <c r="L339">
        <v>231</v>
      </c>
      <c r="M339">
        <v>324</v>
      </c>
      <c r="N339">
        <v>3406</v>
      </c>
      <c r="O339">
        <v>1936</v>
      </c>
      <c r="P339">
        <v>1533</v>
      </c>
      <c r="Q339">
        <v>737</v>
      </c>
      <c r="R339">
        <v>346</v>
      </c>
      <c r="S339">
        <v>74</v>
      </c>
      <c r="T339">
        <v>9</v>
      </c>
      <c r="U339">
        <v>21690</v>
      </c>
    </row>
    <row r="340" spans="1:21" x14ac:dyDescent="0.25">
      <c r="A340">
        <v>2025</v>
      </c>
      <c r="B340">
        <v>2</v>
      </c>
      <c r="C340" t="s">
        <v>72</v>
      </c>
      <c r="D340" t="s">
        <v>22</v>
      </c>
      <c r="E340" t="s">
        <v>58</v>
      </c>
      <c r="F340" t="s">
        <v>24</v>
      </c>
      <c r="G340" t="s">
        <v>25</v>
      </c>
      <c r="H340" t="s">
        <v>25</v>
      </c>
      <c r="I340" t="s">
        <v>25</v>
      </c>
      <c r="J340">
        <v>2425</v>
      </c>
      <c r="K340">
        <v>46</v>
      </c>
      <c r="L340">
        <v>70</v>
      </c>
      <c r="M340">
        <v>116</v>
      </c>
      <c r="N340">
        <v>467</v>
      </c>
      <c r="O340">
        <v>291</v>
      </c>
      <c r="P340">
        <v>222</v>
      </c>
      <c r="Q340">
        <v>107</v>
      </c>
      <c r="R340">
        <v>50</v>
      </c>
      <c r="S340">
        <v>4</v>
      </c>
      <c r="T340">
        <v>0</v>
      </c>
      <c r="U340">
        <v>2338</v>
      </c>
    </row>
    <row r="341" spans="1:21" x14ac:dyDescent="0.25">
      <c r="A341">
        <v>2025</v>
      </c>
      <c r="B341">
        <v>2</v>
      </c>
      <c r="C341" t="s">
        <v>72</v>
      </c>
      <c r="D341" t="s">
        <v>22</v>
      </c>
      <c r="E341" t="s">
        <v>58</v>
      </c>
      <c r="F341" t="s">
        <v>29</v>
      </c>
      <c r="G341" t="s">
        <v>25</v>
      </c>
      <c r="H341" t="s">
        <v>25</v>
      </c>
      <c r="I341" t="s">
        <v>25</v>
      </c>
      <c r="J341">
        <v>1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</row>
    <row r="342" spans="1:21" x14ac:dyDescent="0.25">
      <c r="A342">
        <v>2025</v>
      </c>
      <c r="B342">
        <v>2</v>
      </c>
      <c r="C342" t="s">
        <v>72</v>
      </c>
      <c r="D342" t="s">
        <v>22</v>
      </c>
      <c r="E342" t="s">
        <v>27</v>
      </c>
      <c r="F342" t="s">
        <v>24</v>
      </c>
      <c r="G342" t="s">
        <v>26</v>
      </c>
      <c r="H342" t="s">
        <v>26</v>
      </c>
      <c r="I342" t="s">
        <v>25</v>
      </c>
      <c r="J342">
        <v>141</v>
      </c>
      <c r="K342">
        <v>0</v>
      </c>
      <c r="L342">
        <v>0</v>
      </c>
      <c r="M342">
        <v>0</v>
      </c>
      <c r="N342">
        <v>75</v>
      </c>
      <c r="O342">
        <v>43</v>
      </c>
      <c r="P342">
        <v>43</v>
      </c>
      <c r="Q342">
        <v>35</v>
      </c>
      <c r="R342">
        <v>16</v>
      </c>
      <c r="S342">
        <v>5</v>
      </c>
      <c r="T342">
        <v>1</v>
      </c>
      <c r="U342">
        <v>141</v>
      </c>
    </row>
    <row r="343" spans="1:21" x14ac:dyDescent="0.25">
      <c r="A343">
        <v>2025</v>
      </c>
      <c r="B343">
        <v>2</v>
      </c>
      <c r="C343" t="s">
        <v>72</v>
      </c>
      <c r="D343" t="s">
        <v>22</v>
      </c>
      <c r="E343" t="s">
        <v>27</v>
      </c>
      <c r="F343" t="s">
        <v>29</v>
      </c>
      <c r="G343" t="s">
        <v>26</v>
      </c>
      <c r="H343" t="s">
        <v>26</v>
      </c>
      <c r="I343" t="s">
        <v>25</v>
      </c>
      <c r="J343">
        <v>1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</row>
    <row r="344" spans="1:21" x14ac:dyDescent="0.25">
      <c r="A344">
        <v>2025</v>
      </c>
      <c r="B344">
        <v>2</v>
      </c>
      <c r="C344" t="s">
        <v>75</v>
      </c>
      <c r="D344" t="s">
        <v>22</v>
      </c>
      <c r="E344" t="s">
        <v>23</v>
      </c>
      <c r="F344" t="s">
        <v>24</v>
      </c>
      <c r="G344" t="s">
        <v>25</v>
      </c>
      <c r="H344" t="s">
        <v>26</v>
      </c>
      <c r="I344" t="s">
        <v>25</v>
      </c>
      <c r="J344">
        <v>1506</v>
      </c>
      <c r="K344">
        <v>7</v>
      </c>
      <c r="L344">
        <v>36</v>
      </c>
      <c r="M344">
        <v>43</v>
      </c>
      <c r="N344">
        <v>184</v>
      </c>
      <c r="O344">
        <v>134</v>
      </c>
      <c r="P344">
        <v>114</v>
      </c>
      <c r="Q344">
        <v>49</v>
      </c>
      <c r="R344">
        <v>18</v>
      </c>
      <c r="S344">
        <v>2</v>
      </c>
      <c r="T344">
        <v>0</v>
      </c>
      <c r="U344">
        <v>1499</v>
      </c>
    </row>
    <row r="345" spans="1:21" x14ac:dyDescent="0.25">
      <c r="A345">
        <v>2025</v>
      </c>
      <c r="B345">
        <v>2</v>
      </c>
      <c r="C345" t="s">
        <v>75</v>
      </c>
      <c r="D345" t="s">
        <v>22</v>
      </c>
      <c r="E345" t="s">
        <v>39</v>
      </c>
      <c r="F345" t="s">
        <v>24</v>
      </c>
      <c r="G345" t="s">
        <v>26</v>
      </c>
      <c r="H345" t="s">
        <v>26</v>
      </c>
      <c r="I345" t="s">
        <v>25</v>
      </c>
      <c r="J345">
        <v>604</v>
      </c>
      <c r="K345">
        <v>9</v>
      </c>
      <c r="L345">
        <v>2</v>
      </c>
      <c r="M345">
        <v>11</v>
      </c>
      <c r="N345">
        <v>197</v>
      </c>
      <c r="O345">
        <v>121</v>
      </c>
      <c r="P345">
        <v>114</v>
      </c>
      <c r="Q345">
        <v>76</v>
      </c>
      <c r="R345">
        <v>57</v>
      </c>
      <c r="S345">
        <v>22</v>
      </c>
      <c r="T345">
        <v>9</v>
      </c>
      <c r="U345">
        <v>595</v>
      </c>
    </row>
    <row r="346" spans="1:21" x14ac:dyDescent="0.25">
      <c r="A346">
        <v>2025</v>
      </c>
      <c r="B346">
        <v>2</v>
      </c>
      <c r="C346" t="s">
        <v>75</v>
      </c>
      <c r="D346" t="s">
        <v>22</v>
      </c>
      <c r="E346" t="s">
        <v>39</v>
      </c>
      <c r="F346" t="s">
        <v>29</v>
      </c>
      <c r="G346" t="s">
        <v>26</v>
      </c>
      <c r="H346" t="s">
        <v>26</v>
      </c>
      <c r="I346" t="s">
        <v>25</v>
      </c>
      <c r="J346">
        <v>3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</row>
    <row r="347" spans="1:21" x14ac:dyDescent="0.25">
      <c r="A347">
        <v>2025</v>
      </c>
      <c r="B347">
        <v>2</v>
      </c>
      <c r="C347" t="s">
        <v>75</v>
      </c>
      <c r="D347" t="s">
        <v>22</v>
      </c>
      <c r="E347" t="s">
        <v>77</v>
      </c>
      <c r="F347" t="s">
        <v>28</v>
      </c>
      <c r="G347" t="s">
        <v>25</v>
      </c>
      <c r="H347" t="s">
        <v>26</v>
      </c>
      <c r="I347" t="s">
        <v>25</v>
      </c>
      <c r="J347">
        <v>1424</v>
      </c>
      <c r="K347">
        <v>6</v>
      </c>
      <c r="L347">
        <v>13</v>
      </c>
      <c r="M347">
        <v>19</v>
      </c>
      <c r="N347">
        <v>415</v>
      </c>
      <c r="O347">
        <v>248</v>
      </c>
      <c r="P347">
        <v>248</v>
      </c>
      <c r="Q347">
        <v>182</v>
      </c>
      <c r="R347">
        <v>146</v>
      </c>
      <c r="S347">
        <v>82</v>
      </c>
      <c r="T347">
        <v>34</v>
      </c>
      <c r="U347">
        <v>1414</v>
      </c>
    </row>
    <row r="348" spans="1:21" x14ac:dyDescent="0.25">
      <c r="A348">
        <v>2025</v>
      </c>
      <c r="B348">
        <v>2</v>
      </c>
      <c r="C348" t="s">
        <v>75</v>
      </c>
      <c r="D348" t="s">
        <v>22</v>
      </c>
      <c r="E348" t="s">
        <v>77</v>
      </c>
      <c r="F348" t="s">
        <v>29</v>
      </c>
      <c r="G348" t="s">
        <v>25</v>
      </c>
      <c r="H348" t="s">
        <v>26</v>
      </c>
      <c r="I348" t="s">
        <v>25</v>
      </c>
      <c r="J348">
        <v>15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</row>
    <row r="349" spans="1:21" x14ac:dyDescent="0.25">
      <c r="A349">
        <v>2025</v>
      </c>
      <c r="B349">
        <v>2</v>
      </c>
      <c r="C349" t="s">
        <v>75</v>
      </c>
      <c r="D349" t="s">
        <v>22</v>
      </c>
      <c r="E349" t="s">
        <v>78</v>
      </c>
      <c r="F349" t="s">
        <v>28</v>
      </c>
      <c r="G349" t="s">
        <v>25</v>
      </c>
      <c r="H349" t="s">
        <v>26</v>
      </c>
      <c r="I349" t="s">
        <v>26</v>
      </c>
      <c r="J349">
        <v>121</v>
      </c>
      <c r="K349">
        <v>0</v>
      </c>
      <c r="L349">
        <v>0</v>
      </c>
      <c r="M349">
        <v>0</v>
      </c>
      <c r="N349">
        <v>44</v>
      </c>
      <c r="O349">
        <v>27</v>
      </c>
      <c r="P349">
        <v>27</v>
      </c>
      <c r="Q349">
        <v>16</v>
      </c>
      <c r="R349">
        <v>11</v>
      </c>
      <c r="S349">
        <v>7</v>
      </c>
      <c r="T349">
        <v>1</v>
      </c>
      <c r="U349">
        <v>121</v>
      </c>
    </row>
    <row r="350" spans="1:21" x14ac:dyDescent="0.25">
      <c r="A350">
        <v>2025</v>
      </c>
      <c r="B350">
        <v>2</v>
      </c>
      <c r="C350" t="s">
        <v>75</v>
      </c>
      <c r="D350" t="s">
        <v>22</v>
      </c>
      <c r="E350" t="s">
        <v>78</v>
      </c>
      <c r="F350" t="s">
        <v>29</v>
      </c>
      <c r="G350" t="s">
        <v>25</v>
      </c>
      <c r="H350" t="s">
        <v>26</v>
      </c>
      <c r="I350" t="s">
        <v>26</v>
      </c>
      <c r="J350">
        <v>77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</row>
    <row r="351" spans="1:21" x14ac:dyDescent="0.25">
      <c r="A351">
        <v>2025</v>
      </c>
      <c r="B351">
        <v>2</v>
      </c>
      <c r="C351" t="s">
        <v>75</v>
      </c>
      <c r="D351" t="s">
        <v>22</v>
      </c>
      <c r="E351" t="s">
        <v>70</v>
      </c>
      <c r="F351" t="s">
        <v>24</v>
      </c>
      <c r="G351" t="s">
        <v>26</v>
      </c>
      <c r="H351" t="s">
        <v>26</v>
      </c>
      <c r="I351" t="s">
        <v>25</v>
      </c>
      <c r="J351">
        <v>972</v>
      </c>
      <c r="K351">
        <v>0</v>
      </c>
      <c r="L351">
        <v>2</v>
      </c>
      <c r="M351">
        <v>2</v>
      </c>
      <c r="N351">
        <v>156</v>
      </c>
      <c r="O351">
        <v>96</v>
      </c>
      <c r="P351">
        <v>96</v>
      </c>
      <c r="Q351">
        <v>67</v>
      </c>
      <c r="R351">
        <v>49</v>
      </c>
      <c r="S351">
        <v>30</v>
      </c>
      <c r="T351">
        <v>11</v>
      </c>
      <c r="U351">
        <v>972</v>
      </c>
    </row>
    <row r="352" spans="1:21" x14ac:dyDescent="0.25">
      <c r="A352">
        <v>2025</v>
      </c>
      <c r="B352">
        <v>2</v>
      </c>
      <c r="C352" t="s">
        <v>75</v>
      </c>
      <c r="D352" t="s">
        <v>22</v>
      </c>
      <c r="E352" t="s">
        <v>70</v>
      </c>
      <c r="F352" t="s">
        <v>29</v>
      </c>
      <c r="G352" t="s">
        <v>26</v>
      </c>
      <c r="H352" t="s">
        <v>26</v>
      </c>
      <c r="I352" t="s">
        <v>25</v>
      </c>
      <c r="J352">
        <v>23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</row>
    <row r="353" spans="1:21" x14ac:dyDescent="0.25">
      <c r="A353">
        <v>2025</v>
      </c>
      <c r="B353">
        <v>2</v>
      </c>
      <c r="C353" t="s">
        <v>75</v>
      </c>
      <c r="D353" t="s">
        <v>22</v>
      </c>
      <c r="E353" t="s">
        <v>35</v>
      </c>
      <c r="F353" t="s">
        <v>24</v>
      </c>
      <c r="G353" t="s">
        <v>25</v>
      </c>
      <c r="H353" t="s">
        <v>26</v>
      </c>
      <c r="I353" t="s">
        <v>26</v>
      </c>
      <c r="J353">
        <v>42</v>
      </c>
      <c r="K353">
        <v>0</v>
      </c>
      <c r="L353">
        <v>0</v>
      </c>
      <c r="M353">
        <v>0</v>
      </c>
      <c r="N353">
        <v>6</v>
      </c>
      <c r="O353">
        <v>6</v>
      </c>
      <c r="P353">
        <v>6</v>
      </c>
      <c r="Q353">
        <v>6</v>
      </c>
      <c r="R353">
        <v>4</v>
      </c>
      <c r="S353">
        <v>4</v>
      </c>
      <c r="T353">
        <v>4</v>
      </c>
      <c r="U353">
        <v>42</v>
      </c>
    </row>
    <row r="354" spans="1:21" x14ac:dyDescent="0.25">
      <c r="A354">
        <v>2025</v>
      </c>
      <c r="B354">
        <v>2</v>
      </c>
      <c r="C354" t="s">
        <v>75</v>
      </c>
      <c r="D354" t="s">
        <v>22</v>
      </c>
      <c r="E354" t="s">
        <v>42</v>
      </c>
      <c r="F354" t="s">
        <v>28</v>
      </c>
      <c r="G354" t="s">
        <v>26</v>
      </c>
      <c r="H354" t="s">
        <v>26</v>
      </c>
      <c r="I354" t="s">
        <v>25</v>
      </c>
      <c r="J354">
        <v>1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1</v>
      </c>
    </row>
    <row r="355" spans="1:21" x14ac:dyDescent="0.25">
      <c r="A355">
        <v>2025</v>
      </c>
      <c r="B355">
        <v>2</v>
      </c>
      <c r="C355" t="s">
        <v>75</v>
      </c>
      <c r="D355" t="s">
        <v>22</v>
      </c>
      <c r="E355" t="s">
        <v>42</v>
      </c>
      <c r="F355" t="s">
        <v>24</v>
      </c>
      <c r="G355" t="s">
        <v>26</v>
      </c>
      <c r="H355" t="s">
        <v>26</v>
      </c>
      <c r="I355" t="s">
        <v>25</v>
      </c>
      <c r="J355">
        <v>28</v>
      </c>
      <c r="K355">
        <v>1</v>
      </c>
      <c r="L355">
        <v>0</v>
      </c>
      <c r="M355">
        <v>1</v>
      </c>
      <c r="N355">
        <v>6</v>
      </c>
      <c r="O355">
        <v>3</v>
      </c>
      <c r="P355">
        <v>3</v>
      </c>
      <c r="Q355">
        <v>0</v>
      </c>
      <c r="R355">
        <v>0</v>
      </c>
      <c r="S355">
        <v>0</v>
      </c>
      <c r="T355">
        <v>0</v>
      </c>
      <c r="U355">
        <v>27</v>
      </c>
    </row>
    <row r="356" spans="1:21" x14ac:dyDescent="0.25">
      <c r="A356">
        <v>2025</v>
      </c>
      <c r="B356">
        <v>2</v>
      </c>
      <c r="C356" t="s">
        <v>75</v>
      </c>
      <c r="D356" t="s">
        <v>22</v>
      </c>
      <c r="E356" t="s">
        <v>27</v>
      </c>
      <c r="F356" t="s">
        <v>28</v>
      </c>
      <c r="G356" t="s">
        <v>26</v>
      </c>
      <c r="H356" t="s">
        <v>26</v>
      </c>
      <c r="I356" t="s">
        <v>25</v>
      </c>
      <c r="J356">
        <v>11305</v>
      </c>
      <c r="K356">
        <v>30</v>
      </c>
      <c r="L356">
        <v>141</v>
      </c>
      <c r="M356">
        <v>171</v>
      </c>
      <c r="N356">
        <v>2723</v>
      </c>
      <c r="O356">
        <v>1556</v>
      </c>
      <c r="P356">
        <v>1556</v>
      </c>
      <c r="Q356">
        <v>1036</v>
      </c>
      <c r="R356">
        <v>754</v>
      </c>
      <c r="S356">
        <v>333</v>
      </c>
      <c r="T356">
        <v>134</v>
      </c>
      <c r="U356">
        <v>11241</v>
      </c>
    </row>
    <row r="357" spans="1:21" x14ac:dyDescent="0.25">
      <c r="A357">
        <v>2025</v>
      </c>
      <c r="B357">
        <v>2</v>
      </c>
      <c r="C357" t="s">
        <v>75</v>
      </c>
      <c r="D357" t="s">
        <v>22</v>
      </c>
      <c r="E357" t="s">
        <v>27</v>
      </c>
      <c r="F357" t="s">
        <v>24</v>
      </c>
      <c r="G357" t="s">
        <v>26</v>
      </c>
      <c r="H357" t="s">
        <v>26</v>
      </c>
      <c r="I357" t="s">
        <v>25</v>
      </c>
      <c r="J357">
        <v>798</v>
      </c>
      <c r="K357">
        <v>0</v>
      </c>
      <c r="L357">
        <v>2</v>
      </c>
      <c r="M357">
        <v>2</v>
      </c>
      <c r="N357">
        <v>320</v>
      </c>
      <c r="O357">
        <v>201</v>
      </c>
      <c r="P357">
        <v>201</v>
      </c>
      <c r="Q357">
        <v>155</v>
      </c>
      <c r="R357">
        <v>94</v>
      </c>
      <c r="S357">
        <v>38</v>
      </c>
      <c r="T357">
        <v>11</v>
      </c>
      <c r="U357">
        <v>798</v>
      </c>
    </row>
    <row r="358" spans="1:21" x14ac:dyDescent="0.25">
      <c r="A358">
        <v>2025</v>
      </c>
      <c r="B358">
        <v>2</v>
      </c>
      <c r="C358" t="s">
        <v>75</v>
      </c>
      <c r="D358" t="s">
        <v>22</v>
      </c>
      <c r="E358" t="s">
        <v>27</v>
      </c>
      <c r="F358" t="s">
        <v>29</v>
      </c>
      <c r="G358" t="s">
        <v>26</v>
      </c>
      <c r="H358" t="s">
        <v>26</v>
      </c>
      <c r="I358" t="s">
        <v>25</v>
      </c>
      <c r="J358">
        <v>917</v>
      </c>
      <c r="K358">
        <v>4</v>
      </c>
      <c r="L358">
        <v>0</v>
      </c>
      <c r="M358">
        <v>4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</row>
    <row r="359" spans="1:21" x14ac:dyDescent="0.25">
      <c r="A359">
        <v>2025</v>
      </c>
      <c r="B359">
        <v>2</v>
      </c>
      <c r="C359" t="s">
        <v>79</v>
      </c>
      <c r="D359" t="s">
        <v>22</v>
      </c>
      <c r="E359" t="s">
        <v>31</v>
      </c>
      <c r="F359" t="s">
        <v>24</v>
      </c>
      <c r="G359" t="s">
        <v>25</v>
      </c>
      <c r="H359" t="s">
        <v>25</v>
      </c>
      <c r="I359" t="s">
        <v>25</v>
      </c>
      <c r="J359">
        <v>639</v>
      </c>
      <c r="K359">
        <v>0</v>
      </c>
      <c r="L359">
        <v>0</v>
      </c>
      <c r="M359">
        <v>0</v>
      </c>
      <c r="N359">
        <v>7</v>
      </c>
      <c r="O359">
        <v>5</v>
      </c>
      <c r="P359">
        <v>3</v>
      </c>
      <c r="Q359">
        <v>3</v>
      </c>
      <c r="R359">
        <v>2</v>
      </c>
      <c r="S359">
        <v>0</v>
      </c>
      <c r="T359">
        <v>0</v>
      </c>
      <c r="U359">
        <v>639</v>
      </c>
    </row>
    <row r="360" spans="1:21" x14ac:dyDescent="0.25">
      <c r="A360">
        <v>2025</v>
      </c>
      <c r="B360">
        <v>2</v>
      </c>
      <c r="C360" t="s">
        <v>79</v>
      </c>
      <c r="D360" t="s">
        <v>22</v>
      </c>
      <c r="E360" t="s">
        <v>32</v>
      </c>
      <c r="F360" t="s">
        <v>24</v>
      </c>
      <c r="G360" t="s">
        <v>25</v>
      </c>
      <c r="H360" t="s">
        <v>25</v>
      </c>
      <c r="I360" t="s">
        <v>25</v>
      </c>
      <c r="J360">
        <v>56</v>
      </c>
      <c r="K360">
        <v>0</v>
      </c>
      <c r="L360">
        <v>0</v>
      </c>
      <c r="M360">
        <v>0</v>
      </c>
      <c r="N360">
        <v>1</v>
      </c>
      <c r="O360">
        <v>1</v>
      </c>
      <c r="P360">
        <v>1</v>
      </c>
      <c r="Q360">
        <v>1</v>
      </c>
      <c r="R360">
        <v>1</v>
      </c>
      <c r="S360">
        <v>0</v>
      </c>
      <c r="T360">
        <v>0</v>
      </c>
      <c r="U360">
        <v>56</v>
      </c>
    </row>
    <row r="361" spans="1:21" x14ac:dyDescent="0.25">
      <c r="A361">
        <v>2025</v>
      </c>
      <c r="B361">
        <v>2</v>
      </c>
      <c r="C361" t="s">
        <v>79</v>
      </c>
      <c r="D361" t="s">
        <v>22</v>
      </c>
      <c r="E361" t="s">
        <v>34</v>
      </c>
      <c r="F361" t="s">
        <v>24</v>
      </c>
      <c r="G361" t="s">
        <v>25</v>
      </c>
      <c r="H361" t="s">
        <v>26</v>
      </c>
      <c r="I361" t="s">
        <v>26</v>
      </c>
      <c r="J361">
        <v>112</v>
      </c>
      <c r="K361">
        <v>0</v>
      </c>
      <c r="L361">
        <v>0</v>
      </c>
      <c r="M361">
        <v>0</v>
      </c>
      <c r="N361">
        <v>4</v>
      </c>
      <c r="O361">
        <v>3</v>
      </c>
      <c r="P361">
        <v>3</v>
      </c>
      <c r="Q361">
        <v>2</v>
      </c>
      <c r="R361">
        <v>2</v>
      </c>
      <c r="S361">
        <v>1</v>
      </c>
      <c r="T361">
        <v>1</v>
      </c>
      <c r="U361">
        <v>112</v>
      </c>
    </row>
    <row r="362" spans="1:21" x14ac:dyDescent="0.25">
      <c r="A362">
        <v>2025</v>
      </c>
      <c r="B362">
        <v>2</v>
      </c>
      <c r="C362" t="s">
        <v>79</v>
      </c>
      <c r="D362" t="s">
        <v>22</v>
      </c>
      <c r="E362" t="s">
        <v>23</v>
      </c>
      <c r="F362" t="s">
        <v>24</v>
      </c>
      <c r="G362" t="s">
        <v>25</v>
      </c>
      <c r="H362" t="s">
        <v>25</v>
      </c>
      <c r="I362" t="s">
        <v>25</v>
      </c>
      <c r="J362">
        <v>56</v>
      </c>
      <c r="K362">
        <v>0</v>
      </c>
      <c r="L362">
        <v>0</v>
      </c>
      <c r="M362">
        <v>0</v>
      </c>
      <c r="N362">
        <v>7</v>
      </c>
      <c r="O362">
        <v>6</v>
      </c>
      <c r="P362">
        <v>4</v>
      </c>
      <c r="Q362">
        <v>4</v>
      </c>
      <c r="R362">
        <v>3</v>
      </c>
      <c r="S362">
        <v>1</v>
      </c>
      <c r="T362">
        <v>0</v>
      </c>
      <c r="U362">
        <v>56</v>
      </c>
    </row>
    <row r="363" spans="1:21" x14ac:dyDescent="0.25">
      <c r="A363">
        <v>2025</v>
      </c>
      <c r="B363">
        <v>2</v>
      </c>
      <c r="C363" t="s">
        <v>80</v>
      </c>
      <c r="D363" t="s">
        <v>22</v>
      </c>
      <c r="E363" t="s">
        <v>31</v>
      </c>
      <c r="F363" t="s">
        <v>24</v>
      </c>
      <c r="G363" t="s">
        <v>25</v>
      </c>
      <c r="H363" t="s">
        <v>25</v>
      </c>
      <c r="I363" t="s">
        <v>25</v>
      </c>
      <c r="J363">
        <v>112</v>
      </c>
      <c r="K363">
        <v>0</v>
      </c>
      <c r="L363">
        <v>0</v>
      </c>
      <c r="M363">
        <v>0</v>
      </c>
      <c r="N363">
        <v>7</v>
      </c>
      <c r="O363">
        <v>6</v>
      </c>
      <c r="P363">
        <v>5</v>
      </c>
      <c r="Q363">
        <v>4</v>
      </c>
      <c r="R363">
        <v>3</v>
      </c>
      <c r="S363">
        <v>0</v>
      </c>
      <c r="T363">
        <v>0</v>
      </c>
      <c r="U363">
        <v>112</v>
      </c>
    </row>
    <row r="364" spans="1:21" x14ac:dyDescent="0.25">
      <c r="A364">
        <v>2025</v>
      </c>
      <c r="B364">
        <v>2</v>
      </c>
      <c r="C364" t="s">
        <v>80</v>
      </c>
      <c r="D364" t="s">
        <v>22</v>
      </c>
      <c r="E364" t="s">
        <v>102</v>
      </c>
      <c r="F364" t="s">
        <v>28</v>
      </c>
      <c r="G364" t="s">
        <v>25</v>
      </c>
      <c r="H364" t="s">
        <v>25</v>
      </c>
      <c r="I364" t="s">
        <v>25</v>
      </c>
      <c r="J364">
        <v>1</v>
      </c>
      <c r="K364">
        <v>0</v>
      </c>
      <c r="L364">
        <v>1</v>
      </c>
      <c r="M364">
        <v>1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1</v>
      </c>
    </row>
    <row r="365" spans="1:21" x14ac:dyDescent="0.25">
      <c r="A365">
        <v>2025</v>
      </c>
      <c r="B365">
        <v>2</v>
      </c>
      <c r="C365" t="s">
        <v>80</v>
      </c>
      <c r="D365" t="s">
        <v>22</v>
      </c>
      <c r="E365" t="s">
        <v>32</v>
      </c>
      <c r="F365" t="s">
        <v>28</v>
      </c>
      <c r="G365" t="s">
        <v>25</v>
      </c>
      <c r="H365" t="s">
        <v>25</v>
      </c>
      <c r="I365" t="s">
        <v>25</v>
      </c>
      <c r="J365">
        <v>23</v>
      </c>
      <c r="K365">
        <v>0</v>
      </c>
      <c r="L365">
        <v>0</v>
      </c>
      <c r="M365">
        <v>0</v>
      </c>
      <c r="N365">
        <v>11</v>
      </c>
      <c r="O365">
        <v>9</v>
      </c>
      <c r="P365">
        <v>9</v>
      </c>
      <c r="Q365">
        <v>6</v>
      </c>
      <c r="R365">
        <v>4</v>
      </c>
      <c r="S365">
        <v>3</v>
      </c>
      <c r="T365">
        <v>0</v>
      </c>
      <c r="U365">
        <v>23</v>
      </c>
    </row>
    <row r="366" spans="1:21" x14ac:dyDescent="0.25">
      <c r="A366">
        <v>2025</v>
      </c>
      <c r="B366">
        <v>2</v>
      </c>
      <c r="C366" t="s">
        <v>80</v>
      </c>
      <c r="D366" t="s">
        <v>22</v>
      </c>
      <c r="E366" t="s">
        <v>32</v>
      </c>
      <c r="F366" t="s">
        <v>24</v>
      </c>
      <c r="G366" t="s">
        <v>25</v>
      </c>
      <c r="H366" t="s">
        <v>25</v>
      </c>
      <c r="I366" t="s">
        <v>25</v>
      </c>
      <c r="J366">
        <v>1394</v>
      </c>
      <c r="K366">
        <v>0</v>
      </c>
      <c r="L366">
        <v>7</v>
      </c>
      <c r="M366">
        <v>7</v>
      </c>
      <c r="N366">
        <v>396</v>
      </c>
      <c r="O366">
        <v>310</v>
      </c>
      <c r="P366">
        <v>270</v>
      </c>
      <c r="Q366">
        <v>182</v>
      </c>
      <c r="R366">
        <v>117</v>
      </c>
      <c r="S366">
        <v>48</v>
      </c>
      <c r="T366">
        <v>8</v>
      </c>
      <c r="U366">
        <v>1389</v>
      </c>
    </row>
    <row r="367" spans="1:21" x14ac:dyDescent="0.25">
      <c r="A367">
        <v>2025</v>
      </c>
      <c r="B367">
        <v>2</v>
      </c>
      <c r="C367" t="s">
        <v>80</v>
      </c>
      <c r="D367" t="s">
        <v>22</v>
      </c>
      <c r="E367" t="s">
        <v>38</v>
      </c>
      <c r="F367" t="s">
        <v>24</v>
      </c>
      <c r="G367" t="s">
        <v>25</v>
      </c>
      <c r="H367" t="s">
        <v>26</v>
      </c>
      <c r="I367" t="s">
        <v>25</v>
      </c>
      <c r="J367">
        <v>4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4</v>
      </c>
    </row>
    <row r="368" spans="1:21" x14ac:dyDescent="0.25">
      <c r="A368">
        <v>2025</v>
      </c>
      <c r="B368">
        <v>2</v>
      </c>
      <c r="C368" t="s">
        <v>80</v>
      </c>
      <c r="D368" t="s">
        <v>22</v>
      </c>
      <c r="E368" t="s">
        <v>34</v>
      </c>
      <c r="F368" t="s">
        <v>24</v>
      </c>
      <c r="G368" t="s">
        <v>25</v>
      </c>
      <c r="H368" t="s">
        <v>26</v>
      </c>
      <c r="I368" t="s">
        <v>26</v>
      </c>
      <c r="J368">
        <v>29</v>
      </c>
      <c r="K368">
        <v>0</v>
      </c>
      <c r="L368">
        <v>23</v>
      </c>
      <c r="M368">
        <v>23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29</v>
      </c>
    </row>
    <row r="369" spans="1:21" x14ac:dyDescent="0.25">
      <c r="A369">
        <v>2025</v>
      </c>
      <c r="B369">
        <v>2</v>
      </c>
      <c r="C369" t="s">
        <v>80</v>
      </c>
      <c r="D369" t="s">
        <v>22</v>
      </c>
      <c r="E369" t="s">
        <v>76</v>
      </c>
      <c r="F369" t="s">
        <v>28</v>
      </c>
      <c r="G369" t="s">
        <v>25</v>
      </c>
      <c r="H369" t="s">
        <v>26</v>
      </c>
      <c r="I369" t="s">
        <v>25</v>
      </c>
      <c r="J369">
        <v>3</v>
      </c>
      <c r="K369">
        <v>0</v>
      </c>
      <c r="L369">
        <v>0</v>
      </c>
      <c r="M369">
        <v>0</v>
      </c>
      <c r="N369">
        <v>2</v>
      </c>
      <c r="O369">
        <v>2</v>
      </c>
      <c r="P369">
        <v>1</v>
      </c>
      <c r="Q369">
        <v>1</v>
      </c>
      <c r="R369">
        <v>1</v>
      </c>
      <c r="S369">
        <v>1</v>
      </c>
      <c r="T369">
        <v>0</v>
      </c>
      <c r="U369">
        <v>3</v>
      </c>
    </row>
    <row r="370" spans="1:21" x14ac:dyDescent="0.25">
      <c r="A370">
        <v>2025</v>
      </c>
      <c r="B370">
        <v>2</v>
      </c>
      <c r="C370" t="s">
        <v>80</v>
      </c>
      <c r="D370" t="s">
        <v>22</v>
      </c>
      <c r="E370" t="s">
        <v>81</v>
      </c>
      <c r="F370" t="s">
        <v>28</v>
      </c>
      <c r="G370" t="s">
        <v>25</v>
      </c>
      <c r="H370" t="s">
        <v>26</v>
      </c>
      <c r="I370" t="s">
        <v>25</v>
      </c>
      <c r="J370">
        <v>463</v>
      </c>
      <c r="K370">
        <v>0</v>
      </c>
      <c r="L370">
        <v>1</v>
      </c>
      <c r="M370">
        <v>1</v>
      </c>
      <c r="N370">
        <v>262</v>
      </c>
      <c r="O370">
        <v>214</v>
      </c>
      <c r="P370">
        <v>194</v>
      </c>
      <c r="Q370">
        <v>131</v>
      </c>
      <c r="R370">
        <v>82</v>
      </c>
      <c r="S370">
        <v>32</v>
      </c>
      <c r="T370">
        <v>8</v>
      </c>
      <c r="U370">
        <v>462</v>
      </c>
    </row>
    <row r="371" spans="1:21" x14ac:dyDescent="0.25">
      <c r="A371">
        <v>2025</v>
      </c>
      <c r="B371">
        <v>2</v>
      </c>
      <c r="C371" t="s">
        <v>80</v>
      </c>
      <c r="D371" t="s">
        <v>22</v>
      </c>
      <c r="E371" t="s">
        <v>82</v>
      </c>
      <c r="F371" t="s">
        <v>28</v>
      </c>
      <c r="G371" t="s">
        <v>25</v>
      </c>
      <c r="H371" t="s">
        <v>26</v>
      </c>
      <c r="I371" t="s">
        <v>25</v>
      </c>
      <c r="J371">
        <v>275</v>
      </c>
      <c r="K371">
        <v>0</v>
      </c>
      <c r="L371">
        <v>0</v>
      </c>
      <c r="M371">
        <v>0</v>
      </c>
      <c r="N371">
        <v>149</v>
      </c>
      <c r="O371">
        <v>114</v>
      </c>
      <c r="P371">
        <v>106</v>
      </c>
      <c r="Q371">
        <v>63</v>
      </c>
      <c r="R371">
        <v>39</v>
      </c>
      <c r="S371">
        <v>19</v>
      </c>
      <c r="T371">
        <v>7</v>
      </c>
      <c r="U371">
        <v>275</v>
      </c>
    </row>
    <row r="372" spans="1:21" x14ac:dyDescent="0.25">
      <c r="A372">
        <v>2025</v>
      </c>
      <c r="B372">
        <v>2</v>
      </c>
      <c r="C372" t="s">
        <v>80</v>
      </c>
      <c r="D372" t="s">
        <v>22</v>
      </c>
      <c r="E372" t="s">
        <v>83</v>
      </c>
      <c r="F372" t="s">
        <v>28</v>
      </c>
      <c r="G372" t="s">
        <v>26</v>
      </c>
      <c r="H372" t="s">
        <v>26</v>
      </c>
      <c r="I372" t="s">
        <v>25</v>
      </c>
      <c r="J372">
        <v>6458</v>
      </c>
      <c r="K372">
        <v>0</v>
      </c>
      <c r="L372">
        <v>6</v>
      </c>
      <c r="M372">
        <v>6</v>
      </c>
      <c r="N372">
        <v>2841</v>
      </c>
      <c r="O372">
        <v>2182</v>
      </c>
      <c r="P372">
        <v>1940</v>
      </c>
      <c r="Q372">
        <v>1278</v>
      </c>
      <c r="R372">
        <v>886</v>
      </c>
      <c r="S372">
        <v>390</v>
      </c>
      <c r="T372">
        <v>117</v>
      </c>
      <c r="U372">
        <v>6456</v>
      </c>
    </row>
    <row r="373" spans="1:21" x14ac:dyDescent="0.25">
      <c r="A373">
        <v>2025</v>
      </c>
      <c r="B373">
        <v>2</v>
      </c>
      <c r="C373" t="s">
        <v>80</v>
      </c>
      <c r="D373" t="s">
        <v>22</v>
      </c>
      <c r="E373" t="s">
        <v>23</v>
      </c>
      <c r="F373" t="s">
        <v>28</v>
      </c>
      <c r="G373" t="s">
        <v>25</v>
      </c>
      <c r="H373" t="s">
        <v>26</v>
      </c>
      <c r="I373" t="s">
        <v>25</v>
      </c>
      <c r="J373">
        <v>2806</v>
      </c>
      <c r="K373">
        <v>0</v>
      </c>
      <c r="L373">
        <v>63</v>
      </c>
      <c r="M373">
        <v>63</v>
      </c>
      <c r="N373">
        <v>1017</v>
      </c>
      <c r="O373">
        <v>817</v>
      </c>
      <c r="P373">
        <v>733</v>
      </c>
      <c r="Q373">
        <v>489</v>
      </c>
      <c r="R373">
        <v>326</v>
      </c>
      <c r="S373">
        <v>152</v>
      </c>
      <c r="T373">
        <v>48</v>
      </c>
      <c r="U373">
        <v>2757</v>
      </c>
    </row>
    <row r="374" spans="1:21" x14ac:dyDescent="0.25">
      <c r="A374">
        <v>2025</v>
      </c>
      <c r="B374">
        <v>2</v>
      </c>
      <c r="C374" t="s">
        <v>80</v>
      </c>
      <c r="D374" t="s">
        <v>22</v>
      </c>
      <c r="E374" t="s">
        <v>23</v>
      </c>
      <c r="F374" t="s">
        <v>24</v>
      </c>
      <c r="G374" t="s">
        <v>25</v>
      </c>
      <c r="H374" t="s">
        <v>26</v>
      </c>
      <c r="I374" t="s">
        <v>25</v>
      </c>
      <c r="J374">
        <v>1</v>
      </c>
      <c r="K374">
        <v>0</v>
      </c>
      <c r="L374">
        <v>0</v>
      </c>
      <c r="M374">
        <v>0</v>
      </c>
      <c r="N374">
        <v>1</v>
      </c>
      <c r="O374">
        <v>1</v>
      </c>
      <c r="P374">
        <v>1</v>
      </c>
      <c r="Q374">
        <v>1</v>
      </c>
      <c r="R374">
        <v>1</v>
      </c>
      <c r="S374">
        <v>1</v>
      </c>
      <c r="T374">
        <v>1</v>
      </c>
      <c r="U374">
        <v>1</v>
      </c>
    </row>
    <row r="375" spans="1:21" x14ac:dyDescent="0.25">
      <c r="A375">
        <v>2025</v>
      </c>
      <c r="B375">
        <v>2</v>
      </c>
      <c r="C375" t="s">
        <v>80</v>
      </c>
      <c r="D375" t="s">
        <v>22</v>
      </c>
      <c r="E375" t="s">
        <v>84</v>
      </c>
      <c r="F375" t="s">
        <v>28</v>
      </c>
      <c r="G375" t="s">
        <v>25</v>
      </c>
      <c r="H375" t="s">
        <v>26</v>
      </c>
      <c r="I375" t="s">
        <v>26</v>
      </c>
      <c r="J375">
        <v>540</v>
      </c>
      <c r="K375">
        <v>0</v>
      </c>
      <c r="L375">
        <v>0</v>
      </c>
      <c r="M375">
        <v>0</v>
      </c>
      <c r="N375">
        <v>108</v>
      </c>
      <c r="O375">
        <v>86</v>
      </c>
      <c r="P375">
        <v>73</v>
      </c>
      <c r="Q375">
        <v>52</v>
      </c>
      <c r="R375">
        <v>38</v>
      </c>
      <c r="S375">
        <v>20</v>
      </c>
      <c r="T375">
        <v>6</v>
      </c>
      <c r="U375">
        <v>540</v>
      </c>
    </row>
    <row r="376" spans="1:21" x14ac:dyDescent="0.25">
      <c r="A376">
        <v>2025</v>
      </c>
      <c r="B376">
        <v>2</v>
      </c>
      <c r="C376" t="s">
        <v>80</v>
      </c>
      <c r="D376" t="s">
        <v>22</v>
      </c>
      <c r="E376" t="s">
        <v>40</v>
      </c>
      <c r="F376" t="s">
        <v>28</v>
      </c>
      <c r="G376" t="s">
        <v>25</v>
      </c>
      <c r="H376" t="s">
        <v>26</v>
      </c>
      <c r="I376" t="s">
        <v>25</v>
      </c>
      <c r="J376">
        <v>5</v>
      </c>
      <c r="K376">
        <v>0</v>
      </c>
      <c r="L376">
        <v>1</v>
      </c>
      <c r="M376">
        <v>1</v>
      </c>
      <c r="N376">
        <v>2</v>
      </c>
      <c r="O376">
        <v>2</v>
      </c>
      <c r="P376">
        <v>2</v>
      </c>
      <c r="Q376">
        <v>2</v>
      </c>
      <c r="R376">
        <v>2</v>
      </c>
      <c r="S376">
        <v>1</v>
      </c>
      <c r="T376">
        <v>1</v>
      </c>
      <c r="U376">
        <v>5</v>
      </c>
    </row>
    <row r="377" spans="1:21" x14ac:dyDescent="0.25">
      <c r="A377">
        <v>2025</v>
      </c>
      <c r="B377">
        <v>2</v>
      </c>
      <c r="C377" t="s">
        <v>80</v>
      </c>
      <c r="D377" t="s">
        <v>22</v>
      </c>
      <c r="E377" t="s">
        <v>40</v>
      </c>
      <c r="F377" t="s">
        <v>24</v>
      </c>
      <c r="G377" t="s">
        <v>25</v>
      </c>
      <c r="H377" t="s">
        <v>26</v>
      </c>
      <c r="I377" t="s">
        <v>25</v>
      </c>
      <c r="J377">
        <v>48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48</v>
      </c>
    </row>
    <row r="378" spans="1:21" x14ac:dyDescent="0.25">
      <c r="A378">
        <v>2025</v>
      </c>
      <c r="B378">
        <v>2</v>
      </c>
      <c r="C378" t="s">
        <v>80</v>
      </c>
      <c r="D378" t="s">
        <v>22</v>
      </c>
      <c r="E378" t="s">
        <v>85</v>
      </c>
      <c r="F378" t="s">
        <v>28</v>
      </c>
      <c r="G378" t="s">
        <v>25</v>
      </c>
      <c r="H378" t="s">
        <v>25</v>
      </c>
      <c r="I378" t="s">
        <v>25</v>
      </c>
      <c r="J378">
        <v>5989</v>
      </c>
      <c r="K378">
        <v>0</v>
      </c>
      <c r="L378">
        <v>154</v>
      </c>
      <c r="M378">
        <v>154</v>
      </c>
      <c r="N378">
        <v>395</v>
      </c>
      <c r="O378">
        <v>201</v>
      </c>
      <c r="P378">
        <v>162</v>
      </c>
      <c r="Q378">
        <v>89</v>
      </c>
      <c r="R378">
        <v>49</v>
      </c>
      <c r="S378">
        <v>17</v>
      </c>
      <c r="T378">
        <v>2</v>
      </c>
      <c r="U378">
        <v>5886</v>
      </c>
    </row>
    <row r="379" spans="1:21" x14ac:dyDescent="0.25">
      <c r="A379">
        <v>2025</v>
      </c>
      <c r="B379">
        <v>2</v>
      </c>
      <c r="C379" t="s">
        <v>80</v>
      </c>
      <c r="D379" t="s">
        <v>22</v>
      </c>
      <c r="E379" t="s">
        <v>86</v>
      </c>
      <c r="F379" t="s">
        <v>28</v>
      </c>
      <c r="G379" t="s">
        <v>25</v>
      </c>
      <c r="H379" t="s">
        <v>25</v>
      </c>
      <c r="I379" t="s">
        <v>25</v>
      </c>
      <c r="J379">
        <v>12</v>
      </c>
      <c r="K379">
        <v>0</v>
      </c>
      <c r="L379">
        <v>0</v>
      </c>
      <c r="M379">
        <v>0</v>
      </c>
      <c r="N379">
        <v>8</v>
      </c>
      <c r="O379">
        <v>8</v>
      </c>
      <c r="P379">
        <v>7</v>
      </c>
      <c r="Q379">
        <v>6</v>
      </c>
      <c r="R379">
        <v>6</v>
      </c>
      <c r="S379">
        <v>4</v>
      </c>
      <c r="T379">
        <v>4</v>
      </c>
      <c r="U379">
        <v>12</v>
      </c>
    </row>
    <row r="380" spans="1:21" x14ac:dyDescent="0.25">
      <c r="A380">
        <v>2025</v>
      </c>
      <c r="B380">
        <v>2</v>
      </c>
      <c r="C380" t="s">
        <v>80</v>
      </c>
      <c r="D380" t="s">
        <v>22</v>
      </c>
      <c r="E380" t="s">
        <v>86</v>
      </c>
      <c r="F380" t="s">
        <v>29</v>
      </c>
      <c r="G380" t="s">
        <v>25</v>
      </c>
      <c r="H380" t="s">
        <v>25</v>
      </c>
      <c r="I380" t="s">
        <v>25</v>
      </c>
      <c r="J380">
        <v>5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</row>
    <row r="381" spans="1:21" x14ac:dyDescent="0.25">
      <c r="A381">
        <v>2025</v>
      </c>
      <c r="B381">
        <v>2</v>
      </c>
      <c r="C381" t="s">
        <v>80</v>
      </c>
      <c r="D381" t="s">
        <v>22</v>
      </c>
      <c r="E381" t="s">
        <v>35</v>
      </c>
      <c r="F381" t="s">
        <v>28</v>
      </c>
      <c r="G381" t="s">
        <v>25</v>
      </c>
      <c r="H381" t="s">
        <v>26</v>
      </c>
      <c r="I381" t="s">
        <v>26</v>
      </c>
      <c r="J381">
        <v>7</v>
      </c>
      <c r="K381">
        <v>0</v>
      </c>
      <c r="L381">
        <v>2</v>
      </c>
      <c r="M381">
        <v>2</v>
      </c>
      <c r="N381">
        <v>3</v>
      </c>
      <c r="O381">
        <v>3</v>
      </c>
      <c r="P381">
        <v>3</v>
      </c>
      <c r="Q381">
        <v>2</v>
      </c>
      <c r="R381">
        <v>2</v>
      </c>
      <c r="S381">
        <v>1</v>
      </c>
      <c r="T381">
        <v>0</v>
      </c>
      <c r="U381">
        <v>6</v>
      </c>
    </row>
    <row r="382" spans="1:21" x14ac:dyDescent="0.25">
      <c r="A382">
        <v>2025</v>
      </c>
      <c r="B382">
        <v>2</v>
      </c>
      <c r="C382" t="s">
        <v>80</v>
      </c>
      <c r="D382" t="s">
        <v>22</v>
      </c>
      <c r="E382" t="s">
        <v>35</v>
      </c>
      <c r="F382" t="s">
        <v>24</v>
      </c>
      <c r="G382" t="s">
        <v>25</v>
      </c>
      <c r="H382" t="s">
        <v>26</v>
      </c>
      <c r="I382" t="s">
        <v>26</v>
      </c>
      <c r="J382">
        <v>183</v>
      </c>
      <c r="K382">
        <v>1</v>
      </c>
      <c r="L382">
        <v>4</v>
      </c>
      <c r="M382">
        <v>5</v>
      </c>
      <c r="N382">
        <v>33</v>
      </c>
      <c r="O382">
        <v>28</v>
      </c>
      <c r="P382">
        <v>28</v>
      </c>
      <c r="Q382">
        <v>24</v>
      </c>
      <c r="R382">
        <v>22</v>
      </c>
      <c r="S382">
        <v>14</v>
      </c>
      <c r="T382">
        <v>6</v>
      </c>
      <c r="U382">
        <v>180</v>
      </c>
    </row>
    <row r="383" spans="1:21" x14ac:dyDescent="0.25">
      <c r="A383">
        <v>2025</v>
      </c>
      <c r="B383">
        <v>2</v>
      </c>
      <c r="C383" t="s">
        <v>80</v>
      </c>
      <c r="D383" t="s">
        <v>22</v>
      </c>
      <c r="E383" t="s">
        <v>87</v>
      </c>
      <c r="F383" t="s">
        <v>28</v>
      </c>
      <c r="G383" t="s">
        <v>25</v>
      </c>
      <c r="H383" t="s">
        <v>25</v>
      </c>
      <c r="I383" t="s">
        <v>25</v>
      </c>
      <c r="J383">
        <v>207603</v>
      </c>
      <c r="K383">
        <v>192</v>
      </c>
      <c r="L383">
        <v>4397</v>
      </c>
      <c r="M383">
        <v>4589</v>
      </c>
      <c r="N383">
        <v>37866</v>
      </c>
      <c r="O383">
        <v>20521</v>
      </c>
      <c r="P383">
        <v>15956</v>
      </c>
      <c r="Q383">
        <v>7745</v>
      </c>
      <c r="R383">
        <v>4293</v>
      </c>
      <c r="S383">
        <v>1292</v>
      </c>
      <c r="T383">
        <v>244</v>
      </c>
      <c r="U383">
        <v>203802</v>
      </c>
    </row>
    <row r="384" spans="1:21" x14ac:dyDescent="0.25">
      <c r="A384">
        <v>2025</v>
      </c>
      <c r="B384">
        <v>2</v>
      </c>
      <c r="C384" t="s">
        <v>80</v>
      </c>
      <c r="D384" t="s">
        <v>22</v>
      </c>
      <c r="E384" t="s">
        <v>87</v>
      </c>
      <c r="F384" t="s">
        <v>24</v>
      </c>
      <c r="G384" t="s">
        <v>25</v>
      </c>
      <c r="H384" t="s">
        <v>25</v>
      </c>
      <c r="I384" t="s">
        <v>25</v>
      </c>
      <c r="J384">
        <v>5415</v>
      </c>
      <c r="K384">
        <v>146</v>
      </c>
      <c r="L384">
        <v>52</v>
      </c>
      <c r="M384">
        <v>198</v>
      </c>
      <c r="N384">
        <v>1095</v>
      </c>
      <c r="O384">
        <v>557</v>
      </c>
      <c r="P384">
        <v>420</v>
      </c>
      <c r="Q384">
        <v>136</v>
      </c>
      <c r="R384">
        <v>69</v>
      </c>
      <c r="S384">
        <v>19</v>
      </c>
      <c r="T384">
        <v>2</v>
      </c>
      <c r="U384">
        <v>5223</v>
      </c>
    </row>
    <row r="385" spans="1:21" x14ac:dyDescent="0.25">
      <c r="A385">
        <v>2025</v>
      </c>
      <c r="B385">
        <v>2</v>
      </c>
      <c r="C385" t="s">
        <v>80</v>
      </c>
      <c r="D385" t="s">
        <v>22</v>
      </c>
      <c r="E385" t="s">
        <v>87</v>
      </c>
      <c r="F385" t="s">
        <v>29</v>
      </c>
      <c r="G385" t="s">
        <v>25</v>
      </c>
      <c r="H385" t="s">
        <v>25</v>
      </c>
      <c r="I385" t="s">
        <v>25</v>
      </c>
      <c r="J385">
        <v>1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</row>
    <row r="386" spans="1:21" x14ac:dyDescent="0.25">
      <c r="A386">
        <v>2025</v>
      </c>
      <c r="B386">
        <v>2</v>
      </c>
      <c r="C386" t="s">
        <v>80</v>
      </c>
      <c r="D386" t="s">
        <v>22</v>
      </c>
      <c r="E386" t="s">
        <v>36</v>
      </c>
      <c r="F386" t="s">
        <v>24</v>
      </c>
      <c r="G386" t="s">
        <v>25</v>
      </c>
      <c r="H386" t="s">
        <v>26</v>
      </c>
      <c r="I386" t="s">
        <v>25</v>
      </c>
      <c r="J386">
        <v>133</v>
      </c>
      <c r="K386">
        <v>1</v>
      </c>
      <c r="L386">
        <v>0</v>
      </c>
      <c r="M386">
        <v>1</v>
      </c>
      <c r="N386">
        <v>23</v>
      </c>
      <c r="O386">
        <v>19</v>
      </c>
      <c r="P386">
        <v>19</v>
      </c>
      <c r="Q386">
        <v>15</v>
      </c>
      <c r="R386">
        <v>13</v>
      </c>
      <c r="S386">
        <v>4</v>
      </c>
      <c r="T386">
        <v>2</v>
      </c>
      <c r="U386">
        <v>132</v>
      </c>
    </row>
    <row r="387" spans="1:21" x14ac:dyDescent="0.25">
      <c r="A387">
        <v>2025</v>
      </c>
      <c r="B387">
        <v>2</v>
      </c>
      <c r="C387" t="s">
        <v>80</v>
      </c>
      <c r="D387" t="s">
        <v>22</v>
      </c>
      <c r="E387" t="s">
        <v>41</v>
      </c>
      <c r="F387" t="s">
        <v>24</v>
      </c>
      <c r="G387" t="s">
        <v>26</v>
      </c>
      <c r="H387" t="s">
        <v>26</v>
      </c>
      <c r="I387" t="s">
        <v>25</v>
      </c>
      <c r="J387">
        <v>12</v>
      </c>
      <c r="K387">
        <v>0</v>
      </c>
      <c r="L387">
        <v>0</v>
      </c>
      <c r="M387">
        <v>0</v>
      </c>
      <c r="N387">
        <v>3</v>
      </c>
      <c r="O387">
        <v>2</v>
      </c>
      <c r="P387">
        <v>2</v>
      </c>
      <c r="Q387">
        <v>2</v>
      </c>
      <c r="R387">
        <v>1</v>
      </c>
      <c r="S387">
        <v>0</v>
      </c>
      <c r="T387">
        <v>0</v>
      </c>
      <c r="U387">
        <v>12</v>
      </c>
    </row>
    <row r="388" spans="1:21" x14ac:dyDescent="0.25">
      <c r="A388">
        <v>2025</v>
      </c>
      <c r="B388">
        <v>2</v>
      </c>
      <c r="C388" t="s">
        <v>88</v>
      </c>
      <c r="D388" t="s">
        <v>45</v>
      </c>
      <c r="E388" t="s">
        <v>83</v>
      </c>
      <c r="F388" t="s">
        <v>28</v>
      </c>
      <c r="G388" t="s">
        <v>26</v>
      </c>
      <c r="H388" t="s">
        <v>26</v>
      </c>
      <c r="I388" t="s">
        <v>25</v>
      </c>
      <c r="J388">
        <v>244</v>
      </c>
      <c r="K388">
        <v>0</v>
      </c>
      <c r="L388">
        <v>0</v>
      </c>
      <c r="M388">
        <v>0</v>
      </c>
      <c r="N388">
        <v>49</v>
      </c>
      <c r="O388">
        <v>24</v>
      </c>
      <c r="P388">
        <v>20</v>
      </c>
      <c r="Q388">
        <v>13</v>
      </c>
      <c r="R388">
        <v>10</v>
      </c>
      <c r="S388">
        <v>5</v>
      </c>
      <c r="T388">
        <v>5</v>
      </c>
      <c r="U388">
        <v>244</v>
      </c>
    </row>
    <row r="389" spans="1:21" x14ac:dyDescent="0.25">
      <c r="A389">
        <v>2025</v>
      </c>
      <c r="B389">
        <v>2</v>
      </c>
      <c r="C389" t="s">
        <v>89</v>
      </c>
      <c r="D389" t="s">
        <v>22</v>
      </c>
      <c r="E389" t="s">
        <v>91</v>
      </c>
      <c r="F389" t="s">
        <v>28</v>
      </c>
      <c r="G389" t="s">
        <v>25</v>
      </c>
      <c r="H389" t="s">
        <v>25</v>
      </c>
      <c r="I389" t="s">
        <v>25</v>
      </c>
      <c r="J389">
        <v>2759</v>
      </c>
      <c r="K389">
        <v>0</v>
      </c>
      <c r="L389">
        <v>0</v>
      </c>
      <c r="M389">
        <v>0</v>
      </c>
      <c r="N389">
        <v>18</v>
      </c>
      <c r="O389">
        <v>12</v>
      </c>
      <c r="P389">
        <v>12</v>
      </c>
      <c r="Q389">
        <v>11</v>
      </c>
      <c r="R389">
        <v>9</v>
      </c>
      <c r="S389">
        <v>6</v>
      </c>
      <c r="T389">
        <v>1</v>
      </c>
      <c r="U389">
        <v>2759</v>
      </c>
    </row>
    <row r="390" spans="1:21" x14ac:dyDescent="0.25">
      <c r="A390">
        <v>2025</v>
      </c>
      <c r="B390">
        <v>2</v>
      </c>
      <c r="C390" t="s">
        <v>89</v>
      </c>
      <c r="D390" t="s">
        <v>22</v>
      </c>
      <c r="E390" t="s">
        <v>91</v>
      </c>
      <c r="F390" t="s">
        <v>24</v>
      </c>
      <c r="G390" t="s">
        <v>25</v>
      </c>
      <c r="H390" t="s">
        <v>25</v>
      </c>
      <c r="I390" t="s">
        <v>25</v>
      </c>
      <c r="J390">
        <v>1264</v>
      </c>
      <c r="K390">
        <v>0</v>
      </c>
      <c r="L390">
        <v>0</v>
      </c>
      <c r="M390">
        <v>0</v>
      </c>
      <c r="N390">
        <v>2</v>
      </c>
      <c r="O390">
        <v>2</v>
      </c>
      <c r="P390">
        <v>2</v>
      </c>
      <c r="Q390">
        <v>1</v>
      </c>
      <c r="R390">
        <v>0</v>
      </c>
      <c r="S390">
        <v>0</v>
      </c>
      <c r="T390">
        <v>0</v>
      </c>
      <c r="U390">
        <v>1264</v>
      </c>
    </row>
    <row r="391" spans="1:21" x14ac:dyDescent="0.25">
      <c r="A391">
        <v>2025</v>
      </c>
      <c r="B391">
        <v>2</v>
      </c>
      <c r="C391" t="s">
        <v>89</v>
      </c>
      <c r="D391" t="s">
        <v>22</v>
      </c>
      <c r="E391" t="s">
        <v>91</v>
      </c>
      <c r="F391" t="s">
        <v>29</v>
      </c>
      <c r="G391" t="s">
        <v>25</v>
      </c>
      <c r="H391" t="s">
        <v>25</v>
      </c>
      <c r="I391" t="s">
        <v>25</v>
      </c>
      <c r="J391">
        <v>1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</row>
    <row r="392" spans="1:21" x14ac:dyDescent="0.25">
      <c r="A392">
        <v>2025</v>
      </c>
      <c r="B392">
        <v>2</v>
      </c>
      <c r="C392" t="s">
        <v>89</v>
      </c>
      <c r="D392" t="s">
        <v>22</v>
      </c>
      <c r="E392" t="s">
        <v>92</v>
      </c>
      <c r="F392" t="s">
        <v>28</v>
      </c>
      <c r="G392" t="s">
        <v>25</v>
      </c>
      <c r="H392" t="s">
        <v>25</v>
      </c>
      <c r="I392" t="s">
        <v>25</v>
      </c>
      <c r="J392">
        <v>2011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2011</v>
      </c>
    </row>
    <row r="393" spans="1:21" x14ac:dyDescent="0.25">
      <c r="A393">
        <v>2025</v>
      </c>
      <c r="B393">
        <v>2</v>
      </c>
      <c r="C393" t="s">
        <v>89</v>
      </c>
      <c r="D393" t="s">
        <v>22</v>
      </c>
      <c r="E393" t="s">
        <v>93</v>
      </c>
      <c r="F393" t="s">
        <v>28</v>
      </c>
      <c r="G393" t="s">
        <v>25</v>
      </c>
      <c r="H393" t="s">
        <v>25</v>
      </c>
      <c r="I393" t="s">
        <v>25</v>
      </c>
      <c r="J393">
        <v>3</v>
      </c>
      <c r="K393">
        <v>0</v>
      </c>
      <c r="L393">
        <v>0</v>
      </c>
      <c r="M393">
        <v>0</v>
      </c>
      <c r="N393">
        <v>1</v>
      </c>
      <c r="O393">
        <v>1</v>
      </c>
      <c r="P393">
        <v>1</v>
      </c>
      <c r="Q393">
        <v>1</v>
      </c>
      <c r="R393">
        <v>1</v>
      </c>
      <c r="S393">
        <v>0</v>
      </c>
      <c r="T393">
        <v>0</v>
      </c>
      <c r="U393">
        <v>3</v>
      </c>
    </row>
    <row r="394" spans="1:21" x14ac:dyDescent="0.25">
      <c r="A394">
        <v>2025</v>
      </c>
      <c r="B394">
        <v>2</v>
      </c>
      <c r="C394" t="s">
        <v>89</v>
      </c>
      <c r="D394" t="s">
        <v>22</v>
      </c>
      <c r="E394" t="s">
        <v>38</v>
      </c>
      <c r="F394" t="s">
        <v>24</v>
      </c>
      <c r="G394" t="s">
        <v>25</v>
      </c>
      <c r="H394" t="s">
        <v>25</v>
      </c>
      <c r="I394" t="s">
        <v>25</v>
      </c>
      <c r="J394">
        <v>2</v>
      </c>
      <c r="K394">
        <v>0</v>
      </c>
      <c r="L394">
        <v>0</v>
      </c>
      <c r="M394">
        <v>0</v>
      </c>
      <c r="N394">
        <v>1</v>
      </c>
      <c r="O394">
        <v>1</v>
      </c>
      <c r="P394">
        <v>1</v>
      </c>
      <c r="Q394">
        <v>1</v>
      </c>
      <c r="R394">
        <v>0</v>
      </c>
      <c r="S394">
        <v>0</v>
      </c>
      <c r="T394">
        <v>0</v>
      </c>
      <c r="U394">
        <v>2</v>
      </c>
    </row>
    <row r="395" spans="1:21" x14ac:dyDescent="0.25">
      <c r="A395">
        <v>2025</v>
      </c>
      <c r="B395">
        <v>2</v>
      </c>
      <c r="C395" t="s">
        <v>89</v>
      </c>
      <c r="D395" t="s">
        <v>22</v>
      </c>
      <c r="E395" t="s">
        <v>95</v>
      </c>
      <c r="F395" t="s">
        <v>28</v>
      </c>
      <c r="G395" t="s">
        <v>25</v>
      </c>
      <c r="H395" t="s">
        <v>25</v>
      </c>
      <c r="I395" t="s">
        <v>25</v>
      </c>
      <c r="J395">
        <v>56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56</v>
      </c>
    </row>
    <row r="396" spans="1:21" x14ac:dyDescent="0.25">
      <c r="A396">
        <v>2025</v>
      </c>
      <c r="B396">
        <v>2</v>
      </c>
      <c r="C396" t="s">
        <v>89</v>
      </c>
      <c r="D396" t="s">
        <v>22</v>
      </c>
      <c r="E396" t="s">
        <v>95</v>
      </c>
      <c r="F396" t="s">
        <v>24</v>
      </c>
      <c r="G396" t="s">
        <v>25</v>
      </c>
      <c r="H396" t="s">
        <v>25</v>
      </c>
      <c r="I396" t="s">
        <v>25</v>
      </c>
      <c r="J396">
        <v>84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84</v>
      </c>
    </row>
    <row r="397" spans="1:21" x14ac:dyDescent="0.25">
      <c r="A397">
        <v>2025</v>
      </c>
      <c r="B397">
        <v>2</v>
      </c>
      <c r="C397" t="s">
        <v>89</v>
      </c>
      <c r="D397" t="s">
        <v>22</v>
      </c>
      <c r="E397" t="s">
        <v>23</v>
      </c>
      <c r="F397" t="s">
        <v>24</v>
      </c>
      <c r="G397" t="s">
        <v>25</v>
      </c>
      <c r="H397" t="s">
        <v>25</v>
      </c>
      <c r="I397" t="s">
        <v>25</v>
      </c>
      <c r="J397">
        <v>37</v>
      </c>
      <c r="K397">
        <v>0</v>
      </c>
      <c r="L397">
        <v>0</v>
      </c>
      <c r="M397">
        <v>0</v>
      </c>
      <c r="N397">
        <v>1</v>
      </c>
      <c r="O397">
        <v>1</v>
      </c>
      <c r="P397">
        <v>1</v>
      </c>
      <c r="Q397">
        <v>1</v>
      </c>
      <c r="R397">
        <v>1</v>
      </c>
      <c r="S397">
        <v>1</v>
      </c>
      <c r="T397">
        <v>0</v>
      </c>
      <c r="U397">
        <v>37</v>
      </c>
    </row>
    <row r="398" spans="1:21" x14ac:dyDescent="0.25">
      <c r="A398">
        <v>2025</v>
      </c>
      <c r="B398">
        <v>2</v>
      </c>
      <c r="C398" t="s">
        <v>89</v>
      </c>
      <c r="D398" t="s">
        <v>22</v>
      </c>
      <c r="E398" t="s">
        <v>103</v>
      </c>
      <c r="F398" t="s">
        <v>28</v>
      </c>
      <c r="G398" t="s">
        <v>25</v>
      </c>
      <c r="H398" t="s">
        <v>25</v>
      </c>
      <c r="I398" t="s">
        <v>25</v>
      </c>
      <c r="J398">
        <v>2</v>
      </c>
      <c r="K398">
        <v>0</v>
      </c>
      <c r="L398">
        <v>0</v>
      </c>
      <c r="M398">
        <v>0</v>
      </c>
      <c r="N398">
        <v>2</v>
      </c>
      <c r="O398">
        <v>2</v>
      </c>
      <c r="P398">
        <v>2</v>
      </c>
      <c r="Q398">
        <v>2</v>
      </c>
      <c r="R398">
        <v>1</v>
      </c>
      <c r="S398">
        <v>1</v>
      </c>
      <c r="T398">
        <v>0</v>
      </c>
      <c r="U398">
        <v>2</v>
      </c>
    </row>
    <row r="399" spans="1:21" x14ac:dyDescent="0.25">
      <c r="A399">
        <v>2025</v>
      </c>
      <c r="B399">
        <v>2</v>
      </c>
      <c r="C399" t="s">
        <v>89</v>
      </c>
      <c r="D399" t="s">
        <v>22</v>
      </c>
      <c r="E399" t="s">
        <v>97</v>
      </c>
      <c r="F399" t="s">
        <v>24</v>
      </c>
      <c r="G399" t="s">
        <v>25</v>
      </c>
      <c r="H399" t="s">
        <v>25</v>
      </c>
      <c r="I399" t="s">
        <v>25</v>
      </c>
      <c r="J399">
        <v>16</v>
      </c>
      <c r="K399">
        <v>0</v>
      </c>
      <c r="L399">
        <v>0</v>
      </c>
      <c r="M399">
        <v>0</v>
      </c>
      <c r="N399">
        <v>11</v>
      </c>
      <c r="O399">
        <v>9</v>
      </c>
      <c r="P399">
        <v>9</v>
      </c>
      <c r="Q399">
        <v>8</v>
      </c>
      <c r="R399">
        <v>8</v>
      </c>
      <c r="S399">
        <v>8</v>
      </c>
      <c r="T399">
        <v>2</v>
      </c>
      <c r="U399">
        <v>16</v>
      </c>
    </row>
    <row r="400" spans="1:21" x14ac:dyDescent="0.25">
      <c r="A400">
        <v>2025</v>
      </c>
      <c r="B400">
        <v>2</v>
      </c>
      <c r="C400" t="s">
        <v>89</v>
      </c>
      <c r="D400" t="s">
        <v>22</v>
      </c>
      <c r="F400" t="s">
        <v>28</v>
      </c>
      <c r="G400" t="s">
        <v>25</v>
      </c>
      <c r="H400" t="s">
        <v>25</v>
      </c>
      <c r="I400" t="s">
        <v>25</v>
      </c>
      <c r="J400">
        <v>15</v>
      </c>
      <c r="K400">
        <v>0</v>
      </c>
      <c r="L400">
        <v>0</v>
      </c>
      <c r="M400">
        <v>0</v>
      </c>
      <c r="N400">
        <v>7</v>
      </c>
      <c r="O400">
        <v>6</v>
      </c>
      <c r="P400">
        <v>4</v>
      </c>
      <c r="Q400">
        <v>4</v>
      </c>
      <c r="R400">
        <v>3</v>
      </c>
      <c r="S400">
        <v>1</v>
      </c>
      <c r="T400">
        <v>0</v>
      </c>
      <c r="U400">
        <v>15</v>
      </c>
    </row>
    <row r="401" spans="1:21" x14ac:dyDescent="0.25">
      <c r="A401">
        <v>2025</v>
      </c>
      <c r="B401">
        <v>2</v>
      </c>
      <c r="C401" t="s">
        <v>89</v>
      </c>
      <c r="D401" t="s">
        <v>22</v>
      </c>
      <c r="F401" t="s">
        <v>24</v>
      </c>
      <c r="G401" t="s">
        <v>25</v>
      </c>
      <c r="H401" t="s">
        <v>25</v>
      </c>
      <c r="I401" t="s">
        <v>25</v>
      </c>
      <c r="J401">
        <v>128</v>
      </c>
      <c r="K401">
        <v>62</v>
      </c>
      <c r="L401">
        <v>63</v>
      </c>
      <c r="M401">
        <v>125</v>
      </c>
      <c r="N401">
        <v>2</v>
      </c>
      <c r="O401">
        <v>2</v>
      </c>
      <c r="P401">
        <v>1</v>
      </c>
      <c r="Q401">
        <v>1</v>
      </c>
      <c r="R401">
        <v>1</v>
      </c>
      <c r="S401">
        <v>0</v>
      </c>
      <c r="T401">
        <v>0</v>
      </c>
      <c r="U401">
        <v>4</v>
      </c>
    </row>
    <row r="402" spans="1:21" x14ac:dyDescent="0.25">
      <c r="A402">
        <v>2025</v>
      </c>
      <c r="B402">
        <v>2</v>
      </c>
      <c r="C402" t="s">
        <v>98</v>
      </c>
      <c r="D402" t="s">
        <v>22</v>
      </c>
      <c r="E402" t="s">
        <v>31</v>
      </c>
      <c r="F402" t="s">
        <v>24</v>
      </c>
      <c r="G402" t="s">
        <v>25</v>
      </c>
      <c r="H402" t="s">
        <v>25</v>
      </c>
      <c r="I402" t="s">
        <v>25</v>
      </c>
      <c r="J402">
        <v>54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54</v>
      </c>
    </row>
    <row r="403" spans="1:21" x14ac:dyDescent="0.25">
      <c r="A403">
        <v>2025</v>
      </c>
      <c r="B403">
        <v>2</v>
      </c>
      <c r="C403" t="s">
        <v>99</v>
      </c>
      <c r="D403" t="s">
        <v>45</v>
      </c>
      <c r="E403" t="s">
        <v>100</v>
      </c>
      <c r="F403" t="s">
        <v>28</v>
      </c>
      <c r="G403" t="s">
        <v>25</v>
      </c>
      <c r="H403" t="s">
        <v>26</v>
      </c>
      <c r="I403" t="s">
        <v>25</v>
      </c>
      <c r="J403">
        <v>1343</v>
      </c>
      <c r="K403">
        <v>0</v>
      </c>
      <c r="L403">
        <v>0</v>
      </c>
      <c r="M403">
        <v>0</v>
      </c>
      <c r="N403">
        <v>28</v>
      </c>
      <c r="O403">
        <v>21</v>
      </c>
      <c r="P403">
        <v>18</v>
      </c>
      <c r="Q403">
        <v>14</v>
      </c>
      <c r="R403">
        <v>9</v>
      </c>
      <c r="S403">
        <v>2</v>
      </c>
      <c r="T403">
        <v>0</v>
      </c>
      <c r="U403">
        <v>1343</v>
      </c>
    </row>
    <row r="404" spans="1:21" x14ac:dyDescent="0.25">
      <c r="A404">
        <v>2025</v>
      </c>
      <c r="B404">
        <v>2</v>
      </c>
      <c r="C404" t="s">
        <v>99</v>
      </c>
      <c r="D404" t="s">
        <v>45</v>
      </c>
      <c r="E404" t="s">
        <v>100</v>
      </c>
      <c r="F404" t="s">
        <v>24</v>
      </c>
      <c r="G404" t="s">
        <v>25</v>
      </c>
      <c r="H404" t="s">
        <v>26</v>
      </c>
      <c r="I404" t="s">
        <v>25</v>
      </c>
      <c r="J404">
        <v>336</v>
      </c>
      <c r="K404">
        <v>0</v>
      </c>
      <c r="L404">
        <v>9</v>
      </c>
      <c r="M404">
        <v>9</v>
      </c>
      <c r="N404">
        <v>171</v>
      </c>
      <c r="O404">
        <v>118</v>
      </c>
      <c r="P404">
        <v>103</v>
      </c>
      <c r="Q404">
        <v>49</v>
      </c>
      <c r="R404">
        <v>23</v>
      </c>
      <c r="S404">
        <v>9</v>
      </c>
      <c r="T404">
        <v>2</v>
      </c>
      <c r="U404">
        <v>332</v>
      </c>
    </row>
    <row r="405" spans="1:21" x14ac:dyDescent="0.25">
      <c r="A405">
        <v>2025</v>
      </c>
      <c r="B405">
        <v>2</v>
      </c>
      <c r="C405" t="s">
        <v>101</v>
      </c>
      <c r="D405" t="s">
        <v>22</v>
      </c>
      <c r="E405" t="s">
        <v>32</v>
      </c>
      <c r="F405" t="s">
        <v>24</v>
      </c>
      <c r="G405" t="s">
        <v>25</v>
      </c>
      <c r="H405" t="s">
        <v>25</v>
      </c>
      <c r="I405" t="s">
        <v>25</v>
      </c>
      <c r="J405">
        <v>71</v>
      </c>
      <c r="K405">
        <v>0</v>
      </c>
      <c r="L405">
        <v>0</v>
      </c>
      <c r="M405">
        <v>0</v>
      </c>
      <c r="N405">
        <v>5</v>
      </c>
      <c r="O405">
        <v>4</v>
      </c>
      <c r="P405">
        <v>4</v>
      </c>
      <c r="Q405">
        <v>3</v>
      </c>
      <c r="R405">
        <v>2</v>
      </c>
      <c r="S405">
        <v>1</v>
      </c>
      <c r="T405">
        <v>0</v>
      </c>
      <c r="U405">
        <v>71</v>
      </c>
    </row>
    <row r="406" spans="1:21" x14ac:dyDescent="0.25">
      <c r="A406">
        <v>2025</v>
      </c>
      <c r="B406">
        <v>2</v>
      </c>
      <c r="C406" t="s">
        <v>101</v>
      </c>
      <c r="D406" t="s">
        <v>22</v>
      </c>
      <c r="E406" t="s">
        <v>34</v>
      </c>
      <c r="F406" t="s">
        <v>24</v>
      </c>
      <c r="G406" t="s">
        <v>25</v>
      </c>
      <c r="H406" t="s">
        <v>26</v>
      </c>
      <c r="I406" t="s">
        <v>26</v>
      </c>
      <c r="J406">
        <v>52</v>
      </c>
      <c r="K406">
        <v>0</v>
      </c>
      <c r="L406">
        <v>0</v>
      </c>
      <c r="M406">
        <v>0</v>
      </c>
      <c r="N406">
        <v>1</v>
      </c>
      <c r="O406">
        <v>1</v>
      </c>
      <c r="P406">
        <v>1</v>
      </c>
      <c r="Q406">
        <v>1</v>
      </c>
      <c r="R406">
        <v>1</v>
      </c>
      <c r="S406">
        <v>1</v>
      </c>
      <c r="T406">
        <v>0</v>
      </c>
      <c r="U406">
        <v>52</v>
      </c>
    </row>
    <row r="407" spans="1:21" x14ac:dyDescent="0.25">
      <c r="A407">
        <v>2025</v>
      </c>
      <c r="B407">
        <v>2</v>
      </c>
      <c r="C407" t="s">
        <v>101</v>
      </c>
      <c r="D407" t="s">
        <v>22</v>
      </c>
      <c r="E407" t="s">
        <v>41</v>
      </c>
      <c r="F407" t="s">
        <v>24</v>
      </c>
      <c r="G407" t="s">
        <v>26</v>
      </c>
      <c r="H407" t="s">
        <v>26</v>
      </c>
      <c r="I407" t="s">
        <v>25</v>
      </c>
      <c r="J407">
        <v>37</v>
      </c>
      <c r="K407">
        <v>0</v>
      </c>
      <c r="L407">
        <v>0</v>
      </c>
      <c r="M407">
        <v>0</v>
      </c>
      <c r="N407">
        <v>3</v>
      </c>
      <c r="O407">
        <v>3</v>
      </c>
      <c r="P407">
        <v>3</v>
      </c>
      <c r="Q407">
        <v>2</v>
      </c>
      <c r="R407">
        <v>1</v>
      </c>
      <c r="S407">
        <v>0</v>
      </c>
      <c r="T407">
        <v>0</v>
      </c>
      <c r="U407">
        <v>37</v>
      </c>
    </row>
    <row r="408" spans="1:21" x14ac:dyDescent="0.25">
      <c r="A408">
        <v>2025</v>
      </c>
      <c r="B408">
        <v>3</v>
      </c>
      <c r="C408" t="s">
        <v>21</v>
      </c>
      <c r="D408" t="s">
        <v>22</v>
      </c>
      <c r="E408" t="s">
        <v>23</v>
      </c>
      <c r="F408" t="s">
        <v>24</v>
      </c>
      <c r="G408" t="s">
        <v>25</v>
      </c>
      <c r="H408" t="s">
        <v>26</v>
      </c>
      <c r="I408" t="s">
        <v>25</v>
      </c>
      <c r="J408">
        <v>1032</v>
      </c>
      <c r="K408">
        <v>7</v>
      </c>
      <c r="L408">
        <v>5</v>
      </c>
      <c r="M408">
        <v>12</v>
      </c>
      <c r="N408">
        <v>157</v>
      </c>
      <c r="O408">
        <v>93</v>
      </c>
      <c r="P408">
        <v>77</v>
      </c>
      <c r="Q408">
        <v>42</v>
      </c>
      <c r="R408">
        <v>27</v>
      </c>
      <c r="S408">
        <v>9</v>
      </c>
      <c r="T408">
        <v>0</v>
      </c>
      <c r="U408">
        <v>1025</v>
      </c>
    </row>
    <row r="409" spans="1:21" x14ac:dyDescent="0.25">
      <c r="A409">
        <v>2025</v>
      </c>
      <c r="B409">
        <v>3</v>
      </c>
      <c r="C409" t="s">
        <v>21</v>
      </c>
      <c r="D409" t="s">
        <v>22</v>
      </c>
      <c r="E409" t="s">
        <v>27</v>
      </c>
      <c r="F409" t="s">
        <v>24</v>
      </c>
      <c r="G409" t="s">
        <v>26</v>
      </c>
      <c r="H409" t="s">
        <v>26</v>
      </c>
      <c r="I409" t="s">
        <v>25</v>
      </c>
      <c r="J409">
        <v>61</v>
      </c>
      <c r="K409">
        <v>0</v>
      </c>
      <c r="L409">
        <v>0</v>
      </c>
      <c r="M409">
        <v>0</v>
      </c>
      <c r="N409">
        <v>34</v>
      </c>
      <c r="O409">
        <v>7</v>
      </c>
      <c r="P409">
        <v>7</v>
      </c>
      <c r="Q409">
        <v>6</v>
      </c>
      <c r="R409">
        <v>5</v>
      </c>
      <c r="S409">
        <v>3</v>
      </c>
      <c r="T409">
        <v>1</v>
      </c>
      <c r="U409">
        <v>61</v>
      </c>
    </row>
    <row r="410" spans="1:21" x14ac:dyDescent="0.25">
      <c r="A410">
        <v>2025</v>
      </c>
      <c r="B410">
        <v>3</v>
      </c>
      <c r="C410" t="s">
        <v>21</v>
      </c>
      <c r="D410" t="s">
        <v>22</v>
      </c>
      <c r="E410" t="s">
        <v>27</v>
      </c>
      <c r="F410" t="s">
        <v>29</v>
      </c>
      <c r="G410" t="s">
        <v>26</v>
      </c>
      <c r="H410" t="s">
        <v>26</v>
      </c>
      <c r="I410" t="s">
        <v>25</v>
      </c>
      <c r="J410">
        <v>3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</row>
    <row r="411" spans="1:21" x14ac:dyDescent="0.25">
      <c r="A411">
        <v>2025</v>
      </c>
      <c r="B411">
        <v>3</v>
      </c>
      <c r="C411" t="s">
        <v>30</v>
      </c>
      <c r="D411" t="s">
        <v>22</v>
      </c>
      <c r="E411" t="s">
        <v>31</v>
      </c>
      <c r="F411" t="s">
        <v>24</v>
      </c>
      <c r="G411" t="s">
        <v>25</v>
      </c>
      <c r="H411" t="s">
        <v>25</v>
      </c>
      <c r="I411" t="s">
        <v>25</v>
      </c>
      <c r="J411">
        <v>62</v>
      </c>
      <c r="K411">
        <v>0</v>
      </c>
      <c r="L411">
        <v>0</v>
      </c>
      <c r="M411">
        <v>0</v>
      </c>
      <c r="N411">
        <v>1</v>
      </c>
      <c r="O411">
        <v>1</v>
      </c>
      <c r="P411">
        <v>1</v>
      </c>
      <c r="Q411">
        <v>1</v>
      </c>
      <c r="R411">
        <v>0</v>
      </c>
      <c r="S411">
        <v>0</v>
      </c>
      <c r="T411">
        <v>0</v>
      </c>
      <c r="U411">
        <v>62</v>
      </c>
    </row>
    <row r="412" spans="1:21" x14ac:dyDescent="0.25">
      <c r="A412">
        <v>2025</v>
      </c>
      <c r="B412">
        <v>3</v>
      </c>
      <c r="C412" t="s">
        <v>33</v>
      </c>
      <c r="D412" t="s">
        <v>22</v>
      </c>
      <c r="E412" t="s">
        <v>32</v>
      </c>
      <c r="F412" t="s">
        <v>24</v>
      </c>
      <c r="G412" t="s">
        <v>25</v>
      </c>
      <c r="H412" t="s">
        <v>25</v>
      </c>
      <c r="I412" t="s">
        <v>25</v>
      </c>
      <c r="J412">
        <v>982</v>
      </c>
      <c r="K412">
        <v>6</v>
      </c>
      <c r="L412">
        <v>0</v>
      </c>
      <c r="M412">
        <v>6</v>
      </c>
      <c r="N412">
        <v>261</v>
      </c>
      <c r="O412">
        <v>206</v>
      </c>
      <c r="P412">
        <v>188</v>
      </c>
      <c r="Q412">
        <v>130</v>
      </c>
      <c r="R412">
        <v>97</v>
      </c>
      <c r="S412">
        <v>42</v>
      </c>
      <c r="T412">
        <v>18</v>
      </c>
      <c r="U412">
        <v>976</v>
      </c>
    </row>
    <row r="413" spans="1:21" x14ac:dyDescent="0.25">
      <c r="A413">
        <v>2025</v>
      </c>
      <c r="B413">
        <v>3</v>
      </c>
      <c r="C413" t="s">
        <v>33</v>
      </c>
      <c r="D413" t="s">
        <v>22</v>
      </c>
      <c r="E413" t="s">
        <v>34</v>
      </c>
      <c r="F413" t="s">
        <v>24</v>
      </c>
      <c r="G413" t="s">
        <v>25</v>
      </c>
      <c r="H413" t="s">
        <v>26</v>
      </c>
      <c r="I413" t="s">
        <v>26</v>
      </c>
      <c r="J413">
        <v>184</v>
      </c>
      <c r="K413">
        <v>3</v>
      </c>
      <c r="L413">
        <v>0</v>
      </c>
      <c r="M413">
        <v>3</v>
      </c>
      <c r="N413">
        <v>81</v>
      </c>
      <c r="O413">
        <v>73</v>
      </c>
      <c r="P413">
        <v>69</v>
      </c>
      <c r="Q413">
        <v>58</v>
      </c>
      <c r="R413">
        <v>48</v>
      </c>
      <c r="S413">
        <v>28</v>
      </c>
      <c r="T413">
        <v>12</v>
      </c>
      <c r="U413">
        <v>181</v>
      </c>
    </row>
    <row r="414" spans="1:21" x14ac:dyDescent="0.25">
      <c r="A414">
        <v>2025</v>
      </c>
      <c r="B414">
        <v>3</v>
      </c>
      <c r="C414" t="s">
        <v>33</v>
      </c>
      <c r="D414" t="s">
        <v>22</v>
      </c>
      <c r="E414" t="s">
        <v>23</v>
      </c>
      <c r="F414" t="s">
        <v>24</v>
      </c>
      <c r="G414" t="s">
        <v>25</v>
      </c>
      <c r="H414" t="s">
        <v>25</v>
      </c>
      <c r="I414" t="s">
        <v>25</v>
      </c>
      <c r="J414">
        <v>248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248</v>
      </c>
    </row>
    <row r="415" spans="1:21" x14ac:dyDescent="0.25">
      <c r="A415">
        <v>2025</v>
      </c>
      <c r="B415">
        <v>3</v>
      </c>
      <c r="C415" t="s">
        <v>33</v>
      </c>
      <c r="D415" t="s">
        <v>22</v>
      </c>
      <c r="E415" t="s">
        <v>23</v>
      </c>
      <c r="F415" t="s">
        <v>24</v>
      </c>
      <c r="G415" t="s">
        <v>25</v>
      </c>
      <c r="H415" t="s">
        <v>26</v>
      </c>
      <c r="I415" t="s">
        <v>25</v>
      </c>
      <c r="J415">
        <v>62</v>
      </c>
      <c r="K415">
        <v>0</v>
      </c>
      <c r="L415">
        <v>0</v>
      </c>
      <c r="M415">
        <v>0</v>
      </c>
      <c r="N415">
        <v>7</v>
      </c>
      <c r="O415">
        <v>7</v>
      </c>
      <c r="P415">
        <v>6</v>
      </c>
      <c r="Q415">
        <v>6</v>
      </c>
      <c r="R415">
        <v>5</v>
      </c>
      <c r="S415">
        <v>3</v>
      </c>
      <c r="T415">
        <v>1</v>
      </c>
      <c r="U415">
        <v>62</v>
      </c>
    </row>
    <row r="416" spans="1:21" x14ac:dyDescent="0.25">
      <c r="A416">
        <v>2025</v>
      </c>
      <c r="B416">
        <v>3</v>
      </c>
      <c r="C416" t="s">
        <v>33</v>
      </c>
      <c r="D416" t="s">
        <v>22</v>
      </c>
      <c r="E416" t="s">
        <v>35</v>
      </c>
      <c r="F416" t="s">
        <v>24</v>
      </c>
      <c r="G416" t="s">
        <v>25</v>
      </c>
      <c r="H416" t="s">
        <v>26</v>
      </c>
      <c r="I416" t="s">
        <v>26</v>
      </c>
      <c r="J416">
        <v>62</v>
      </c>
      <c r="K416">
        <v>0</v>
      </c>
      <c r="L416">
        <v>0</v>
      </c>
      <c r="M416">
        <v>0</v>
      </c>
      <c r="N416">
        <v>42</v>
      </c>
      <c r="O416">
        <v>38</v>
      </c>
      <c r="P416">
        <v>35</v>
      </c>
      <c r="Q416">
        <v>28</v>
      </c>
      <c r="R416">
        <v>24</v>
      </c>
      <c r="S416">
        <v>14</v>
      </c>
      <c r="T416">
        <v>5</v>
      </c>
      <c r="U416">
        <v>62</v>
      </c>
    </row>
    <row r="417" spans="1:21" x14ac:dyDescent="0.25">
      <c r="A417">
        <v>2025</v>
      </c>
      <c r="B417">
        <v>3</v>
      </c>
      <c r="C417" t="s">
        <v>33</v>
      </c>
      <c r="D417" t="s">
        <v>22</v>
      </c>
      <c r="E417" t="s">
        <v>36</v>
      </c>
      <c r="F417" t="s">
        <v>24</v>
      </c>
      <c r="G417" t="s">
        <v>25</v>
      </c>
      <c r="H417" t="s">
        <v>26</v>
      </c>
      <c r="I417" t="s">
        <v>25</v>
      </c>
      <c r="J417">
        <v>496</v>
      </c>
      <c r="K417">
        <v>0</v>
      </c>
      <c r="L417">
        <v>0</v>
      </c>
      <c r="M417">
        <v>0</v>
      </c>
      <c r="N417">
        <v>49</v>
      </c>
      <c r="O417">
        <v>37</v>
      </c>
      <c r="P417">
        <v>32</v>
      </c>
      <c r="Q417">
        <v>20</v>
      </c>
      <c r="R417">
        <v>10</v>
      </c>
      <c r="S417">
        <v>3</v>
      </c>
      <c r="T417">
        <v>1</v>
      </c>
      <c r="U417">
        <v>496</v>
      </c>
    </row>
    <row r="418" spans="1:21" x14ac:dyDescent="0.25">
      <c r="A418">
        <v>2025</v>
      </c>
      <c r="B418">
        <v>3</v>
      </c>
      <c r="C418" t="s">
        <v>37</v>
      </c>
      <c r="D418" t="s">
        <v>22</v>
      </c>
      <c r="E418" t="s">
        <v>32</v>
      </c>
      <c r="F418" t="s">
        <v>28</v>
      </c>
      <c r="G418" t="s">
        <v>25</v>
      </c>
      <c r="H418" t="s">
        <v>26</v>
      </c>
      <c r="I418" t="s">
        <v>25</v>
      </c>
      <c r="J418">
        <v>2</v>
      </c>
      <c r="K418">
        <v>0</v>
      </c>
      <c r="L418">
        <v>0</v>
      </c>
      <c r="M418">
        <v>0</v>
      </c>
      <c r="N418">
        <v>1</v>
      </c>
      <c r="O418">
        <v>1</v>
      </c>
      <c r="P418">
        <v>1</v>
      </c>
      <c r="Q418">
        <v>1</v>
      </c>
      <c r="R418">
        <v>1</v>
      </c>
      <c r="S418">
        <v>1</v>
      </c>
      <c r="T418">
        <v>0</v>
      </c>
      <c r="U418">
        <v>2</v>
      </c>
    </row>
    <row r="419" spans="1:21" x14ac:dyDescent="0.25">
      <c r="A419">
        <v>2025</v>
      </c>
      <c r="B419">
        <v>3</v>
      </c>
      <c r="C419" t="s">
        <v>37</v>
      </c>
      <c r="D419" t="s">
        <v>22</v>
      </c>
      <c r="E419" t="s">
        <v>32</v>
      </c>
      <c r="F419" t="s">
        <v>24</v>
      </c>
      <c r="G419" t="s">
        <v>25</v>
      </c>
      <c r="H419" t="s">
        <v>26</v>
      </c>
      <c r="I419" t="s">
        <v>25</v>
      </c>
      <c r="J419">
        <v>1876</v>
      </c>
      <c r="K419">
        <v>15</v>
      </c>
      <c r="L419">
        <v>72</v>
      </c>
      <c r="M419">
        <v>87</v>
      </c>
      <c r="N419">
        <v>987</v>
      </c>
      <c r="O419">
        <v>818</v>
      </c>
      <c r="P419">
        <v>761</v>
      </c>
      <c r="Q419">
        <v>608</v>
      </c>
      <c r="R419">
        <v>460</v>
      </c>
      <c r="S419">
        <v>241</v>
      </c>
      <c r="T419">
        <v>83</v>
      </c>
      <c r="U419">
        <v>1830</v>
      </c>
    </row>
    <row r="420" spans="1:21" x14ac:dyDescent="0.25">
      <c r="A420">
        <v>2025</v>
      </c>
      <c r="B420">
        <v>3</v>
      </c>
      <c r="C420" t="s">
        <v>37</v>
      </c>
      <c r="D420" t="s">
        <v>22</v>
      </c>
      <c r="E420" t="s">
        <v>38</v>
      </c>
      <c r="F420" t="s">
        <v>24</v>
      </c>
      <c r="G420" t="s">
        <v>25</v>
      </c>
      <c r="H420" t="s">
        <v>26</v>
      </c>
      <c r="I420" t="s">
        <v>25</v>
      </c>
      <c r="J420">
        <v>55</v>
      </c>
      <c r="K420">
        <v>5</v>
      </c>
      <c r="L420">
        <v>0</v>
      </c>
      <c r="M420">
        <v>5</v>
      </c>
      <c r="N420">
        <v>35</v>
      </c>
      <c r="O420">
        <v>24</v>
      </c>
      <c r="P420">
        <v>18</v>
      </c>
      <c r="Q420">
        <v>9</v>
      </c>
      <c r="R420">
        <v>4</v>
      </c>
      <c r="S420">
        <v>0</v>
      </c>
      <c r="T420">
        <v>0</v>
      </c>
      <c r="U420">
        <v>50</v>
      </c>
    </row>
    <row r="421" spans="1:21" x14ac:dyDescent="0.25">
      <c r="A421">
        <v>2025</v>
      </c>
      <c r="B421">
        <v>3</v>
      </c>
      <c r="C421" t="s">
        <v>37</v>
      </c>
      <c r="D421" t="s">
        <v>22</v>
      </c>
      <c r="E421" t="s">
        <v>34</v>
      </c>
      <c r="F421" t="s">
        <v>24</v>
      </c>
      <c r="G421" t="s">
        <v>25</v>
      </c>
      <c r="H421" t="s">
        <v>26</v>
      </c>
      <c r="I421" t="s">
        <v>26</v>
      </c>
      <c r="J421">
        <v>365</v>
      </c>
      <c r="K421">
        <v>2</v>
      </c>
      <c r="L421">
        <v>5</v>
      </c>
      <c r="M421">
        <v>7</v>
      </c>
      <c r="N421">
        <v>149</v>
      </c>
      <c r="O421">
        <v>122</v>
      </c>
      <c r="P421">
        <v>117</v>
      </c>
      <c r="Q421">
        <v>90</v>
      </c>
      <c r="R421">
        <v>73</v>
      </c>
      <c r="S421">
        <v>52</v>
      </c>
      <c r="T421">
        <v>34</v>
      </c>
      <c r="U421">
        <v>362</v>
      </c>
    </row>
    <row r="422" spans="1:21" x14ac:dyDescent="0.25">
      <c r="A422">
        <v>2025</v>
      </c>
      <c r="B422">
        <v>3</v>
      </c>
      <c r="C422" t="s">
        <v>37</v>
      </c>
      <c r="D422" t="s">
        <v>22</v>
      </c>
      <c r="E422" t="s">
        <v>23</v>
      </c>
      <c r="F422" t="s">
        <v>28</v>
      </c>
      <c r="G422" t="s">
        <v>25</v>
      </c>
      <c r="H422" t="s">
        <v>26</v>
      </c>
      <c r="I422" t="s">
        <v>25</v>
      </c>
      <c r="J422">
        <v>4237</v>
      </c>
      <c r="K422">
        <v>146</v>
      </c>
      <c r="L422">
        <v>335</v>
      </c>
      <c r="M422">
        <v>481</v>
      </c>
      <c r="N422">
        <v>2181</v>
      </c>
      <c r="O422">
        <v>1790</v>
      </c>
      <c r="P422">
        <v>1624</v>
      </c>
      <c r="Q422">
        <v>1194</v>
      </c>
      <c r="R422">
        <v>861</v>
      </c>
      <c r="S422">
        <v>348</v>
      </c>
      <c r="T422">
        <v>88</v>
      </c>
      <c r="U422">
        <v>3971</v>
      </c>
    </row>
    <row r="423" spans="1:21" x14ac:dyDescent="0.25">
      <c r="A423">
        <v>2025</v>
      </c>
      <c r="B423">
        <v>3</v>
      </c>
      <c r="C423" t="s">
        <v>37</v>
      </c>
      <c r="D423" t="s">
        <v>22</v>
      </c>
      <c r="E423" t="s">
        <v>23</v>
      </c>
      <c r="F423" t="s">
        <v>24</v>
      </c>
      <c r="G423" t="s">
        <v>25</v>
      </c>
      <c r="H423" t="s">
        <v>26</v>
      </c>
      <c r="I423" t="s">
        <v>25</v>
      </c>
      <c r="J423">
        <v>2061</v>
      </c>
      <c r="K423">
        <v>34</v>
      </c>
      <c r="L423">
        <v>88</v>
      </c>
      <c r="M423">
        <v>122</v>
      </c>
      <c r="N423">
        <v>805</v>
      </c>
      <c r="O423">
        <v>648</v>
      </c>
      <c r="P423">
        <v>600</v>
      </c>
      <c r="Q423">
        <v>457</v>
      </c>
      <c r="R423">
        <v>341</v>
      </c>
      <c r="S423">
        <v>158</v>
      </c>
      <c r="T423">
        <v>67</v>
      </c>
      <c r="U423">
        <v>1999</v>
      </c>
    </row>
    <row r="424" spans="1:21" x14ac:dyDescent="0.25">
      <c r="A424">
        <v>2025</v>
      </c>
      <c r="B424">
        <v>3</v>
      </c>
      <c r="C424" t="s">
        <v>37</v>
      </c>
      <c r="D424" t="s">
        <v>22</v>
      </c>
      <c r="E424" t="s">
        <v>39</v>
      </c>
      <c r="F424" t="s">
        <v>28</v>
      </c>
      <c r="G424" t="s">
        <v>26</v>
      </c>
      <c r="H424" t="s">
        <v>26</v>
      </c>
      <c r="I424" t="s">
        <v>25</v>
      </c>
      <c r="J424">
        <v>15331</v>
      </c>
      <c r="K424">
        <v>734</v>
      </c>
      <c r="L424">
        <v>1251</v>
      </c>
      <c r="M424">
        <v>1985</v>
      </c>
      <c r="N424">
        <v>8244</v>
      </c>
      <c r="O424">
        <v>7089</v>
      </c>
      <c r="P424">
        <v>6599</v>
      </c>
      <c r="Q424">
        <v>5086</v>
      </c>
      <c r="R424">
        <v>3875</v>
      </c>
      <c r="S424">
        <v>1813</v>
      </c>
      <c r="T424">
        <v>482</v>
      </c>
      <c r="U424">
        <v>14134</v>
      </c>
    </row>
    <row r="425" spans="1:21" x14ac:dyDescent="0.25">
      <c r="A425">
        <v>2025</v>
      </c>
      <c r="B425">
        <v>3</v>
      </c>
      <c r="C425" t="s">
        <v>37</v>
      </c>
      <c r="D425" t="s">
        <v>22</v>
      </c>
      <c r="E425" t="s">
        <v>39</v>
      </c>
      <c r="F425" t="s">
        <v>24</v>
      </c>
      <c r="G425" t="s">
        <v>26</v>
      </c>
      <c r="H425" t="s">
        <v>26</v>
      </c>
      <c r="I425" t="s">
        <v>25</v>
      </c>
      <c r="J425">
        <v>3484</v>
      </c>
      <c r="K425">
        <v>48</v>
      </c>
      <c r="L425">
        <v>252</v>
      </c>
      <c r="M425">
        <v>300</v>
      </c>
      <c r="N425">
        <v>2025</v>
      </c>
      <c r="O425">
        <v>1642</v>
      </c>
      <c r="P425">
        <v>1539</v>
      </c>
      <c r="Q425">
        <v>1149</v>
      </c>
      <c r="R425">
        <v>890</v>
      </c>
      <c r="S425">
        <v>431</v>
      </c>
      <c r="T425">
        <v>138</v>
      </c>
      <c r="U425">
        <v>3340</v>
      </c>
    </row>
    <row r="426" spans="1:21" x14ac:dyDescent="0.25">
      <c r="A426">
        <v>2025</v>
      </c>
      <c r="B426">
        <v>3</v>
      </c>
      <c r="C426" t="s">
        <v>37</v>
      </c>
      <c r="D426" t="s">
        <v>22</v>
      </c>
      <c r="E426" t="s">
        <v>39</v>
      </c>
      <c r="F426" t="s">
        <v>29</v>
      </c>
      <c r="G426" t="s">
        <v>26</v>
      </c>
      <c r="H426" t="s">
        <v>26</v>
      </c>
      <c r="I426" t="s">
        <v>25</v>
      </c>
      <c r="J426">
        <v>7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</row>
    <row r="427" spans="1:21" x14ac:dyDescent="0.25">
      <c r="A427">
        <v>2025</v>
      </c>
      <c r="B427">
        <v>3</v>
      </c>
      <c r="C427" t="s">
        <v>37</v>
      </c>
      <c r="D427" t="s">
        <v>22</v>
      </c>
      <c r="E427" t="s">
        <v>40</v>
      </c>
      <c r="F427" t="s">
        <v>24</v>
      </c>
      <c r="G427" t="s">
        <v>25</v>
      </c>
      <c r="H427" t="s">
        <v>26</v>
      </c>
      <c r="I427" t="s">
        <v>25</v>
      </c>
      <c r="J427">
        <v>502</v>
      </c>
      <c r="K427">
        <v>9</v>
      </c>
      <c r="L427">
        <v>0</v>
      </c>
      <c r="M427">
        <v>9</v>
      </c>
      <c r="N427">
        <v>24</v>
      </c>
      <c r="O427">
        <v>8</v>
      </c>
      <c r="P427">
        <v>7</v>
      </c>
      <c r="Q427">
        <v>2</v>
      </c>
      <c r="R427">
        <v>0</v>
      </c>
      <c r="S427">
        <v>0</v>
      </c>
      <c r="T427">
        <v>0</v>
      </c>
      <c r="U427">
        <v>493</v>
      </c>
    </row>
    <row r="428" spans="1:21" x14ac:dyDescent="0.25">
      <c r="A428">
        <v>2025</v>
      </c>
      <c r="B428">
        <v>3</v>
      </c>
      <c r="C428" t="s">
        <v>37</v>
      </c>
      <c r="D428" t="s">
        <v>22</v>
      </c>
      <c r="E428" t="s">
        <v>35</v>
      </c>
      <c r="F428" t="s">
        <v>28</v>
      </c>
      <c r="G428" t="s">
        <v>25</v>
      </c>
      <c r="H428" t="s">
        <v>26</v>
      </c>
      <c r="I428" t="s">
        <v>26</v>
      </c>
      <c r="J428">
        <v>9</v>
      </c>
      <c r="K428">
        <v>1</v>
      </c>
      <c r="L428">
        <v>2</v>
      </c>
      <c r="M428">
        <v>3</v>
      </c>
      <c r="N428">
        <v>5</v>
      </c>
      <c r="O428">
        <v>4</v>
      </c>
      <c r="P428">
        <v>4</v>
      </c>
      <c r="Q428">
        <v>4</v>
      </c>
      <c r="R428">
        <v>3</v>
      </c>
      <c r="S428">
        <v>2</v>
      </c>
      <c r="T428">
        <v>1</v>
      </c>
      <c r="U428">
        <v>7</v>
      </c>
    </row>
    <row r="429" spans="1:21" x14ac:dyDescent="0.25">
      <c r="A429">
        <v>2025</v>
      </c>
      <c r="B429">
        <v>3</v>
      </c>
      <c r="C429" t="s">
        <v>37</v>
      </c>
      <c r="D429" t="s">
        <v>22</v>
      </c>
      <c r="E429" t="s">
        <v>35</v>
      </c>
      <c r="F429" t="s">
        <v>24</v>
      </c>
      <c r="G429" t="s">
        <v>25</v>
      </c>
      <c r="H429" t="s">
        <v>26</v>
      </c>
      <c r="I429" t="s">
        <v>26</v>
      </c>
      <c r="J429">
        <v>586</v>
      </c>
      <c r="K429">
        <v>13</v>
      </c>
      <c r="L429">
        <v>56</v>
      </c>
      <c r="M429">
        <v>69</v>
      </c>
      <c r="N429">
        <v>361</v>
      </c>
      <c r="O429">
        <v>315</v>
      </c>
      <c r="P429">
        <v>304</v>
      </c>
      <c r="Q429">
        <v>270</v>
      </c>
      <c r="R429">
        <v>242</v>
      </c>
      <c r="S429">
        <v>180</v>
      </c>
      <c r="T429">
        <v>112</v>
      </c>
      <c r="U429">
        <v>560</v>
      </c>
    </row>
    <row r="430" spans="1:21" x14ac:dyDescent="0.25">
      <c r="A430">
        <v>2025</v>
      </c>
      <c r="B430">
        <v>3</v>
      </c>
      <c r="C430" t="s">
        <v>37</v>
      </c>
      <c r="D430" t="s">
        <v>22</v>
      </c>
      <c r="E430" t="s">
        <v>36</v>
      </c>
      <c r="F430" t="s">
        <v>24</v>
      </c>
      <c r="G430" t="s">
        <v>25</v>
      </c>
      <c r="H430" t="s">
        <v>26</v>
      </c>
      <c r="I430" t="s">
        <v>25</v>
      </c>
      <c r="J430">
        <v>615</v>
      </c>
      <c r="K430">
        <v>15</v>
      </c>
      <c r="L430">
        <v>10</v>
      </c>
      <c r="M430">
        <v>25</v>
      </c>
      <c r="N430">
        <v>281</v>
      </c>
      <c r="O430">
        <v>223</v>
      </c>
      <c r="P430">
        <v>204</v>
      </c>
      <c r="Q430">
        <v>150</v>
      </c>
      <c r="R430">
        <v>96</v>
      </c>
      <c r="S430">
        <v>38</v>
      </c>
      <c r="T430">
        <v>11</v>
      </c>
      <c r="U430">
        <v>595</v>
      </c>
    </row>
    <row r="431" spans="1:21" x14ac:dyDescent="0.25">
      <c r="A431">
        <v>2025</v>
      </c>
      <c r="B431">
        <v>3</v>
      </c>
      <c r="C431" t="s">
        <v>37</v>
      </c>
      <c r="D431" t="s">
        <v>22</v>
      </c>
      <c r="E431" t="s">
        <v>41</v>
      </c>
      <c r="F431" t="s">
        <v>24</v>
      </c>
      <c r="G431" t="s">
        <v>26</v>
      </c>
      <c r="H431" t="s">
        <v>26</v>
      </c>
      <c r="I431" t="s">
        <v>25</v>
      </c>
      <c r="J431">
        <v>395</v>
      </c>
      <c r="K431">
        <v>10</v>
      </c>
      <c r="L431">
        <v>2</v>
      </c>
      <c r="M431">
        <v>12</v>
      </c>
      <c r="N431">
        <v>254</v>
      </c>
      <c r="O431">
        <v>206</v>
      </c>
      <c r="P431">
        <v>164</v>
      </c>
      <c r="Q431">
        <v>132</v>
      </c>
      <c r="R431">
        <v>81</v>
      </c>
      <c r="S431">
        <v>42</v>
      </c>
      <c r="T431">
        <v>7</v>
      </c>
      <c r="U431">
        <v>385</v>
      </c>
    </row>
    <row r="432" spans="1:21" x14ac:dyDescent="0.25">
      <c r="A432">
        <v>2025</v>
      </c>
      <c r="B432">
        <v>3</v>
      </c>
      <c r="C432" t="s">
        <v>37</v>
      </c>
      <c r="D432" t="s">
        <v>22</v>
      </c>
      <c r="E432" t="s">
        <v>42</v>
      </c>
      <c r="F432" t="s">
        <v>24</v>
      </c>
      <c r="G432" t="s">
        <v>26</v>
      </c>
      <c r="H432" t="s">
        <v>26</v>
      </c>
      <c r="I432" t="s">
        <v>25</v>
      </c>
      <c r="J432">
        <v>210</v>
      </c>
      <c r="K432">
        <v>2</v>
      </c>
      <c r="L432">
        <v>9</v>
      </c>
      <c r="M432">
        <v>11</v>
      </c>
      <c r="N432">
        <v>99</v>
      </c>
      <c r="O432">
        <v>70</v>
      </c>
      <c r="P432">
        <v>65</v>
      </c>
      <c r="Q432">
        <v>29</v>
      </c>
      <c r="R432">
        <v>22</v>
      </c>
      <c r="S432">
        <v>12</v>
      </c>
      <c r="T432">
        <v>4</v>
      </c>
      <c r="U432">
        <v>203</v>
      </c>
    </row>
    <row r="433" spans="1:21" x14ac:dyDescent="0.25">
      <c r="A433">
        <v>2025</v>
      </c>
      <c r="B433">
        <v>3</v>
      </c>
      <c r="C433" t="s">
        <v>37</v>
      </c>
      <c r="D433" t="s">
        <v>22</v>
      </c>
      <c r="E433" t="s">
        <v>27</v>
      </c>
      <c r="F433" t="s">
        <v>24</v>
      </c>
      <c r="G433" t="s">
        <v>26</v>
      </c>
      <c r="H433" t="s">
        <v>26</v>
      </c>
      <c r="I433" t="s">
        <v>25</v>
      </c>
      <c r="J433">
        <v>5</v>
      </c>
      <c r="K433">
        <v>3</v>
      </c>
      <c r="L433">
        <v>0</v>
      </c>
      <c r="M433">
        <v>3</v>
      </c>
      <c r="N433">
        <v>1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2</v>
      </c>
    </row>
    <row r="434" spans="1:21" x14ac:dyDescent="0.25">
      <c r="A434">
        <v>2025</v>
      </c>
      <c r="B434">
        <v>3</v>
      </c>
      <c r="C434" t="s">
        <v>43</v>
      </c>
      <c r="D434" t="s">
        <v>22</v>
      </c>
      <c r="E434" t="s">
        <v>32</v>
      </c>
      <c r="F434" t="s">
        <v>24</v>
      </c>
      <c r="G434" t="s">
        <v>25</v>
      </c>
      <c r="H434" t="s">
        <v>25</v>
      </c>
      <c r="I434" t="s">
        <v>25</v>
      </c>
      <c r="J434">
        <v>252</v>
      </c>
      <c r="K434">
        <v>0</v>
      </c>
      <c r="L434">
        <v>0</v>
      </c>
      <c r="M434">
        <v>0</v>
      </c>
      <c r="N434">
        <v>93</v>
      </c>
      <c r="O434">
        <v>76</v>
      </c>
      <c r="P434">
        <v>70</v>
      </c>
      <c r="Q434">
        <v>54</v>
      </c>
      <c r="R434">
        <v>41</v>
      </c>
      <c r="S434">
        <v>19</v>
      </c>
      <c r="T434">
        <v>6</v>
      </c>
      <c r="U434">
        <v>252</v>
      </c>
    </row>
    <row r="435" spans="1:21" x14ac:dyDescent="0.25">
      <c r="A435">
        <v>2025</v>
      </c>
      <c r="B435">
        <v>3</v>
      </c>
      <c r="C435" t="s">
        <v>43</v>
      </c>
      <c r="D435" t="s">
        <v>22</v>
      </c>
      <c r="E435" t="s">
        <v>34</v>
      </c>
      <c r="F435" t="s">
        <v>24</v>
      </c>
      <c r="G435" t="s">
        <v>25</v>
      </c>
      <c r="H435" t="s">
        <v>26</v>
      </c>
      <c r="I435" t="s">
        <v>26</v>
      </c>
      <c r="J435">
        <v>56</v>
      </c>
      <c r="K435">
        <v>0</v>
      </c>
      <c r="L435">
        <v>0</v>
      </c>
      <c r="M435">
        <v>0</v>
      </c>
      <c r="N435">
        <v>22</v>
      </c>
      <c r="O435">
        <v>22</v>
      </c>
      <c r="P435">
        <v>21</v>
      </c>
      <c r="Q435">
        <v>20</v>
      </c>
      <c r="R435">
        <v>14</v>
      </c>
      <c r="S435">
        <v>10</v>
      </c>
      <c r="T435">
        <v>3</v>
      </c>
      <c r="U435">
        <v>56</v>
      </c>
    </row>
    <row r="436" spans="1:21" x14ac:dyDescent="0.25">
      <c r="A436">
        <v>2025</v>
      </c>
      <c r="B436">
        <v>3</v>
      </c>
      <c r="C436" t="s">
        <v>43</v>
      </c>
      <c r="D436" t="s">
        <v>22</v>
      </c>
      <c r="E436" t="s">
        <v>23</v>
      </c>
      <c r="F436" t="s">
        <v>24</v>
      </c>
      <c r="G436" t="s">
        <v>25</v>
      </c>
      <c r="H436" t="s">
        <v>26</v>
      </c>
      <c r="I436" t="s">
        <v>25</v>
      </c>
      <c r="J436">
        <v>540</v>
      </c>
      <c r="K436">
        <v>0</v>
      </c>
      <c r="L436">
        <v>0</v>
      </c>
      <c r="M436">
        <v>0</v>
      </c>
      <c r="N436">
        <v>85</v>
      </c>
      <c r="O436">
        <v>51</v>
      </c>
      <c r="P436">
        <v>43</v>
      </c>
      <c r="Q436">
        <v>24</v>
      </c>
      <c r="R436">
        <v>13</v>
      </c>
      <c r="S436">
        <v>6</v>
      </c>
      <c r="T436">
        <v>1</v>
      </c>
      <c r="U436">
        <v>540</v>
      </c>
    </row>
    <row r="437" spans="1:21" x14ac:dyDescent="0.25">
      <c r="A437">
        <v>2025</v>
      </c>
      <c r="B437">
        <v>3</v>
      </c>
      <c r="C437" t="s">
        <v>44</v>
      </c>
      <c r="D437" t="s">
        <v>45</v>
      </c>
      <c r="E437" t="s">
        <v>46</v>
      </c>
      <c r="F437" t="s">
        <v>28</v>
      </c>
      <c r="G437" t="s">
        <v>25</v>
      </c>
      <c r="H437" t="s">
        <v>26</v>
      </c>
      <c r="I437" t="s">
        <v>26</v>
      </c>
      <c r="J437">
        <v>1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1</v>
      </c>
    </row>
    <row r="438" spans="1:21" x14ac:dyDescent="0.25">
      <c r="A438">
        <v>2025</v>
      </c>
      <c r="B438">
        <v>3</v>
      </c>
      <c r="C438" t="s">
        <v>44</v>
      </c>
      <c r="D438" t="s">
        <v>45</v>
      </c>
      <c r="E438" t="s">
        <v>46</v>
      </c>
      <c r="F438" t="s">
        <v>24</v>
      </c>
      <c r="G438" t="s">
        <v>25</v>
      </c>
      <c r="H438" t="s">
        <v>26</v>
      </c>
      <c r="I438" t="s">
        <v>26</v>
      </c>
      <c r="J438">
        <v>30</v>
      </c>
      <c r="K438">
        <v>2</v>
      </c>
      <c r="L438">
        <v>1</v>
      </c>
      <c r="M438">
        <v>3</v>
      </c>
      <c r="N438">
        <v>11</v>
      </c>
      <c r="O438">
        <v>10</v>
      </c>
      <c r="P438">
        <v>8</v>
      </c>
      <c r="Q438">
        <v>8</v>
      </c>
      <c r="R438">
        <v>6</v>
      </c>
      <c r="S438">
        <v>5</v>
      </c>
      <c r="T438">
        <v>0</v>
      </c>
      <c r="U438">
        <v>28</v>
      </c>
    </row>
    <row r="439" spans="1:21" x14ac:dyDescent="0.25">
      <c r="A439">
        <v>2025</v>
      </c>
      <c r="B439">
        <v>3</v>
      </c>
      <c r="C439" t="s">
        <v>47</v>
      </c>
      <c r="D439" t="s">
        <v>45</v>
      </c>
      <c r="E439" t="s">
        <v>48</v>
      </c>
      <c r="F439" t="s">
        <v>24</v>
      </c>
      <c r="G439" t="s">
        <v>26</v>
      </c>
      <c r="H439" t="s">
        <v>26</v>
      </c>
      <c r="I439" t="s">
        <v>25</v>
      </c>
      <c r="J439">
        <v>3654</v>
      </c>
      <c r="K439">
        <v>119</v>
      </c>
      <c r="L439">
        <v>392</v>
      </c>
      <c r="M439">
        <v>511</v>
      </c>
      <c r="N439">
        <v>659</v>
      </c>
      <c r="O439">
        <v>649</v>
      </c>
      <c r="P439">
        <v>641</v>
      </c>
      <c r="Q439">
        <v>444</v>
      </c>
      <c r="R439">
        <v>327</v>
      </c>
      <c r="S439">
        <v>117</v>
      </c>
      <c r="T439">
        <v>33</v>
      </c>
      <c r="U439">
        <v>3379</v>
      </c>
    </row>
    <row r="440" spans="1:21" x14ac:dyDescent="0.25">
      <c r="A440">
        <v>2025</v>
      </c>
      <c r="B440">
        <v>3</v>
      </c>
      <c r="C440" t="s">
        <v>47</v>
      </c>
      <c r="D440" t="s">
        <v>45</v>
      </c>
      <c r="E440" t="s">
        <v>48</v>
      </c>
      <c r="F440" t="s">
        <v>29</v>
      </c>
      <c r="G440" t="s">
        <v>26</v>
      </c>
      <c r="H440" t="s">
        <v>26</v>
      </c>
      <c r="I440" t="s">
        <v>25</v>
      </c>
      <c r="J440">
        <v>4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</row>
    <row r="441" spans="1:21" x14ac:dyDescent="0.25">
      <c r="A441">
        <v>2025</v>
      </c>
      <c r="B441">
        <v>3</v>
      </c>
      <c r="C441" t="s">
        <v>49</v>
      </c>
      <c r="D441" t="s">
        <v>45</v>
      </c>
      <c r="E441" t="s">
        <v>50</v>
      </c>
      <c r="F441" t="s">
        <v>28</v>
      </c>
      <c r="G441" t="s">
        <v>25</v>
      </c>
      <c r="H441" t="s">
        <v>26</v>
      </c>
      <c r="I441" t="s">
        <v>25</v>
      </c>
      <c r="J441">
        <v>440</v>
      </c>
      <c r="K441">
        <v>6</v>
      </c>
      <c r="L441">
        <v>20</v>
      </c>
      <c r="M441">
        <v>26</v>
      </c>
      <c r="N441">
        <v>285</v>
      </c>
      <c r="O441">
        <v>252</v>
      </c>
      <c r="P441">
        <v>239</v>
      </c>
      <c r="Q441">
        <v>194</v>
      </c>
      <c r="R441">
        <v>163</v>
      </c>
      <c r="S441">
        <v>89</v>
      </c>
      <c r="T441">
        <v>31</v>
      </c>
      <c r="U441">
        <v>432</v>
      </c>
    </row>
    <row r="442" spans="1:21" x14ac:dyDescent="0.25">
      <c r="A442">
        <v>2025</v>
      </c>
      <c r="B442">
        <v>3</v>
      </c>
      <c r="C442" t="s">
        <v>49</v>
      </c>
      <c r="D442" t="s">
        <v>45</v>
      </c>
      <c r="E442" t="s">
        <v>50</v>
      </c>
      <c r="F442" t="s">
        <v>24</v>
      </c>
      <c r="G442" t="s">
        <v>25</v>
      </c>
      <c r="H442" t="s">
        <v>26</v>
      </c>
      <c r="I442" t="s">
        <v>25</v>
      </c>
      <c r="J442">
        <v>37</v>
      </c>
      <c r="K442">
        <v>0</v>
      </c>
      <c r="L442">
        <v>5</v>
      </c>
      <c r="M442">
        <v>5</v>
      </c>
      <c r="N442">
        <v>17</v>
      </c>
      <c r="O442">
        <v>16</v>
      </c>
      <c r="P442">
        <v>15</v>
      </c>
      <c r="Q442">
        <v>9</v>
      </c>
      <c r="R442">
        <v>7</v>
      </c>
      <c r="S442">
        <v>5</v>
      </c>
      <c r="T442">
        <v>1</v>
      </c>
      <c r="U442">
        <v>37</v>
      </c>
    </row>
    <row r="443" spans="1:21" x14ac:dyDescent="0.25">
      <c r="A443">
        <v>2025</v>
      </c>
      <c r="B443">
        <v>3</v>
      </c>
      <c r="C443" t="s">
        <v>51</v>
      </c>
      <c r="D443" t="s">
        <v>22</v>
      </c>
      <c r="E443" t="s">
        <v>31</v>
      </c>
      <c r="F443" t="s">
        <v>24</v>
      </c>
      <c r="G443" t="s">
        <v>25</v>
      </c>
      <c r="H443" t="s">
        <v>25</v>
      </c>
      <c r="I443" t="s">
        <v>25</v>
      </c>
      <c r="J443">
        <v>186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186</v>
      </c>
    </row>
    <row r="444" spans="1:21" x14ac:dyDescent="0.25">
      <c r="A444">
        <v>2025</v>
      </c>
      <c r="B444">
        <v>3</v>
      </c>
      <c r="C444" t="s">
        <v>51</v>
      </c>
      <c r="D444" t="s">
        <v>22</v>
      </c>
      <c r="E444" t="s">
        <v>34</v>
      </c>
      <c r="F444" t="s">
        <v>24</v>
      </c>
      <c r="G444" t="s">
        <v>25</v>
      </c>
      <c r="H444" t="s">
        <v>26</v>
      </c>
      <c r="I444" t="s">
        <v>26</v>
      </c>
      <c r="J444">
        <v>124</v>
      </c>
      <c r="K444">
        <v>0</v>
      </c>
      <c r="L444">
        <v>0</v>
      </c>
      <c r="M444">
        <v>0</v>
      </c>
      <c r="N444">
        <v>6</v>
      </c>
      <c r="O444">
        <v>4</v>
      </c>
      <c r="P444">
        <v>4</v>
      </c>
      <c r="Q444">
        <v>2</v>
      </c>
      <c r="R444">
        <v>2</v>
      </c>
      <c r="S444">
        <v>1</v>
      </c>
      <c r="T444">
        <v>0</v>
      </c>
      <c r="U444">
        <v>124</v>
      </c>
    </row>
    <row r="445" spans="1:21" x14ac:dyDescent="0.25">
      <c r="A445">
        <v>2025</v>
      </c>
      <c r="B445">
        <v>3</v>
      </c>
      <c r="C445" t="s">
        <v>52</v>
      </c>
      <c r="D445" t="s">
        <v>22</v>
      </c>
      <c r="E445" t="s">
        <v>31</v>
      </c>
      <c r="F445" t="s">
        <v>24</v>
      </c>
      <c r="G445" t="s">
        <v>25</v>
      </c>
      <c r="H445" t="s">
        <v>25</v>
      </c>
      <c r="I445" t="s">
        <v>25</v>
      </c>
      <c r="J445">
        <v>124</v>
      </c>
      <c r="K445">
        <v>0</v>
      </c>
      <c r="L445">
        <v>0</v>
      </c>
      <c r="M445">
        <v>0</v>
      </c>
      <c r="N445">
        <v>1</v>
      </c>
      <c r="O445">
        <v>1</v>
      </c>
      <c r="P445">
        <v>1</v>
      </c>
      <c r="Q445">
        <v>1</v>
      </c>
      <c r="R445">
        <v>0</v>
      </c>
      <c r="S445">
        <v>0</v>
      </c>
      <c r="T445">
        <v>0</v>
      </c>
      <c r="U445">
        <v>124</v>
      </c>
    </row>
    <row r="446" spans="1:21" x14ac:dyDescent="0.25">
      <c r="A446">
        <v>2025</v>
      </c>
      <c r="B446">
        <v>3</v>
      </c>
      <c r="C446" t="s">
        <v>52</v>
      </c>
      <c r="D446" t="s">
        <v>22</v>
      </c>
      <c r="E446" t="s">
        <v>32</v>
      </c>
      <c r="F446" t="s">
        <v>24</v>
      </c>
      <c r="G446" t="s">
        <v>25</v>
      </c>
      <c r="H446" t="s">
        <v>26</v>
      </c>
      <c r="I446" t="s">
        <v>25</v>
      </c>
      <c r="J446">
        <v>558</v>
      </c>
      <c r="K446">
        <v>1</v>
      </c>
      <c r="L446">
        <v>0</v>
      </c>
      <c r="M446">
        <v>1</v>
      </c>
      <c r="N446">
        <v>83</v>
      </c>
      <c r="O446">
        <v>74</v>
      </c>
      <c r="P446">
        <v>67</v>
      </c>
      <c r="Q446">
        <v>53</v>
      </c>
      <c r="R446">
        <v>40</v>
      </c>
      <c r="S446">
        <v>31</v>
      </c>
      <c r="T446">
        <v>14</v>
      </c>
      <c r="U446">
        <v>557</v>
      </c>
    </row>
    <row r="447" spans="1:21" x14ac:dyDescent="0.25">
      <c r="A447">
        <v>2025</v>
      </c>
      <c r="B447">
        <v>3</v>
      </c>
      <c r="C447" t="s">
        <v>52</v>
      </c>
      <c r="D447" t="s">
        <v>22</v>
      </c>
      <c r="E447" t="s">
        <v>34</v>
      </c>
      <c r="F447" t="s">
        <v>24</v>
      </c>
      <c r="G447" t="s">
        <v>25</v>
      </c>
      <c r="H447" t="s">
        <v>26</v>
      </c>
      <c r="I447" t="s">
        <v>26</v>
      </c>
      <c r="J447">
        <v>186</v>
      </c>
      <c r="K447">
        <v>1</v>
      </c>
      <c r="L447">
        <v>0</v>
      </c>
      <c r="M447">
        <v>1</v>
      </c>
      <c r="N447">
        <v>18</v>
      </c>
      <c r="O447">
        <v>14</v>
      </c>
      <c r="P447">
        <v>12</v>
      </c>
      <c r="Q447">
        <v>7</v>
      </c>
      <c r="R447">
        <v>6</v>
      </c>
      <c r="S447">
        <v>3</v>
      </c>
      <c r="T447">
        <v>0</v>
      </c>
      <c r="U447">
        <v>185</v>
      </c>
    </row>
    <row r="448" spans="1:21" x14ac:dyDescent="0.25">
      <c r="A448">
        <v>2025</v>
      </c>
      <c r="B448">
        <v>3</v>
      </c>
      <c r="C448" t="s">
        <v>52</v>
      </c>
      <c r="D448" t="s">
        <v>22</v>
      </c>
      <c r="E448" t="s">
        <v>23</v>
      </c>
      <c r="F448" t="s">
        <v>24</v>
      </c>
      <c r="G448" t="s">
        <v>25</v>
      </c>
      <c r="H448" t="s">
        <v>26</v>
      </c>
      <c r="I448" t="s">
        <v>25</v>
      </c>
      <c r="J448">
        <v>248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248</v>
      </c>
    </row>
    <row r="449" spans="1:21" x14ac:dyDescent="0.25">
      <c r="A449">
        <v>2025</v>
      </c>
      <c r="B449">
        <v>3</v>
      </c>
      <c r="C449" t="s">
        <v>52</v>
      </c>
      <c r="D449" t="s">
        <v>22</v>
      </c>
      <c r="E449" t="s">
        <v>35</v>
      </c>
      <c r="F449" t="s">
        <v>24</v>
      </c>
      <c r="G449" t="s">
        <v>25</v>
      </c>
      <c r="H449" t="s">
        <v>26</v>
      </c>
      <c r="I449" t="s">
        <v>26</v>
      </c>
      <c r="J449">
        <v>1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1</v>
      </c>
    </row>
    <row r="450" spans="1:21" x14ac:dyDescent="0.25">
      <c r="A450">
        <v>2025</v>
      </c>
      <c r="B450">
        <v>3</v>
      </c>
      <c r="C450" t="s">
        <v>52</v>
      </c>
      <c r="D450" t="s">
        <v>22</v>
      </c>
      <c r="E450" t="s">
        <v>41</v>
      </c>
      <c r="F450" t="s">
        <v>24</v>
      </c>
      <c r="G450" t="s">
        <v>26</v>
      </c>
      <c r="H450" t="s">
        <v>26</v>
      </c>
      <c r="I450" t="s">
        <v>25</v>
      </c>
      <c r="J450">
        <v>496</v>
      </c>
      <c r="K450">
        <v>1</v>
      </c>
      <c r="L450">
        <v>0</v>
      </c>
      <c r="M450">
        <v>1</v>
      </c>
      <c r="N450">
        <v>66</v>
      </c>
      <c r="O450">
        <v>61</v>
      </c>
      <c r="P450">
        <v>57</v>
      </c>
      <c r="Q450">
        <v>45</v>
      </c>
      <c r="R450">
        <v>29</v>
      </c>
      <c r="S450">
        <v>10</v>
      </c>
      <c r="T450">
        <v>1</v>
      </c>
      <c r="U450">
        <v>495</v>
      </c>
    </row>
    <row r="451" spans="1:21" x14ac:dyDescent="0.25">
      <c r="A451">
        <v>2025</v>
      </c>
      <c r="B451">
        <v>3</v>
      </c>
      <c r="C451" t="s">
        <v>53</v>
      </c>
      <c r="D451" t="s">
        <v>22</v>
      </c>
      <c r="E451" t="s">
        <v>54</v>
      </c>
      <c r="F451" t="s">
        <v>24</v>
      </c>
      <c r="G451" t="s">
        <v>25</v>
      </c>
      <c r="H451" t="s">
        <v>26</v>
      </c>
      <c r="I451" t="s">
        <v>25</v>
      </c>
      <c r="J451">
        <v>762</v>
      </c>
      <c r="K451">
        <v>5</v>
      </c>
      <c r="L451">
        <v>7</v>
      </c>
      <c r="M451">
        <v>12</v>
      </c>
      <c r="N451">
        <v>135</v>
      </c>
      <c r="O451">
        <v>86</v>
      </c>
      <c r="P451">
        <v>77</v>
      </c>
      <c r="Q451">
        <v>48</v>
      </c>
      <c r="R451">
        <v>27</v>
      </c>
      <c r="S451">
        <v>6</v>
      </c>
      <c r="T451">
        <v>0</v>
      </c>
      <c r="U451">
        <v>757</v>
      </c>
    </row>
    <row r="452" spans="1:21" x14ac:dyDescent="0.25">
      <c r="A452">
        <v>2025</v>
      </c>
      <c r="B452">
        <v>3</v>
      </c>
      <c r="C452" t="s">
        <v>53</v>
      </c>
      <c r="D452" t="s">
        <v>22</v>
      </c>
      <c r="E452" t="s">
        <v>55</v>
      </c>
      <c r="F452" t="s">
        <v>28</v>
      </c>
      <c r="G452" t="s">
        <v>25</v>
      </c>
      <c r="H452" t="s">
        <v>26</v>
      </c>
      <c r="I452" t="s">
        <v>25</v>
      </c>
      <c r="J452">
        <v>2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2</v>
      </c>
    </row>
    <row r="453" spans="1:21" x14ac:dyDescent="0.25">
      <c r="A453">
        <v>2025</v>
      </c>
      <c r="B453">
        <v>3</v>
      </c>
      <c r="C453" t="s">
        <v>53</v>
      </c>
      <c r="D453" t="s">
        <v>22</v>
      </c>
      <c r="E453" t="s">
        <v>55</v>
      </c>
      <c r="F453" t="s">
        <v>24</v>
      </c>
      <c r="G453" t="s">
        <v>25</v>
      </c>
      <c r="H453" t="s">
        <v>26</v>
      </c>
      <c r="I453" t="s">
        <v>25</v>
      </c>
      <c r="J453">
        <v>542</v>
      </c>
      <c r="K453">
        <v>2</v>
      </c>
      <c r="L453">
        <v>1</v>
      </c>
      <c r="M453">
        <v>3</v>
      </c>
      <c r="N453">
        <v>92</v>
      </c>
      <c r="O453">
        <v>62</v>
      </c>
      <c r="P453">
        <v>54</v>
      </c>
      <c r="Q453">
        <v>38</v>
      </c>
      <c r="R453">
        <v>26</v>
      </c>
      <c r="S453">
        <v>4</v>
      </c>
      <c r="T453">
        <v>0</v>
      </c>
      <c r="U453">
        <v>540</v>
      </c>
    </row>
    <row r="454" spans="1:21" x14ac:dyDescent="0.25">
      <c r="A454">
        <v>2025</v>
      </c>
      <c r="B454">
        <v>3</v>
      </c>
      <c r="C454" t="s">
        <v>53</v>
      </c>
      <c r="D454" t="s">
        <v>22</v>
      </c>
      <c r="E454" t="s">
        <v>23</v>
      </c>
      <c r="F454" t="s">
        <v>28</v>
      </c>
      <c r="G454" t="s">
        <v>25</v>
      </c>
      <c r="H454" t="s">
        <v>26</v>
      </c>
      <c r="I454" t="s">
        <v>25</v>
      </c>
      <c r="J454">
        <v>35670</v>
      </c>
      <c r="K454">
        <v>0</v>
      </c>
      <c r="L454">
        <v>2916</v>
      </c>
      <c r="M454">
        <v>2916</v>
      </c>
      <c r="N454">
        <v>4181</v>
      </c>
      <c r="O454">
        <v>2331</v>
      </c>
      <c r="P454">
        <v>1832</v>
      </c>
      <c r="Q454">
        <v>834</v>
      </c>
      <c r="R454">
        <v>359</v>
      </c>
      <c r="S454">
        <v>32</v>
      </c>
      <c r="T454">
        <v>1</v>
      </c>
      <c r="U454">
        <v>33456</v>
      </c>
    </row>
    <row r="455" spans="1:21" x14ac:dyDescent="0.25">
      <c r="A455">
        <v>2025</v>
      </c>
      <c r="B455">
        <v>3</v>
      </c>
      <c r="C455" t="s">
        <v>53</v>
      </c>
      <c r="D455" t="s">
        <v>22</v>
      </c>
      <c r="E455" t="s">
        <v>23</v>
      </c>
      <c r="F455" t="s">
        <v>24</v>
      </c>
      <c r="G455" t="s">
        <v>25</v>
      </c>
      <c r="H455" t="s">
        <v>26</v>
      </c>
      <c r="I455" t="s">
        <v>25</v>
      </c>
      <c r="J455">
        <v>465</v>
      </c>
      <c r="K455">
        <v>32</v>
      </c>
      <c r="L455">
        <v>3</v>
      </c>
      <c r="M455">
        <v>35</v>
      </c>
      <c r="N455">
        <v>175</v>
      </c>
      <c r="O455">
        <v>152</v>
      </c>
      <c r="P455">
        <v>145</v>
      </c>
      <c r="Q455">
        <v>133</v>
      </c>
      <c r="R455">
        <v>100</v>
      </c>
      <c r="S455">
        <v>48</v>
      </c>
      <c r="T455">
        <v>17</v>
      </c>
      <c r="U455">
        <v>432</v>
      </c>
    </row>
    <row r="456" spans="1:21" x14ac:dyDescent="0.25">
      <c r="A456">
        <v>2025</v>
      </c>
      <c r="B456">
        <v>3</v>
      </c>
      <c r="C456" t="s">
        <v>53</v>
      </c>
      <c r="D456" t="s">
        <v>22</v>
      </c>
      <c r="E456" t="s">
        <v>56</v>
      </c>
      <c r="F456" t="s">
        <v>28</v>
      </c>
      <c r="G456" t="s">
        <v>25</v>
      </c>
      <c r="H456" t="s">
        <v>26</v>
      </c>
      <c r="I456" t="s">
        <v>25</v>
      </c>
      <c r="J456">
        <v>3604</v>
      </c>
      <c r="K456">
        <v>0</v>
      </c>
      <c r="L456">
        <v>856</v>
      </c>
      <c r="M456">
        <v>856</v>
      </c>
      <c r="N456">
        <v>589</v>
      </c>
      <c r="O456">
        <v>389</v>
      </c>
      <c r="P456">
        <v>318</v>
      </c>
      <c r="Q456">
        <v>177</v>
      </c>
      <c r="R456">
        <v>87</v>
      </c>
      <c r="S456">
        <v>18</v>
      </c>
      <c r="T456">
        <v>0</v>
      </c>
      <c r="U456">
        <v>3008</v>
      </c>
    </row>
    <row r="457" spans="1:21" x14ac:dyDescent="0.25">
      <c r="A457">
        <v>2025</v>
      </c>
      <c r="B457">
        <v>3</v>
      </c>
      <c r="C457" t="s">
        <v>53</v>
      </c>
      <c r="D457" t="s">
        <v>22</v>
      </c>
      <c r="E457" t="s">
        <v>39</v>
      </c>
      <c r="F457" t="s">
        <v>24</v>
      </c>
      <c r="G457" t="s">
        <v>26</v>
      </c>
      <c r="H457" t="s">
        <v>26</v>
      </c>
      <c r="I457" t="s">
        <v>25</v>
      </c>
      <c r="J457">
        <v>466</v>
      </c>
      <c r="K457">
        <v>3</v>
      </c>
      <c r="L457">
        <v>5</v>
      </c>
      <c r="M457">
        <v>8</v>
      </c>
      <c r="N457">
        <v>158</v>
      </c>
      <c r="O457">
        <v>138</v>
      </c>
      <c r="P457">
        <v>133</v>
      </c>
      <c r="Q457">
        <v>113</v>
      </c>
      <c r="R457">
        <v>80</v>
      </c>
      <c r="S457">
        <v>24</v>
      </c>
      <c r="T457">
        <v>7</v>
      </c>
      <c r="U457">
        <v>462</v>
      </c>
    </row>
    <row r="458" spans="1:21" x14ac:dyDescent="0.25">
      <c r="A458">
        <v>2025</v>
      </c>
      <c r="B458">
        <v>3</v>
      </c>
      <c r="C458" t="s">
        <v>53</v>
      </c>
      <c r="D458" t="s">
        <v>22</v>
      </c>
      <c r="E458" t="s">
        <v>35</v>
      </c>
      <c r="F458" t="s">
        <v>24</v>
      </c>
      <c r="G458" t="s">
        <v>25</v>
      </c>
      <c r="H458" t="s">
        <v>26</v>
      </c>
      <c r="I458" t="s">
        <v>26</v>
      </c>
      <c r="J458">
        <v>186</v>
      </c>
      <c r="K458">
        <v>8</v>
      </c>
      <c r="L458">
        <v>0</v>
      </c>
      <c r="M458">
        <v>8</v>
      </c>
      <c r="N458">
        <v>91</v>
      </c>
      <c r="O458">
        <v>77</v>
      </c>
      <c r="P458">
        <v>75</v>
      </c>
      <c r="Q458">
        <v>68</v>
      </c>
      <c r="R458">
        <v>57</v>
      </c>
      <c r="S458">
        <v>46</v>
      </c>
      <c r="T458">
        <v>22</v>
      </c>
      <c r="U458">
        <v>178</v>
      </c>
    </row>
    <row r="459" spans="1:21" x14ac:dyDescent="0.25">
      <c r="A459">
        <v>2025</v>
      </c>
      <c r="B459">
        <v>3</v>
      </c>
      <c r="C459" t="s">
        <v>53</v>
      </c>
      <c r="D459" t="s">
        <v>22</v>
      </c>
      <c r="E459" t="s">
        <v>57</v>
      </c>
      <c r="F459" t="s">
        <v>28</v>
      </c>
      <c r="G459" t="s">
        <v>25</v>
      </c>
      <c r="H459" t="s">
        <v>26</v>
      </c>
      <c r="I459" t="s">
        <v>26</v>
      </c>
      <c r="J459">
        <v>17</v>
      </c>
      <c r="K459">
        <v>0</v>
      </c>
      <c r="L459">
        <v>1</v>
      </c>
      <c r="M459">
        <v>1</v>
      </c>
      <c r="N459">
        <v>8</v>
      </c>
      <c r="O459">
        <v>5</v>
      </c>
      <c r="P459">
        <v>4</v>
      </c>
      <c r="Q459">
        <v>1</v>
      </c>
      <c r="R459">
        <v>0</v>
      </c>
      <c r="S459">
        <v>0</v>
      </c>
      <c r="T459">
        <v>0</v>
      </c>
      <c r="U459">
        <v>17</v>
      </c>
    </row>
    <row r="460" spans="1:21" x14ac:dyDescent="0.25">
      <c r="A460">
        <v>2025</v>
      </c>
      <c r="B460">
        <v>3</v>
      </c>
      <c r="C460" t="s">
        <v>53</v>
      </c>
      <c r="D460" t="s">
        <v>22</v>
      </c>
      <c r="E460" t="s">
        <v>58</v>
      </c>
      <c r="F460" t="s">
        <v>28</v>
      </c>
      <c r="G460" t="s">
        <v>25</v>
      </c>
      <c r="H460" t="s">
        <v>25</v>
      </c>
      <c r="I460" t="s">
        <v>25</v>
      </c>
      <c r="J460">
        <v>4234</v>
      </c>
      <c r="K460">
        <v>0</v>
      </c>
      <c r="L460">
        <v>57</v>
      </c>
      <c r="M460">
        <v>57</v>
      </c>
      <c r="N460">
        <v>218</v>
      </c>
      <c r="O460">
        <v>85</v>
      </c>
      <c r="P460">
        <v>56</v>
      </c>
      <c r="Q460">
        <v>23</v>
      </c>
      <c r="R460">
        <v>3</v>
      </c>
      <c r="S460">
        <v>0</v>
      </c>
      <c r="T460">
        <v>0</v>
      </c>
      <c r="U460">
        <v>4184</v>
      </c>
    </row>
    <row r="461" spans="1:21" x14ac:dyDescent="0.25">
      <c r="A461">
        <v>2025</v>
      </c>
      <c r="B461">
        <v>3</v>
      </c>
      <c r="C461" t="s">
        <v>53</v>
      </c>
      <c r="D461" t="s">
        <v>22</v>
      </c>
      <c r="E461" t="s">
        <v>59</v>
      </c>
      <c r="F461" t="s">
        <v>28</v>
      </c>
      <c r="G461" t="s">
        <v>25</v>
      </c>
      <c r="H461" t="s">
        <v>25</v>
      </c>
      <c r="I461" t="s">
        <v>25</v>
      </c>
      <c r="J461">
        <v>78668</v>
      </c>
      <c r="K461">
        <v>0</v>
      </c>
      <c r="L461">
        <v>3280</v>
      </c>
      <c r="M461">
        <v>3280</v>
      </c>
      <c r="N461">
        <v>5208</v>
      </c>
      <c r="O461">
        <v>2528</v>
      </c>
      <c r="P461">
        <v>1852</v>
      </c>
      <c r="Q461">
        <v>714</v>
      </c>
      <c r="R461">
        <v>248</v>
      </c>
      <c r="S461">
        <v>15</v>
      </c>
      <c r="T461">
        <v>0</v>
      </c>
      <c r="U461">
        <v>76111</v>
      </c>
    </row>
    <row r="462" spans="1:21" x14ac:dyDescent="0.25">
      <c r="A462">
        <v>2025</v>
      </c>
      <c r="B462">
        <v>3</v>
      </c>
      <c r="C462" t="s">
        <v>53</v>
      </c>
      <c r="D462" t="s">
        <v>22</v>
      </c>
      <c r="E462" t="s">
        <v>60</v>
      </c>
      <c r="F462" t="s">
        <v>28</v>
      </c>
      <c r="G462" t="s">
        <v>25</v>
      </c>
      <c r="H462" t="s">
        <v>25</v>
      </c>
      <c r="I462" t="s">
        <v>25</v>
      </c>
      <c r="J462">
        <v>40583</v>
      </c>
      <c r="K462">
        <v>0</v>
      </c>
      <c r="L462">
        <v>860</v>
      </c>
      <c r="M462">
        <v>860</v>
      </c>
      <c r="N462">
        <v>2116</v>
      </c>
      <c r="O462">
        <v>785</v>
      </c>
      <c r="P462">
        <v>521</v>
      </c>
      <c r="Q462">
        <v>214</v>
      </c>
      <c r="R462">
        <v>72</v>
      </c>
      <c r="S462">
        <v>6</v>
      </c>
      <c r="T462">
        <v>1</v>
      </c>
      <c r="U462">
        <v>39934</v>
      </c>
    </row>
    <row r="463" spans="1:21" x14ac:dyDescent="0.25">
      <c r="A463">
        <v>2025</v>
      </c>
      <c r="B463">
        <v>3</v>
      </c>
      <c r="C463" t="s">
        <v>61</v>
      </c>
      <c r="D463" t="s">
        <v>22</v>
      </c>
      <c r="E463" t="s">
        <v>31</v>
      </c>
      <c r="F463" t="s">
        <v>28</v>
      </c>
      <c r="G463" t="s">
        <v>25</v>
      </c>
      <c r="H463" t="s">
        <v>26</v>
      </c>
      <c r="I463" t="s">
        <v>25</v>
      </c>
      <c r="J463">
        <v>761</v>
      </c>
      <c r="K463">
        <v>5</v>
      </c>
      <c r="L463">
        <v>6</v>
      </c>
      <c r="M463">
        <v>11</v>
      </c>
      <c r="N463">
        <v>160</v>
      </c>
      <c r="O463">
        <v>107</v>
      </c>
      <c r="P463">
        <v>91</v>
      </c>
      <c r="Q463">
        <v>55</v>
      </c>
      <c r="R463">
        <v>36</v>
      </c>
      <c r="S463">
        <v>13</v>
      </c>
      <c r="T463">
        <v>3</v>
      </c>
      <c r="U463">
        <v>751</v>
      </c>
    </row>
    <row r="464" spans="1:21" x14ac:dyDescent="0.25">
      <c r="A464">
        <v>2025</v>
      </c>
      <c r="B464">
        <v>3</v>
      </c>
      <c r="C464" t="s">
        <v>61</v>
      </c>
      <c r="D464" t="s">
        <v>22</v>
      </c>
      <c r="E464" t="s">
        <v>31</v>
      </c>
      <c r="F464" t="s">
        <v>24</v>
      </c>
      <c r="G464" t="s">
        <v>25</v>
      </c>
      <c r="H464" t="s">
        <v>26</v>
      </c>
      <c r="I464" t="s">
        <v>25</v>
      </c>
      <c r="J464">
        <v>962</v>
      </c>
      <c r="K464">
        <v>0</v>
      </c>
      <c r="L464">
        <v>0</v>
      </c>
      <c r="M464">
        <v>0</v>
      </c>
      <c r="N464">
        <v>184</v>
      </c>
      <c r="O464">
        <v>124</v>
      </c>
      <c r="P464">
        <v>101</v>
      </c>
      <c r="Q464">
        <v>60</v>
      </c>
      <c r="R464">
        <v>46</v>
      </c>
      <c r="S464">
        <v>14</v>
      </c>
      <c r="T464">
        <v>5</v>
      </c>
      <c r="U464">
        <v>962</v>
      </c>
    </row>
    <row r="465" spans="1:21" x14ac:dyDescent="0.25">
      <c r="A465">
        <v>2025</v>
      </c>
      <c r="B465">
        <v>3</v>
      </c>
      <c r="C465" t="s">
        <v>61</v>
      </c>
      <c r="D465" t="s">
        <v>22</v>
      </c>
      <c r="E465" t="s">
        <v>32</v>
      </c>
      <c r="F465" t="s">
        <v>28</v>
      </c>
      <c r="G465" t="s">
        <v>25</v>
      </c>
      <c r="H465" t="s">
        <v>26</v>
      </c>
      <c r="I465" t="s">
        <v>25</v>
      </c>
      <c r="J465">
        <v>9</v>
      </c>
      <c r="K465">
        <v>0</v>
      </c>
      <c r="L465">
        <v>0</v>
      </c>
      <c r="M465">
        <v>0</v>
      </c>
      <c r="N465">
        <v>5</v>
      </c>
      <c r="O465">
        <v>4</v>
      </c>
      <c r="P465">
        <v>4</v>
      </c>
      <c r="Q465">
        <v>4</v>
      </c>
      <c r="R465">
        <v>3</v>
      </c>
      <c r="S465">
        <v>2</v>
      </c>
      <c r="T465">
        <v>0</v>
      </c>
      <c r="U465">
        <v>9</v>
      </c>
    </row>
    <row r="466" spans="1:21" x14ac:dyDescent="0.25">
      <c r="A466">
        <v>2025</v>
      </c>
      <c r="B466">
        <v>3</v>
      </c>
      <c r="C466" t="s">
        <v>61</v>
      </c>
      <c r="D466" t="s">
        <v>22</v>
      </c>
      <c r="E466" t="s">
        <v>32</v>
      </c>
      <c r="F466" t="s">
        <v>24</v>
      </c>
      <c r="G466" t="s">
        <v>25</v>
      </c>
      <c r="H466" t="s">
        <v>26</v>
      </c>
      <c r="I466" t="s">
        <v>25</v>
      </c>
      <c r="J466">
        <v>1583</v>
      </c>
      <c r="K466">
        <v>8</v>
      </c>
      <c r="L466">
        <v>0</v>
      </c>
      <c r="M466">
        <v>8</v>
      </c>
      <c r="N466">
        <v>592</v>
      </c>
      <c r="O466">
        <v>468</v>
      </c>
      <c r="P466">
        <v>428</v>
      </c>
      <c r="Q466">
        <v>298</v>
      </c>
      <c r="R466">
        <v>232</v>
      </c>
      <c r="S466">
        <v>103</v>
      </c>
      <c r="T466">
        <v>28</v>
      </c>
      <c r="U466">
        <v>1575</v>
      </c>
    </row>
    <row r="467" spans="1:21" x14ac:dyDescent="0.25">
      <c r="A467">
        <v>2025</v>
      </c>
      <c r="B467">
        <v>3</v>
      </c>
      <c r="C467" t="s">
        <v>61</v>
      </c>
      <c r="D467" t="s">
        <v>22</v>
      </c>
      <c r="E467" t="s">
        <v>34</v>
      </c>
      <c r="F467" t="s">
        <v>24</v>
      </c>
      <c r="G467" t="s">
        <v>25</v>
      </c>
      <c r="H467" t="s">
        <v>26</v>
      </c>
      <c r="I467" t="s">
        <v>26</v>
      </c>
      <c r="J467">
        <v>341</v>
      </c>
      <c r="K467">
        <v>1</v>
      </c>
      <c r="L467">
        <v>0</v>
      </c>
      <c r="M467">
        <v>1</v>
      </c>
      <c r="N467">
        <v>31</v>
      </c>
      <c r="O467">
        <v>26</v>
      </c>
      <c r="P467">
        <v>25</v>
      </c>
      <c r="Q467">
        <v>22</v>
      </c>
      <c r="R467">
        <v>20</v>
      </c>
      <c r="S467">
        <v>15</v>
      </c>
      <c r="T467">
        <v>9</v>
      </c>
      <c r="U467">
        <v>340</v>
      </c>
    </row>
    <row r="468" spans="1:21" x14ac:dyDescent="0.25">
      <c r="A468">
        <v>2025</v>
      </c>
      <c r="B468">
        <v>3</v>
      </c>
      <c r="C468" t="s">
        <v>61</v>
      </c>
      <c r="D468" t="s">
        <v>22</v>
      </c>
      <c r="E468" t="s">
        <v>23</v>
      </c>
      <c r="F468" t="s">
        <v>28</v>
      </c>
      <c r="G468" t="s">
        <v>25</v>
      </c>
      <c r="H468" t="s">
        <v>26</v>
      </c>
      <c r="I468" t="s">
        <v>25</v>
      </c>
      <c r="J468">
        <v>1795</v>
      </c>
      <c r="K468">
        <v>1</v>
      </c>
      <c r="L468">
        <v>6</v>
      </c>
      <c r="M468">
        <v>7</v>
      </c>
      <c r="N468">
        <v>288</v>
      </c>
      <c r="O468">
        <v>192</v>
      </c>
      <c r="P468">
        <v>163</v>
      </c>
      <c r="Q468">
        <v>102</v>
      </c>
      <c r="R468">
        <v>77</v>
      </c>
      <c r="S468">
        <v>32</v>
      </c>
      <c r="T468">
        <v>10</v>
      </c>
      <c r="U468">
        <v>1790</v>
      </c>
    </row>
    <row r="469" spans="1:21" x14ac:dyDescent="0.25">
      <c r="A469">
        <v>2025</v>
      </c>
      <c r="B469">
        <v>3</v>
      </c>
      <c r="C469" t="s">
        <v>61</v>
      </c>
      <c r="D469" t="s">
        <v>22</v>
      </c>
      <c r="E469" t="s">
        <v>23</v>
      </c>
      <c r="F469" t="s">
        <v>24</v>
      </c>
      <c r="G469" t="s">
        <v>25</v>
      </c>
      <c r="H469" t="s">
        <v>26</v>
      </c>
      <c r="I469" t="s">
        <v>25</v>
      </c>
      <c r="J469">
        <v>597</v>
      </c>
      <c r="K469">
        <v>5</v>
      </c>
      <c r="L469">
        <v>0</v>
      </c>
      <c r="M469">
        <v>5</v>
      </c>
      <c r="N469">
        <v>78</v>
      </c>
      <c r="O469">
        <v>59</v>
      </c>
      <c r="P469">
        <v>58</v>
      </c>
      <c r="Q469">
        <v>48</v>
      </c>
      <c r="R469">
        <v>42</v>
      </c>
      <c r="S469">
        <v>24</v>
      </c>
      <c r="T469">
        <v>9</v>
      </c>
      <c r="U469">
        <v>592</v>
      </c>
    </row>
    <row r="470" spans="1:21" x14ac:dyDescent="0.25">
      <c r="A470">
        <v>2025</v>
      </c>
      <c r="B470">
        <v>3</v>
      </c>
      <c r="C470" t="s">
        <v>61</v>
      </c>
      <c r="D470" t="s">
        <v>22</v>
      </c>
      <c r="E470" t="s">
        <v>39</v>
      </c>
      <c r="F470" t="s">
        <v>28</v>
      </c>
      <c r="G470" t="s">
        <v>26</v>
      </c>
      <c r="H470" t="s">
        <v>26</v>
      </c>
      <c r="I470" t="s">
        <v>25</v>
      </c>
      <c r="J470">
        <v>36</v>
      </c>
      <c r="K470">
        <v>0</v>
      </c>
      <c r="L470">
        <v>0</v>
      </c>
      <c r="M470">
        <v>0</v>
      </c>
      <c r="N470">
        <v>7</v>
      </c>
      <c r="O470">
        <v>4</v>
      </c>
      <c r="P470">
        <v>3</v>
      </c>
      <c r="Q470">
        <v>1</v>
      </c>
      <c r="R470">
        <v>1</v>
      </c>
      <c r="S470">
        <v>0</v>
      </c>
      <c r="T470">
        <v>0</v>
      </c>
      <c r="U470">
        <v>36</v>
      </c>
    </row>
    <row r="471" spans="1:21" x14ac:dyDescent="0.25">
      <c r="A471">
        <v>2025</v>
      </c>
      <c r="B471">
        <v>3</v>
      </c>
      <c r="C471" t="s">
        <v>61</v>
      </c>
      <c r="D471" t="s">
        <v>22</v>
      </c>
      <c r="E471" t="s">
        <v>39</v>
      </c>
      <c r="F471" t="s">
        <v>24</v>
      </c>
      <c r="G471" t="s">
        <v>26</v>
      </c>
      <c r="H471" t="s">
        <v>26</v>
      </c>
      <c r="I471" t="s">
        <v>25</v>
      </c>
      <c r="J471">
        <v>776</v>
      </c>
      <c r="K471">
        <v>16</v>
      </c>
      <c r="L471">
        <v>5</v>
      </c>
      <c r="M471">
        <v>21</v>
      </c>
      <c r="N471">
        <v>258</v>
      </c>
      <c r="O471">
        <v>217</v>
      </c>
      <c r="P471">
        <v>206</v>
      </c>
      <c r="Q471">
        <v>168</v>
      </c>
      <c r="R471">
        <v>131</v>
      </c>
      <c r="S471">
        <v>71</v>
      </c>
      <c r="T471">
        <v>22</v>
      </c>
      <c r="U471">
        <v>758</v>
      </c>
    </row>
    <row r="472" spans="1:21" x14ac:dyDescent="0.25">
      <c r="A472">
        <v>2025</v>
      </c>
      <c r="B472">
        <v>3</v>
      </c>
      <c r="C472" t="s">
        <v>61</v>
      </c>
      <c r="D472" t="s">
        <v>22</v>
      </c>
      <c r="E472" t="s">
        <v>35</v>
      </c>
      <c r="F472" t="s">
        <v>28</v>
      </c>
      <c r="G472" t="s">
        <v>25</v>
      </c>
      <c r="H472" t="s">
        <v>26</v>
      </c>
      <c r="I472" t="s">
        <v>26</v>
      </c>
      <c r="J472">
        <v>62</v>
      </c>
      <c r="K472">
        <v>0</v>
      </c>
      <c r="L472">
        <v>0</v>
      </c>
      <c r="M472">
        <v>0</v>
      </c>
      <c r="N472">
        <v>9</v>
      </c>
      <c r="O472">
        <v>5</v>
      </c>
      <c r="P472">
        <v>5</v>
      </c>
      <c r="Q472">
        <v>4</v>
      </c>
      <c r="R472">
        <v>4</v>
      </c>
      <c r="S472">
        <v>0</v>
      </c>
      <c r="T472">
        <v>0</v>
      </c>
      <c r="U472">
        <v>62</v>
      </c>
    </row>
    <row r="473" spans="1:21" x14ac:dyDescent="0.25">
      <c r="A473">
        <v>2025</v>
      </c>
      <c r="B473">
        <v>3</v>
      </c>
      <c r="C473" t="s">
        <v>61</v>
      </c>
      <c r="D473" t="s">
        <v>22</v>
      </c>
      <c r="E473" t="s">
        <v>35</v>
      </c>
      <c r="F473" t="s">
        <v>24</v>
      </c>
      <c r="G473" t="s">
        <v>25</v>
      </c>
      <c r="H473" t="s">
        <v>26</v>
      </c>
      <c r="I473" t="s">
        <v>26</v>
      </c>
      <c r="J473">
        <v>704</v>
      </c>
      <c r="K473">
        <v>7</v>
      </c>
      <c r="L473">
        <v>0</v>
      </c>
      <c r="M473">
        <v>7</v>
      </c>
      <c r="N473">
        <v>266</v>
      </c>
      <c r="O473">
        <v>215</v>
      </c>
      <c r="P473">
        <v>196</v>
      </c>
      <c r="Q473">
        <v>164</v>
      </c>
      <c r="R473">
        <v>140</v>
      </c>
      <c r="S473">
        <v>102</v>
      </c>
      <c r="T473">
        <v>53</v>
      </c>
      <c r="U473">
        <v>697</v>
      </c>
    </row>
    <row r="474" spans="1:21" x14ac:dyDescent="0.25">
      <c r="A474">
        <v>2025</v>
      </c>
      <c r="B474">
        <v>3</v>
      </c>
      <c r="C474" t="s">
        <v>61</v>
      </c>
      <c r="D474" t="s">
        <v>22</v>
      </c>
      <c r="E474" t="s">
        <v>36</v>
      </c>
      <c r="F474" t="s">
        <v>28</v>
      </c>
      <c r="G474" t="s">
        <v>25</v>
      </c>
      <c r="H474" t="s">
        <v>26</v>
      </c>
      <c r="I474" t="s">
        <v>25</v>
      </c>
      <c r="J474">
        <v>2128</v>
      </c>
      <c r="K474">
        <v>7</v>
      </c>
      <c r="L474">
        <v>54</v>
      </c>
      <c r="M474">
        <v>61</v>
      </c>
      <c r="N474">
        <v>355</v>
      </c>
      <c r="O474">
        <v>201</v>
      </c>
      <c r="P474">
        <v>160</v>
      </c>
      <c r="Q474">
        <v>73</v>
      </c>
      <c r="R474">
        <v>54</v>
      </c>
      <c r="S474">
        <v>24</v>
      </c>
      <c r="T474">
        <v>10</v>
      </c>
      <c r="U474">
        <v>2096</v>
      </c>
    </row>
    <row r="475" spans="1:21" x14ac:dyDescent="0.25">
      <c r="A475">
        <v>2025</v>
      </c>
      <c r="B475">
        <v>3</v>
      </c>
      <c r="C475" t="s">
        <v>61</v>
      </c>
      <c r="D475" t="s">
        <v>22</v>
      </c>
      <c r="E475" t="s">
        <v>36</v>
      </c>
      <c r="F475" t="s">
        <v>24</v>
      </c>
      <c r="G475" t="s">
        <v>25</v>
      </c>
      <c r="H475" t="s">
        <v>26</v>
      </c>
      <c r="I475" t="s">
        <v>25</v>
      </c>
      <c r="J475">
        <v>1120</v>
      </c>
      <c r="K475">
        <v>14</v>
      </c>
      <c r="L475">
        <v>9</v>
      </c>
      <c r="M475">
        <v>23</v>
      </c>
      <c r="N475">
        <v>318</v>
      </c>
      <c r="O475">
        <v>243</v>
      </c>
      <c r="P475">
        <v>220</v>
      </c>
      <c r="Q475">
        <v>166</v>
      </c>
      <c r="R475">
        <v>119</v>
      </c>
      <c r="S475">
        <v>48</v>
      </c>
      <c r="T475">
        <v>16</v>
      </c>
      <c r="U475">
        <v>1103</v>
      </c>
    </row>
    <row r="476" spans="1:21" x14ac:dyDescent="0.25">
      <c r="A476">
        <v>2025</v>
      </c>
      <c r="B476">
        <v>3</v>
      </c>
      <c r="C476" t="s">
        <v>61</v>
      </c>
      <c r="D476" t="s">
        <v>22</v>
      </c>
      <c r="E476" t="s">
        <v>41</v>
      </c>
      <c r="F476" t="s">
        <v>28</v>
      </c>
      <c r="G476" t="s">
        <v>26</v>
      </c>
      <c r="H476" t="s">
        <v>26</v>
      </c>
      <c r="I476" t="s">
        <v>25</v>
      </c>
      <c r="J476">
        <v>907</v>
      </c>
      <c r="K476">
        <v>0</v>
      </c>
      <c r="L476">
        <v>22</v>
      </c>
      <c r="M476">
        <v>22</v>
      </c>
      <c r="N476">
        <v>397</v>
      </c>
      <c r="O476">
        <v>341</v>
      </c>
      <c r="P476">
        <v>320</v>
      </c>
      <c r="Q476">
        <v>231</v>
      </c>
      <c r="R476">
        <v>185</v>
      </c>
      <c r="S476">
        <v>77</v>
      </c>
      <c r="T476">
        <v>13</v>
      </c>
      <c r="U476">
        <v>899</v>
      </c>
    </row>
    <row r="477" spans="1:21" x14ac:dyDescent="0.25">
      <c r="A477">
        <v>2025</v>
      </c>
      <c r="B477">
        <v>3</v>
      </c>
      <c r="C477" t="s">
        <v>61</v>
      </c>
      <c r="D477" t="s">
        <v>22</v>
      </c>
      <c r="E477" t="s">
        <v>41</v>
      </c>
      <c r="F477" t="s">
        <v>24</v>
      </c>
      <c r="G477" t="s">
        <v>26</v>
      </c>
      <c r="H477" t="s">
        <v>26</v>
      </c>
      <c r="I477" t="s">
        <v>25</v>
      </c>
      <c r="J477">
        <v>1068</v>
      </c>
      <c r="K477">
        <v>1</v>
      </c>
      <c r="L477">
        <v>13</v>
      </c>
      <c r="M477">
        <v>14</v>
      </c>
      <c r="N477">
        <v>396</v>
      </c>
      <c r="O477">
        <v>315</v>
      </c>
      <c r="P477">
        <v>292</v>
      </c>
      <c r="Q477">
        <v>210</v>
      </c>
      <c r="R477">
        <v>149</v>
      </c>
      <c r="S477">
        <v>60</v>
      </c>
      <c r="T477">
        <v>9</v>
      </c>
      <c r="U477">
        <v>1062</v>
      </c>
    </row>
    <row r="478" spans="1:21" x14ac:dyDescent="0.25">
      <c r="A478">
        <v>2025</v>
      </c>
      <c r="B478">
        <v>3</v>
      </c>
      <c r="C478" t="s">
        <v>62</v>
      </c>
      <c r="D478" t="s">
        <v>22</v>
      </c>
      <c r="E478" t="s">
        <v>40</v>
      </c>
      <c r="F478" t="s">
        <v>28</v>
      </c>
      <c r="G478" t="s">
        <v>25</v>
      </c>
      <c r="H478" t="s">
        <v>25</v>
      </c>
      <c r="I478" t="s">
        <v>25</v>
      </c>
      <c r="J478">
        <v>11049</v>
      </c>
      <c r="K478">
        <v>5</v>
      </c>
      <c r="L478">
        <v>104</v>
      </c>
      <c r="M478">
        <v>109</v>
      </c>
      <c r="N478">
        <v>8</v>
      </c>
      <c r="O478">
        <v>4</v>
      </c>
      <c r="P478">
        <v>3</v>
      </c>
      <c r="Q478">
        <v>0</v>
      </c>
      <c r="R478">
        <v>0</v>
      </c>
      <c r="S478">
        <v>0</v>
      </c>
      <c r="T478">
        <v>0</v>
      </c>
      <c r="U478">
        <v>10959</v>
      </c>
    </row>
    <row r="479" spans="1:21" x14ac:dyDescent="0.25">
      <c r="A479">
        <v>2025</v>
      </c>
      <c r="B479">
        <v>3</v>
      </c>
      <c r="C479" t="s">
        <v>62</v>
      </c>
      <c r="D479" t="s">
        <v>22</v>
      </c>
      <c r="E479" t="s">
        <v>40</v>
      </c>
      <c r="F479" t="s">
        <v>24</v>
      </c>
      <c r="G479" t="s">
        <v>25</v>
      </c>
      <c r="H479" t="s">
        <v>25</v>
      </c>
      <c r="I479" t="s">
        <v>25</v>
      </c>
      <c r="J479">
        <v>28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28</v>
      </c>
    </row>
    <row r="480" spans="1:21" x14ac:dyDescent="0.25">
      <c r="A480">
        <v>2025</v>
      </c>
      <c r="B480">
        <v>3</v>
      </c>
      <c r="C480" t="s">
        <v>63</v>
      </c>
      <c r="D480" t="s">
        <v>45</v>
      </c>
      <c r="E480" t="s">
        <v>64</v>
      </c>
      <c r="F480" t="s">
        <v>24</v>
      </c>
      <c r="G480" t="s">
        <v>25</v>
      </c>
      <c r="H480" t="s">
        <v>25</v>
      </c>
      <c r="I480" t="s">
        <v>25</v>
      </c>
      <c r="J480">
        <v>154</v>
      </c>
      <c r="K480">
        <v>0</v>
      </c>
      <c r="L480">
        <v>1</v>
      </c>
      <c r="M480">
        <v>1</v>
      </c>
      <c r="N480">
        <v>34</v>
      </c>
      <c r="O480">
        <v>26</v>
      </c>
      <c r="P480">
        <v>24</v>
      </c>
      <c r="Q480">
        <v>22</v>
      </c>
      <c r="R480">
        <v>20</v>
      </c>
      <c r="S480">
        <v>13</v>
      </c>
      <c r="T480">
        <v>5</v>
      </c>
      <c r="U480">
        <v>153</v>
      </c>
    </row>
    <row r="481" spans="1:21" x14ac:dyDescent="0.25">
      <c r="A481">
        <v>2025</v>
      </c>
      <c r="B481">
        <v>3</v>
      </c>
      <c r="C481" t="s">
        <v>63</v>
      </c>
      <c r="D481" t="s">
        <v>45</v>
      </c>
      <c r="E481" t="s">
        <v>65</v>
      </c>
      <c r="F481" t="s">
        <v>28</v>
      </c>
      <c r="G481" t="s">
        <v>26</v>
      </c>
      <c r="H481" t="s">
        <v>26</v>
      </c>
      <c r="I481" t="s">
        <v>25</v>
      </c>
      <c r="J481">
        <v>1687</v>
      </c>
      <c r="K481">
        <v>6</v>
      </c>
      <c r="L481">
        <v>8</v>
      </c>
      <c r="M481">
        <v>14</v>
      </c>
      <c r="N481">
        <v>256</v>
      </c>
      <c r="O481">
        <v>241</v>
      </c>
      <c r="P481">
        <v>241</v>
      </c>
      <c r="Q481">
        <v>174</v>
      </c>
      <c r="R481">
        <v>148</v>
      </c>
      <c r="S481">
        <v>87</v>
      </c>
      <c r="T481">
        <v>40</v>
      </c>
      <c r="U481">
        <v>1679</v>
      </c>
    </row>
    <row r="482" spans="1:21" x14ac:dyDescent="0.25">
      <c r="A482">
        <v>2025</v>
      </c>
      <c r="B482">
        <v>3</v>
      </c>
      <c r="C482" t="s">
        <v>63</v>
      </c>
      <c r="D482" t="s">
        <v>45</v>
      </c>
      <c r="E482" t="s">
        <v>65</v>
      </c>
      <c r="F482" t="s">
        <v>29</v>
      </c>
      <c r="G482" t="s">
        <v>26</v>
      </c>
      <c r="H482" t="s">
        <v>26</v>
      </c>
      <c r="I482" t="s">
        <v>25</v>
      </c>
      <c r="J482">
        <v>86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</row>
    <row r="483" spans="1:21" x14ac:dyDescent="0.25">
      <c r="A483">
        <v>2025</v>
      </c>
      <c r="B483">
        <v>3</v>
      </c>
      <c r="C483" t="s">
        <v>66</v>
      </c>
      <c r="D483" t="s">
        <v>22</v>
      </c>
      <c r="E483" t="s">
        <v>32</v>
      </c>
      <c r="F483" t="s">
        <v>24</v>
      </c>
      <c r="G483" t="s">
        <v>25</v>
      </c>
      <c r="H483" t="s">
        <v>25</v>
      </c>
      <c r="I483" t="s">
        <v>25</v>
      </c>
      <c r="J483">
        <v>910</v>
      </c>
      <c r="K483">
        <v>2</v>
      </c>
      <c r="L483">
        <v>0</v>
      </c>
      <c r="M483">
        <v>2</v>
      </c>
      <c r="N483">
        <v>213</v>
      </c>
      <c r="O483">
        <v>166</v>
      </c>
      <c r="P483">
        <v>148</v>
      </c>
      <c r="Q483">
        <v>103</v>
      </c>
      <c r="R483">
        <v>64</v>
      </c>
      <c r="S483">
        <v>28</v>
      </c>
      <c r="T483">
        <v>9</v>
      </c>
      <c r="U483">
        <v>908</v>
      </c>
    </row>
    <row r="484" spans="1:21" x14ac:dyDescent="0.25">
      <c r="A484">
        <v>2025</v>
      </c>
      <c r="B484">
        <v>3</v>
      </c>
      <c r="C484" t="s">
        <v>66</v>
      </c>
      <c r="D484" t="s">
        <v>22</v>
      </c>
      <c r="E484" t="s">
        <v>34</v>
      </c>
      <c r="F484" t="s">
        <v>24</v>
      </c>
      <c r="G484" t="s">
        <v>25</v>
      </c>
      <c r="H484" t="s">
        <v>26</v>
      </c>
      <c r="I484" t="s">
        <v>26</v>
      </c>
      <c r="J484">
        <v>62</v>
      </c>
      <c r="K484">
        <v>0</v>
      </c>
      <c r="L484">
        <v>0</v>
      </c>
      <c r="M484">
        <v>0</v>
      </c>
      <c r="N484">
        <v>10</v>
      </c>
      <c r="O484">
        <v>5</v>
      </c>
      <c r="P484">
        <v>5</v>
      </c>
      <c r="Q484">
        <v>5</v>
      </c>
      <c r="R484">
        <v>2</v>
      </c>
      <c r="S484">
        <v>0</v>
      </c>
      <c r="T484">
        <v>0</v>
      </c>
      <c r="U484">
        <v>62</v>
      </c>
    </row>
    <row r="485" spans="1:21" x14ac:dyDescent="0.25">
      <c r="A485">
        <v>2025</v>
      </c>
      <c r="B485">
        <v>3</v>
      </c>
      <c r="C485" t="s">
        <v>66</v>
      </c>
      <c r="D485" t="s">
        <v>22</v>
      </c>
      <c r="E485" t="s">
        <v>23</v>
      </c>
      <c r="F485" t="s">
        <v>24</v>
      </c>
      <c r="G485" t="s">
        <v>25</v>
      </c>
      <c r="H485" t="s">
        <v>26</v>
      </c>
      <c r="I485" t="s">
        <v>25</v>
      </c>
      <c r="J485">
        <v>62</v>
      </c>
      <c r="K485">
        <v>0</v>
      </c>
      <c r="L485">
        <v>0</v>
      </c>
      <c r="M485">
        <v>0</v>
      </c>
      <c r="N485">
        <v>10</v>
      </c>
      <c r="O485">
        <v>5</v>
      </c>
      <c r="P485">
        <v>5</v>
      </c>
      <c r="Q485">
        <v>5</v>
      </c>
      <c r="R485">
        <v>2</v>
      </c>
      <c r="S485">
        <v>0</v>
      </c>
      <c r="T485">
        <v>0</v>
      </c>
      <c r="U485">
        <v>62</v>
      </c>
    </row>
    <row r="486" spans="1:21" x14ac:dyDescent="0.25">
      <c r="A486">
        <v>2025</v>
      </c>
      <c r="B486">
        <v>3</v>
      </c>
      <c r="C486" t="s">
        <v>67</v>
      </c>
      <c r="D486" t="s">
        <v>22</v>
      </c>
      <c r="E486" t="s">
        <v>68</v>
      </c>
      <c r="F486" t="s">
        <v>28</v>
      </c>
      <c r="G486" t="s">
        <v>25</v>
      </c>
      <c r="H486" t="s">
        <v>25</v>
      </c>
      <c r="I486" t="s">
        <v>25</v>
      </c>
      <c r="J486">
        <v>1431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1431</v>
      </c>
    </row>
    <row r="487" spans="1:21" x14ac:dyDescent="0.25">
      <c r="A487">
        <v>2025</v>
      </c>
      <c r="B487">
        <v>3</v>
      </c>
      <c r="C487" t="s">
        <v>67</v>
      </c>
      <c r="D487" t="s">
        <v>22</v>
      </c>
      <c r="E487" t="s">
        <v>68</v>
      </c>
      <c r="F487" t="s">
        <v>24</v>
      </c>
      <c r="G487" t="s">
        <v>25</v>
      </c>
      <c r="H487" t="s">
        <v>25</v>
      </c>
      <c r="I487" t="s">
        <v>25</v>
      </c>
      <c r="J487">
        <v>91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91</v>
      </c>
    </row>
    <row r="488" spans="1:21" x14ac:dyDescent="0.25">
      <c r="A488">
        <v>2025</v>
      </c>
      <c r="B488">
        <v>3</v>
      </c>
      <c r="C488" t="s">
        <v>69</v>
      </c>
      <c r="D488" t="s">
        <v>22</v>
      </c>
      <c r="E488" t="s">
        <v>32</v>
      </c>
      <c r="F488" t="s">
        <v>28</v>
      </c>
      <c r="G488" t="s">
        <v>25</v>
      </c>
      <c r="H488" t="s">
        <v>26</v>
      </c>
      <c r="I488" t="s">
        <v>25</v>
      </c>
      <c r="J488">
        <v>2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2</v>
      </c>
    </row>
    <row r="489" spans="1:21" x14ac:dyDescent="0.25">
      <c r="A489">
        <v>2025</v>
      </c>
      <c r="B489">
        <v>3</v>
      </c>
      <c r="C489" t="s">
        <v>69</v>
      </c>
      <c r="D489" t="s">
        <v>22</v>
      </c>
      <c r="E489" t="s">
        <v>32</v>
      </c>
      <c r="F489" t="s">
        <v>24</v>
      </c>
      <c r="G489" t="s">
        <v>25</v>
      </c>
      <c r="H489" t="s">
        <v>26</v>
      </c>
      <c r="I489" t="s">
        <v>25</v>
      </c>
      <c r="J489">
        <v>1917</v>
      </c>
      <c r="K489">
        <v>16</v>
      </c>
      <c r="L489">
        <v>71</v>
      </c>
      <c r="M489">
        <v>87</v>
      </c>
      <c r="N489">
        <v>264</v>
      </c>
      <c r="O489">
        <v>199</v>
      </c>
      <c r="P489">
        <v>168</v>
      </c>
      <c r="Q489">
        <v>95</v>
      </c>
      <c r="R489">
        <v>62</v>
      </c>
      <c r="S489">
        <v>39</v>
      </c>
      <c r="T489">
        <v>14</v>
      </c>
      <c r="U489">
        <v>1847</v>
      </c>
    </row>
    <row r="490" spans="1:21" x14ac:dyDescent="0.25">
      <c r="A490">
        <v>2025</v>
      </c>
      <c r="B490">
        <v>3</v>
      </c>
      <c r="C490" t="s">
        <v>69</v>
      </c>
      <c r="D490" t="s">
        <v>22</v>
      </c>
      <c r="E490" t="s">
        <v>38</v>
      </c>
      <c r="F490" t="s">
        <v>24</v>
      </c>
      <c r="G490" t="s">
        <v>25</v>
      </c>
      <c r="H490" t="s">
        <v>25</v>
      </c>
      <c r="I490" t="s">
        <v>25</v>
      </c>
      <c r="J490">
        <v>281</v>
      </c>
      <c r="K490">
        <v>4</v>
      </c>
      <c r="L490">
        <v>6</v>
      </c>
      <c r="M490">
        <v>10</v>
      </c>
      <c r="N490">
        <v>139</v>
      </c>
      <c r="O490">
        <v>96</v>
      </c>
      <c r="P490">
        <v>79</v>
      </c>
      <c r="Q490">
        <v>27</v>
      </c>
      <c r="R490">
        <v>16</v>
      </c>
      <c r="S490">
        <v>4</v>
      </c>
      <c r="T490">
        <v>0</v>
      </c>
      <c r="U490">
        <v>277</v>
      </c>
    </row>
    <row r="491" spans="1:21" x14ac:dyDescent="0.25">
      <c r="A491">
        <v>2025</v>
      </c>
      <c r="B491">
        <v>3</v>
      </c>
      <c r="C491" t="s">
        <v>69</v>
      </c>
      <c r="D491" t="s">
        <v>22</v>
      </c>
      <c r="E491" t="s">
        <v>38</v>
      </c>
      <c r="F491" t="s">
        <v>24</v>
      </c>
      <c r="G491" t="s">
        <v>25</v>
      </c>
      <c r="H491" t="s">
        <v>26</v>
      </c>
      <c r="I491" t="s">
        <v>25</v>
      </c>
      <c r="J491">
        <v>1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1</v>
      </c>
    </row>
    <row r="492" spans="1:21" x14ac:dyDescent="0.25">
      <c r="A492">
        <v>2025</v>
      </c>
      <c r="B492">
        <v>3</v>
      </c>
      <c r="C492" t="s">
        <v>69</v>
      </c>
      <c r="D492" t="s">
        <v>22</v>
      </c>
      <c r="E492" t="s">
        <v>34</v>
      </c>
      <c r="F492" t="s">
        <v>24</v>
      </c>
      <c r="G492" t="s">
        <v>25</v>
      </c>
      <c r="H492" t="s">
        <v>26</v>
      </c>
      <c r="I492" t="s">
        <v>26</v>
      </c>
      <c r="J492">
        <v>184</v>
      </c>
      <c r="K492">
        <v>1</v>
      </c>
      <c r="L492">
        <v>0</v>
      </c>
      <c r="M492">
        <v>1</v>
      </c>
      <c r="N492">
        <v>36</v>
      </c>
      <c r="O492">
        <v>31</v>
      </c>
      <c r="P492">
        <v>29</v>
      </c>
      <c r="Q492">
        <v>28</v>
      </c>
      <c r="R492">
        <v>24</v>
      </c>
      <c r="S492">
        <v>21</v>
      </c>
      <c r="T492">
        <v>10</v>
      </c>
      <c r="U492">
        <v>183</v>
      </c>
    </row>
    <row r="493" spans="1:21" x14ac:dyDescent="0.25">
      <c r="A493">
        <v>2025</v>
      </c>
      <c r="B493">
        <v>3</v>
      </c>
      <c r="C493" t="s">
        <v>69</v>
      </c>
      <c r="D493" t="s">
        <v>22</v>
      </c>
      <c r="E493" t="s">
        <v>23</v>
      </c>
      <c r="F493" t="s">
        <v>28</v>
      </c>
      <c r="G493" t="s">
        <v>25</v>
      </c>
      <c r="H493" t="s">
        <v>26</v>
      </c>
      <c r="I493" t="s">
        <v>25</v>
      </c>
      <c r="J493">
        <v>11765</v>
      </c>
      <c r="K493">
        <v>25</v>
      </c>
      <c r="L493">
        <v>188</v>
      </c>
      <c r="M493">
        <v>213</v>
      </c>
      <c r="N493">
        <v>26</v>
      </c>
      <c r="O493">
        <v>19</v>
      </c>
      <c r="P493">
        <v>13</v>
      </c>
      <c r="Q493">
        <v>6</v>
      </c>
      <c r="R493">
        <v>6</v>
      </c>
      <c r="S493">
        <v>3</v>
      </c>
      <c r="T493">
        <v>1</v>
      </c>
      <c r="U493">
        <v>11589</v>
      </c>
    </row>
    <row r="494" spans="1:21" x14ac:dyDescent="0.25">
      <c r="A494">
        <v>2025</v>
      </c>
      <c r="B494">
        <v>3</v>
      </c>
      <c r="C494" t="s">
        <v>69</v>
      </c>
      <c r="D494" t="s">
        <v>22</v>
      </c>
      <c r="E494" t="s">
        <v>23</v>
      </c>
      <c r="F494" t="s">
        <v>24</v>
      </c>
      <c r="G494" t="s">
        <v>25</v>
      </c>
      <c r="H494" t="s">
        <v>26</v>
      </c>
      <c r="I494" t="s">
        <v>25</v>
      </c>
      <c r="J494">
        <v>1187</v>
      </c>
      <c r="K494">
        <v>23</v>
      </c>
      <c r="L494">
        <v>19</v>
      </c>
      <c r="M494">
        <v>42</v>
      </c>
      <c r="N494">
        <v>185</v>
      </c>
      <c r="O494">
        <v>123</v>
      </c>
      <c r="P494">
        <v>116</v>
      </c>
      <c r="Q494">
        <v>85</v>
      </c>
      <c r="R494">
        <v>58</v>
      </c>
      <c r="S494">
        <v>35</v>
      </c>
      <c r="T494">
        <v>17</v>
      </c>
      <c r="U494">
        <v>1153</v>
      </c>
    </row>
    <row r="495" spans="1:21" x14ac:dyDescent="0.25">
      <c r="A495">
        <v>2025</v>
      </c>
      <c r="B495">
        <v>3</v>
      </c>
      <c r="C495" t="s">
        <v>69</v>
      </c>
      <c r="D495" t="s">
        <v>22</v>
      </c>
      <c r="E495" t="s">
        <v>23</v>
      </c>
      <c r="F495" t="s">
        <v>29</v>
      </c>
      <c r="G495" t="s">
        <v>25</v>
      </c>
      <c r="H495" t="s">
        <v>26</v>
      </c>
      <c r="I495" t="s">
        <v>25</v>
      </c>
      <c r="J495">
        <v>1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</row>
    <row r="496" spans="1:21" x14ac:dyDescent="0.25">
      <c r="A496">
        <v>2025</v>
      </c>
      <c r="B496">
        <v>3</v>
      </c>
      <c r="C496" t="s">
        <v>69</v>
      </c>
      <c r="D496" t="s">
        <v>22</v>
      </c>
      <c r="E496" t="s">
        <v>39</v>
      </c>
      <c r="F496" t="s">
        <v>28</v>
      </c>
      <c r="G496" t="s">
        <v>26</v>
      </c>
      <c r="H496" t="s">
        <v>26</v>
      </c>
      <c r="I496" t="s">
        <v>25</v>
      </c>
      <c r="J496">
        <v>57</v>
      </c>
      <c r="K496">
        <v>1</v>
      </c>
      <c r="L496">
        <v>0</v>
      </c>
      <c r="M496">
        <v>1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56</v>
      </c>
    </row>
    <row r="497" spans="1:21" x14ac:dyDescent="0.25">
      <c r="A497">
        <v>2025</v>
      </c>
      <c r="B497">
        <v>3</v>
      </c>
      <c r="C497" t="s">
        <v>69</v>
      </c>
      <c r="D497" t="s">
        <v>22</v>
      </c>
      <c r="E497" t="s">
        <v>39</v>
      </c>
      <c r="F497" t="s">
        <v>24</v>
      </c>
      <c r="G497" t="s">
        <v>26</v>
      </c>
      <c r="H497" t="s">
        <v>26</v>
      </c>
      <c r="I497" t="s">
        <v>25</v>
      </c>
      <c r="J497">
        <v>1146</v>
      </c>
      <c r="K497">
        <v>59</v>
      </c>
      <c r="L497">
        <v>144</v>
      </c>
      <c r="M497">
        <v>203</v>
      </c>
      <c r="N497">
        <v>206</v>
      </c>
      <c r="O497">
        <v>158</v>
      </c>
      <c r="P497">
        <v>133</v>
      </c>
      <c r="Q497">
        <v>86</v>
      </c>
      <c r="R497">
        <v>53</v>
      </c>
      <c r="S497">
        <v>20</v>
      </c>
      <c r="T497">
        <v>3</v>
      </c>
      <c r="U497">
        <v>996</v>
      </c>
    </row>
    <row r="498" spans="1:21" x14ac:dyDescent="0.25">
      <c r="A498">
        <v>2025</v>
      </c>
      <c r="B498">
        <v>3</v>
      </c>
      <c r="C498" t="s">
        <v>69</v>
      </c>
      <c r="D498" t="s">
        <v>22</v>
      </c>
      <c r="E498" t="s">
        <v>40</v>
      </c>
      <c r="F498" t="s">
        <v>28</v>
      </c>
      <c r="G498" t="s">
        <v>25</v>
      </c>
      <c r="H498" t="s">
        <v>26</v>
      </c>
      <c r="I498" t="s">
        <v>25</v>
      </c>
      <c r="J498">
        <v>13244</v>
      </c>
      <c r="K498">
        <v>41</v>
      </c>
      <c r="L498">
        <v>242</v>
      </c>
      <c r="M498">
        <v>283</v>
      </c>
      <c r="N498">
        <v>34</v>
      </c>
      <c r="O498">
        <v>21</v>
      </c>
      <c r="P498">
        <v>16</v>
      </c>
      <c r="Q498">
        <v>9</v>
      </c>
      <c r="R498">
        <v>4</v>
      </c>
      <c r="S498">
        <v>2</v>
      </c>
      <c r="T498">
        <v>0</v>
      </c>
      <c r="U498">
        <v>13037</v>
      </c>
    </row>
    <row r="499" spans="1:21" x14ac:dyDescent="0.25">
      <c r="A499">
        <v>2025</v>
      </c>
      <c r="B499">
        <v>3</v>
      </c>
      <c r="C499" t="s">
        <v>69</v>
      </c>
      <c r="D499" t="s">
        <v>22</v>
      </c>
      <c r="E499" t="s">
        <v>40</v>
      </c>
      <c r="F499" t="s">
        <v>24</v>
      </c>
      <c r="G499" t="s">
        <v>25</v>
      </c>
      <c r="H499" t="s">
        <v>26</v>
      </c>
      <c r="I499" t="s">
        <v>25</v>
      </c>
      <c r="J499">
        <v>1046</v>
      </c>
      <c r="K499">
        <v>0</v>
      </c>
      <c r="L499">
        <v>42</v>
      </c>
      <c r="M499">
        <v>42</v>
      </c>
      <c r="N499">
        <v>39</v>
      </c>
      <c r="O499">
        <v>12</v>
      </c>
      <c r="P499">
        <v>9</v>
      </c>
      <c r="Q499">
        <v>6</v>
      </c>
      <c r="R499">
        <v>3</v>
      </c>
      <c r="S499">
        <v>0</v>
      </c>
      <c r="T499">
        <v>0</v>
      </c>
      <c r="U499">
        <v>1017</v>
      </c>
    </row>
    <row r="500" spans="1:21" x14ac:dyDescent="0.25">
      <c r="A500">
        <v>2025</v>
      </c>
      <c r="B500">
        <v>3</v>
      </c>
      <c r="C500" t="s">
        <v>69</v>
      </c>
      <c r="D500" t="s">
        <v>22</v>
      </c>
      <c r="E500" t="s">
        <v>40</v>
      </c>
      <c r="F500" t="s">
        <v>29</v>
      </c>
      <c r="G500" t="s">
        <v>25</v>
      </c>
      <c r="H500" t="s">
        <v>26</v>
      </c>
      <c r="I500" t="s">
        <v>25</v>
      </c>
      <c r="J500">
        <v>4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</row>
    <row r="501" spans="1:21" x14ac:dyDescent="0.25">
      <c r="A501">
        <v>2025</v>
      </c>
      <c r="B501">
        <v>3</v>
      </c>
      <c r="C501" t="s">
        <v>69</v>
      </c>
      <c r="D501" t="s">
        <v>22</v>
      </c>
      <c r="E501" t="s">
        <v>70</v>
      </c>
      <c r="F501" t="s">
        <v>28</v>
      </c>
      <c r="G501" t="s">
        <v>26</v>
      </c>
      <c r="H501" t="s">
        <v>26</v>
      </c>
      <c r="I501" t="s">
        <v>25</v>
      </c>
      <c r="J501">
        <v>52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52</v>
      </c>
    </row>
    <row r="502" spans="1:21" x14ac:dyDescent="0.25">
      <c r="A502">
        <v>2025</v>
      </c>
      <c r="B502">
        <v>3</v>
      </c>
      <c r="C502" t="s">
        <v>69</v>
      </c>
      <c r="D502" t="s">
        <v>22</v>
      </c>
      <c r="E502" t="s">
        <v>70</v>
      </c>
      <c r="F502" t="s">
        <v>24</v>
      </c>
      <c r="G502" t="s">
        <v>26</v>
      </c>
      <c r="H502" t="s">
        <v>26</v>
      </c>
      <c r="I502" t="s">
        <v>25</v>
      </c>
      <c r="J502">
        <v>847</v>
      </c>
      <c r="K502">
        <v>1</v>
      </c>
      <c r="L502">
        <v>13</v>
      </c>
      <c r="M502">
        <v>14</v>
      </c>
      <c r="N502">
        <v>127</v>
      </c>
      <c r="O502">
        <v>93</v>
      </c>
      <c r="P502">
        <v>89</v>
      </c>
      <c r="Q502">
        <v>74</v>
      </c>
      <c r="R502">
        <v>63</v>
      </c>
      <c r="S502">
        <v>32</v>
      </c>
      <c r="T502">
        <v>9</v>
      </c>
      <c r="U502">
        <v>839</v>
      </c>
    </row>
    <row r="503" spans="1:21" x14ac:dyDescent="0.25">
      <c r="A503">
        <v>2025</v>
      </c>
      <c r="B503">
        <v>3</v>
      </c>
      <c r="C503" t="s">
        <v>69</v>
      </c>
      <c r="D503" t="s">
        <v>22</v>
      </c>
      <c r="E503" t="s">
        <v>70</v>
      </c>
      <c r="F503" t="s">
        <v>29</v>
      </c>
      <c r="G503" t="s">
        <v>26</v>
      </c>
      <c r="H503" t="s">
        <v>26</v>
      </c>
      <c r="I503" t="s">
        <v>25</v>
      </c>
      <c r="J503">
        <v>13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</row>
    <row r="504" spans="1:21" x14ac:dyDescent="0.25">
      <c r="A504">
        <v>2025</v>
      </c>
      <c r="B504">
        <v>3</v>
      </c>
      <c r="C504" t="s">
        <v>69</v>
      </c>
      <c r="D504" t="s">
        <v>22</v>
      </c>
      <c r="E504" t="s">
        <v>35</v>
      </c>
      <c r="F504" t="s">
        <v>24</v>
      </c>
      <c r="G504" t="s">
        <v>25</v>
      </c>
      <c r="H504" t="s">
        <v>26</v>
      </c>
      <c r="I504" t="s">
        <v>26</v>
      </c>
      <c r="J504">
        <v>304</v>
      </c>
      <c r="K504">
        <v>8</v>
      </c>
      <c r="L504">
        <v>1</v>
      </c>
      <c r="M504">
        <v>9</v>
      </c>
      <c r="N504">
        <v>91</v>
      </c>
      <c r="O504">
        <v>71</v>
      </c>
      <c r="P504">
        <v>66</v>
      </c>
      <c r="Q504">
        <v>57</v>
      </c>
      <c r="R504">
        <v>47</v>
      </c>
      <c r="S504">
        <v>39</v>
      </c>
      <c r="T504">
        <v>25</v>
      </c>
      <c r="U504">
        <v>295</v>
      </c>
    </row>
    <row r="505" spans="1:21" x14ac:dyDescent="0.25">
      <c r="A505">
        <v>2025</v>
      </c>
      <c r="B505">
        <v>3</v>
      </c>
      <c r="C505" t="s">
        <v>69</v>
      </c>
      <c r="D505" t="s">
        <v>22</v>
      </c>
      <c r="E505" t="s">
        <v>41</v>
      </c>
      <c r="F505" t="s">
        <v>24</v>
      </c>
      <c r="G505" t="s">
        <v>26</v>
      </c>
      <c r="H505" t="s">
        <v>26</v>
      </c>
      <c r="I505" t="s">
        <v>25</v>
      </c>
      <c r="J505">
        <v>372</v>
      </c>
      <c r="K505">
        <v>0</v>
      </c>
      <c r="L505">
        <v>3</v>
      </c>
      <c r="M505">
        <v>3</v>
      </c>
      <c r="N505">
        <v>26</v>
      </c>
      <c r="O505">
        <v>19</v>
      </c>
      <c r="P505">
        <v>18</v>
      </c>
      <c r="Q505">
        <v>11</v>
      </c>
      <c r="R505">
        <v>10</v>
      </c>
      <c r="S505">
        <v>6</v>
      </c>
      <c r="T505">
        <v>0</v>
      </c>
      <c r="U505">
        <v>371</v>
      </c>
    </row>
    <row r="506" spans="1:21" x14ac:dyDescent="0.25">
      <c r="A506">
        <v>2025</v>
      </c>
      <c r="B506">
        <v>3</v>
      </c>
      <c r="C506" t="s">
        <v>71</v>
      </c>
      <c r="D506" t="s">
        <v>22</v>
      </c>
      <c r="E506" t="s">
        <v>34</v>
      </c>
      <c r="F506" t="s">
        <v>24</v>
      </c>
      <c r="G506" t="s">
        <v>25</v>
      </c>
      <c r="H506" t="s">
        <v>26</v>
      </c>
      <c r="I506" t="s">
        <v>26</v>
      </c>
      <c r="J506">
        <v>54</v>
      </c>
      <c r="K506">
        <v>0</v>
      </c>
      <c r="L506">
        <v>0</v>
      </c>
      <c r="M506">
        <v>0</v>
      </c>
      <c r="N506">
        <v>20</v>
      </c>
      <c r="O506">
        <v>20</v>
      </c>
      <c r="P506">
        <v>19</v>
      </c>
      <c r="Q506">
        <v>18</v>
      </c>
      <c r="R506">
        <v>13</v>
      </c>
      <c r="S506">
        <v>9</v>
      </c>
      <c r="T506">
        <v>3</v>
      </c>
      <c r="U506">
        <v>54</v>
      </c>
    </row>
    <row r="507" spans="1:21" x14ac:dyDescent="0.25">
      <c r="A507">
        <v>2025</v>
      </c>
      <c r="B507">
        <v>3</v>
      </c>
      <c r="C507" t="s">
        <v>71</v>
      </c>
      <c r="D507" t="s">
        <v>22</v>
      </c>
      <c r="E507" t="s">
        <v>23</v>
      </c>
      <c r="F507" t="s">
        <v>24</v>
      </c>
      <c r="G507" t="s">
        <v>25</v>
      </c>
      <c r="H507" t="s">
        <v>26</v>
      </c>
      <c r="I507" t="s">
        <v>25</v>
      </c>
      <c r="J507">
        <v>4</v>
      </c>
      <c r="K507">
        <v>0</v>
      </c>
      <c r="L507">
        <v>0</v>
      </c>
      <c r="M507">
        <v>0</v>
      </c>
      <c r="N507">
        <v>2</v>
      </c>
      <c r="O507">
        <v>1</v>
      </c>
      <c r="P507">
        <v>1</v>
      </c>
      <c r="Q507">
        <v>1</v>
      </c>
      <c r="R507">
        <v>1</v>
      </c>
      <c r="S507">
        <v>1</v>
      </c>
      <c r="T507">
        <v>0</v>
      </c>
      <c r="U507">
        <v>4</v>
      </c>
    </row>
    <row r="508" spans="1:21" x14ac:dyDescent="0.25">
      <c r="A508">
        <v>2025</v>
      </c>
      <c r="B508">
        <v>3</v>
      </c>
      <c r="C508" t="s">
        <v>72</v>
      </c>
      <c r="D508" t="s">
        <v>22</v>
      </c>
      <c r="E508" t="s">
        <v>54</v>
      </c>
      <c r="F508" t="s">
        <v>24</v>
      </c>
      <c r="G508" t="s">
        <v>25</v>
      </c>
      <c r="H508" t="s">
        <v>25</v>
      </c>
      <c r="I508" t="s">
        <v>25</v>
      </c>
      <c r="J508">
        <v>778</v>
      </c>
      <c r="K508">
        <v>11</v>
      </c>
      <c r="L508">
        <v>12</v>
      </c>
      <c r="M508">
        <v>23</v>
      </c>
      <c r="N508">
        <v>191</v>
      </c>
      <c r="O508">
        <v>117</v>
      </c>
      <c r="P508">
        <v>99</v>
      </c>
      <c r="Q508">
        <v>46</v>
      </c>
      <c r="R508">
        <v>26</v>
      </c>
      <c r="S508">
        <v>7</v>
      </c>
      <c r="T508">
        <v>0</v>
      </c>
      <c r="U508">
        <v>759</v>
      </c>
    </row>
    <row r="509" spans="1:21" x14ac:dyDescent="0.25">
      <c r="A509">
        <v>2025</v>
      </c>
      <c r="B509">
        <v>3</v>
      </c>
      <c r="C509" t="s">
        <v>72</v>
      </c>
      <c r="D509" t="s">
        <v>22</v>
      </c>
      <c r="E509" t="s">
        <v>55</v>
      </c>
      <c r="F509" t="s">
        <v>24</v>
      </c>
      <c r="G509" t="s">
        <v>25</v>
      </c>
      <c r="H509" t="s">
        <v>25</v>
      </c>
      <c r="I509" t="s">
        <v>25</v>
      </c>
      <c r="J509">
        <v>723</v>
      </c>
      <c r="K509">
        <v>3</v>
      </c>
      <c r="L509">
        <v>2</v>
      </c>
      <c r="M509">
        <v>5</v>
      </c>
      <c r="N509">
        <v>201</v>
      </c>
      <c r="O509">
        <v>131</v>
      </c>
      <c r="P509">
        <v>117</v>
      </c>
      <c r="Q509">
        <v>66</v>
      </c>
      <c r="R509">
        <v>42</v>
      </c>
      <c r="S509">
        <v>17</v>
      </c>
      <c r="T509">
        <v>0</v>
      </c>
      <c r="U509">
        <v>719</v>
      </c>
    </row>
    <row r="510" spans="1:21" x14ac:dyDescent="0.25">
      <c r="A510">
        <v>2025</v>
      </c>
      <c r="B510">
        <v>3</v>
      </c>
      <c r="C510" t="s">
        <v>72</v>
      </c>
      <c r="D510" t="s">
        <v>22</v>
      </c>
      <c r="E510" t="s">
        <v>23</v>
      </c>
      <c r="F510" t="s">
        <v>28</v>
      </c>
      <c r="G510" t="s">
        <v>25</v>
      </c>
      <c r="H510" t="s">
        <v>26</v>
      </c>
      <c r="I510" t="s">
        <v>25</v>
      </c>
      <c r="J510">
        <v>24510</v>
      </c>
      <c r="K510">
        <v>75</v>
      </c>
      <c r="L510">
        <v>525</v>
      </c>
      <c r="M510">
        <v>600</v>
      </c>
      <c r="N510">
        <v>4455</v>
      </c>
      <c r="O510">
        <v>2713</v>
      </c>
      <c r="P510">
        <v>2209</v>
      </c>
      <c r="Q510">
        <v>1148</v>
      </c>
      <c r="R510">
        <v>617</v>
      </c>
      <c r="S510">
        <v>118</v>
      </c>
      <c r="T510">
        <v>4</v>
      </c>
      <c r="U510">
        <v>24139</v>
      </c>
    </row>
    <row r="511" spans="1:21" x14ac:dyDescent="0.25">
      <c r="A511">
        <v>2025</v>
      </c>
      <c r="B511">
        <v>3</v>
      </c>
      <c r="C511" t="s">
        <v>72</v>
      </c>
      <c r="D511" t="s">
        <v>22</v>
      </c>
      <c r="E511" t="s">
        <v>23</v>
      </c>
      <c r="F511" t="s">
        <v>24</v>
      </c>
      <c r="G511" t="s">
        <v>25</v>
      </c>
      <c r="H511" t="s">
        <v>26</v>
      </c>
      <c r="I511" t="s">
        <v>25</v>
      </c>
      <c r="J511">
        <v>2767</v>
      </c>
      <c r="K511">
        <v>16</v>
      </c>
      <c r="L511">
        <v>11</v>
      </c>
      <c r="M511">
        <v>27</v>
      </c>
      <c r="N511">
        <v>361</v>
      </c>
      <c r="O511">
        <v>216</v>
      </c>
      <c r="P511">
        <v>180</v>
      </c>
      <c r="Q511">
        <v>85</v>
      </c>
      <c r="R511">
        <v>50</v>
      </c>
      <c r="S511">
        <v>12</v>
      </c>
      <c r="T511">
        <v>0</v>
      </c>
      <c r="U511">
        <v>2743</v>
      </c>
    </row>
    <row r="512" spans="1:21" x14ac:dyDescent="0.25">
      <c r="A512">
        <v>2025</v>
      </c>
      <c r="B512">
        <v>3</v>
      </c>
      <c r="C512" t="s">
        <v>72</v>
      </c>
      <c r="D512" t="s">
        <v>22</v>
      </c>
      <c r="E512" t="s">
        <v>23</v>
      </c>
      <c r="F512" t="s">
        <v>29</v>
      </c>
      <c r="G512" t="s">
        <v>25</v>
      </c>
      <c r="H512" t="s">
        <v>26</v>
      </c>
      <c r="I512" t="s">
        <v>25</v>
      </c>
      <c r="J512">
        <v>1</v>
      </c>
      <c r="K512">
        <v>1</v>
      </c>
      <c r="L512">
        <v>0</v>
      </c>
      <c r="M512">
        <v>1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</row>
    <row r="513" spans="1:21" x14ac:dyDescent="0.25">
      <c r="A513">
        <v>2025</v>
      </c>
      <c r="B513">
        <v>3</v>
      </c>
      <c r="C513" t="s">
        <v>72</v>
      </c>
      <c r="D513" t="s">
        <v>22</v>
      </c>
      <c r="E513" t="s">
        <v>39</v>
      </c>
      <c r="F513" t="s">
        <v>24</v>
      </c>
      <c r="G513" t="s">
        <v>26</v>
      </c>
      <c r="H513" t="s">
        <v>26</v>
      </c>
      <c r="I513" t="s">
        <v>25</v>
      </c>
      <c r="J513">
        <v>446</v>
      </c>
      <c r="K513">
        <v>13</v>
      </c>
      <c r="L513">
        <v>1</v>
      </c>
      <c r="M513">
        <v>14</v>
      </c>
      <c r="N513">
        <v>200</v>
      </c>
      <c r="O513">
        <v>147</v>
      </c>
      <c r="P513">
        <v>122</v>
      </c>
      <c r="Q513">
        <v>82</v>
      </c>
      <c r="R513">
        <v>51</v>
      </c>
      <c r="S513">
        <v>24</v>
      </c>
      <c r="T513">
        <v>4</v>
      </c>
      <c r="U513">
        <v>433</v>
      </c>
    </row>
    <row r="514" spans="1:21" x14ac:dyDescent="0.25">
      <c r="A514">
        <v>2025</v>
      </c>
      <c r="B514">
        <v>3</v>
      </c>
      <c r="C514" t="s">
        <v>72</v>
      </c>
      <c r="D514" t="s">
        <v>22</v>
      </c>
      <c r="E514" t="s">
        <v>73</v>
      </c>
      <c r="F514" t="s">
        <v>28</v>
      </c>
      <c r="G514" t="s">
        <v>25</v>
      </c>
      <c r="H514" t="s">
        <v>25</v>
      </c>
      <c r="I514" t="s">
        <v>25</v>
      </c>
      <c r="J514">
        <v>14920</v>
      </c>
      <c r="K514">
        <v>22</v>
      </c>
      <c r="L514">
        <v>67</v>
      </c>
      <c r="M514">
        <v>89</v>
      </c>
      <c r="N514">
        <v>2141</v>
      </c>
      <c r="O514">
        <v>1142</v>
      </c>
      <c r="P514">
        <v>845</v>
      </c>
      <c r="Q514">
        <v>377</v>
      </c>
      <c r="R514">
        <v>190</v>
      </c>
      <c r="S514">
        <v>36</v>
      </c>
      <c r="T514">
        <v>3</v>
      </c>
      <c r="U514">
        <v>14852</v>
      </c>
    </row>
    <row r="515" spans="1:21" x14ac:dyDescent="0.25">
      <c r="A515">
        <v>2025</v>
      </c>
      <c r="B515">
        <v>3</v>
      </c>
      <c r="C515" t="s">
        <v>72</v>
      </c>
      <c r="D515" t="s">
        <v>22</v>
      </c>
      <c r="E515" t="s">
        <v>73</v>
      </c>
      <c r="F515" t="s">
        <v>24</v>
      </c>
      <c r="G515" t="s">
        <v>25</v>
      </c>
      <c r="H515" t="s">
        <v>25</v>
      </c>
      <c r="I515" t="s">
        <v>25</v>
      </c>
      <c r="J515">
        <v>3797</v>
      </c>
      <c r="K515">
        <v>13</v>
      </c>
      <c r="L515">
        <v>16</v>
      </c>
      <c r="M515">
        <v>29</v>
      </c>
      <c r="N515">
        <v>238</v>
      </c>
      <c r="O515">
        <v>134</v>
      </c>
      <c r="P515">
        <v>103</v>
      </c>
      <c r="Q515">
        <v>46</v>
      </c>
      <c r="R515">
        <v>20</v>
      </c>
      <c r="S515">
        <v>2</v>
      </c>
      <c r="T515">
        <v>0</v>
      </c>
      <c r="U515">
        <v>3784</v>
      </c>
    </row>
    <row r="516" spans="1:21" x14ac:dyDescent="0.25">
      <c r="A516">
        <v>2025</v>
      </c>
      <c r="B516">
        <v>3</v>
      </c>
      <c r="C516" t="s">
        <v>72</v>
      </c>
      <c r="D516" t="s">
        <v>22</v>
      </c>
      <c r="E516" t="s">
        <v>35</v>
      </c>
      <c r="F516" t="s">
        <v>24</v>
      </c>
      <c r="G516" t="s">
        <v>25</v>
      </c>
      <c r="H516" t="s">
        <v>26</v>
      </c>
      <c r="I516" t="s">
        <v>26</v>
      </c>
      <c r="J516">
        <v>47</v>
      </c>
      <c r="K516">
        <v>11</v>
      </c>
      <c r="L516">
        <v>0</v>
      </c>
      <c r="M516">
        <v>11</v>
      </c>
      <c r="N516">
        <v>11</v>
      </c>
      <c r="O516">
        <v>6</v>
      </c>
      <c r="P516">
        <v>6</v>
      </c>
      <c r="Q516">
        <v>6</v>
      </c>
      <c r="R516">
        <v>6</v>
      </c>
      <c r="S516">
        <v>1</v>
      </c>
      <c r="T516">
        <v>1</v>
      </c>
      <c r="U516">
        <v>36</v>
      </c>
    </row>
    <row r="517" spans="1:21" x14ac:dyDescent="0.25">
      <c r="A517">
        <v>2025</v>
      </c>
      <c r="B517">
        <v>3</v>
      </c>
      <c r="C517" t="s">
        <v>72</v>
      </c>
      <c r="D517" t="s">
        <v>22</v>
      </c>
      <c r="E517" t="s">
        <v>74</v>
      </c>
      <c r="F517" t="s">
        <v>28</v>
      </c>
      <c r="G517" t="s">
        <v>25</v>
      </c>
      <c r="H517" t="s">
        <v>25</v>
      </c>
      <c r="I517" t="s">
        <v>25</v>
      </c>
      <c r="J517">
        <v>3595</v>
      </c>
      <c r="K517">
        <v>23</v>
      </c>
      <c r="L517">
        <v>18</v>
      </c>
      <c r="M517">
        <v>41</v>
      </c>
      <c r="N517">
        <v>679</v>
      </c>
      <c r="O517">
        <v>400</v>
      </c>
      <c r="P517">
        <v>309</v>
      </c>
      <c r="Q517">
        <v>136</v>
      </c>
      <c r="R517">
        <v>57</v>
      </c>
      <c r="S517">
        <v>9</v>
      </c>
      <c r="T517">
        <v>1</v>
      </c>
      <c r="U517">
        <v>3560</v>
      </c>
    </row>
    <row r="518" spans="1:21" x14ac:dyDescent="0.25">
      <c r="A518">
        <v>2025</v>
      </c>
      <c r="B518">
        <v>3</v>
      </c>
      <c r="C518" t="s">
        <v>72</v>
      </c>
      <c r="D518" t="s">
        <v>22</v>
      </c>
      <c r="E518" t="s">
        <v>74</v>
      </c>
      <c r="F518" t="s">
        <v>24</v>
      </c>
      <c r="G518" t="s">
        <v>25</v>
      </c>
      <c r="H518" t="s">
        <v>25</v>
      </c>
      <c r="I518" t="s">
        <v>25</v>
      </c>
      <c r="J518">
        <v>205</v>
      </c>
      <c r="K518">
        <v>0</v>
      </c>
      <c r="L518">
        <v>1</v>
      </c>
      <c r="M518">
        <v>1</v>
      </c>
      <c r="N518">
        <v>19</v>
      </c>
      <c r="O518">
        <v>9</v>
      </c>
      <c r="P518">
        <v>9</v>
      </c>
      <c r="Q518">
        <v>3</v>
      </c>
      <c r="R518">
        <v>2</v>
      </c>
      <c r="S518">
        <v>0</v>
      </c>
      <c r="T518">
        <v>0</v>
      </c>
      <c r="U518">
        <v>205</v>
      </c>
    </row>
    <row r="519" spans="1:21" x14ac:dyDescent="0.25">
      <c r="A519">
        <v>2025</v>
      </c>
      <c r="B519">
        <v>3</v>
      </c>
      <c r="C519" t="s">
        <v>72</v>
      </c>
      <c r="D519" t="s">
        <v>22</v>
      </c>
      <c r="E519" t="s">
        <v>58</v>
      </c>
      <c r="F519" t="s">
        <v>28</v>
      </c>
      <c r="G519" t="s">
        <v>25</v>
      </c>
      <c r="H519" t="s">
        <v>25</v>
      </c>
      <c r="I519" t="s">
        <v>25</v>
      </c>
      <c r="J519">
        <v>22251</v>
      </c>
      <c r="K519">
        <v>67</v>
      </c>
      <c r="L519">
        <v>191</v>
      </c>
      <c r="M519">
        <v>258</v>
      </c>
      <c r="N519">
        <v>3204</v>
      </c>
      <c r="O519">
        <v>1753</v>
      </c>
      <c r="P519">
        <v>1366</v>
      </c>
      <c r="Q519">
        <v>642</v>
      </c>
      <c r="R519">
        <v>313</v>
      </c>
      <c r="S519">
        <v>71</v>
      </c>
      <c r="T519">
        <v>5</v>
      </c>
      <c r="U519">
        <v>22052</v>
      </c>
    </row>
    <row r="520" spans="1:21" x14ac:dyDescent="0.25">
      <c r="A520">
        <v>2025</v>
      </c>
      <c r="B520">
        <v>3</v>
      </c>
      <c r="C520" t="s">
        <v>72</v>
      </c>
      <c r="D520" t="s">
        <v>22</v>
      </c>
      <c r="E520" t="s">
        <v>58</v>
      </c>
      <c r="F520" t="s">
        <v>24</v>
      </c>
      <c r="G520" t="s">
        <v>25</v>
      </c>
      <c r="H520" t="s">
        <v>25</v>
      </c>
      <c r="I520" t="s">
        <v>25</v>
      </c>
      <c r="J520">
        <v>2982</v>
      </c>
      <c r="K520">
        <v>20</v>
      </c>
      <c r="L520">
        <v>62</v>
      </c>
      <c r="M520">
        <v>82</v>
      </c>
      <c r="N520">
        <v>703</v>
      </c>
      <c r="O520">
        <v>425</v>
      </c>
      <c r="P520">
        <v>324</v>
      </c>
      <c r="Q520">
        <v>142</v>
      </c>
      <c r="R520">
        <v>55</v>
      </c>
      <c r="S520">
        <v>10</v>
      </c>
      <c r="T520">
        <v>0</v>
      </c>
      <c r="U520">
        <v>2921</v>
      </c>
    </row>
    <row r="521" spans="1:21" x14ac:dyDescent="0.25">
      <c r="A521">
        <v>2025</v>
      </c>
      <c r="B521">
        <v>3</v>
      </c>
      <c r="C521" t="s">
        <v>72</v>
      </c>
      <c r="D521" t="s">
        <v>22</v>
      </c>
      <c r="E521" t="s">
        <v>27</v>
      </c>
      <c r="F521" t="s">
        <v>24</v>
      </c>
      <c r="G521" t="s">
        <v>26</v>
      </c>
      <c r="H521" t="s">
        <v>26</v>
      </c>
      <c r="I521" t="s">
        <v>25</v>
      </c>
      <c r="J521">
        <v>162</v>
      </c>
      <c r="K521">
        <v>0</v>
      </c>
      <c r="L521">
        <v>0</v>
      </c>
      <c r="M521">
        <v>0</v>
      </c>
      <c r="N521">
        <v>80</v>
      </c>
      <c r="O521">
        <v>53</v>
      </c>
      <c r="P521">
        <v>53</v>
      </c>
      <c r="Q521">
        <v>45</v>
      </c>
      <c r="R521">
        <v>31</v>
      </c>
      <c r="S521">
        <v>17</v>
      </c>
      <c r="T521">
        <v>3</v>
      </c>
      <c r="U521">
        <v>162</v>
      </c>
    </row>
    <row r="522" spans="1:21" x14ac:dyDescent="0.25">
      <c r="A522">
        <v>2025</v>
      </c>
      <c r="B522">
        <v>3</v>
      </c>
      <c r="C522" t="s">
        <v>75</v>
      </c>
      <c r="D522" t="s">
        <v>22</v>
      </c>
      <c r="E522" t="s">
        <v>23</v>
      </c>
      <c r="F522" t="s">
        <v>24</v>
      </c>
      <c r="G522" t="s">
        <v>25</v>
      </c>
      <c r="H522" t="s">
        <v>26</v>
      </c>
      <c r="I522" t="s">
        <v>25</v>
      </c>
      <c r="J522">
        <v>1574</v>
      </c>
      <c r="K522">
        <v>2</v>
      </c>
      <c r="L522">
        <v>14</v>
      </c>
      <c r="M522">
        <v>16</v>
      </c>
      <c r="N522">
        <v>103</v>
      </c>
      <c r="O522">
        <v>62</v>
      </c>
      <c r="P522">
        <v>47</v>
      </c>
      <c r="Q522">
        <v>15</v>
      </c>
      <c r="R522">
        <v>9</v>
      </c>
      <c r="S522">
        <v>1</v>
      </c>
      <c r="T522">
        <v>0</v>
      </c>
      <c r="U522">
        <v>1572</v>
      </c>
    </row>
    <row r="523" spans="1:21" x14ac:dyDescent="0.25">
      <c r="A523">
        <v>2025</v>
      </c>
      <c r="B523">
        <v>3</v>
      </c>
      <c r="C523" t="s">
        <v>75</v>
      </c>
      <c r="D523" t="s">
        <v>22</v>
      </c>
      <c r="E523" t="s">
        <v>39</v>
      </c>
      <c r="F523" t="s">
        <v>24</v>
      </c>
      <c r="G523" t="s">
        <v>26</v>
      </c>
      <c r="H523" t="s">
        <v>26</v>
      </c>
      <c r="I523" t="s">
        <v>25</v>
      </c>
      <c r="J523">
        <v>693</v>
      </c>
      <c r="K523">
        <v>5</v>
      </c>
      <c r="L523">
        <v>12</v>
      </c>
      <c r="M523">
        <v>17</v>
      </c>
      <c r="N523">
        <v>232</v>
      </c>
      <c r="O523">
        <v>139</v>
      </c>
      <c r="P523">
        <v>134</v>
      </c>
      <c r="Q523">
        <v>101</v>
      </c>
      <c r="R523">
        <v>73</v>
      </c>
      <c r="S523">
        <v>39</v>
      </c>
      <c r="T523">
        <v>16</v>
      </c>
      <c r="U523">
        <v>683</v>
      </c>
    </row>
    <row r="524" spans="1:21" x14ac:dyDescent="0.25">
      <c r="A524">
        <v>2025</v>
      </c>
      <c r="B524">
        <v>3</v>
      </c>
      <c r="C524" t="s">
        <v>75</v>
      </c>
      <c r="D524" t="s">
        <v>22</v>
      </c>
      <c r="E524" t="s">
        <v>39</v>
      </c>
      <c r="F524" t="s">
        <v>29</v>
      </c>
      <c r="G524" t="s">
        <v>26</v>
      </c>
      <c r="H524" t="s">
        <v>26</v>
      </c>
      <c r="I524" t="s">
        <v>25</v>
      </c>
      <c r="J524">
        <v>2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</row>
    <row r="525" spans="1:21" x14ac:dyDescent="0.25">
      <c r="A525">
        <v>2025</v>
      </c>
      <c r="B525">
        <v>3</v>
      </c>
      <c r="C525" t="s">
        <v>75</v>
      </c>
      <c r="D525" t="s">
        <v>22</v>
      </c>
      <c r="E525" t="s">
        <v>77</v>
      </c>
      <c r="F525" t="s">
        <v>28</v>
      </c>
      <c r="G525" t="s">
        <v>25</v>
      </c>
      <c r="H525" t="s">
        <v>26</v>
      </c>
      <c r="I525" t="s">
        <v>25</v>
      </c>
      <c r="J525">
        <v>2122</v>
      </c>
      <c r="K525">
        <v>11</v>
      </c>
      <c r="L525">
        <v>14</v>
      </c>
      <c r="M525">
        <v>25</v>
      </c>
      <c r="N525">
        <v>565</v>
      </c>
      <c r="O525">
        <v>358</v>
      </c>
      <c r="P525">
        <v>358</v>
      </c>
      <c r="Q525">
        <v>257</v>
      </c>
      <c r="R525">
        <v>209</v>
      </c>
      <c r="S525">
        <v>125</v>
      </c>
      <c r="T525">
        <v>56</v>
      </c>
      <c r="U525">
        <v>2107</v>
      </c>
    </row>
    <row r="526" spans="1:21" x14ac:dyDescent="0.25">
      <c r="A526">
        <v>2025</v>
      </c>
      <c r="B526">
        <v>3</v>
      </c>
      <c r="C526" t="s">
        <v>75</v>
      </c>
      <c r="D526" t="s">
        <v>22</v>
      </c>
      <c r="E526" t="s">
        <v>77</v>
      </c>
      <c r="F526" t="s">
        <v>29</v>
      </c>
      <c r="G526" t="s">
        <v>25</v>
      </c>
      <c r="H526" t="s">
        <v>26</v>
      </c>
      <c r="I526" t="s">
        <v>25</v>
      </c>
      <c r="J526">
        <v>27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</row>
    <row r="527" spans="1:21" x14ac:dyDescent="0.25">
      <c r="A527">
        <v>2025</v>
      </c>
      <c r="B527">
        <v>3</v>
      </c>
      <c r="C527" t="s">
        <v>75</v>
      </c>
      <c r="D527" t="s">
        <v>22</v>
      </c>
      <c r="E527" t="s">
        <v>78</v>
      </c>
      <c r="F527" t="s">
        <v>28</v>
      </c>
      <c r="G527" t="s">
        <v>25</v>
      </c>
      <c r="H527" t="s">
        <v>26</v>
      </c>
      <c r="I527" t="s">
        <v>26</v>
      </c>
      <c r="J527">
        <v>133</v>
      </c>
      <c r="K527">
        <v>2</v>
      </c>
      <c r="L527">
        <v>2</v>
      </c>
      <c r="M527">
        <v>4</v>
      </c>
      <c r="N527">
        <v>39</v>
      </c>
      <c r="O527">
        <v>29</v>
      </c>
      <c r="P527">
        <v>29</v>
      </c>
      <c r="Q527">
        <v>18</v>
      </c>
      <c r="R527">
        <v>14</v>
      </c>
      <c r="S527">
        <v>5</v>
      </c>
      <c r="T527">
        <v>2</v>
      </c>
      <c r="U527">
        <v>129</v>
      </c>
    </row>
    <row r="528" spans="1:21" x14ac:dyDescent="0.25">
      <c r="A528">
        <v>2025</v>
      </c>
      <c r="B528">
        <v>3</v>
      </c>
      <c r="C528" t="s">
        <v>75</v>
      </c>
      <c r="D528" t="s">
        <v>22</v>
      </c>
      <c r="E528" t="s">
        <v>78</v>
      </c>
      <c r="F528" t="s">
        <v>29</v>
      </c>
      <c r="G528" t="s">
        <v>25</v>
      </c>
      <c r="H528" t="s">
        <v>26</v>
      </c>
      <c r="I528" t="s">
        <v>26</v>
      </c>
      <c r="J528">
        <v>81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</row>
    <row r="529" spans="1:21" x14ac:dyDescent="0.25">
      <c r="A529">
        <v>2025</v>
      </c>
      <c r="B529">
        <v>3</v>
      </c>
      <c r="C529" t="s">
        <v>75</v>
      </c>
      <c r="D529" t="s">
        <v>22</v>
      </c>
      <c r="E529" t="s">
        <v>70</v>
      </c>
      <c r="F529" t="s">
        <v>28</v>
      </c>
      <c r="G529" t="s">
        <v>26</v>
      </c>
      <c r="H529" t="s">
        <v>26</v>
      </c>
      <c r="I529" t="s">
        <v>25</v>
      </c>
      <c r="J529">
        <v>2</v>
      </c>
      <c r="K529">
        <v>0</v>
      </c>
      <c r="L529">
        <v>0</v>
      </c>
      <c r="M529">
        <v>0</v>
      </c>
      <c r="N529">
        <v>1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2</v>
      </c>
    </row>
    <row r="530" spans="1:21" x14ac:dyDescent="0.25">
      <c r="A530">
        <v>2025</v>
      </c>
      <c r="B530">
        <v>3</v>
      </c>
      <c r="C530" t="s">
        <v>75</v>
      </c>
      <c r="D530" t="s">
        <v>22</v>
      </c>
      <c r="E530" t="s">
        <v>70</v>
      </c>
      <c r="F530" t="s">
        <v>24</v>
      </c>
      <c r="G530" t="s">
        <v>26</v>
      </c>
      <c r="H530" t="s">
        <v>26</v>
      </c>
      <c r="I530" t="s">
        <v>25</v>
      </c>
      <c r="J530">
        <v>1012</v>
      </c>
      <c r="K530">
        <v>0</v>
      </c>
      <c r="L530">
        <v>1</v>
      </c>
      <c r="M530">
        <v>1</v>
      </c>
      <c r="N530">
        <v>185</v>
      </c>
      <c r="O530">
        <v>111</v>
      </c>
      <c r="P530">
        <v>111</v>
      </c>
      <c r="Q530">
        <v>86</v>
      </c>
      <c r="R530">
        <v>70</v>
      </c>
      <c r="S530">
        <v>42</v>
      </c>
      <c r="T530">
        <v>16</v>
      </c>
      <c r="U530">
        <v>1012</v>
      </c>
    </row>
    <row r="531" spans="1:21" x14ac:dyDescent="0.25">
      <c r="A531">
        <v>2025</v>
      </c>
      <c r="B531">
        <v>3</v>
      </c>
      <c r="C531" t="s">
        <v>75</v>
      </c>
      <c r="D531" t="s">
        <v>22</v>
      </c>
      <c r="E531" t="s">
        <v>70</v>
      </c>
      <c r="F531" t="s">
        <v>29</v>
      </c>
      <c r="G531" t="s">
        <v>26</v>
      </c>
      <c r="H531" t="s">
        <v>26</v>
      </c>
      <c r="I531" t="s">
        <v>25</v>
      </c>
      <c r="J531">
        <v>12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</row>
    <row r="532" spans="1:21" x14ac:dyDescent="0.25">
      <c r="A532">
        <v>2025</v>
      </c>
      <c r="B532">
        <v>3</v>
      </c>
      <c r="C532" t="s">
        <v>75</v>
      </c>
      <c r="D532" t="s">
        <v>22</v>
      </c>
      <c r="E532" t="s">
        <v>35</v>
      </c>
      <c r="F532" t="s">
        <v>24</v>
      </c>
      <c r="G532" t="s">
        <v>25</v>
      </c>
      <c r="H532" t="s">
        <v>26</v>
      </c>
      <c r="I532" t="s">
        <v>26</v>
      </c>
      <c r="J532">
        <v>46</v>
      </c>
      <c r="K532">
        <v>3</v>
      </c>
      <c r="L532">
        <v>0</v>
      </c>
      <c r="M532">
        <v>3</v>
      </c>
      <c r="N532">
        <v>2</v>
      </c>
      <c r="O532">
        <v>2</v>
      </c>
      <c r="P532">
        <v>2</v>
      </c>
      <c r="Q532">
        <v>2</v>
      </c>
      <c r="R532">
        <v>2</v>
      </c>
      <c r="S532">
        <v>0</v>
      </c>
      <c r="T532">
        <v>0</v>
      </c>
      <c r="U532">
        <v>43</v>
      </c>
    </row>
    <row r="533" spans="1:21" x14ac:dyDescent="0.25">
      <c r="A533">
        <v>2025</v>
      </c>
      <c r="B533">
        <v>3</v>
      </c>
      <c r="C533" t="s">
        <v>75</v>
      </c>
      <c r="D533" t="s">
        <v>22</v>
      </c>
      <c r="E533" t="s">
        <v>42</v>
      </c>
      <c r="F533" t="s">
        <v>24</v>
      </c>
      <c r="G533" t="s">
        <v>26</v>
      </c>
      <c r="H533" t="s">
        <v>26</v>
      </c>
      <c r="I533" t="s">
        <v>25</v>
      </c>
      <c r="J533">
        <v>39</v>
      </c>
      <c r="K533">
        <v>2</v>
      </c>
      <c r="L533">
        <v>0</v>
      </c>
      <c r="M533">
        <v>2</v>
      </c>
      <c r="N533">
        <v>18</v>
      </c>
      <c r="O533">
        <v>10</v>
      </c>
      <c r="P533">
        <v>9</v>
      </c>
      <c r="Q533">
        <v>5</v>
      </c>
      <c r="R533">
        <v>2</v>
      </c>
      <c r="S533">
        <v>0</v>
      </c>
      <c r="T533">
        <v>0</v>
      </c>
      <c r="U533">
        <v>37</v>
      </c>
    </row>
    <row r="534" spans="1:21" x14ac:dyDescent="0.25">
      <c r="A534">
        <v>2025</v>
      </c>
      <c r="B534">
        <v>3</v>
      </c>
      <c r="C534" t="s">
        <v>75</v>
      </c>
      <c r="D534" t="s">
        <v>22</v>
      </c>
      <c r="E534" t="s">
        <v>27</v>
      </c>
      <c r="F534" t="s">
        <v>28</v>
      </c>
      <c r="G534" t="s">
        <v>26</v>
      </c>
      <c r="H534" t="s">
        <v>26</v>
      </c>
      <c r="I534" t="s">
        <v>25</v>
      </c>
      <c r="J534">
        <v>13880</v>
      </c>
      <c r="K534">
        <v>29</v>
      </c>
      <c r="L534">
        <v>102</v>
      </c>
      <c r="M534">
        <v>131</v>
      </c>
      <c r="N534">
        <v>2914</v>
      </c>
      <c r="O534">
        <v>1621</v>
      </c>
      <c r="P534">
        <v>1620</v>
      </c>
      <c r="Q534">
        <v>1124</v>
      </c>
      <c r="R534">
        <v>885</v>
      </c>
      <c r="S534">
        <v>421</v>
      </c>
      <c r="T534">
        <v>168</v>
      </c>
      <c r="U534">
        <v>13815</v>
      </c>
    </row>
    <row r="535" spans="1:21" x14ac:dyDescent="0.25">
      <c r="A535">
        <v>2025</v>
      </c>
      <c r="B535">
        <v>3</v>
      </c>
      <c r="C535" t="s">
        <v>75</v>
      </c>
      <c r="D535" t="s">
        <v>22</v>
      </c>
      <c r="E535" t="s">
        <v>27</v>
      </c>
      <c r="F535" t="s">
        <v>24</v>
      </c>
      <c r="G535" t="s">
        <v>26</v>
      </c>
      <c r="H535" t="s">
        <v>26</v>
      </c>
      <c r="I535" t="s">
        <v>25</v>
      </c>
      <c r="J535">
        <v>913</v>
      </c>
      <c r="K535">
        <v>0</v>
      </c>
      <c r="L535">
        <v>6</v>
      </c>
      <c r="M535">
        <v>6</v>
      </c>
      <c r="N535">
        <v>321</v>
      </c>
      <c r="O535">
        <v>181</v>
      </c>
      <c r="P535">
        <v>181</v>
      </c>
      <c r="Q535">
        <v>143</v>
      </c>
      <c r="R535">
        <v>99</v>
      </c>
      <c r="S535">
        <v>48</v>
      </c>
      <c r="T535">
        <v>15</v>
      </c>
      <c r="U535">
        <v>913</v>
      </c>
    </row>
    <row r="536" spans="1:21" x14ac:dyDescent="0.25">
      <c r="A536">
        <v>2025</v>
      </c>
      <c r="B536">
        <v>3</v>
      </c>
      <c r="C536" t="s">
        <v>75</v>
      </c>
      <c r="D536" t="s">
        <v>22</v>
      </c>
      <c r="E536" t="s">
        <v>27</v>
      </c>
      <c r="F536" t="s">
        <v>29</v>
      </c>
      <c r="G536" t="s">
        <v>26</v>
      </c>
      <c r="H536" t="s">
        <v>26</v>
      </c>
      <c r="I536" t="s">
        <v>25</v>
      </c>
      <c r="J536">
        <v>1069</v>
      </c>
      <c r="K536">
        <v>7</v>
      </c>
      <c r="L536">
        <v>0</v>
      </c>
      <c r="M536">
        <v>7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</row>
    <row r="537" spans="1:21" x14ac:dyDescent="0.25">
      <c r="A537">
        <v>2025</v>
      </c>
      <c r="B537">
        <v>3</v>
      </c>
      <c r="C537" t="s">
        <v>79</v>
      </c>
      <c r="D537" t="s">
        <v>22</v>
      </c>
      <c r="E537" t="s">
        <v>31</v>
      </c>
      <c r="F537" t="s">
        <v>24</v>
      </c>
      <c r="G537" t="s">
        <v>25</v>
      </c>
      <c r="H537" t="s">
        <v>25</v>
      </c>
      <c r="I537" t="s">
        <v>25</v>
      </c>
      <c r="J537">
        <v>713</v>
      </c>
      <c r="K537">
        <v>0</v>
      </c>
      <c r="L537">
        <v>0</v>
      </c>
      <c r="M537">
        <v>0</v>
      </c>
      <c r="N537">
        <v>12</v>
      </c>
      <c r="O537">
        <v>10</v>
      </c>
      <c r="P537">
        <v>10</v>
      </c>
      <c r="Q537">
        <v>7</v>
      </c>
      <c r="R537">
        <v>4</v>
      </c>
      <c r="S537">
        <v>2</v>
      </c>
      <c r="T537">
        <v>0</v>
      </c>
      <c r="U537">
        <v>713</v>
      </c>
    </row>
    <row r="538" spans="1:21" x14ac:dyDescent="0.25">
      <c r="A538">
        <v>2025</v>
      </c>
      <c r="B538">
        <v>3</v>
      </c>
      <c r="C538" t="s">
        <v>79</v>
      </c>
      <c r="D538" t="s">
        <v>22</v>
      </c>
      <c r="E538" t="s">
        <v>32</v>
      </c>
      <c r="F538" t="s">
        <v>24</v>
      </c>
      <c r="G538" t="s">
        <v>25</v>
      </c>
      <c r="H538" t="s">
        <v>25</v>
      </c>
      <c r="I538" t="s">
        <v>25</v>
      </c>
      <c r="J538">
        <v>56</v>
      </c>
      <c r="K538">
        <v>0</v>
      </c>
      <c r="L538">
        <v>0</v>
      </c>
      <c r="M538">
        <v>0</v>
      </c>
      <c r="N538">
        <v>1</v>
      </c>
      <c r="O538">
        <v>1</v>
      </c>
      <c r="P538">
        <v>1</v>
      </c>
      <c r="Q538">
        <v>0</v>
      </c>
      <c r="R538">
        <v>0</v>
      </c>
      <c r="S538">
        <v>0</v>
      </c>
      <c r="T538">
        <v>0</v>
      </c>
      <c r="U538">
        <v>56</v>
      </c>
    </row>
    <row r="539" spans="1:21" x14ac:dyDescent="0.25">
      <c r="A539">
        <v>2025</v>
      </c>
      <c r="B539">
        <v>3</v>
      </c>
      <c r="C539" t="s">
        <v>79</v>
      </c>
      <c r="D539" t="s">
        <v>22</v>
      </c>
      <c r="E539" t="s">
        <v>34</v>
      </c>
      <c r="F539" t="s">
        <v>24</v>
      </c>
      <c r="G539" t="s">
        <v>25</v>
      </c>
      <c r="H539" t="s">
        <v>26</v>
      </c>
      <c r="I539" t="s">
        <v>26</v>
      </c>
      <c r="J539">
        <v>124</v>
      </c>
      <c r="K539">
        <v>0</v>
      </c>
      <c r="L539">
        <v>0</v>
      </c>
      <c r="M539">
        <v>0</v>
      </c>
      <c r="N539">
        <v>6</v>
      </c>
      <c r="O539">
        <v>5</v>
      </c>
      <c r="P539">
        <v>5</v>
      </c>
      <c r="Q539">
        <v>3</v>
      </c>
      <c r="R539">
        <v>3</v>
      </c>
      <c r="S539">
        <v>1</v>
      </c>
      <c r="T539">
        <v>0</v>
      </c>
      <c r="U539">
        <v>124</v>
      </c>
    </row>
    <row r="540" spans="1:21" x14ac:dyDescent="0.25">
      <c r="A540">
        <v>2025</v>
      </c>
      <c r="B540">
        <v>3</v>
      </c>
      <c r="C540" t="s">
        <v>79</v>
      </c>
      <c r="D540" t="s">
        <v>22</v>
      </c>
      <c r="E540" t="s">
        <v>23</v>
      </c>
      <c r="F540" t="s">
        <v>24</v>
      </c>
      <c r="G540" t="s">
        <v>25</v>
      </c>
      <c r="H540" t="s">
        <v>25</v>
      </c>
      <c r="I540" t="s">
        <v>25</v>
      </c>
      <c r="J540">
        <v>62</v>
      </c>
      <c r="K540">
        <v>0</v>
      </c>
      <c r="L540">
        <v>0</v>
      </c>
      <c r="M540">
        <v>0</v>
      </c>
      <c r="N540">
        <v>9</v>
      </c>
      <c r="O540">
        <v>8</v>
      </c>
      <c r="P540">
        <v>7</v>
      </c>
      <c r="Q540">
        <v>5</v>
      </c>
      <c r="R540">
        <v>5</v>
      </c>
      <c r="S540">
        <v>3</v>
      </c>
      <c r="T540">
        <v>1</v>
      </c>
      <c r="U540">
        <v>62</v>
      </c>
    </row>
    <row r="541" spans="1:21" x14ac:dyDescent="0.25">
      <c r="A541">
        <v>2025</v>
      </c>
      <c r="B541">
        <v>3</v>
      </c>
      <c r="C541" t="s">
        <v>80</v>
      </c>
      <c r="D541" t="s">
        <v>22</v>
      </c>
      <c r="E541" t="s">
        <v>31</v>
      </c>
      <c r="F541" t="s">
        <v>24</v>
      </c>
      <c r="G541" t="s">
        <v>25</v>
      </c>
      <c r="H541" t="s">
        <v>25</v>
      </c>
      <c r="I541" t="s">
        <v>25</v>
      </c>
      <c r="J541">
        <v>124</v>
      </c>
      <c r="K541">
        <v>0</v>
      </c>
      <c r="L541">
        <v>0</v>
      </c>
      <c r="M541">
        <v>0</v>
      </c>
      <c r="N541">
        <v>22</v>
      </c>
      <c r="O541">
        <v>15</v>
      </c>
      <c r="P541">
        <v>14</v>
      </c>
      <c r="Q541">
        <v>5</v>
      </c>
      <c r="R541">
        <v>3</v>
      </c>
      <c r="S541">
        <v>0</v>
      </c>
      <c r="T541">
        <v>0</v>
      </c>
      <c r="U541">
        <v>124</v>
      </c>
    </row>
    <row r="542" spans="1:21" x14ac:dyDescent="0.25">
      <c r="A542">
        <v>2025</v>
      </c>
      <c r="B542">
        <v>3</v>
      </c>
      <c r="C542" t="s">
        <v>80</v>
      </c>
      <c r="D542" t="s">
        <v>22</v>
      </c>
      <c r="E542" t="s">
        <v>32</v>
      </c>
      <c r="F542" t="s">
        <v>28</v>
      </c>
      <c r="G542" t="s">
        <v>25</v>
      </c>
      <c r="H542" t="s">
        <v>25</v>
      </c>
      <c r="I542" t="s">
        <v>25</v>
      </c>
      <c r="J542">
        <v>5</v>
      </c>
      <c r="K542">
        <v>0</v>
      </c>
      <c r="L542">
        <v>2</v>
      </c>
      <c r="M542">
        <v>2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3</v>
      </c>
    </row>
    <row r="543" spans="1:21" x14ac:dyDescent="0.25">
      <c r="A543">
        <v>2025</v>
      </c>
      <c r="B543">
        <v>3</v>
      </c>
      <c r="C543" t="s">
        <v>80</v>
      </c>
      <c r="D543" t="s">
        <v>22</v>
      </c>
      <c r="E543" t="s">
        <v>32</v>
      </c>
      <c r="F543" t="s">
        <v>24</v>
      </c>
      <c r="G543" t="s">
        <v>25</v>
      </c>
      <c r="H543" t="s">
        <v>25</v>
      </c>
      <c r="I543" t="s">
        <v>25</v>
      </c>
      <c r="J543">
        <v>1582</v>
      </c>
      <c r="K543">
        <v>2</v>
      </c>
      <c r="L543">
        <v>14</v>
      </c>
      <c r="M543">
        <v>16</v>
      </c>
      <c r="N543">
        <v>436</v>
      </c>
      <c r="O543">
        <v>322</v>
      </c>
      <c r="P543">
        <v>277</v>
      </c>
      <c r="Q543">
        <v>170</v>
      </c>
      <c r="R543">
        <v>117</v>
      </c>
      <c r="S543">
        <v>45</v>
      </c>
      <c r="T543">
        <v>13</v>
      </c>
      <c r="U543">
        <v>1567</v>
      </c>
    </row>
    <row r="544" spans="1:21" x14ac:dyDescent="0.25">
      <c r="A544">
        <v>2025</v>
      </c>
      <c r="B544">
        <v>3</v>
      </c>
      <c r="C544" t="s">
        <v>80</v>
      </c>
      <c r="D544" t="s">
        <v>22</v>
      </c>
      <c r="E544" t="s">
        <v>38</v>
      </c>
      <c r="F544" t="s">
        <v>24</v>
      </c>
      <c r="G544" t="s">
        <v>25</v>
      </c>
      <c r="H544" t="s">
        <v>26</v>
      </c>
      <c r="I544" t="s">
        <v>25</v>
      </c>
      <c r="J544">
        <v>2</v>
      </c>
      <c r="K544">
        <v>0</v>
      </c>
      <c r="L544">
        <v>0</v>
      </c>
      <c r="M544">
        <v>0</v>
      </c>
      <c r="N544">
        <v>1</v>
      </c>
      <c r="O544">
        <v>1</v>
      </c>
      <c r="P544">
        <v>1</v>
      </c>
      <c r="Q544">
        <v>1</v>
      </c>
      <c r="R544">
        <v>0</v>
      </c>
      <c r="S544">
        <v>0</v>
      </c>
      <c r="T544">
        <v>0</v>
      </c>
      <c r="U544">
        <v>2</v>
      </c>
    </row>
    <row r="545" spans="1:21" x14ac:dyDescent="0.25">
      <c r="A545">
        <v>2025</v>
      </c>
      <c r="B545">
        <v>3</v>
      </c>
      <c r="C545" t="s">
        <v>80</v>
      </c>
      <c r="D545" t="s">
        <v>22</v>
      </c>
      <c r="E545" t="s">
        <v>34</v>
      </c>
      <c r="F545" t="s">
        <v>28</v>
      </c>
      <c r="G545" t="s">
        <v>25</v>
      </c>
      <c r="H545" t="s">
        <v>26</v>
      </c>
      <c r="I545" t="s">
        <v>26</v>
      </c>
      <c r="J545">
        <v>1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1</v>
      </c>
    </row>
    <row r="546" spans="1:21" x14ac:dyDescent="0.25">
      <c r="A546">
        <v>2025</v>
      </c>
      <c r="B546">
        <v>3</v>
      </c>
      <c r="C546" t="s">
        <v>80</v>
      </c>
      <c r="D546" t="s">
        <v>22</v>
      </c>
      <c r="E546" t="s">
        <v>34</v>
      </c>
      <c r="F546" t="s">
        <v>24</v>
      </c>
      <c r="G546" t="s">
        <v>25</v>
      </c>
      <c r="H546" t="s">
        <v>26</v>
      </c>
      <c r="I546" t="s">
        <v>26</v>
      </c>
      <c r="J546">
        <v>29</v>
      </c>
      <c r="K546">
        <v>0</v>
      </c>
      <c r="L546">
        <v>24</v>
      </c>
      <c r="M546">
        <v>24</v>
      </c>
      <c r="N546">
        <v>1</v>
      </c>
      <c r="O546">
        <v>1</v>
      </c>
      <c r="P546">
        <v>1</v>
      </c>
      <c r="Q546">
        <v>1</v>
      </c>
      <c r="R546">
        <v>1</v>
      </c>
      <c r="S546">
        <v>0</v>
      </c>
      <c r="T546">
        <v>0</v>
      </c>
      <c r="U546">
        <v>29</v>
      </c>
    </row>
    <row r="547" spans="1:21" x14ac:dyDescent="0.25">
      <c r="A547">
        <v>2025</v>
      </c>
      <c r="B547">
        <v>3</v>
      </c>
      <c r="C547" t="s">
        <v>80</v>
      </c>
      <c r="D547" t="s">
        <v>22</v>
      </c>
      <c r="E547" t="s">
        <v>76</v>
      </c>
      <c r="F547" t="s">
        <v>28</v>
      </c>
      <c r="G547" t="s">
        <v>25</v>
      </c>
      <c r="H547" t="s">
        <v>26</v>
      </c>
      <c r="I547" t="s">
        <v>25</v>
      </c>
      <c r="J547">
        <v>31</v>
      </c>
      <c r="K547">
        <v>0</v>
      </c>
      <c r="L547">
        <v>7</v>
      </c>
      <c r="M547">
        <v>7</v>
      </c>
      <c r="N547">
        <v>11</v>
      </c>
      <c r="O547">
        <v>10</v>
      </c>
      <c r="P547">
        <v>8</v>
      </c>
      <c r="Q547">
        <v>8</v>
      </c>
      <c r="R547">
        <v>5</v>
      </c>
      <c r="S547">
        <v>4</v>
      </c>
      <c r="T547">
        <v>3</v>
      </c>
      <c r="U547">
        <v>27</v>
      </c>
    </row>
    <row r="548" spans="1:21" x14ac:dyDescent="0.25">
      <c r="A548">
        <v>2025</v>
      </c>
      <c r="B548">
        <v>3</v>
      </c>
      <c r="C548" t="s">
        <v>80</v>
      </c>
      <c r="D548" t="s">
        <v>22</v>
      </c>
      <c r="E548" t="s">
        <v>81</v>
      </c>
      <c r="F548" t="s">
        <v>28</v>
      </c>
      <c r="G548" t="s">
        <v>25</v>
      </c>
      <c r="H548" t="s">
        <v>26</v>
      </c>
      <c r="I548" t="s">
        <v>25</v>
      </c>
      <c r="J548">
        <v>501</v>
      </c>
      <c r="K548">
        <v>0</v>
      </c>
      <c r="L548">
        <v>7</v>
      </c>
      <c r="M548">
        <v>7</v>
      </c>
      <c r="N548">
        <v>254</v>
      </c>
      <c r="O548">
        <v>189</v>
      </c>
      <c r="P548">
        <v>156</v>
      </c>
      <c r="Q548">
        <v>103</v>
      </c>
      <c r="R548">
        <v>72</v>
      </c>
      <c r="S548">
        <v>30</v>
      </c>
      <c r="T548">
        <v>9</v>
      </c>
      <c r="U548">
        <v>494</v>
      </c>
    </row>
    <row r="549" spans="1:21" x14ac:dyDescent="0.25">
      <c r="A549">
        <v>2025</v>
      </c>
      <c r="B549">
        <v>3</v>
      </c>
      <c r="C549" t="s">
        <v>80</v>
      </c>
      <c r="D549" t="s">
        <v>22</v>
      </c>
      <c r="E549" t="s">
        <v>82</v>
      </c>
      <c r="F549" t="s">
        <v>28</v>
      </c>
      <c r="G549" t="s">
        <v>25</v>
      </c>
      <c r="H549" t="s">
        <v>26</v>
      </c>
      <c r="I549" t="s">
        <v>25</v>
      </c>
      <c r="J549">
        <v>293</v>
      </c>
      <c r="K549">
        <v>0</v>
      </c>
      <c r="L549">
        <v>2</v>
      </c>
      <c r="M549">
        <v>2</v>
      </c>
      <c r="N549">
        <v>166</v>
      </c>
      <c r="O549">
        <v>145</v>
      </c>
      <c r="P549">
        <v>126</v>
      </c>
      <c r="Q549">
        <v>77</v>
      </c>
      <c r="R549">
        <v>58</v>
      </c>
      <c r="S549">
        <v>25</v>
      </c>
      <c r="T549">
        <v>7</v>
      </c>
      <c r="U549">
        <v>291</v>
      </c>
    </row>
    <row r="550" spans="1:21" x14ac:dyDescent="0.25">
      <c r="A550">
        <v>2025</v>
      </c>
      <c r="B550">
        <v>3</v>
      </c>
      <c r="C550" t="s">
        <v>80</v>
      </c>
      <c r="D550" t="s">
        <v>22</v>
      </c>
      <c r="E550" t="s">
        <v>83</v>
      </c>
      <c r="F550" t="s">
        <v>28</v>
      </c>
      <c r="G550" t="s">
        <v>26</v>
      </c>
      <c r="H550" t="s">
        <v>26</v>
      </c>
      <c r="I550" t="s">
        <v>25</v>
      </c>
      <c r="J550">
        <v>7132</v>
      </c>
      <c r="K550">
        <v>0</v>
      </c>
      <c r="L550">
        <v>77</v>
      </c>
      <c r="M550">
        <v>77</v>
      </c>
      <c r="N550">
        <v>2848</v>
      </c>
      <c r="O550">
        <v>2174</v>
      </c>
      <c r="P550">
        <v>1913</v>
      </c>
      <c r="Q550">
        <v>1266</v>
      </c>
      <c r="R550">
        <v>860</v>
      </c>
      <c r="S550">
        <v>411</v>
      </c>
      <c r="T550">
        <v>141</v>
      </c>
      <c r="U550">
        <v>7065</v>
      </c>
    </row>
    <row r="551" spans="1:21" x14ac:dyDescent="0.25">
      <c r="A551">
        <v>2025</v>
      </c>
      <c r="B551">
        <v>3</v>
      </c>
      <c r="C551" t="s">
        <v>80</v>
      </c>
      <c r="D551" t="s">
        <v>22</v>
      </c>
      <c r="E551" t="s">
        <v>23</v>
      </c>
      <c r="F551" t="s">
        <v>28</v>
      </c>
      <c r="G551" t="s">
        <v>25</v>
      </c>
      <c r="H551" t="s">
        <v>26</v>
      </c>
      <c r="I551" t="s">
        <v>25</v>
      </c>
      <c r="J551">
        <v>3099</v>
      </c>
      <c r="K551">
        <v>0</v>
      </c>
      <c r="L551">
        <v>41</v>
      </c>
      <c r="M551">
        <v>41</v>
      </c>
      <c r="N551">
        <v>1106</v>
      </c>
      <c r="O551">
        <v>892</v>
      </c>
      <c r="P551">
        <v>815</v>
      </c>
      <c r="Q551">
        <v>545</v>
      </c>
      <c r="R551">
        <v>372</v>
      </c>
      <c r="S551">
        <v>179</v>
      </c>
      <c r="T551">
        <v>60</v>
      </c>
      <c r="U551">
        <v>3071</v>
      </c>
    </row>
    <row r="552" spans="1:21" x14ac:dyDescent="0.25">
      <c r="A552">
        <v>2025</v>
      </c>
      <c r="B552">
        <v>3</v>
      </c>
      <c r="C552" t="s">
        <v>80</v>
      </c>
      <c r="D552" t="s">
        <v>22</v>
      </c>
      <c r="E552" t="s">
        <v>23</v>
      </c>
      <c r="F552" t="s">
        <v>24</v>
      </c>
      <c r="G552" t="s">
        <v>25</v>
      </c>
      <c r="H552" t="s">
        <v>26</v>
      </c>
      <c r="I552" t="s">
        <v>25</v>
      </c>
      <c r="J552">
        <v>2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2</v>
      </c>
    </row>
    <row r="553" spans="1:21" x14ac:dyDescent="0.25">
      <c r="A553">
        <v>2025</v>
      </c>
      <c r="B553">
        <v>3</v>
      </c>
      <c r="C553" t="s">
        <v>80</v>
      </c>
      <c r="D553" t="s">
        <v>22</v>
      </c>
      <c r="E553" t="s">
        <v>84</v>
      </c>
      <c r="F553" t="s">
        <v>28</v>
      </c>
      <c r="G553" t="s">
        <v>25</v>
      </c>
      <c r="H553" t="s">
        <v>26</v>
      </c>
      <c r="I553" t="s">
        <v>26</v>
      </c>
      <c r="J553">
        <v>545</v>
      </c>
      <c r="K553">
        <v>0</v>
      </c>
      <c r="L553">
        <v>0</v>
      </c>
      <c r="M553">
        <v>0</v>
      </c>
      <c r="N553">
        <v>134</v>
      </c>
      <c r="O553">
        <v>108</v>
      </c>
      <c r="P553">
        <v>94</v>
      </c>
      <c r="Q553">
        <v>58</v>
      </c>
      <c r="R553">
        <v>37</v>
      </c>
      <c r="S553">
        <v>13</v>
      </c>
      <c r="T553">
        <v>6</v>
      </c>
      <c r="U553">
        <v>545</v>
      </c>
    </row>
    <row r="554" spans="1:21" x14ac:dyDescent="0.25">
      <c r="A554">
        <v>2025</v>
      </c>
      <c r="B554">
        <v>3</v>
      </c>
      <c r="C554" t="s">
        <v>80</v>
      </c>
      <c r="D554" t="s">
        <v>22</v>
      </c>
      <c r="E554" t="s">
        <v>40</v>
      </c>
      <c r="F554" t="s">
        <v>28</v>
      </c>
      <c r="G554" t="s">
        <v>25</v>
      </c>
      <c r="H554" t="s">
        <v>26</v>
      </c>
      <c r="I554" t="s">
        <v>25</v>
      </c>
      <c r="J554">
        <v>3</v>
      </c>
      <c r="K554">
        <v>0</v>
      </c>
      <c r="L554">
        <v>0</v>
      </c>
      <c r="M554">
        <v>0</v>
      </c>
      <c r="N554">
        <v>2</v>
      </c>
      <c r="O554">
        <v>2</v>
      </c>
      <c r="P554">
        <v>2</v>
      </c>
      <c r="Q554">
        <v>2</v>
      </c>
      <c r="R554">
        <v>2</v>
      </c>
      <c r="S554">
        <v>0</v>
      </c>
      <c r="T554">
        <v>0</v>
      </c>
      <c r="U554">
        <v>3</v>
      </c>
    </row>
    <row r="555" spans="1:21" x14ac:dyDescent="0.25">
      <c r="A555">
        <v>2025</v>
      </c>
      <c r="B555">
        <v>3</v>
      </c>
      <c r="C555" t="s">
        <v>80</v>
      </c>
      <c r="D555" t="s">
        <v>22</v>
      </c>
      <c r="E555" t="s">
        <v>40</v>
      </c>
      <c r="F555" t="s">
        <v>24</v>
      </c>
      <c r="G555" t="s">
        <v>25</v>
      </c>
      <c r="H555" t="s">
        <v>26</v>
      </c>
      <c r="I555" t="s">
        <v>25</v>
      </c>
      <c r="J555">
        <v>50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50</v>
      </c>
    </row>
    <row r="556" spans="1:21" x14ac:dyDescent="0.25">
      <c r="A556">
        <v>2025</v>
      </c>
      <c r="B556">
        <v>3</v>
      </c>
      <c r="C556" t="s">
        <v>80</v>
      </c>
      <c r="D556" t="s">
        <v>22</v>
      </c>
      <c r="E556" t="s">
        <v>85</v>
      </c>
      <c r="F556" t="s">
        <v>28</v>
      </c>
      <c r="G556" t="s">
        <v>25</v>
      </c>
      <c r="H556" t="s">
        <v>25</v>
      </c>
      <c r="I556" t="s">
        <v>25</v>
      </c>
      <c r="J556">
        <v>6715</v>
      </c>
      <c r="K556">
        <v>0</v>
      </c>
      <c r="L556">
        <v>421</v>
      </c>
      <c r="M556">
        <v>421</v>
      </c>
      <c r="N556">
        <v>478</v>
      </c>
      <c r="O556">
        <v>268</v>
      </c>
      <c r="P556">
        <v>215</v>
      </c>
      <c r="Q556">
        <v>131</v>
      </c>
      <c r="R556">
        <v>74</v>
      </c>
      <c r="S556">
        <v>26</v>
      </c>
      <c r="T556">
        <v>2</v>
      </c>
      <c r="U556">
        <v>6392</v>
      </c>
    </row>
    <row r="557" spans="1:21" x14ac:dyDescent="0.25">
      <c r="A557">
        <v>2025</v>
      </c>
      <c r="B557">
        <v>3</v>
      </c>
      <c r="C557" t="s">
        <v>80</v>
      </c>
      <c r="D557" t="s">
        <v>22</v>
      </c>
      <c r="E557" t="s">
        <v>86</v>
      </c>
      <c r="F557" t="s">
        <v>28</v>
      </c>
      <c r="G557" t="s">
        <v>25</v>
      </c>
      <c r="H557" t="s">
        <v>25</v>
      </c>
      <c r="I557" t="s">
        <v>25</v>
      </c>
      <c r="J557">
        <v>30</v>
      </c>
      <c r="K557">
        <v>0</v>
      </c>
      <c r="L557">
        <v>3</v>
      </c>
      <c r="M557">
        <v>3</v>
      </c>
      <c r="N557">
        <v>9</v>
      </c>
      <c r="O557">
        <v>9</v>
      </c>
      <c r="P557">
        <v>8</v>
      </c>
      <c r="Q557">
        <v>6</v>
      </c>
      <c r="R557">
        <v>6</v>
      </c>
      <c r="S557">
        <v>4</v>
      </c>
      <c r="T557">
        <v>2</v>
      </c>
      <c r="U557">
        <v>27</v>
      </c>
    </row>
    <row r="558" spans="1:21" x14ac:dyDescent="0.25">
      <c r="A558">
        <v>2025</v>
      </c>
      <c r="B558">
        <v>3</v>
      </c>
      <c r="C558" t="s">
        <v>80</v>
      </c>
      <c r="D558" t="s">
        <v>22</v>
      </c>
      <c r="E558" t="s">
        <v>86</v>
      </c>
      <c r="F558" t="s">
        <v>29</v>
      </c>
      <c r="G558" t="s">
        <v>25</v>
      </c>
      <c r="H558" t="s">
        <v>25</v>
      </c>
      <c r="I558" t="s">
        <v>25</v>
      </c>
      <c r="J558">
        <v>4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</row>
    <row r="559" spans="1:21" x14ac:dyDescent="0.25">
      <c r="A559">
        <v>2025</v>
      </c>
      <c r="B559">
        <v>3</v>
      </c>
      <c r="C559" t="s">
        <v>80</v>
      </c>
      <c r="D559" t="s">
        <v>22</v>
      </c>
      <c r="E559" t="s">
        <v>35</v>
      </c>
      <c r="F559" t="s">
        <v>28</v>
      </c>
      <c r="G559" t="s">
        <v>25</v>
      </c>
      <c r="H559" t="s">
        <v>26</v>
      </c>
      <c r="I559" t="s">
        <v>26</v>
      </c>
      <c r="J559">
        <v>1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1</v>
      </c>
    </row>
    <row r="560" spans="1:21" x14ac:dyDescent="0.25">
      <c r="A560">
        <v>2025</v>
      </c>
      <c r="B560">
        <v>3</v>
      </c>
      <c r="C560" t="s">
        <v>80</v>
      </c>
      <c r="D560" t="s">
        <v>22</v>
      </c>
      <c r="E560" t="s">
        <v>35</v>
      </c>
      <c r="F560" t="s">
        <v>24</v>
      </c>
      <c r="G560" t="s">
        <v>25</v>
      </c>
      <c r="H560" t="s">
        <v>26</v>
      </c>
      <c r="I560" t="s">
        <v>26</v>
      </c>
      <c r="J560">
        <v>217</v>
      </c>
      <c r="K560">
        <v>0</v>
      </c>
      <c r="L560">
        <v>1</v>
      </c>
      <c r="M560">
        <v>1</v>
      </c>
      <c r="N560">
        <v>35</v>
      </c>
      <c r="O560">
        <v>29</v>
      </c>
      <c r="P560">
        <v>27</v>
      </c>
      <c r="Q560">
        <v>22</v>
      </c>
      <c r="R560">
        <v>18</v>
      </c>
      <c r="S560">
        <v>12</v>
      </c>
      <c r="T560">
        <v>3</v>
      </c>
      <c r="U560">
        <v>217</v>
      </c>
    </row>
    <row r="561" spans="1:21" x14ac:dyDescent="0.25">
      <c r="A561">
        <v>2025</v>
      </c>
      <c r="B561">
        <v>3</v>
      </c>
      <c r="C561" t="s">
        <v>80</v>
      </c>
      <c r="D561" t="s">
        <v>22</v>
      </c>
      <c r="E561" t="s">
        <v>87</v>
      </c>
      <c r="F561" t="s">
        <v>28</v>
      </c>
      <c r="G561" t="s">
        <v>25</v>
      </c>
      <c r="H561" t="s">
        <v>25</v>
      </c>
      <c r="I561" t="s">
        <v>25</v>
      </c>
      <c r="J561">
        <v>225137</v>
      </c>
      <c r="K561">
        <v>173</v>
      </c>
      <c r="L561">
        <v>7271</v>
      </c>
      <c r="M561">
        <v>7444</v>
      </c>
      <c r="N561">
        <v>40287</v>
      </c>
      <c r="O561">
        <v>21842</v>
      </c>
      <c r="P561">
        <v>17003</v>
      </c>
      <c r="Q561">
        <v>8429</v>
      </c>
      <c r="R561">
        <v>4724</v>
      </c>
      <c r="S561">
        <v>1379</v>
      </c>
      <c r="T561">
        <v>231</v>
      </c>
      <c r="U561">
        <v>219116</v>
      </c>
    </row>
    <row r="562" spans="1:21" x14ac:dyDescent="0.25">
      <c r="A562">
        <v>2025</v>
      </c>
      <c r="B562">
        <v>3</v>
      </c>
      <c r="C562" t="s">
        <v>80</v>
      </c>
      <c r="D562" t="s">
        <v>22</v>
      </c>
      <c r="E562" t="s">
        <v>87</v>
      </c>
      <c r="F562" t="s">
        <v>24</v>
      </c>
      <c r="G562" t="s">
        <v>25</v>
      </c>
      <c r="H562" t="s">
        <v>25</v>
      </c>
      <c r="I562" t="s">
        <v>25</v>
      </c>
      <c r="J562">
        <v>4704</v>
      </c>
      <c r="K562">
        <v>117</v>
      </c>
      <c r="L562">
        <v>16</v>
      </c>
      <c r="M562">
        <v>133</v>
      </c>
      <c r="N562">
        <v>879</v>
      </c>
      <c r="O562">
        <v>428</v>
      </c>
      <c r="P562">
        <v>317</v>
      </c>
      <c r="Q562">
        <v>135</v>
      </c>
      <c r="R562">
        <v>86</v>
      </c>
      <c r="S562">
        <v>27</v>
      </c>
      <c r="T562">
        <v>2</v>
      </c>
      <c r="U562">
        <v>4574</v>
      </c>
    </row>
    <row r="563" spans="1:21" x14ac:dyDescent="0.25">
      <c r="A563">
        <v>2025</v>
      </c>
      <c r="B563">
        <v>3</v>
      </c>
      <c r="C563" t="s">
        <v>80</v>
      </c>
      <c r="D563" t="s">
        <v>22</v>
      </c>
      <c r="E563" t="s">
        <v>36</v>
      </c>
      <c r="F563" t="s">
        <v>24</v>
      </c>
      <c r="G563" t="s">
        <v>25</v>
      </c>
      <c r="H563" t="s">
        <v>26</v>
      </c>
      <c r="I563" t="s">
        <v>25</v>
      </c>
      <c r="J563">
        <v>147</v>
      </c>
      <c r="K563">
        <v>1</v>
      </c>
      <c r="L563">
        <v>0</v>
      </c>
      <c r="M563">
        <v>1</v>
      </c>
      <c r="N563">
        <v>14</v>
      </c>
      <c r="O563">
        <v>13</v>
      </c>
      <c r="P563">
        <v>13</v>
      </c>
      <c r="Q563">
        <v>9</v>
      </c>
      <c r="R563">
        <v>7</v>
      </c>
      <c r="S563">
        <v>4</v>
      </c>
      <c r="T563">
        <v>1</v>
      </c>
      <c r="U563">
        <v>146</v>
      </c>
    </row>
    <row r="564" spans="1:21" x14ac:dyDescent="0.25">
      <c r="A564">
        <v>2025</v>
      </c>
      <c r="B564">
        <v>3</v>
      </c>
      <c r="C564" t="s">
        <v>80</v>
      </c>
      <c r="D564" t="s">
        <v>22</v>
      </c>
      <c r="E564" t="s">
        <v>41</v>
      </c>
      <c r="F564" t="s">
        <v>24</v>
      </c>
      <c r="G564" t="s">
        <v>26</v>
      </c>
      <c r="H564" t="s">
        <v>26</v>
      </c>
      <c r="I564" t="s">
        <v>25</v>
      </c>
      <c r="J564">
        <v>3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3</v>
      </c>
    </row>
    <row r="565" spans="1:21" x14ac:dyDescent="0.25">
      <c r="A565">
        <v>2025</v>
      </c>
      <c r="B565">
        <v>3</v>
      </c>
      <c r="C565" t="s">
        <v>88</v>
      </c>
      <c r="D565" t="s">
        <v>45</v>
      </c>
      <c r="E565" t="s">
        <v>83</v>
      </c>
      <c r="F565" t="s">
        <v>28</v>
      </c>
      <c r="G565" t="s">
        <v>26</v>
      </c>
      <c r="H565" t="s">
        <v>26</v>
      </c>
      <c r="I565" t="s">
        <v>25</v>
      </c>
      <c r="J565">
        <v>273</v>
      </c>
      <c r="K565">
        <v>0</v>
      </c>
      <c r="L565">
        <v>0</v>
      </c>
      <c r="M565">
        <v>0</v>
      </c>
      <c r="N565">
        <v>63</v>
      </c>
      <c r="O565">
        <v>43</v>
      </c>
      <c r="P565">
        <v>41</v>
      </c>
      <c r="Q565">
        <v>26</v>
      </c>
      <c r="R565">
        <v>18</v>
      </c>
      <c r="S565">
        <v>8</v>
      </c>
      <c r="T565">
        <v>4</v>
      </c>
      <c r="U565">
        <v>273</v>
      </c>
    </row>
    <row r="566" spans="1:21" x14ac:dyDescent="0.25">
      <c r="A566">
        <v>2025</v>
      </c>
      <c r="B566">
        <v>3</v>
      </c>
      <c r="C566" t="s">
        <v>88</v>
      </c>
      <c r="D566" t="s">
        <v>45</v>
      </c>
      <c r="E566" t="s">
        <v>83</v>
      </c>
      <c r="F566" t="s">
        <v>29</v>
      </c>
      <c r="G566" t="s">
        <v>26</v>
      </c>
      <c r="H566" t="s">
        <v>26</v>
      </c>
      <c r="I566" t="s">
        <v>25</v>
      </c>
      <c r="J566">
        <v>1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</row>
    <row r="567" spans="1:21" x14ac:dyDescent="0.25">
      <c r="A567">
        <v>2025</v>
      </c>
      <c r="B567">
        <v>3</v>
      </c>
      <c r="C567" t="s">
        <v>89</v>
      </c>
      <c r="D567" t="s">
        <v>22</v>
      </c>
      <c r="E567" t="s">
        <v>91</v>
      </c>
      <c r="F567" t="s">
        <v>28</v>
      </c>
      <c r="G567" t="s">
        <v>25</v>
      </c>
      <c r="H567" t="s">
        <v>25</v>
      </c>
      <c r="I567" t="s">
        <v>25</v>
      </c>
      <c r="J567">
        <v>3302</v>
      </c>
      <c r="K567">
        <v>0</v>
      </c>
      <c r="L567">
        <v>0</v>
      </c>
      <c r="M567">
        <v>0</v>
      </c>
      <c r="N567">
        <v>3</v>
      </c>
      <c r="O567">
        <v>3</v>
      </c>
      <c r="P567">
        <v>3</v>
      </c>
      <c r="Q567">
        <v>3</v>
      </c>
      <c r="R567">
        <v>2</v>
      </c>
      <c r="S567">
        <v>1</v>
      </c>
      <c r="T567">
        <v>1</v>
      </c>
      <c r="U567">
        <v>3302</v>
      </c>
    </row>
    <row r="568" spans="1:21" x14ac:dyDescent="0.25">
      <c r="A568">
        <v>2025</v>
      </c>
      <c r="B568">
        <v>3</v>
      </c>
      <c r="C568" t="s">
        <v>89</v>
      </c>
      <c r="D568" t="s">
        <v>22</v>
      </c>
      <c r="E568" t="s">
        <v>91</v>
      </c>
      <c r="F568" t="s">
        <v>24</v>
      </c>
      <c r="G568" t="s">
        <v>25</v>
      </c>
      <c r="H568" t="s">
        <v>25</v>
      </c>
      <c r="I568" t="s">
        <v>25</v>
      </c>
      <c r="J568">
        <v>1332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1332</v>
      </c>
    </row>
    <row r="569" spans="1:21" x14ac:dyDescent="0.25">
      <c r="A569">
        <v>2025</v>
      </c>
      <c r="B569">
        <v>3</v>
      </c>
      <c r="C569" t="s">
        <v>89</v>
      </c>
      <c r="D569" t="s">
        <v>22</v>
      </c>
      <c r="E569" t="s">
        <v>92</v>
      </c>
      <c r="F569" t="s">
        <v>28</v>
      </c>
      <c r="G569" t="s">
        <v>25</v>
      </c>
      <c r="H569" t="s">
        <v>25</v>
      </c>
      <c r="I569" t="s">
        <v>25</v>
      </c>
      <c r="J569">
        <v>2232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2232</v>
      </c>
    </row>
    <row r="570" spans="1:21" x14ac:dyDescent="0.25">
      <c r="A570">
        <v>2025</v>
      </c>
      <c r="B570">
        <v>3</v>
      </c>
      <c r="C570" t="s">
        <v>89</v>
      </c>
      <c r="D570" t="s">
        <v>22</v>
      </c>
      <c r="E570" t="s">
        <v>31</v>
      </c>
      <c r="F570" t="s">
        <v>24</v>
      </c>
      <c r="G570" t="s">
        <v>25</v>
      </c>
      <c r="H570" t="s">
        <v>25</v>
      </c>
      <c r="I570" t="s">
        <v>25</v>
      </c>
      <c r="J570">
        <v>2</v>
      </c>
      <c r="K570">
        <v>0</v>
      </c>
      <c r="L570">
        <v>0</v>
      </c>
      <c r="M570">
        <v>0</v>
      </c>
      <c r="N570">
        <v>1</v>
      </c>
      <c r="O570">
        <v>1</v>
      </c>
      <c r="P570">
        <v>1</v>
      </c>
      <c r="Q570">
        <v>1</v>
      </c>
      <c r="R570">
        <v>1</v>
      </c>
      <c r="S570">
        <v>1</v>
      </c>
      <c r="T570">
        <v>1</v>
      </c>
      <c r="U570">
        <v>2</v>
      </c>
    </row>
    <row r="571" spans="1:21" x14ac:dyDescent="0.25">
      <c r="A571">
        <v>2025</v>
      </c>
      <c r="B571">
        <v>3</v>
      </c>
      <c r="C571" t="s">
        <v>89</v>
      </c>
      <c r="D571" t="s">
        <v>22</v>
      </c>
      <c r="E571" t="s">
        <v>38</v>
      </c>
      <c r="F571" t="s">
        <v>24</v>
      </c>
      <c r="G571" t="s">
        <v>25</v>
      </c>
      <c r="H571" t="s">
        <v>25</v>
      </c>
      <c r="I571" t="s">
        <v>25</v>
      </c>
      <c r="J571">
        <v>2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2</v>
      </c>
    </row>
    <row r="572" spans="1:21" x14ac:dyDescent="0.25">
      <c r="A572">
        <v>2025</v>
      </c>
      <c r="B572">
        <v>3</v>
      </c>
      <c r="C572" t="s">
        <v>89</v>
      </c>
      <c r="D572" t="s">
        <v>22</v>
      </c>
      <c r="E572" t="s">
        <v>95</v>
      </c>
      <c r="F572" t="s">
        <v>28</v>
      </c>
      <c r="G572" t="s">
        <v>25</v>
      </c>
      <c r="H572" t="s">
        <v>25</v>
      </c>
      <c r="I572" t="s">
        <v>25</v>
      </c>
      <c r="J572">
        <v>62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62</v>
      </c>
    </row>
    <row r="573" spans="1:21" x14ac:dyDescent="0.25">
      <c r="A573">
        <v>2025</v>
      </c>
      <c r="B573">
        <v>3</v>
      </c>
      <c r="C573" t="s">
        <v>89</v>
      </c>
      <c r="D573" t="s">
        <v>22</v>
      </c>
      <c r="E573" t="s">
        <v>95</v>
      </c>
      <c r="F573" t="s">
        <v>24</v>
      </c>
      <c r="G573" t="s">
        <v>25</v>
      </c>
      <c r="H573" t="s">
        <v>25</v>
      </c>
      <c r="I573" t="s">
        <v>25</v>
      </c>
      <c r="J573">
        <v>93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93</v>
      </c>
    </row>
    <row r="574" spans="1:21" x14ac:dyDescent="0.25">
      <c r="A574">
        <v>2025</v>
      </c>
      <c r="B574">
        <v>3</v>
      </c>
      <c r="C574" t="s">
        <v>89</v>
      </c>
      <c r="D574" t="s">
        <v>22</v>
      </c>
      <c r="E574" t="s">
        <v>23</v>
      </c>
      <c r="F574" t="s">
        <v>24</v>
      </c>
      <c r="G574" t="s">
        <v>25</v>
      </c>
      <c r="H574" t="s">
        <v>25</v>
      </c>
      <c r="I574" t="s">
        <v>25</v>
      </c>
      <c r="J574">
        <v>42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42</v>
      </c>
    </row>
    <row r="575" spans="1:21" x14ac:dyDescent="0.25">
      <c r="A575">
        <v>2025</v>
      </c>
      <c r="B575">
        <v>3</v>
      </c>
      <c r="C575" t="s">
        <v>89</v>
      </c>
      <c r="D575" t="s">
        <v>22</v>
      </c>
      <c r="E575" t="s">
        <v>104</v>
      </c>
      <c r="F575" t="s">
        <v>24</v>
      </c>
      <c r="G575" t="s">
        <v>25</v>
      </c>
      <c r="H575" t="s">
        <v>25</v>
      </c>
      <c r="I575" t="s">
        <v>25</v>
      </c>
      <c r="J575">
        <v>2</v>
      </c>
      <c r="K575">
        <v>0</v>
      </c>
      <c r="L575">
        <v>0</v>
      </c>
      <c r="M575">
        <v>0</v>
      </c>
      <c r="N575">
        <v>1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2</v>
      </c>
    </row>
    <row r="576" spans="1:21" x14ac:dyDescent="0.25">
      <c r="A576">
        <v>2025</v>
      </c>
      <c r="B576">
        <v>3</v>
      </c>
      <c r="C576" t="s">
        <v>89</v>
      </c>
      <c r="D576" t="s">
        <v>22</v>
      </c>
      <c r="E576" t="s">
        <v>97</v>
      </c>
      <c r="F576" t="s">
        <v>24</v>
      </c>
      <c r="G576" t="s">
        <v>25</v>
      </c>
      <c r="H576" t="s">
        <v>25</v>
      </c>
      <c r="I576" t="s">
        <v>25</v>
      </c>
      <c r="J576">
        <v>18</v>
      </c>
      <c r="K576">
        <v>2</v>
      </c>
      <c r="L576">
        <v>0</v>
      </c>
      <c r="M576">
        <v>2</v>
      </c>
      <c r="N576">
        <v>5</v>
      </c>
      <c r="O576">
        <v>5</v>
      </c>
      <c r="P576">
        <v>5</v>
      </c>
      <c r="Q576">
        <v>5</v>
      </c>
      <c r="R576">
        <v>5</v>
      </c>
      <c r="S576">
        <v>0</v>
      </c>
      <c r="T576">
        <v>0</v>
      </c>
      <c r="U576">
        <v>16</v>
      </c>
    </row>
    <row r="577" spans="1:21" x14ac:dyDescent="0.25">
      <c r="A577">
        <v>2025</v>
      </c>
      <c r="B577">
        <v>3</v>
      </c>
      <c r="C577" t="s">
        <v>89</v>
      </c>
      <c r="D577" t="s">
        <v>22</v>
      </c>
      <c r="F577" t="s">
        <v>28</v>
      </c>
      <c r="G577" t="s">
        <v>25</v>
      </c>
      <c r="H577" t="s">
        <v>25</v>
      </c>
      <c r="I577" t="s">
        <v>25</v>
      </c>
      <c r="J577">
        <v>11</v>
      </c>
      <c r="K577">
        <v>0</v>
      </c>
      <c r="L577">
        <v>0</v>
      </c>
      <c r="M577">
        <v>0</v>
      </c>
      <c r="N577">
        <v>6</v>
      </c>
      <c r="O577">
        <v>4</v>
      </c>
      <c r="P577">
        <v>4</v>
      </c>
      <c r="Q577">
        <v>4</v>
      </c>
      <c r="R577">
        <v>3</v>
      </c>
      <c r="S577">
        <v>2</v>
      </c>
      <c r="T577">
        <v>1</v>
      </c>
      <c r="U577">
        <v>11</v>
      </c>
    </row>
    <row r="578" spans="1:21" x14ac:dyDescent="0.25">
      <c r="A578">
        <v>2025</v>
      </c>
      <c r="B578">
        <v>3</v>
      </c>
      <c r="C578" t="s">
        <v>98</v>
      </c>
      <c r="D578" t="s">
        <v>22</v>
      </c>
      <c r="E578" t="s">
        <v>31</v>
      </c>
      <c r="F578" t="s">
        <v>24</v>
      </c>
      <c r="G578" t="s">
        <v>25</v>
      </c>
      <c r="H578" t="s">
        <v>25</v>
      </c>
      <c r="I578" t="s">
        <v>25</v>
      </c>
      <c r="J578">
        <v>62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62</v>
      </c>
    </row>
    <row r="579" spans="1:21" x14ac:dyDescent="0.25">
      <c r="A579">
        <v>2025</v>
      </c>
      <c r="B579">
        <v>3</v>
      </c>
      <c r="C579" t="s">
        <v>99</v>
      </c>
      <c r="D579" t="s">
        <v>45</v>
      </c>
      <c r="E579" t="s">
        <v>100</v>
      </c>
      <c r="F579" t="s">
        <v>28</v>
      </c>
      <c r="G579" t="s">
        <v>25</v>
      </c>
      <c r="H579" t="s">
        <v>26</v>
      </c>
      <c r="I579" t="s">
        <v>25</v>
      </c>
      <c r="J579">
        <v>1487</v>
      </c>
      <c r="K579">
        <v>0</v>
      </c>
      <c r="L579">
        <v>0</v>
      </c>
      <c r="M579">
        <v>0</v>
      </c>
      <c r="N579">
        <v>41</v>
      </c>
      <c r="O579">
        <v>36</v>
      </c>
      <c r="P579">
        <v>29</v>
      </c>
      <c r="Q579">
        <v>19</v>
      </c>
      <c r="R579">
        <v>10</v>
      </c>
      <c r="S579">
        <v>4</v>
      </c>
      <c r="T579">
        <v>0</v>
      </c>
      <c r="U579">
        <v>1487</v>
      </c>
    </row>
    <row r="580" spans="1:21" x14ac:dyDescent="0.25">
      <c r="A580">
        <v>2025</v>
      </c>
      <c r="B580">
        <v>3</v>
      </c>
      <c r="C580" t="s">
        <v>99</v>
      </c>
      <c r="D580" t="s">
        <v>45</v>
      </c>
      <c r="E580" t="s">
        <v>100</v>
      </c>
      <c r="F580" t="s">
        <v>24</v>
      </c>
      <c r="G580" t="s">
        <v>25</v>
      </c>
      <c r="H580" t="s">
        <v>26</v>
      </c>
      <c r="I580" t="s">
        <v>25</v>
      </c>
      <c r="J580">
        <v>371</v>
      </c>
      <c r="K580">
        <v>1</v>
      </c>
      <c r="L580">
        <v>0</v>
      </c>
      <c r="M580">
        <v>1</v>
      </c>
      <c r="N580">
        <v>203</v>
      </c>
      <c r="O580">
        <v>158</v>
      </c>
      <c r="P580">
        <v>140</v>
      </c>
      <c r="Q580">
        <v>92</v>
      </c>
      <c r="R580">
        <v>53</v>
      </c>
      <c r="S580">
        <v>16</v>
      </c>
      <c r="T580">
        <v>7</v>
      </c>
      <c r="U580">
        <v>370</v>
      </c>
    </row>
    <row r="581" spans="1:21" x14ac:dyDescent="0.25">
      <c r="A581">
        <v>2025</v>
      </c>
      <c r="B581">
        <v>3</v>
      </c>
      <c r="C581" t="s">
        <v>101</v>
      </c>
      <c r="D581" t="s">
        <v>22</v>
      </c>
      <c r="E581" t="s">
        <v>32</v>
      </c>
      <c r="F581" t="s">
        <v>24</v>
      </c>
      <c r="G581" t="s">
        <v>25</v>
      </c>
      <c r="H581" t="s">
        <v>25</v>
      </c>
      <c r="I581" t="s">
        <v>25</v>
      </c>
      <c r="J581">
        <v>62</v>
      </c>
      <c r="K581">
        <v>1</v>
      </c>
      <c r="L581">
        <v>0</v>
      </c>
      <c r="M581">
        <v>1</v>
      </c>
      <c r="N581">
        <v>15</v>
      </c>
      <c r="O581">
        <v>11</v>
      </c>
      <c r="P581">
        <v>9</v>
      </c>
      <c r="Q581">
        <v>7</v>
      </c>
      <c r="R581">
        <v>5</v>
      </c>
      <c r="S581">
        <v>4</v>
      </c>
      <c r="T581">
        <v>3</v>
      </c>
      <c r="U581">
        <v>61</v>
      </c>
    </row>
    <row r="582" spans="1:21" x14ac:dyDescent="0.25">
      <c r="A582">
        <v>2025</v>
      </c>
      <c r="B582">
        <v>3</v>
      </c>
      <c r="C582" t="s">
        <v>101</v>
      </c>
      <c r="D582" t="s">
        <v>22</v>
      </c>
      <c r="E582" t="s">
        <v>34</v>
      </c>
      <c r="F582" t="s">
        <v>24</v>
      </c>
      <c r="G582" t="s">
        <v>25</v>
      </c>
      <c r="H582" t="s">
        <v>26</v>
      </c>
      <c r="I582" t="s">
        <v>26</v>
      </c>
      <c r="J582">
        <v>62</v>
      </c>
      <c r="K582">
        <v>0</v>
      </c>
      <c r="L582">
        <v>0</v>
      </c>
      <c r="M582">
        <v>0</v>
      </c>
      <c r="N582">
        <v>16</v>
      </c>
      <c r="O582">
        <v>13</v>
      </c>
      <c r="P582">
        <v>11</v>
      </c>
      <c r="Q582">
        <v>6</v>
      </c>
      <c r="R582">
        <v>5</v>
      </c>
      <c r="S582">
        <v>2</v>
      </c>
      <c r="T582">
        <v>0</v>
      </c>
      <c r="U582">
        <v>62</v>
      </c>
    </row>
    <row r="583" spans="1:21" x14ac:dyDescent="0.25">
      <c r="A583">
        <v>2025</v>
      </c>
      <c r="B583">
        <v>3</v>
      </c>
      <c r="C583" t="s">
        <v>101</v>
      </c>
      <c r="D583" t="s">
        <v>22</v>
      </c>
      <c r="E583" t="s">
        <v>35</v>
      </c>
      <c r="F583" t="s">
        <v>24</v>
      </c>
      <c r="G583" t="s">
        <v>25</v>
      </c>
      <c r="H583" t="s">
        <v>26</v>
      </c>
      <c r="I583" t="s">
        <v>26</v>
      </c>
      <c r="J583">
        <v>1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1</v>
      </c>
    </row>
    <row r="584" spans="1:21" x14ac:dyDescent="0.25">
      <c r="A584">
        <v>2025</v>
      </c>
      <c r="B584">
        <v>3</v>
      </c>
      <c r="C584" t="s">
        <v>101</v>
      </c>
      <c r="D584" t="s">
        <v>22</v>
      </c>
      <c r="E584" t="s">
        <v>41</v>
      </c>
      <c r="F584" t="s">
        <v>24</v>
      </c>
      <c r="G584" t="s">
        <v>26</v>
      </c>
      <c r="H584" t="s">
        <v>26</v>
      </c>
      <c r="I584" t="s">
        <v>25</v>
      </c>
      <c r="J584">
        <v>62</v>
      </c>
      <c r="K584">
        <v>0</v>
      </c>
      <c r="L584">
        <v>0</v>
      </c>
      <c r="M584">
        <v>0</v>
      </c>
      <c r="N584">
        <v>5</v>
      </c>
      <c r="O584">
        <v>5</v>
      </c>
      <c r="P584">
        <v>5</v>
      </c>
      <c r="Q584">
        <v>5</v>
      </c>
      <c r="R584">
        <v>5</v>
      </c>
      <c r="S584">
        <v>3</v>
      </c>
      <c r="T584">
        <v>2</v>
      </c>
      <c r="U584">
        <v>62</v>
      </c>
    </row>
    <row r="585" spans="1:21" x14ac:dyDescent="0.25">
      <c r="A585">
        <v>2025</v>
      </c>
      <c r="B585">
        <v>4</v>
      </c>
      <c r="C585" t="s">
        <v>21</v>
      </c>
      <c r="D585" t="s">
        <v>22</v>
      </c>
      <c r="E585" t="s">
        <v>23</v>
      </c>
      <c r="F585" t="s">
        <v>24</v>
      </c>
      <c r="G585" t="s">
        <v>25</v>
      </c>
      <c r="H585" t="s">
        <v>26</v>
      </c>
      <c r="I585" t="s">
        <v>25</v>
      </c>
      <c r="J585">
        <v>739</v>
      </c>
      <c r="K585">
        <v>14</v>
      </c>
      <c r="L585">
        <v>0</v>
      </c>
      <c r="M585">
        <v>14</v>
      </c>
      <c r="N585">
        <v>118</v>
      </c>
      <c r="O585">
        <v>67</v>
      </c>
      <c r="P585">
        <v>53</v>
      </c>
      <c r="Q585">
        <v>34</v>
      </c>
      <c r="R585">
        <v>23</v>
      </c>
      <c r="S585">
        <v>10</v>
      </c>
      <c r="T585">
        <v>0</v>
      </c>
      <c r="U585">
        <v>725</v>
      </c>
    </row>
    <row r="586" spans="1:21" x14ac:dyDescent="0.25">
      <c r="A586">
        <v>2025</v>
      </c>
      <c r="B586">
        <v>4</v>
      </c>
      <c r="C586" t="s">
        <v>21</v>
      </c>
      <c r="D586" t="s">
        <v>22</v>
      </c>
      <c r="E586" t="s">
        <v>27</v>
      </c>
      <c r="F586" t="s">
        <v>24</v>
      </c>
      <c r="G586" t="s">
        <v>26</v>
      </c>
      <c r="H586" t="s">
        <v>26</v>
      </c>
      <c r="I586" t="s">
        <v>25</v>
      </c>
      <c r="J586">
        <v>47</v>
      </c>
      <c r="K586">
        <v>0</v>
      </c>
      <c r="L586">
        <v>0</v>
      </c>
      <c r="M586">
        <v>0</v>
      </c>
      <c r="N586">
        <v>24</v>
      </c>
      <c r="O586">
        <v>11</v>
      </c>
      <c r="P586">
        <v>11</v>
      </c>
      <c r="Q586">
        <v>9</v>
      </c>
      <c r="R586">
        <v>6</v>
      </c>
      <c r="S586">
        <v>3</v>
      </c>
      <c r="T586">
        <v>2</v>
      </c>
      <c r="U586">
        <v>47</v>
      </c>
    </row>
    <row r="587" spans="1:21" x14ac:dyDescent="0.25">
      <c r="A587">
        <v>2025</v>
      </c>
      <c r="B587">
        <v>4</v>
      </c>
      <c r="C587" t="s">
        <v>21</v>
      </c>
      <c r="D587" t="s">
        <v>22</v>
      </c>
      <c r="E587" t="s">
        <v>27</v>
      </c>
      <c r="F587" t="s">
        <v>29</v>
      </c>
      <c r="G587" t="s">
        <v>26</v>
      </c>
      <c r="H587" t="s">
        <v>26</v>
      </c>
      <c r="I587" t="s">
        <v>25</v>
      </c>
      <c r="J587">
        <v>2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</row>
    <row r="588" spans="1:21" x14ac:dyDescent="0.25">
      <c r="A588">
        <v>2025</v>
      </c>
      <c r="B588">
        <v>4</v>
      </c>
      <c r="C588" t="s">
        <v>30</v>
      </c>
      <c r="D588" t="s">
        <v>22</v>
      </c>
      <c r="E588" t="s">
        <v>31</v>
      </c>
      <c r="F588" t="s">
        <v>24</v>
      </c>
      <c r="G588" t="s">
        <v>25</v>
      </c>
      <c r="H588" t="s">
        <v>25</v>
      </c>
      <c r="I588" t="s">
        <v>25</v>
      </c>
      <c r="J588">
        <v>52</v>
      </c>
      <c r="K588">
        <v>0</v>
      </c>
      <c r="L588">
        <v>0</v>
      </c>
      <c r="M588">
        <v>0</v>
      </c>
      <c r="N588">
        <v>1</v>
      </c>
      <c r="O588">
        <v>1</v>
      </c>
      <c r="P588">
        <v>1</v>
      </c>
      <c r="Q588">
        <v>1</v>
      </c>
      <c r="R588">
        <v>1</v>
      </c>
      <c r="S588">
        <v>0</v>
      </c>
      <c r="T588">
        <v>0</v>
      </c>
      <c r="U588">
        <v>52</v>
      </c>
    </row>
    <row r="589" spans="1:21" x14ac:dyDescent="0.25">
      <c r="A589">
        <v>2025</v>
      </c>
      <c r="B589">
        <v>4</v>
      </c>
      <c r="C589" t="s">
        <v>33</v>
      </c>
      <c r="D589" t="s">
        <v>22</v>
      </c>
      <c r="E589" t="s">
        <v>32</v>
      </c>
      <c r="F589" t="s">
        <v>28</v>
      </c>
      <c r="G589" t="s">
        <v>25</v>
      </c>
      <c r="H589" t="s">
        <v>25</v>
      </c>
      <c r="I589" t="s">
        <v>25</v>
      </c>
      <c r="J589">
        <v>1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1</v>
      </c>
    </row>
    <row r="590" spans="1:21" x14ac:dyDescent="0.25">
      <c r="A590">
        <v>2025</v>
      </c>
      <c r="B590">
        <v>4</v>
      </c>
      <c r="C590" t="s">
        <v>33</v>
      </c>
      <c r="D590" t="s">
        <v>22</v>
      </c>
      <c r="E590" t="s">
        <v>32</v>
      </c>
      <c r="F590" t="s">
        <v>24</v>
      </c>
      <c r="G590" t="s">
        <v>25</v>
      </c>
      <c r="H590" t="s">
        <v>25</v>
      </c>
      <c r="I590" t="s">
        <v>25</v>
      </c>
      <c r="J590">
        <v>867</v>
      </c>
      <c r="K590">
        <v>1</v>
      </c>
      <c r="L590">
        <v>0</v>
      </c>
      <c r="M590">
        <v>1</v>
      </c>
      <c r="N590">
        <v>218</v>
      </c>
      <c r="O590">
        <v>176</v>
      </c>
      <c r="P590">
        <v>163</v>
      </c>
      <c r="Q590">
        <v>108</v>
      </c>
      <c r="R590">
        <v>77</v>
      </c>
      <c r="S590">
        <v>26</v>
      </c>
      <c r="T590">
        <v>12</v>
      </c>
      <c r="U590">
        <v>866</v>
      </c>
    </row>
    <row r="591" spans="1:21" x14ac:dyDescent="0.25">
      <c r="A591">
        <v>2025</v>
      </c>
      <c r="B591">
        <v>4</v>
      </c>
      <c r="C591" t="s">
        <v>33</v>
      </c>
      <c r="D591" t="s">
        <v>22</v>
      </c>
      <c r="E591" t="s">
        <v>34</v>
      </c>
      <c r="F591" t="s">
        <v>24</v>
      </c>
      <c r="G591" t="s">
        <v>25</v>
      </c>
      <c r="H591" t="s">
        <v>26</v>
      </c>
      <c r="I591" t="s">
        <v>26</v>
      </c>
      <c r="J591">
        <v>133</v>
      </c>
      <c r="K591">
        <v>0</v>
      </c>
      <c r="L591">
        <v>0</v>
      </c>
      <c r="M591">
        <v>0</v>
      </c>
      <c r="N591">
        <v>67</v>
      </c>
      <c r="O591">
        <v>58</v>
      </c>
      <c r="P591">
        <v>57</v>
      </c>
      <c r="Q591">
        <v>45</v>
      </c>
      <c r="R591">
        <v>39</v>
      </c>
      <c r="S591">
        <v>20</v>
      </c>
      <c r="T591">
        <v>9</v>
      </c>
      <c r="U591">
        <v>133</v>
      </c>
    </row>
    <row r="592" spans="1:21" x14ac:dyDescent="0.25">
      <c r="A592">
        <v>2025</v>
      </c>
      <c r="B592">
        <v>4</v>
      </c>
      <c r="C592" t="s">
        <v>33</v>
      </c>
      <c r="D592" t="s">
        <v>22</v>
      </c>
      <c r="E592" t="s">
        <v>23</v>
      </c>
      <c r="F592" t="s">
        <v>24</v>
      </c>
      <c r="G592" t="s">
        <v>25</v>
      </c>
      <c r="H592" t="s">
        <v>25</v>
      </c>
      <c r="I592" t="s">
        <v>25</v>
      </c>
      <c r="J592">
        <v>220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220</v>
      </c>
    </row>
    <row r="593" spans="1:21" x14ac:dyDescent="0.25">
      <c r="A593">
        <v>2025</v>
      </c>
      <c r="B593">
        <v>4</v>
      </c>
      <c r="C593" t="s">
        <v>33</v>
      </c>
      <c r="D593" t="s">
        <v>22</v>
      </c>
      <c r="E593" t="s">
        <v>23</v>
      </c>
      <c r="F593" t="s">
        <v>24</v>
      </c>
      <c r="G593" t="s">
        <v>25</v>
      </c>
      <c r="H593" t="s">
        <v>26</v>
      </c>
      <c r="I593" t="s">
        <v>25</v>
      </c>
      <c r="J593">
        <v>52</v>
      </c>
      <c r="K593">
        <v>0</v>
      </c>
      <c r="L593">
        <v>0</v>
      </c>
      <c r="M593">
        <v>0</v>
      </c>
      <c r="N593">
        <v>10</v>
      </c>
      <c r="O593">
        <v>8</v>
      </c>
      <c r="P593">
        <v>8</v>
      </c>
      <c r="Q593">
        <v>6</v>
      </c>
      <c r="R593">
        <v>6</v>
      </c>
      <c r="S593">
        <v>2</v>
      </c>
      <c r="T593">
        <v>0</v>
      </c>
      <c r="U593">
        <v>52</v>
      </c>
    </row>
    <row r="594" spans="1:21" x14ac:dyDescent="0.25">
      <c r="A594">
        <v>2025</v>
      </c>
      <c r="B594">
        <v>4</v>
      </c>
      <c r="C594" t="s">
        <v>33</v>
      </c>
      <c r="D594" t="s">
        <v>22</v>
      </c>
      <c r="E594" t="s">
        <v>35</v>
      </c>
      <c r="F594" t="s">
        <v>24</v>
      </c>
      <c r="G594" t="s">
        <v>25</v>
      </c>
      <c r="H594" t="s">
        <v>26</v>
      </c>
      <c r="I594" t="s">
        <v>26</v>
      </c>
      <c r="J594">
        <v>56</v>
      </c>
      <c r="K594">
        <v>0</v>
      </c>
      <c r="L594">
        <v>0</v>
      </c>
      <c r="M594">
        <v>0</v>
      </c>
      <c r="N594">
        <v>41</v>
      </c>
      <c r="O594">
        <v>39</v>
      </c>
      <c r="P594">
        <v>38</v>
      </c>
      <c r="Q594">
        <v>30</v>
      </c>
      <c r="R594">
        <v>25</v>
      </c>
      <c r="S594">
        <v>12</v>
      </c>
      <c r="T594">
        <v>5</v>
      </c>
      <c r="U594">
        <v>56</v>
      </c>
    </row>
    <row r="595" spans="1:21" x14ac:dyDescent="0.25">
      <c r="A595">
        <v>2025</v>
      </c>
      <c r="B595">
        <v>4</v>
      </c>
      <c r="C595" t="s">
        <v>33</v>
      </c>
      <c r="D595" t="s">
        <v>22</v>
      </c>
      <c r="E595" t="s">
        <v>36</v>
      </c>
      <c r="F595" t="s">
        <v>28</v>
      </c>
      <c r="G595" t="s">
        <v>25</v>
      </c>
      <c r="H595" t="s">
        <v>26</v>
      </c>
      <c r="I595" t="s">
        <v>25</v>
      </c>
      <c r="J595">
        <v>3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3</v>
      </c>
    </row>
    <row r="596" spans="1:21" x14ac:dyDescent="0.25">
      <c r="A596">
        <v>2025</v>
      </c>
      <c r="B596">
        <v>4</v>
      </c>
      <c r="C596" t="s">
        <v>33</v>
      </c>
      <c r="D596" t="s">
        <v>22</v>
      </c>
      <c r="E596" t="s">
        <v>36</v>
      </c>
      <c r="F596" t="s">
        <v>24</v>
      </c>
      <c r="G596" t="s">
        <v>25</v>
      </c>
      <c r="H596" t="s">
        <v>26</v>
      </c>
      <c r="I596" t="s">
        <v>25</v>
      </c>
      <c r="J596">
        <v>443</v>
      </c>
      <c r="K596">
        <v>1</v>
      </c>
      <c r="L596">
        <v>0</v>
      </c>
      <c r="M596">
        <v>1</v>
      </c>
      <c r="N596">
        <v>95</v>
      </c>
      <c r="O596">
        <v>85</v>
      </c>
      <c r="P596">
        <v>81</v>
      </c>
      <c r="Q596">
        <v>53</v>
      </c>
      <c r="R596">
        <v>39</v>
      </c>
      <c r="S596">
        <v>14</v>
      </c>
      <c r="T596">
        <v>4</v>
      </c>
      <c r="U596">
        <v>442</v>
      </c>
    </row>
    <row r="597" spans="1:21" x14ac:dyDescent="0.25">
      <c r="A597">
        <v>2025</v>
      </c>
      <c r="B597">
        <v>4</v>
      </c>
      <c r="C597" t="s">
        <v>37</v>
      </c>
      <c r="D597" t="s">
        <v>22</v>
      </c>
      <c r="E597" t="s">
        <v>32</v>
      </c>
      <c r="F597" t="s">
        <v>28</v>
      </c>
      <c r="G597" t="s">
        <v>25</v>
      </c>
      <c r="H597" t="s">
        <v>26</v>
      </c>
      <c r="I597" t="s">
        <v>25</v>
      </c>
      <c r="J597">
        <v>10</v>
      </c>
      <c r="K597">
        <v>1</v>
      </c>
      <c r="L597">
        <v>1</v>
      </c>
      <c r="M597">
        <v>2</v>
      </c>
      <c r="N597">
        <v>3</v>
      </c>
      <c r="O597">
        <v>3</v>
      </c>
      <c r="P597">
        <v>3</v>
      </c>
      <c r="Q597">
        <v>1</v>
      </c>
      <c r="R597">
        <v>1</v>
      </c>
      <c r="S597">
        <v>1</v>
      </c>
      <c r="T597">
        <v>1</v>
      </c>
      <c r="U597">
        <v>9</v>
      </c>
    </row>
    <row r="598" spans="1:21" x14ac:dyDescent="0.25">
      <c r="A598">
        <v>2025</v>
      </c>
      <c r="B598">
        <v>4</v>
      </c>
      <c r="C598" t="s">
        <v>37</v>
      </c>
      <c r="D598" t="s">
        <v>22</v>
      </c>
      <c r="E598" t="s">
        <v>32</v>
      </c>
      <c r="F598" t="s">
        <v>24</v>
      </c>
      <c r="G598" t="s">
        <v>25</v>
      </c>
      <c r="H598" t="s">
        <v>26</v>
      </c>
      <c r="I598" t="s">
        <v>25</v>
      </c>
      <c r="J598">
        <v>1668</v>
      </c>
      <c r="K598">
        <v>16</v>
      </c>
      <c r="L598">
        <v>73</v>
      </c>
      <c r="M598">
        <v>89</v>
      </c>
      <c r="N598">
        <v>855</v>
      </c>
      <c r="O598">
        <v>696</v>
      </c>
      <c r="P598">
        <v>640</v>
      </c>
      <c r="Q598">
        <v>491</v>
      </c>
      <c r="R598">
        <v>368</v>
      </c>
      <c r="S598">
        <v>189</v>
      </c>
      <c r="T598">
        <v>52</v>
      </c>
      <c r="U598">
        <v>1619</v>
      </c>
    </row>
    <row r="599" spans="1:21" x14ac:dyDescent="0.25">
      <c r="A599">
        <v>2025</v>
      </c>
      <c r="B599">
        <v>4</v>
      </c>
      <c r="C599" t="s">
        <v>37</v>
      </c>
      <c r="D599" t="s">
        <v>22</v>
      </c>
      <c r="E599" t="s">
        <v>38</v>
      </c>
      <c r="F599" t="s">
        <v>24</v>
      </c>
      <c r="G599" t="s">
        <v>25</v>
      </c>
      <c r="H599" t="s">
        <v>26</v>
      </c>
      <c r="I599" t="s">
        <v>25</v>
      </c>
      <c r="J599">
        <v>46</v>
      </c>
      <c r="K599">
        <v>1</v>
      </c>
      <c r="L599">
        <v>1</v>
      </c>
      <c r="M599">
        <v>2</v>
      </c>
      <c r="N599">
        <v>39</v>
      </c>
      <c r="O599">
        <v>29</v>
      </c>
      <c r="P599">
        <v>27</v>
      </c>
      <c r="Q599">
        <v>22</v>
      </c>
      <c r="R599">
        <v>16</v>
      </c>
      <c r="S599">
        <v>9</v>
      </c>
      <c r="T599">
        <v>2</v>
      </c>
      <c r="U599">
        <v>45</v>
      </c>
    </row>
    <row r="600" spans="1:21" x14ac:dyDescent="0.25">
      <c r="A600">
        <v>2025</v>
      </c>
      <c r="B600">
        <v>4</v>
      </c>
      <c r="C600" t="s">
        <v>37</v>
      </c>
      <c r="D600" t="s">
        <v>22</v>
      </c>
      <c r="E600" t="s">
        <v>34</v>
      </c>
      <c r="F600" t="s">
        <v>28</v>
      </c>
      <c r="G600" t="s">
        <v>25</v>
      </c>
      <c r="H600" t="s">
        <v>26</v>
      </c>
      <c r="I600" t="s">
        <v>26</v>
      </c>
      <c r="J600">
        <v>10</v>
      </c>
      <c r="K600">
        <v>0</v>
      </c>
      <c r="L600">
        <v>0</v>
      </c>
      <c r="M600">
        <v>0</v>
      </c>
      <c r="N600">
        <v>1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10</v>
      </c>
    </row>
    <row r="601" spans="1:21" x14ac:dyDescent="0.25">
      <c r="A601">
        <v>2025</v>
      </c>
      <c r="B601">
        <v>4</v>
      </c>
      <c r="C601" t="s">
        <v>37</v>
      </c>
      <c r="D601" t="s">
        <v>22</v>
      </c>
      <c r="E601" t="s">
        <v>34</v>
      </c>
      <c r="F601" t="s">
        <v>24</v>
      </c>
      <c r="G601" t="s">
        <v>25</v>
      </c>
      <c r="H601" t="s">
        <v>26</v>
      </c>
      <c r="I601" t="s">
        <v>26</v>
      </c>
      <c r="J601">
        <v>259</v>
      </c>
      <c r="K601">
        <v>1</v>
      </c>
      <c r="L601">
        <v>5</v>
      </c>
      <c r="M601">
        <v>6</v>
      </c>
      <c r="N601">
        <v>97</v>
      </c>
      <c r="O601">
        <v>84</v>
      </c>
      <c r="P601">
        <v>74</v>
      </c>
      <c r="Q601">
        <v>62</v>
      </c>
      <c r="R601">
        <v>48</v>
      </c>
      <c r="S601">
        <v>28</v>
      </c>
      <c r="T601">
        <v>13</v>
      </c>
      <c r="U601">
        <v>258</v>
      </c>
    </row>
    <row r="602" spans="1:21" x14ac:dyDescent="0.25">
      <c r="A602">
        <v>2025</v>
      </c>
      <c r="B602">
        <v>4</v>
      </c>
      <c r="C602" t="s">
        <v>37</v>
      </c>
      <c r="D602" t="s">
        <v>22</v>
      </c>
      <c r="E602" t="s">
        <v>23</v>
      </c>
      <c r="F602" t="s">
        <v>28</v>
      </c>
      <c r="G602" t="s">
        <v>25</v>
      </c>
      <c r="H602" t="s">
        <v>26</v>
      </c>
      <c r="I602" t="s">
        <v>25</v>
      </c>
      <c r="J602">
        <v>4231</v>
      </c>
      <c r="K602">
        <v>110</v>
      </c>
      <c r="L602">
        <v>399</v>
      </c>
      <c r="M602">
        <v>509</v>
      </c>
      <c r="N602">
        <v>2209</v>
      </c>
      <c r="O602">
        <v>1861</v>
      </c>
      <c r="P602">
        <v>1701</v>
      </c>
      <c r="Q602">
        <v>1275</v>
      </c>
      <c r="R602">
        <v>938</v>
      </c>
      <c r="S602">
        <v>421</v>
      </c>
      <c r="T602">
        <v>92</v>
      </c>
      <c r="U602">
        <v>3965</v>
      </c>
    </row>
    <row r="603" spans="1:21" x14ac:dyDescent="0.25">
      <c r="A603">
        <v>2025</v>
      </c>
      <c r="B603">
        <v>4</v>
      </c>
      <c r="C603" t="s">
        <v>37</v>
      </c>
      <c r="D603" t="s">
        <v>22</v>
      </c>
      <c r="E603" t="s">
        <v>23</v>
      </c>
      <c r="F603" t="s">
        <v>24</v>
      </c>
      <c r="G603" t="s">
        <v>25</v>
      </c>
      <c r="H603" t="s">
        <v>26</v>
      </c>
      <c r="I603" t="s">
        <v>25</v>
      </c>
      <c r="J603">
        <v>1808</v>
      </c>
      <c r="K603">
        <v>50</v>
      </c>
      <c r="L603">
        <v>88</v>
      </c>
      <c r="M603">
        <v>138</v>
      </c>
      <c r="N603">
        <v>881</v>
      </c>
      <c r="O603">
        <v>707</v>
      </c>
      <c r="P603">
        <v>653</v>
      </c>
      <c r="Q603">
        <v>491</v>
      </c>
      <c r="R603">
        <v>359</v>
      </c>
      <c r="S603">
        <v>169</v>
      </c>
      <c r="T603">
        <v>60</v>
      </c>
      <c r="U603">
        <v>1730</v>
      </c>
    </row>
    <row r="604" spans="1:21" x14ac:dyDescent="0.25">
      <c r="A604">
        <v>2025</v>
      </c>
      <c r="B604">
        <v>4</v>
      </c>
      <c r="C604" t="s">
        <v>37</v>
      </c>
      <c r="D604" t="s">
        <v>22</v>
      </c>
      <c r="E604" t="s">
        <v>23</v>
      </c>
      <c r="F604" t="s">
        <v>29</v>
      </c>
      <c r="G604" t="s">
        <v>25</v>
      </c>
      <c r="H604" t="s">
        <v>26</v>
      </c>
      <c r="I604" t="s">
        <v>25</v>
      </c>
      <c r="J604">
        <v>2</v>
      </c>
      <c r="K604">
        <v>1</v>
      </c>
      <c r="L604">
        <v>0</v>
      </c>
      <c r="M604">
        <v>1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</row>
    <row r="605" spans="1:21" x14ac:dyDescent="0.25">
      <c r="A605">
        <v>2025</v>
      </c>
      <c r="B605">
        <v>4</v>
      </c>
      <c r="C605" t="s">
        <v>37</v>
      </c>
      <c r="D605" t="s">
        <v>22</v>
      </c>
      <c r="E605" t="s">
        <v>39</v>
      </c>
      <c r="F605" t="s">
        <v>28</v>
      </c>
      <c r="G605" t="s">
        <v>26</v>
      </c>
      <c r="H605" t="s">
        <v>26</v>
      </c>
      <c r="I605" t="s">
        <v>25</v>
      </c>
      <c r="J605">
        <v>13400</v>
      </c>
      <c r="K605">
        <v>564</v>
      </c>
      <c r="L605">
        <v>1081</v>
      </c>
      <c r="M605">
        <v>1645</v>
      </c>
      <c r="N605">
        <v>7701</v>
      </c>
      <c r="O605">
        <v>6725</v>
      </c>
      <c r="P605">
        <v>6320</v>
      </c>
      <c r="Q605">
        <v>4977</v>
      </c>
      <c r="R605">
        <v>3862</v>
      </c>
      <c r="S605">
        <v>1940</v>
      </c>
      <c r="T605">
        <v>630</v>
      </c>
      <c r="U605">
        <v>12398</v>
      </c>
    </row>
    <row r="606" spans="1:21" x14ac:dyDescent="0.25">
      <c r="A606">
        <v>2025</v>
      </c>
      <c r="B606">
        <v>4</v>
      </c>
      <c r="C606" t="s">
        <v>37</v>
      </c>
      <c r="D606" t="s">
        <v>22</v>
      </c>
      <c r="E606" t="s">
        <v>39</v>
      </c>
      <c r="F606" t="s">
        <v>24</v>
      </c>
      <c r="G606" t="s">
        <v>26</v>
      </c>
      <c r="H606" t="s">
        <v>26</v>
      </c>
      <c r="I606" t="s">
        <v>25</v>
      </c>
      <c r="J606">
        <v>2979</v>
      </c>
      <c r="K606">
        <v>58</v>
      </c>
      <c r="L606">
        <v>273</v>
      </c>
      <c r="M606">
        <v>331</v>
      </c>
      <c r="N606">
        <v>1778</v>
      </c>
      <c r="O606">
        <v>1497</v>
      </c>
      <c r="P606">
        <v>1421</v>
      </c>
      <c r="Q606">
        <v>1059</v>
      </c>
      <c r="R606">
        <v>826</v>
      </c>
      <c r="S606">
        <v>447</v>
      </c>
      <c r="T606">
        <v>141</v>
      </c>
      <c r="U606">
        <v>2821</v>
      </c>
    </row>
    <row r="607" spans="1:21" x14ac:dyDescent="0.25">
      <c r="A607">
        <v>2025</v>
      </c>
      <c r="B607">
        <v>4</v>
      </c>
      <c r="C607" t="s">
        <v>37</v>
      </c>
      <c r="D607" t="s">
        <v>22</v>
      </c>
      <c r="E607" t="s">
        <v>39</v>
      </c>
      <c r="F607" t="s">
        <v>29</v>
      </c>
      <c r="G607" t="s">
        <v>26</v>
      </c>
      <c r="H607" t="s">
        <v>26</v>
      </c>
      <c r="I607" t="s">
        <v>25</v>
      </c>
      <c r="J607">
        <v>9</v>
      </c>
      <c r="K607">
        <v>3</v>
      </c>
      <c r="L607">
        <v>0</v>
      </c>
      <c r="M607">
        <v>3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</row>
    <row r="608" spans="1:21" x14ac:dyDescent="0.25">
      <c r="A608">
        <v>2025</v>
      </c>
      <c r="B608">
        <v>4</v>
      </c>
      <c r="C608" t="s">
        <v>37</v>
      </c>
      <c r="D608" t="s">
        <v>22</v>
      </c>
      <c r="E608" t="s">
        <v>40</v>
      </c>
      <c r="F608" t="s">
        <v>24</v>
      </c>
      <c r="G608" t="s">
        <v>25</v>
      </c>
      <c r="H608" t="s">
        <v>26</v>
      </c>
      <c r="I608" t="s">
        <v>25</v>
      </c>
      <c r="J608">
        <v>365</v>
      </c>
      <c r="K608">
        <v>10</v>
      </c>
      <c r="L608">
        <v>0</v>
      </c>
      <c r="M608">
        <v>10</v>
      </c>
      <c r="N608">
        <v>18</v>
      </c>
      <c r="O608">
        <v>9</v>
      </c>
      <c r="P608">
        <v>8</v>
      </c>
      <c r="Q608">
        <v>3</v>
      </c>
      <c r="R608">
        <v>0</v>
      </c>
      <c r="S608">
        <v>0</v>
      </c>
      <c r="T608">
        <v>0</v>
      </c>
      <c r="U608">
        <v>355</v>
      </c>
    </row>
    <row r="609" spans="1:21" x14ac:dyDescent="0.25">
      <c r="A609">
        <v>2025</v>
      </c>
      <c r="B609">
        <v>4</v>
      </c>
      <c r="C609" t="s">
        <v>37</v>
      </c>
      <c r="D609" t="s">
        <v>22</v>
      </c>
      <c r="E609" t="s">
        <v>35</v>
      </c>
      <c r="F609" t="s">
        <v>28</v>
      </c>
      <c r="G609" t="s">
        <v>25</v>
      </c>
      <c r="H609" t="s">
        <v>26</v>
      </c>
      <c r="I609" t="s">
        <v>26</v>
      </c>
      <c r="J609">
        <v>14</v>
      </c>
      <c r="K609">
        <v>1</v>
      </c>
      <c r="L609">
        <v>4</v>
      </c>
      <c r="M609">
        <v>5</v>
      </c>
      <c r="N609">
        <v>4</v>
      </c>
      <c r="O609">
        <v>3</v>
      </c>
      <c r="P609">
        <v>3</v>
      </c>
      <c r="Q609">
        <v>3</v>
      </c>
      <c r="R609">
        <v>3</v>
      </c>
      <c r="S609">
        <v>3</v>
      </c>
      <c r="T609">
        <v>2</v>
      </c>
      <c r="U609">
        <v>9</v>
      </c>
    </row>
    <row r="610" spans="1:21" x14ac:dyDescent="0.25">
      <c r="A610">
        <v>2025</v>
      </c>
      <c r="B610">
        <v>4</v>
      </c>
      <c r="C610" t="s">
        <v>37</v>
      </c>
      <c r="D610" t="s">
        <v>22</v>
      </c>
      <c r="E610" t="s">
        <v>35</v>
      </c>
      <c r="F610" t="s">
        <v>24</v>
      </c>
      <c r="G610" t="s">
        <v>25</v>
      </c>
      <c r="H610" t="s">
        <v>26</v>
      </c>
      <c r="I610" t="s">
        <v>26</v>
      </c>
      <c r="J610">
        <v>474</v>
      </c>
      <c r="K610">
        <v>4</v>
      </c>
      <c r="L610">
        <v>24</v>
      </c>
      <c r="M610">
        <v>28</v>
      </c>
      <c r="N610">
        <v>283</v>
      </c>
      <c r="O610">
        <v>249</v>
      </c>
      <c r="P610">
        <v>236</v>
      </c>
      <c r="Q610">
        <v>205</v>
      </c>
      <c r="R610">
        <v>185</v>
      </c>
      <c r="S610">
        <v>130</v>
      </c>
      <c r="T610">
        <v>57</v>
      </c>
      <c r="U610">
        <v>462</v>
      </c>
    </row>
    <row r="611" spans="1:21" x14ac:dyDescent="0.25">
      <c r="A611">
        <v>2025</v>
      </c>
      <c r="B611">
        <v>4</v>
      </c>
      <c r="C611" t="s">
        <v>37</v>
      </c>
      <c r="D611" t="s">
        <v>22</v>
      </c>
      <c r="E611" t="s">
        <v>35</v>
      </c>
      <c r="F611" t="s">
        <v>29</v>
      </c>
      <c r="G611" t="s">
        <v>25</v>
      </c>
      <c r="H611" t="s">
        <v>26</v>
      </c>
      <c r="I611" t="s">
        <v>26</v>
      </c>
      <c r="J611">
        <v>1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</row>
    <row r="612" spans="1:21" x14ac:dyDescent="0.25">
      <c r="A612">
        <v>2025</v>
      </c>
      <c r="B612">
        <v>4</v>
      </c>
      <c r="C612" t="s">
        <v>37</v>
      </c>
      <c r="D612" t="s">
        <v>22</v>
      </c>
      <c r="E612" t="s">
        <v>36</v>
      </c>
      <c r="F612" t="s">
        <v>28</v>
      </c>
      <c r="G612" t="s">
        <v>25</v>
      </c>
      <c r="H612" t="s">
        <v>26</v>
      </c>
      <c r="I612" t="s">
        <v>25</v>
      </c>
      <c r="J612">
        <v>4</v>
      </c>
      <c r="K612">
        <v>1</v>
      </c>
      <c r="L612">
        <v>0</v>
      </c>
      <c r="M612">
        <v>1</v>
      </c>
      <c r="N612">
        <v>1</v>
      </c>
      <c r="O612">
        <v>1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3</v>
      </c>
    </row>
    <row r="613" spans="1:21" x14ac:dyDescent="0.25">
      <c r="A613">
        <v>2025</v>
      </c>
      <c r="B613">
        <v>4</v>
      </c>
      <c r="C613" t="s">
        <v>37</v>
      </c>
      <c r="D613" t="s">
        <v>22</v>
      </c>
      <c r="E613" t="s">
        <v>36</v>
      </c>
      <c r="F613" t="s">
        <v>24</v>
      </c>
      <c r="G613" t="s">
        <v>25</v>
      </c>
      <c r="H613" t="s">
        <v>26</v>
      </c>
      <c r="I613" t="s">
        <v>25</v>
      </c>
      <c r="J613">
        <v>555</v>
      </c>
      <c r="K613">
        <v>5</v>
      </c>
      <c r="L613">
        <v>15</v>
      </c>
      <c r="M613">
        <v>20</v>
      </c>
      <c r="N613">
        <v>263</v>
      </c>
      <c r="O613">
        <v>199</v>
      </c>
      <c r="P613">
        <v>178</v>
      </c>
      <c r="Q613">
        <v>122</v>
      </c>
      <c r="R613">
        <v>82</v>
      </c>
      <c r="S613">
        <v>27</v>
      </c>
      <c r="T613">
        <v>10</v>
      </c>
      <c r="U613">
        <v>542</v>
      </c>
    </row>
    <row r="614" spans="1:21" x14ac:dyDescent="0.25">
      <c r="A614">
        <v>2025</v>
      </c>
      <c r="B614">
        <v>4</v>
      </c>
      <c r="C614" t="s">
        <v>37</v>
      </c>
      <c r="D614" t="s">
        <v>22</v>
      </c>
      <c r="E614" t="s">
        <v>41</v>
      </c>
      <c r="F614" t="s">
        <v>28</v>
      </c>
      <c r="G614" t="s">
        <v>26</v>
      </c>
      <c r="H614" t="s">
        <v>26</v>
      </c>
      <c r="I614" t="s">
        <v>25</v>
      </c>
      <c r="J614">
        <v>2</v>
      </c>
      <c r="K614">
        <v>2</v>
      </c>
      <c r="L614">
        <v>0</v>
      </c>
      <c r="M614">
        <v>2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</row>
    <row r="615" spans="1:21" x14ac:dyDescent="0.25">
      <c r="A615">
        <v>2025</v>
      </c>
      <c r="B615">
        <v>4</v>
      </c>
      <c r="C615" t="s">
        <v>37</v>
      </c>
      <c r="D615" t="s">
        <v>22</v>
      </c>
      <c r="E615" t="s">
        <v>41</v>
      </c>
      <c r="F615" t="s">
        <v>24</v>
      </c>
      <c r="G615" t="s">
        <v>26</v>
      </c>
      <c r="H615" t="s">
        <v>26</v>
      </c>
      <c r="I615" t="s">
        <v>25</v>
      </c>
      <c r="J615">
        <v>352</v>
      </c>
      <c r="K615">
        <v>8</v>
      </c>
      <c r="L615">
        <v>7</v>
      </c>
      <c r="M615">
        <v>15</v>
      </c>
      <c r="N615">
        <v>215</v>
      </c>
      <c r="O615">
        <v>168</v>
      </c>
      <c r="P615">
        <v>156</v>
      </c>
      <c r="Q615">
        <v>99</v>
      </c>
      <c r="R615">
        <v>81</v>
      </c>
      <c r="S615">
        <v>30</v>
      </c>
      <c r="T615">
        <v>3</v>
      </c>
      <c r="U615">
        <v>342</v>
      </c>
    </row>
    <row r="616" spans="1:21" x14ac:dyDescent="0.25">
      <c r="A616">
        <v>2025</v>
      </c>
      <c r="B616">
        <v>4</v>
      </c>
      <c r="C616" t="s">
        <v>37</v>
      </c>
      <c r="D616" t="s">
        <v>22</v>
      </c>
      <c r="E616" t="s">
        <v>41</v>
      </c>
      <c r="F616" t="s">
        <v>29</v>
      </c>
      <c r="G616" t="s">
        <v>26</v>
      </c>
      <c r="H616" t="s">
        <v>26</v>
      </c>
      <c r="I616" t="s">
        <v>25</v>
      </c>
      <c r="J616">
        <v>1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</row>
    <row r="617" spans="1:21" x14ac:dyDescent="0.25">
      <c r="A617">
        <v>2025</v>
      </c>
      <c r="B617">
        <v>4</v>
      </c>
      <c r="C617" t="s">
        <v>37</v>
      </c>
      <c r="D617" t="s">
        <v>22</v>
      </c>
      <c r="E617" t="s">
        <v>42</v>
      </c>
      <c r="F617" t="s">
        <v>24</v>
      </c>
      <c r="G617" t="s">
        <v>26</v>
      </c>
      <c r="H617" t="s">
        <v>26</v>
      </c>
      <c r="I617" t="s">
        <v>25</v>
      </c>
      <c r="J617">
        <v>140</v>
      </c>
      <c r="K617">
        <v>5</v>
      </c>
      <c r="L617">
        <v>4</v>
      </c>
      <c r="M617">
        <v>9</v>
      </c>
      <c r="N617">
        <v>82</v>
      </c>
      <c r="O617">
        <v>55</v>
      </c>
      <c r="P617">
        <v>48</v>
      </c>
      <c r="Q617">
        <v>29</v>
      </c>
      <c r="R617">
        <v>18</v>
      </c>
      <c r="S617">
        <v>8</v>
      </c>
      <c r="T617">
        <v>4</v>
      </c>
      <c r="U617">
        <v>131</v>
      </c>
    </row>
    <row r="618" spans="1:21" x14ac:dyDescent="0.25">
      <c r="A618">
        <v>2025</v>
      </c>
      <c r="B618">
        <v>4</v>
      </c>
      <c r="C618" t="s">
        <v>37</v>
      </c>
      <c r="D618" t="s">
        <v>22</v>
      </c>
      <c r="E618" t="s">
        <v>27</v>
      </c>
      <c r="F618" t="s">
        <v>24</v>
      </c>
      <c r="G618" t="s">
        <v>26</v>
      </c>
      <c r="H618" t="s">
        <v>26</v>
      </c>
      <c r="I618" t="s">
        <v>25</v>
      </c>
      <c r="J618">
        <v>12</v>
      </c>
      <c r="K618">
        <v>2</v>
      </c>
      <c r="L618">
        <v>0</v>
      </c>
      <c r="M618">
        <v>2</v>
      </c>
      <c r="N618">
        <v>6</v>
      </c>
      <c r="O618">
        <v>2</v>
      </c>
      <c r="P618">
        <v>2</v>
      </c>
      <c r="Q618">
        <v>2</v>
      </c>
      <c r="R618">
        <v>1</v>
      </c>
      <c r="S618">
        <v>1</v>
      </c>
      <c r="T618">
        <v>0</v>
      </c>
      <c r="U618">
        <v>10</v>
      </c>
    </row>
    <row r="619" spans="1:21" x14ac:dyDescent="0.25">
      <c r="A619">
        <v>2025</v>
      </c>
      <c r="B619">
        <v>4</v>
      </c>
      <c r="C619" t="s">
        <v>43</v>
      </c>
      <c r="D619" t="s">
        <v>22</v>
      </c>
      <c r="E619" t="s">
        <v>32</v>
      </c>
      <c r="F619" t="s">
        <v>24</v>
      </c>
      <c r="G619" t="s">
        <v>25</v>
      </c>
      <c r="H619" t="s">
        <v>25</v>
      </c>
      <c r="I619" t="s">
        <v>25</v>
      </c>
      <c r="J619">
        <v>264</v>
      </c>
      <c r="K619">
        <v>0</v>
      </c>
      <c r="L619">
        <v>0</v>
      </c>
      <c r="M619">
        <v>0</v>
      </c>
      <c r="N619">
        <v>104</v>
      </c>
      <c r="O619">
        <v>90</v>
      </c>
      <c r="P619">
        <v>85</v>
      </c>
      <c r="Q619">
        <v>58</v>
      </c>
      <c r="R619">
        <v>41</v>
      </c>
      <c r="S619">
        <v>13</v>
      </c>
      <c r="T619">
        <v>2</v>
      </c>
      <c r="U619">
        <v>264</v>
      </c>
    </row>
    <row r="620" spans="1:21" x14ac:dyDescent="0.25">
      <c r="A620">
        <v>2025</v>
      </c>
      <c r="B620">
        <v>4</v>
      </c>
      <c r="C620" t="s">
        <v>43</v>
      </c>
      <c r="D620" t="s">
        <v>22</v>
      </c>
      <c r="E620" t="s">
        <v>34</v>
      </c>
      <c r="F620" t="s">
        <v>24</v>
      </c>
      <c r="G620" t="s">
        <v>25</v>
      </c>
      <c r="H620" t="s">
        <v>26</v>
      </c>
      <c r="I620" t="s">
        <v>26</v>
      </c>
      <c r="J620">
        <v>41</v>
      </c>
      <c r="K620">
        <v>2</v>
      </c>
      <c r="L620">
        <v>0</v>
      </c>
      <c r="M620">
        <v>2</v>
      </c>
      <c r="N620">
        <v>17</v>
      </c>
      <c r="O620">
        <v>17</v>
      </c>
      <c r="P620">
        <v>16</v>
      </c>
      <c r="Q620">
        <v>12</v>
      </c>
      <c r="R620">
        <v>11</v>
      </c>
      <c r="S620">
        <v>8</v>
      </c>
      <c r="T620">
        <v>5</v>
      </c>
      <c r="U620">
        <v>39</v>
      </c>
    </row>
    <row r="621" spans="1:21" x14ac:dyDescent="0.25">
      <c r="A621">
        <v>2025</v>
      </c>
      <c r="B621">
        <v>4</v>
      </c>
      <c r="C621" t="s">
        <v>43</v>
      </c>
      <c r="D621" t="s">
        <v>22</v>
      </c>
      <c r="E621" t="s">
        <v>23</v>
      </c>
      <c r="F621" t="s">
        <v>28</v>
      </c>
      <c r="G621" t="s">
        <v>25</v>
      </c>
      <c r="H621" t="s">
        <v>26</v>
      </c>
      <c r="I621" t="s">
        <v>25</v>
      </c>
      <c r="J621">
        <v>3</v>
      </c>
      <c r="K621">
        <v>0</v>
      </c>
      <c r="L621">
        <v>3</v>
      </c>
      <c r="M621">
        <v>3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</row>
    <row r="622" spans="1:21" x14ac:dyDescent="0.25">
      <c r="A622">
        <v>2025</v>
      </c>
      <c r="B622">
        <v>4</v>
      </c>
      <c r="C622" t="s">
        <v>43</v>
      </c>
      <c r="D622" t="s">
        <v>22</v>
      </c>
      <c r="E622" t="s">
        <v>23</v>
      </c>
      <c r="F622" t="s">
        <v>24</v>
      </c>
      <c r="G622" t="s">
        <v>25</v>
      </c>
      <c r="H622" t="s">
        <v>26</v>
      </c>
      <c r="I622" t="s">
        <v>25</v>
      </c>
      <c r="J622">
        <v>370</v>
      </c>
      <c r="K622">
        <v>1</v>
      </c>
      <c r="L622">
        <v>0</v>
      </c>
      <c r="M622">
        <v>1</v>
      </c>
      <c r="N622">
        <v>96</v>
      </c>
      <c r="O622">
        <v>53</v>
      </c>
      <c r="P622">
        <v>40</v>
      </c>
      <c r="Q622">
        <v>18</v>
      </c>
      <c r="R622">
        <v>7</v>
      </c>
      <c r="S622">
        <v>4</v>
      </c>
      <c r="T622">
        <v>0</v>
      </c>
      <c r="U622">
        <v>369</v>
      </c>
    </row>
    <row r="623" spans="1:21" x14ac:dyDescent="0.25">
      <c r="A623">
        <v>2025</v>
      </c>
      <c r="B623">
        <v>4</v>
      </c>
      <c r="C623" t="s">
        <v>44</v>
      </c>
      <c r="D623" t="s">
        <v>45</v>
      </c>
      <c r="E623" t="s">
        <v>46</v>
      </c>
      <c r="F623" t="s">
        <v>28</v>
      </c>
      <c r="G623" t="s">
        <v>25</v>
      </c>
      <c r="H623" t="s">
        <v>26</v>
      </c>
      <c r="I623" t="s">
        <v>26</v>
      </c>
      <c r="J623">
        <v>2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2</v>
      </c>
    </row>
    <row r="624" spans="1:21" x14ac:dyDescent="0.25">
      <c r="A624">
        <v>2025</v>
      </c>
      <c r="B624">
        <v>4</v>
      </c>
      <c r="C624" t="s">
        <v>44</v>
      </c>
      <c r="D624" t="s">
        <v>45</v>
      </c>
      <c r="E624" t="s">
        <v>46</v>
      </c>
      <c r="F624" t="s">
        <v>24</v>
      </c>
      <c r="G624" t="s">
        <v>25</v>
      </c>
      <c r="H624" t="s">
        <v>26</v>
      </c>
      <c r="I624" t="s">
        <v>26</v>
      </c>
      <c r="J624">
        <v>22</v>
      </c>
      <c r="K624">
        <v>0</v>
      </c>
      <c r="L624">
        <v>0</v>
      </c>
      <c r="M624">
        <v>0</v>
      </c>
      <c r="N624">
        <v>8</v>
      </c>
      <c r="O624">
        <v>6</v>
      </c>
      <c r="P624">
        <v>6</v>
      </c>
      <c r="Q624">
        <v>5</v>
      </c>
      <c r="R624">
        <v>5</v>
      </c>
      <c r="S624">
        <v>4</v>
      </c>
      <c r="T624">
        <v>2</v>
      </c>
      <c r="U624">
        <v>22</v>
      </c>
    </row>
    <row r="625" spans="1:21" x14ac:dyDescent="0.25">
      <c r="A625">
        <v>2025</v>
      </c>
      <c r="B625">
        <v>4</v>
      </c>
      <c r="C625" t="s">
        <v>44</v>
      </c>
      <c r="D625" t="s">
        <v>45</v>
      </c>
      <c r="E625" t="s">
        <v>46</v>
      </c>
      <c r="F625" t="s">
        <v>29</v>
      </c>
      <c r="G625" t="s">
        <v>25</v>
      </c>
      <c r="H625" t="s">
        <v>26</v>
      </c>
      <c r="I625" t="s">
        <v>26</v>
      </c>
      <c r="J625">
        <v>1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</row>
    <row r="626" spans="1:21" x14ac:dyDescent="0.25">
      <c r="A626">
        <v>2025</v>
      </c>
      <c r="B626">
        <v>4</v>
      </c>
      <c r="C626" t="s">
        <v>47</v>
      </c>
      <c r="D626" t="s">
        <v>45</v>
      </c>
      <c r="E626" t="s">
        <v>48</v>
      </c>
      <c r="F626" t="s">
        <v>24</v>
      </c>
      <c r="G626" t="s">
        <v>26</v>
      </c>
      <c r="H626" t="s">
        <v>26</v>
      </c>
      <c r="I626" t="s">
        <v>25</v>
      </c>
      <c r="J626">
        <v>3389</v>
      </c>
      <c r="K626">
        <v>80</v>
      </c>
      <c r="L626">
        <v>292</v>
      </c>
      <c r="M626">
        <v>372</v>
      </c>
      <c r="N626">
        <v>884</v>
      </c>
      <c r="O626">
        <v>874</v>
      </c>
      <c r="P626">
        <v>860</v>
      </c>
      <c r="Q626">
        <v>636</v>
      </c>
      <c r="R626">
        <v>505</v>
      </c>
      <c r="S626">
        <v>246</v>
      </c>
      <c r="T626">
        <v>95</v>
      </c>
      <c r="U626">
        <v>3227</v>
      </c>
    </row>
    <row r="627" spans="1:21" x14ac:dyDescent="0.25">
      <c r="A627">
        <v>2025</v>
      </c>
      <c r="B627">
        <v>4</v>
      </c>
      <c r="C627" t="s">
        <v>47</v>
      </c>
      <c r="D627" t="s">
        <v>45</v>
      </c>
      <c r="E627" t="s">
        <v>48</v>
      </c>
      <c r="F627" t="s">
        <v>29</v>
      </c>
      <c r="G627" t="s">
        <v>26</v>
      </c>
      <c r="H627" t="s">
        <v>26</v>
      </c>
      <c r="I627" t="s">
        <v>25</v>
      </c>
      <c r="J627">
        <v>9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</row>
    <row r="628" spans="1:21" x14ac:dyDescent="0.25">
      <c r="A628">
        <v>2025</v>
      </c>
      <c r="B628">
        <v>4</v>
      </c>
      <c r="C628" t="s">
        <v>49</v>
      </c>
      <c r="D628" t="s">
        <v>45</v>
      </c>
      <c r="E628" t="s">
        <v>50</v>
      </c>
      <c r="F628" t="s">
        <v>28</v>
      </c>
      <c r="G628" t="s">
        <v>25</v>
      </c>
      <c r="H628" t="s">
        <v>26</v>
      </c>
      <c r="I628" t="s">
        <v>25</v>
      </c>
      <c r="J628">
        <v>466</v>
      </c>
      <c r="K628">
        <v>1</v>
      </c>
      <c r="L628">
        <v>32</v>
      </c>
      <c r="M628">
        <v>33</v>
      </c>
      <c r="N628">
        <v>328</v>
      </c>
      <c r="O628">
        <v>289</v>
      </c>
      <c r="P628">
        <v>273</v>
      </c>
      <c r="Q628">
        <v>221</v>
      </c>
      <c r="R628">
        <v>185</v>
      </c>
      <c r="S628">
        <v>106</v>
      </c>
      <c r="T628">
        <v>44</v>
      </c>
      <c r="U628">
        <v>461</v>
      </c>
    </row>
    <row r="629" spans="1:21" x14ac:dyDescent="0.25">
      <c r="A629">
        <v>2025</v>
      </c>
      <c r="B629">
        <v>4</v>
      </c>
      <c r="C629" t="s">
        <v>49</v>
      </c>
      <c r="D629" t="s">
        <v>45</v>
      </c>
      <c r="E629" t="s">
        <v>50</v>
      </c>
      <c r="F629" t="s">
        <v>24</v>
      </c>
      <c r="G629" t="s">
        <v>25</v>
      </c>
      <c r="H629" t="s">
        <v>26</v>
      </c>
      <c r="I629" t="s">
        <v>25</v>
      </c>
      <c r="J629">
        <v>28</v>
      </c>
      <c r="K629">
        <v>0</v>
      </c>
      <c r="L629">
        <v>4</v>
      </c>
      <c r="M629">
        <v>4</v>
      </c>
      <c r="N629">
        <v>16</v>
      </c>
      <c r="O629">
        <v>14</v>
      </c>
      <c r="P629">
        <v>13</v>
      </c>
      <c r="Q629">
        <v>12</v>
      </c>
      <c r="R629">
        <v>11</v>
      </c>
      <c r="S629">
        <v>9</v>
      </c>
      <c r="T629">
        <v>4</v>
      </c>
      <c r="U629">
        <v>27</v>
      </c>
    </row>
    <row r="630" spans="1:21" x14ac:dyDescent="0.25">
      <c r="A630">
        <v>2025</v>
      </c>
      <c r="B630">
        <v>4</v>
      </c>
      <c r="C630" t="s">
        <v>51</v>
      </c>
      <c r="D630" t="s">
        <v>22</v>
      </c>
      <c r="E630" t="s">
        <v>31</v>
      </c>
      <c r="F630" t="s">
        <v>24</v>
      </c>
      <c r="G630" t="s">
        <v>25</v>
      </c>
      <c r="H630" t="s">
        <v>25</v>
      </c>
      <c r="I630" t="s">
        <v>25</v>
      </c>
      <c r="J630">
        <v>141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141</v>
      </c>
    </row>
    <row r="631" spans="1:21" x14ac:dyDescent="0.25">
      <c r="A631">
        <v>2025</v>
      </c>
      <c r="B631">
        <v>4</v>
      </c>
      <c r="C631" t="s">
        <v>51</v>
      </c>
      <c r="D631" t="s">
        <v>22</v>
      </c>
      <c r="E631" t="s">
        <v>34</v>
      </c>
      <c r="F631" t="s">
        <v>24</v>
      </c>
      <c r="G631" t="s">
        <v>25</v>
      </c>
      <c r="H631" t="s">
        <v>26</v>
      </c>
      <c r="I631" t="s">
        <v>26</v>
      </c>
      <c r="J631">
        <v>56</v>
      </c>
      <c r="K631">
        <v>0</v>
      </c>
      <c r="L631">
        <v>0</v>
      </c>
      <c r="M631">
        <v>0</v>
      </c>
      <c r="N631">
        <v>11</v>
      </c>
      <c r="O631">
        <v>7</v>
      </c>
      <c r="P631">
        <v>6</v>
      </c>
      <c r="Q631">
        <v>5</v>
      </c>
      <c r="R631">
        <v>4</v>
      </c>
      <c r="S631">
        <v>4</v>
      </c>
      <c r="T631">
        <v>2</v>
      </c>
      <c r="U631">
        <v>56</v>
      </c>
    </row>
    <row r="632" spans="1:21" x14ac:dyDescent="0.25">
      <c r="A632">
        <v>2025</v>
      </c>
      <c r="B632">
        <v>4</v>
      </c>
      <c r="C632" t="s">
        <v>52</v>
      </c>
      <c r="D632" t="s">
        <v>22</v>
      </c>
      <c r="E632" t="s">
        <v>31</v>
      </c>
      <c r="F632" t="s">
        <v>24</v>
      </c>
      <c r="G632" t="s">
        <v>25</v>
      </c>
      <c r="H632" t="s">
        <v>25</v>
      </c>
      <c r="I632" t="s">
        <v>25</v>
      </c>
      <c r="J632">
        <v>104</v>
      </c>
      <c r="K632">
        <v>0</v>
      </c>
      <c r="L632">
        <v>0</v>
      </c>
      <c r="M632">
        <v>0</v>
      </c>
      <c r="N632">
        <v>3</v>
      </c>
      <c r="O632">
        <v>3</v>
      </c>
      <c r="P632">
        <v>2</v>
      </c>
      <c r="Q632">
        <v>2</v>
      </c>
      <c r="R632">
        <v>2</v>
      </c>
      <c r="S632">
        <v>1</v>
      </c>
      <c r="T632">
        <v>0</v>
      </c>
      <c r="U632">
        <v>104</v>
      </c>
    </row>
    <row r="633" spans="1:21" x14ac:dyDescent="0.25">
      <c r="A633">
        <v>2025</v>
      </c>
      <c r="B633">
        <v>4</v>
      </c>
      <c r="C633" t="s">
        <v>52</v>
      </c>
      <c r="D633" t="s">
        <v>22</v>
      </c>
      <c r="E633" t="s">
        <v>32</v>
      </c>
      <c r="F633" t="s">
        <v>28</v>
      </c>
      <c r="G633" t="s">
        <v>25</v>
      </c>
      <c r="H633" t="s">
        <v>26</v>
      </c>
      <c r="I633" t="s">
        <v>25</v>
      </c>
      <c r="J633">
        <v>1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1</v>
      </c>
    </row>
    <row r="634" spans="1:21" x14ac:dyDescent="0.25">
      <c r="A634">
        <v>2025</v>
      </c>
      <c r="B634">
        <v>4</v>
      </c>
      <c r="C634" t="s">
        <v>52</v>
      </c>
      <c r="D634" t="s">
        <v>22</v>
      </c>
      <c r="E634" t="s">
        <v>32</v>
      </c>
      <c r="F634" t="s">
        <v>24</v>
      </c>
      <c r="G634" t="s">
        <v>25</v>
      </c>
      <c r="H634" t="s">
        <v>26</v>
      </c>
      <c r="I634" t="s">
        <v>25</v>
      </c>
      <c r="J634">
        <v>497</v>
      </c>
      <c r="K634">
        <v>0</v>
      </c>
      <c r="L634">
        <v>0</v>
      </c>
      <c r="M634">
        <v>0</v>
      </c>
      <c r="N634">
        <v>121</v>
      </c>
      <c r="O634">
        <v>110</v>
      </c>
      <c r="P634">
        <v>103</v>
      </c>
      <c r="Q634">
        <v>80</v>
      </c>
      <c r="R634">
        <v>58</v>
      </c>
      <c r="S634">
        <v>25</v>
      </c>
      <c r="T634">
        <v>8</v>
      </c>
      <c r="U634">
        <v>497</v>
      </c>
    </row>
    <row r="635" spans="1:21" x14ac:dyDescent="0.25">
      <c r="A635">
        <v>2025</v>
      </c>
      <c r="B635">
        <v>4</v>
      </c>
      <c r="C635" t="s">
        <v>52</v>
      </c>
      <c r="D635" t="s">
        <v>22</v>
      </c>
      <c r="E635" t="s">
        <v>34</v>
      </c>
      <c r="F635" t="s">
        <v>24</v>
      </c>
      <c r="G635" t="s">
        <v>25</v>
      </c>
      <c r="H635" t="s">
        <v>26</v>
      </c>
      <c r="I635" t="s">
        <v>26</v>
      </c>
      <c r="J635">
        <v>159</v>
      </c>
      <c r="K635">
        <v>0</v>
      </c>
      <c r="L635">
        <v>0</v>
      </c>
      <c r="M635">
        <v>0</v>
      </c>
      <c r="N635">
        <v>8</v>
      </c>
      <c r="O635">
        <v>7</v>
      </c>
      <c r="P635">
        <v>5</v>
      </c>
      <c r="Q635">
        <v>4</v>
      </c>
      <c r="R635">
        <v>3</v>
      </c>
      <c r="S635">
        <v>2</v>
      </c>
      <c r="T635">
        <v>0</v>
      </c>
      <c r="U635">
        <v>159</v>
      </c>
    </row>
    <row r="636" spans="1:21" x14ac:dyDescent="0.25">
      <c r="A636">
        <v>2025</v>
      </c>
      <c r="B636">
        <v>4</v>
      </c>
      <c r="C636" t="s">
        <v>52</v>
      </c>
      <c r="D636" t="s">
        <v>22</v>
      </c>
      <c r="E636" t="s">
        <v>23</v>
      </c>
      <c r="F636" t="s">
        <v>24</v>
      </c>
      <c r="G636" t="s">
        <v>25</v>
      </c>
      <c r="H636" t="s">
        <v>26</v>
      </c>
      <c r="I636" t="s">
        <v>25</v>
      </c>
      <c r="J636">
        <v>222</v>
      </c>
      <c r="K636">
        <v>0</v>
      </c>
      <c r="L636">
        <v>0</v>
      </c>
      <c r="M636">
        <v>0</v>
      </c>
      <c r="N636">
        <v>2</v>
      </c>
      <c r="O636">
        <v>2</v>
      </c>
      <c r="P636">
        <v>2</v>
      </c>
      <c r="Q636">
        <v>2</v>
      </c>
      <c r="R636">
        <v>2</v>
      </c>
      <c r="S636">
        <v>1</v>
      </c>
      <c r="T636">
        <v>0</v>
      </c>
      <c r="U636">
        <v>222</v>
      </c>
    </row>
    <row r="637" spans="1:21" x14ac:dyDescent="0.25">
      <c r="A637">
        <v>2025</v>
      </c>
      <c r="B637">
        <v>4</v>
      </c>
      <c r="C637" t="s">
        <v>52</v>
      </c>
      <c r="D637" t="s">
        <v>22</v>
      </c>
      <c r="E637" t="s">
        <v>23</v>
      </c>
      <c r="F637" t="s">
        <v>29</v>
      </c>
      <c r="G637" t="s">
        <v>25</v>
      </c>
      <c r="H637" t="s">
        <v>26</v>
      </c>
      <c r="I637" t="s">
        <v>25</v>
      </c>
      <c r="J637">
        <v>1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</row>
    <row r="638" spans="1:21" x14ac:dyDescent="0.25">
      <c r="A638">
        <v>2025</v>
      </c>
      <c r="B638">
        <v>4</v>
      </c>
      <c r="C638" t="s">
        <v>52</v>
      </c>
      <c r="D638" t="s">
        <v>22</v>
      </c>
      <c r="E638" t="s">
        <v>35</v>
      </c>
      <c r="F638" t="s">
        <v>24</v>
      </c>
      <c r="G638" t="s">
        <v>25</v>
      </c>
      <c r="H638" t="s">
        <v>26</v>
      </c>
      <c r="I638" t="s">
        <v>26</v>
      </c>
      <c r="J638">
        <v>1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1</v>
      </c>
    </row>
    <row r="639" spans="1:21" x14ac:dyDescent="0.25">
      <c r="A639">
        <v>2025</v>
      </c>
      <c r="B639">
        <v>4</v>
      </c>
      <c r="C639" t="s">
        <v>52</v>
      </c>
      <c r="D639" t="s">
        <v>22</v>
      </c>
      <c r="E639" t="s">
        <v>41</v>
      </c>
      <c r="F639" t="s">
        <v>28</v>
      </c>
      <c r="G639" t="s">
        <v>26</v>
      </c>
      <c r="H639" t="s">
        <v>26</v>
      </c>
      <c r="I639" t="s">
        <v>25</v>
      </c>
      <c r="J639">
        <v>3</v>
      </c>
      <c r="K639">
        <v>0</v>
      </c>
      <c r="L639">
        <v>0</v>
      </c>
      <c r="M639">
        <v>0</v>
      </c>
      <c r="N639">
        <v>1</v>
      </c>
      <c r="O639">
        <v>1</v>
      </c>
      <c r="P639">
        <v>1</v>
      </c>
      <c r="Q639">
        <v>1</v>
      </c>
      <c r="R639">
        <v>1</v>
      </c>
      <c r="S639">
        <v>0</v>
      </c>
      <c r="T639">
        <v>0</v>
      </c>
      <c r="U639">
        <v>3</v>
      </c>
    </row>
    <row r="640" spans="1:21" x14ac:dyDescent="0.25">
      <c r="A640">
        <v>2025</v>
      </c>
      <c r="B640">
        <v>4</v>
      </c>
      <c r="C640" t="s">
        <v>52</v>
      </c>
      <c r="D640" t="s">
        <v>22</v>
      </c>
      <c r="E640" t="s">
        <v>41</v>
      </c>
      <c r="F640" t="s">
        <v>24</v>
      </c>
      <c r="G640" t="s">
        <v>26</v>
      </c>
      <c r="H640" t="s">
        <v>26</v>
      </c>
      <c r="I640" t="s">
        <v>25</v>
      </c>
      <c r="J640">
        <v>444</v>
      </c>
      <c r="K640">
        <v>0</v>
      </c>
      <c r="L640">
        <v>0</v>
      </c>
      <c r="M640">
        <v>0</v>
      </c>
      <c r="N640">
        <v>272</v>
      </c>
      <c r="O640">
        <v>256</v>
      </c>
      <c r="P640">
        <v>244</v>
      </c>
      <c r="Q640">
        <v>186</v>
      </c>
      <c r="R640">
        <v>133</v>
      </c>
      <c r="S640">
        <v>47</v>
      </c>
      <c r="T640">
        <v>13</v>
      </c>
      <c r="U640">
        <v>444</v>
      </c>
    </row>
    <row r="641" spans="1:21" x14ac:dyDescent="0.25">
      <c r="A641">
        <v>2025</v>
      </c>
      <c r="B641">
        <v>4</v>
      </c>
      <c r="C641" t="s">
        <v>53</v>
      </c>
      <c r="D641" t="s">
        <v>22</v>
      </c>
      <c r="E641" t="s">
        <v>54</v>
      </c>
      <c r="F641" t="s">
        <v>24</v>
      </c>
      <c r="G641" t="s">
        <v>25</v>
      </c>
      <c r="H641" t="s">
        <v>26</v>
      </c>
      <c r="I641" t="s">
        <v>25</v>
      </c>
      <c r="J641">
        <v>679</v>
      </c>
      <c r="K641">
        <v>17</v>
      </c>
      <c r="L641">
        <v>28</v>
      </c>
      <c r="M641">
        <v>45</v>
      </c>
      <c r="N641">
        <v>127</v>
      </c>
      <c r="O641">
        <v>84</v>
      </c>
      <c r="P641">
        <v>72</v>
      </c>
      <c r="Q641">
        <v>43</v>
      </c>
      <c r="R641">
        <v>31</v>
      </c>
      <c r="S641">
        <v>14</v>
      </c>
      <c r="T641">
        <v>0</v>
      </c>
      <c r="U641">
        <v>645</v>
      </c>
    </row>
    <row r="642" spans="1:21" x14ac:dyDescent="0.25">
      <c r="A642">
        <v>2025</v>
      </c>
      <c r="B642">
        <v>4</v>
      </c>
      <c r="C642" t="s">
        <v>53</v>
      </c>
      <c r="D642" t="s">
        <v>22</v>
      </c>
      <c r="E642" t="s">
        <v>55</v>
      </c>
      <c r="F642" t="s">
        <v>28</v>
      </c>
      <c r="G642" t="s">
        <v>25</v>
      </c>
      <c r="H642" t="s">
        <v>26</v>
      </c>
      <c r="I642" t="s">
        <v>25</v>
      </c>
      <c r="J642">
        <v>6</v>
      </c>
      <c r="K642">
        <v>0</v>
      </c>
      <c r="L642">
        <v>0</v>
      </c>
      <c r="M642">
        <v>0</v>
      </c>
      <c r="N642">
        <v>1</v>
      </c>
      <c r="O642">
        <v>1</v>
      </c>
      <c r="P642">
        <v>1</v>
      </c>
      <c r="Q642">
        <v>1</v>
      </c>
      <c r="R642">
        <v>1</v>
      </c>
      <c r="S642">
        <v>0</v>
      </c>
      <c r="T642">
        <v>0</v>
      </c>
      <c r="U642">
        <v>6</v>
      </c>
    </row>
    <row r="643" spans="1:21" x14ac:dyDescent="0.25">
      <c r="A643">
        <v>2025</v>
      </c>
      <c r="B643">
        <v>4</v>
      </c>
      <c r="C643" t="s">
        <v>53</v>
      </c>
      <c r="D643" t="s">
        <v>22</v>
      </c>
      <c r="E643" t="s">
        <v>55</v>
      </c>
      <c r="F643" t="s">
        <v>24</v>
      </c>
      <c r="G643" t="s">
        <v>25</v>
      </c>
      <c r="H643" t="s">
        <v>26</v>
      </c>
      <c r="I643" t="s">
        <v>25</v>
      </c>
      <c r="J643">
        <v>708</v>
      </c>
      <c r="K643">
        <v>11</v>
      </c>
      <c r="L643">
        <v>13</v>
      </c>
      <c r="M643">
        <v>24</v>
      </c>
      <c r="N643">
        <v>81</v>
      </c>
      <c r="O643">
        <v>60</v>
      </c>
      <c r="P643">
        <v>56</v>
      </c>
      <c r="Q643">
        <v>38</v>
      </c>
      <c r="R643">
        <v>24</v>
      </c>
      <c r="S643">
        <v>7</v>
      </c>
      <c r="T643">
        <v>0</v>
      </c>
      <c r="U643">
        <v>686</v>
      </c>
    </row>
    <row r="644" spans="1:21" x14ac:dyDescent="0.25">
      <c r="A644">
        <v>2025</v>
      </c>
      <c r="B644">
        <v>4</v>
      </c>
      <c r="C644" t="s">
        <v>53</v>
      </c>
      <c r="D644" t="s">
        <v>22</v>
      </c>
      <c r="E644" t="s">
        <v>23</v>
      </c>
      <c r="F644" t="s">
        <v>28</v>
      </c>
      <c r="G644" t="s">
        <v>25</v>
      </c>
      <c r="H644" t="s">
        <v>26</v>
      </c>
      <c r="I644" t="s">
        <v>25</v>
      </c>
      <c r="J644">
        <v>30985</v>
      </c>
      <c r="K644">
        <v>0</v>
      </c>
      <c r="L644">
        <v>4978</v>
      </c>
      <c r="M644">
        <v>4978</v>
      </c>
      <c r="N644">
        <v>2980</v>
      </c>
      <c r="O644">
        <v>1726</v>
      </c>
      <c r="P644">
        <v>1341</v>
      </c>
      <c r="Q644">
        <v>683</v>
      </c>
      <c r="R644">
        <v>305</v>
      </c>
      <c r="S644">
        <v>33</v>
      </c>
      <c r="T644">
        <v>0</v>
      </c>
      <c r="U644">
        <v>26404</v>
      </c>
    </row>
    <row r="645" spans="1:21" x14ac:dyDescent="0.25">
      <c r="A645">
        <v>2025</v>
      </c>
      <c r="B645">
        <v>4</v>
      </c>
      <c r="C645" t="s">
        <v>53</v>
      </c>
      <c r="D645" t="s">
        <v>22</v>
      </c>
      <c r="E645" t="s">
        <v>23</v>
      </c>
      <c r="F645" t="s">
        <v>24</v>
      </c>
      <c r="G645" t="s">
        <v>25</v>
      </c>
      <c r="H645" t="s">
        <v>26</v>
      </c>
      <c r="I645" t="s">
        <v>25</v>
      </c>
      <c r="J645">
        <v>405</v>
      </c>
      <c r="K645">
        <v>5</v>
      </c>
      <c r="L645">
        <v>30</v>
      </c>
      <c r="M645">
        <v>35</v>
      </c>
      <c r="N645">
        <v>169</v>
      </c>
      <c r="O645">
        <v>147</v>
      </c>
      <c r="P645">
        <v>138</v>
      </c>
      <c r="Q645">
        <v>127</v>
      </c>
      <c r="R645">
        <v>97</v>
      </c>
      <c r="S645">
        <v>54</v>
      </c>
      <c r="T645">
        <v>24</v>
      </c>
      <c r="U645">
        <v>379</v>
      </c>
    </row>
    <row r="646" spans="1:21" x14ac:dyDescent="0.25">
      <c r="A646">
        <v>2025</v>
      </c>
      <c r="B646">
        <v>4</v>
      </c>
      <c r="C646" t="s">
        <v>53</v>
      </c>
      <c r="D646" t="s">
        <v>22</v>
      </c>
      <c r="E646" t="s">
        <v>23</v>
      </c>
      <c r="F646" t="s">
        <v>29</v>
      </c>
      <c r="G646" t="s">
        <v>25</v>
      </c>
      <c r="H646" t="s">
        <v>26</v>
      </c>
      <c r="I646" t="s">
        <v>25</v>
      </c>
      <c r="J646">
        <v>1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</row>
    <row r="647" spans="1:21" x14ac:dyDescent="0.25">
      <c r="A647">
        <v>2025</v>
      </c>
      <c r="B647">
        <v>4</v>
      </c>
      <c r="C647" t="s">
        <v>53</v>
      </c>
      <c r="D647" t="s">
        <v>22</v>
      </c>
      <c r="E647" t="s">
        <v>56</v>
      </c>
      <c r="F647" t="s">
        <v>28</v>
      </c>
      <c r="G647" t="s">
        <v>25</v>
      </c>
      <c r="H647" t="s">
        <v>26</v>
      </c>
      <c r="I647" t="s">
        <v>25</v>
      </c>
      <c r="J647">
        <v>2754</v>
      </c>
      <c r="K647">
        <v>0</v>
      </c>
      <c r="L647">
        <v>668</v>
      </c>
      <c r="M647">
        <v>668</v>
      </c>
      <c r="N647">
        <v>369</v>
      </c>
      <c r="O647">
        <v>241</v>
      </c>
      <c r="P647">
        <v>210</v>
      </c>
      <c r="Q647">
        <v>111</v>
      </c>
      <c r="R647">
        <v>44</v>
      </c>
      <c r="S647">
        <v>11</v>
      </c>
      <c r="T647">
        <v>2</v>
      </c>
      <c r="U647">
        <v>2211</v>
      </c>
    </row>
    <row r="648" spans="1:21" x14ac:dyDescent="0.25">
      <c r="A648">
        <v>2025</v>
      </c>
      <c r="B648">
        <v>4</v>
      </c>
      <c r="C648" t="s">
        <v>53</v>
      </c>
      <c r="D648" t="s">
        <v>22</v>
      </c>
      <c r="E648" t="s">
        <v>39</v>
      </c>
      <c r="F648" t="s">
        <v>24</v>
      </c>
      <c r="G648" t="s">
        <v>26</v>
      </c>
      <c r="H648" t="s">
        <v>26</v>
      </c>
      <c r="I648" t="s">
        <v>25</v>
      </c>
      <c r="J648">
        <v>416</v>
      </c>
      <c r="K648">
        <v>1</v>
      </c>
      <c r="L648">
        <v>29</v>
      </c>
      <c r="M648">
        <v>30</v>
      </c>
      <c r="N648">
        <v>154</v>
      </c>
      <c r="O648">
        <v>139</v>
      </c>
      <c r="P648">
        <v>129</v>
      </c>
      <c r="Q648">
        <v>115</v>
      </c>
      <c r="R648">
        <v>92</v>
      </c>
      <c r="S648">
        <v>31</v>
      </c>
      <c r="T648">
        <v>4</v>
      </c>
      <c r="U648">
        <v>409</v>
      </c>
    </row>
    <row r="649" spans="1:21" x14ac:dyDescent="0.25">
      <c r="A649">
        <v>2025</v>
      </c>
      <c r="B649">
        <v>4</v>
      </c>
      <c r="C649" t="s">
        <v>53</v>
      </c>
      <c r="D649" t="s">
        <v>22</v>
      </c>
      <c r="E649" t="s">
        <v>35</v>
      </c>
      <c r="F649" t="s">
        <v>24</v>
      </c>
      <c r="G649" t="s">
        <v>25</v>
      </c>
      <c r="H649" t="s">
        <v>26</v>
      </c>
      <c r="I649" t="s">
        <v>26</v>
      </c>
      <c r="J649">
        <v>141</v>
      </c>
      <c r="K649">
        <v>1</v>
      </c>
      <c r="L649">
        <v>3</v>
      </c>
      <c r="M649">
        <v>4</v>
      </c>
      <c r="N649">
        <v>69</v>
      </c>
      <c r="O649">
        <v>66</v>
      </c>
      <c r="P649">
        <v>61</v>
      </c>
      <c r="Q649">
        <v>54</v>
      </c>
      <c r="R649">
        <v>54</v>
      </c>
      <c r="S649">
        <v>41</v>
      </c>
      <c r="T649">
        <v>27</v>
      </c>
      <c r="U649">
        <v>139</v>
      </c>
    </row>
    <row r="650" spans="1:21" x14ac:dyDescent="0.25">
      <c r="A650">
        <v>2025</v>
      </c>
      <c r="B650">
        <v>4</v>
      </c>
      <c r="C650" t="s">
        <v>53</v>
      </c>
      <c r="D650" t="s">
        <v>22</v>
      </c>
      <c r="E650" t="s">
        <v>57</v>
      </c>
      <c r="F650" t="s">
        <v>28</v>
      </c>
      <c r="G650" t="s">
        <v>25</v>
      </c>
      <c r="H650" t="s">
        <v>26</v>
      </c>
      <c r="I650" t="s">
        <v>26</v>
      </c>
      <c r="J650">
        <v>17</v>
      </c>
      <c r="K650">
        <v>0</v>
      </c>
      <c r="L650">
        <v>6</v>
      </c>
      <c r="M650">
        <v>6</v>
      </c>
      <c r="N650">
        <v>7</v>
      </c>
      <c r="O650">
        <v>5</v>
      </c>
      <c r="P650">
        <v>5</v>
      </c>
      <c r="Q650">
        <v>3</v>
      </c>
      <c r="R650">
        <v>2</v>
      </c>
      <c r="S650">
        <v>0</v>
      </c>
      <c r="T650">
        <v>0</v>
      </c>
      <c r="U650">
        <v>14</v>
      </c>
    </row>
    <row r="651" spans="1:21" x14ac:dyDescent="0.25">
      <c r="A651">
        <v>2025</v>
      </c>
      <c r="B651">
        <v>4</v>
      </c>
      <c r="C651" t="s">
        <v>53</v>
      </c>
      <c r="D651" t="s">
        <v>22</v>
      </c>
      <c r="E651" t="s">
        <v>58</v>
      </c>
      <c r="F651" t="s">
        <v>28</v>
      </c>
      <c r="G651" t="s">
        <v>25</v>
      </c>
      <c r="H651" t="s">
        <v>25</v>
      </c>
      <c r="I651" t="s">
        <v>25</v>
      </c>
      <c r="J651">
        <v>3532</v>
      </c>
      <c r="K651">
        <v>0</v>
      </c>
      <c r="L651">
        <v>348</v>
      </c>
      <c r="M651">
        <v>348</v>
      </c>
      <c r="N651">
        <v>179</v>
      </c>
      <c r="O651">
        <v>76</v>
      </c>
      <c r="P651">
        <v>61</v>
      </c>
      <c r="Q651">
        <v>39</v>
      </c>
      <c r="R651">
        <v>19</v>
      </c>
      <c r="S651">
        <v>0</v>
      </c>
      <c r="T651">
        <v>0</v>
      </c>
      <c r="U651">
        <v>3186</v>
      </c>
    </row>
    <row r="652" spans="1:21" x14ac:dyDescent="0.25">
      <c r="A652">
        <v>2025</v>
      </c>
      <c r="B652">
        <v>4</v>
      </c>
      <c r="C652" t="s">
        <v>53</v>
      </c>
      <c r="D652" t="s">
        <v>22</v>
      </c>
      <c r="E652" t="s">
        <v>58</v>
      </c>
      <c r="F652" t="s">
        <v>24</v>
      </c>
      <c r="G652" t="s">
        <v>25</v>
      </c>
      <c r="H652" t="s">
        <v>25</v>
      </c>
      <c r="I652" t="s">
        <v>25</v>
      </c>
      <c r="J652">
        <v>372</v>
      </c>
      <c r="K652">
        <v>212</v>
      </c>
      <c r="L652">
        <v>160</v>
      </c>
      <c r="M652">
        <v>372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</row>
    <row r="653" spans="1:21" x14ac:dyDescent="0.25">
      <c r="A653">
        <v>2025</v>
      </c>
      <c r="B653">
        <v>4</v>
      </c>
      <c r="C653" t="s">
        <v>53</v>
      </c>
      <c r="D653" t="s">
        <v>22</v>
      </c>
      <c r="E653" t="s">
        <v>59</v>
      </c>
      <c r="F653" t="s">
        <v>28</v>
      </c>
      <c r="G653" t="s">
        <v>25</v>
      </c>
      <c r="H653" t="s">
        <v>25</v>
      </c>
      <c r="I653" t="s">
        <v>25</v>
      </c>
      <c r="J653">
        <v>68525</v>
      </c>
      <c r="K653">
        <v>0</v>
      </c>
      <c r="L653">
        <v>8093</v>
      </c>
      <c r="M653">
        <v>8093</v>
      </c>
      <c r="N653">
        <v>3984</v>
      </c>
      <c r="O653">
        <v>1879</v>
      </c>
      <c r="P653">
        <v>1394</v>
      </c>
      <c r="Q653">
        <v>533</v>
      </c>
      <c r="R653">
        <v>217</v>
      </c>
      <c r="S653">
        <v>24</v>
      </c>
      <c r="T653">
        <v>0</v>
      </c>
      <c r="U653">
        <v>61040</v>
      </c>
    </row>
    <row r="654" spans="1:21" x14ac:dyDescent="0.25">
      <c r="A654">
        <v>2025</v>
      </c>
      <c r="B654">
        <v>4</v>
      </c>
      <c r="C654" t="s">
        <v>53</v>
      </c>
      <c r="D654" t="s">
        <v>22</v>
      </c>
      <c r="E654" t="s">
        <v>60</v>
      </c>
      <c r="F654" t="s">
        <v>28</v>
      </c>
      <c r="G654" t="s">
        <v>25</v>
      </c>
      <c r="H654" t="s">
        <v>25</v>
      </c>
      <c r="I654" t="s">
        <v>25</v>
      </c>
      <c r="J654">
        <v>34913</v>
      </c>
      <c r="K654">
        <v>1</v>
      </c>
      <c r="L654">
        <v>3742</v>
      </c>
      <c r="M654">
        <v>3743</v>
      </c>
      <c r="N654">
        <v>1685</v>
      </c>
      <c r="O654">
        <v>658</v>
      </c>
      <c r="P654">
        <v>448</v>
      </c>
      <c r="Q654">
        <v>193</v>
      </c>
      <c r="R654">
        <v>89</v>
      </c>
      <c r="S654">
        <v>10</v>
      </c>
      <c r="T654">
        <v>2</v>
      </c>
      <c r="U654">
        <v>31343</v>
      </c>
    </row>
    <row r="655" spans="1:21" x14ac:dyDescent="0.25">
      <c r="A655">
        <v>2025</v>
      </c>
      <c r="B655">
        <v>4</v>
      </c>
      <c r="C655" t="s">
        <v>53</v>
      </c>
      <c r="D655" t="s">
        <v>22</v>
      </c>
      <c r="E655" t="s">
        <v>60</v>
      </c>
      <c r="F655" t="s">
        <v>24</v>
      </c>
      <c r="G655" t="s">
        <v>25</v>
      </c>
      <c r="H655" t="s">
        <v>25</v>
      </c>
      <c r="I655" t="s">
        <v>25</v>
      </c>
      <c r="J655">
        <v>374</v>
      </c>
      <c r="K655">
        <v>197</v>
      </c>
      <c r="L655">
        <v>177</v>
      </c>
      <c r="M655">
        <v>374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</row>
    <row r="656" spans="1:21" x14ac:dyDescent="0.25">
      <c r="A656">
        <v>2025</v>
      </c>
      <c r="B656">
        <v>4</v>
      </c>
      <c r="C656" t="s">
        <v>61</v>
      </c>
      <c r="D656" t="s">
        <v>22</v>
      </c>
      <c r="E656" t="s">
        <v>31</v>
      </c>
      <c r="F656" t="s">
        <v>28</v>
      </c>
      <c r="G656" t="s">
        <v>25</v>
      </c>
      <c r="H656" t="s">
        <v>26</v>
      </c>
      <c r="I656" t="s">
        <v>25</v>
      </c>
      <c r="J656">
        <v>717</v>
      </c>
      <c r="K656">
        <v>4</v>
      </c>
      <c r="L656">
        <v>15</v>
      </c>
      <c r="M656">
        <v>19</v>
      </c>
      <c r="N656">
        <v>106</v>
      </c>
      <c r="O656">
        <v>68</v>
      </c>
      <c r="P656">
        <v>54</v>
      </c>
      <c r="Q656">
        <v>34</v>
      </c>
      <c r="R656">
        <v>17</v>
      </c>
      <c r="S656">
        <v>11</v>
      </c>
      <c r="T656">
        <v>4</v>
      </c>
      <c r="U656">
        <v>700</v>
      </c>
    </row>
    <row r="657" spans="1:21" x14ac:dyDescent="0.25">
      <c r="A657">
        <v>2025</v>
      </c>
      <c r="B657">
        <v>4</v>
      </c>
      <c r="C657" t="s">
        <v>61</v>
      </c>
      <c r="D657" t="s">
        <v>22</v>
      </c>
      <c r="E657" t="s">
        <v>31</v>
      </c>
      <c r="F657" t="s">
        <v>24</v>
      </c>
      <c r="G657" t="s">
        <v>25</v>
      </c>
      <c r="H657" t="s">
        <v>26</v>
      </c>
      <c r="I657" t="s">
        <v>25</v>
      </c>
      <c r="J657">
        <v>738</v>
      </c>
      <c r="K657">
        <v>0</v>
      </c>
      <c r="L657">
        <v>2</v>
      </c>
      <c r="M657">
        <v>2</v>
      </c>
      <c r="N657">
        <v>145</v>
      </c>
      <c r="O657">
        <v>106</v>
      </c>
      <c r="P657">
        <v>86</v>
      </c>
      <c r="Q657">
        <v>54</v>
      </c>
      <c r="R657">
        <v>39</v>
      </c>
      <c r="S657">
        <v>11</v>
      </c>
      <c r="T657">
        <v>2</v>
      </c>
      <c r="U657">
        <v>737</v>
      </c>
    </row>
    <row r="658" spans="1:21" x14ac:dyDescent="0.25">
      <c r="A658">
        <v>2025</v>
      </c>
      <c r="B658">
        <v>4</v>
      </c>
      <c r="C658" t="s">
        <v>61</v>
      </c>
      <c r="D658" t="s">
        <v>22</v>
      </c>
      <c r="E658" t="s">
        <v>32</v>
      </c>
      <c r="F658" t="s">
        <v>28</v>
      </c>
      <c r="G658" t="s">
        <v>25</v>
      </c>
      <c r="H658" t="s">
        <v>26</v>
      </c>
      <c r="I658" t="s">
        <v>25</v>
      </c>
      <c r="J658">
        <v>25</v>
      </c>
      <c r="K658">
        <v>0</v>
      </c>
      <c r="L658">
        <v>0</v>
      </c>
      <c r="M658">
        <v>0</v>
      </c>
      <c r="N658">
        <v>9</v>
      </c>
      <c r="O658">
        <v>8</v>
      </c>
      <c r="P658">
        <v>6</v>
      </c>
      <c r="Q658">
        <v>3</v>
      </c>
      <c r="R658">
        <v>3</v>
      </c>
      <c r="S658">
        <v>0</v>
      </c>
      <c r="T658">
        <v>0</v>
      </c>
      <c r="U658">
        <v>25</v>
      </c>
    </row>
    <row r="659" spans="1:21" x14ac:dyDescent="0.25">
      <c r="A659">
        <v>2025</v>
      </c>
      <c r="B659">
        <v>4</v>
      </c>
      <c r="C659" t="s">
        <v>61</v>
      </c>
      <c r="D659" t="s">
        <v>22</v>
      </c>
      <c r="E659" t="s">
        <v>32</v>
      </c>
      <c r="F659" t="s">
        <v>24</v>
      </c>
      <c r="G659" t="s">
        <v>25</v>
      </c>
      <c r="H659" t="s">
        <v>26</v>
      </c>
      <c r="I659" t="s">
        <v>25</v>
      </c>
      <c r="J659">
        <v>1416</v>
      </c>
      <c r="K659">
        <v>9</v>
      </c>
      <c r="L659">
        <v>3</v>
      </c>
      <c r="M659">
        <v>12</v>
      </c>
      <c r="N659">
        <v>575</v>
      </c>
      <c r="O659">
        <v>442</v>
      </c>
      <c r="P659">
        <v>402</v>
      </c>
      <c r="Q659">
        <v>275</v>
      </c>
      <c r="R659">
        <v>210</v>
      </c>
      <c r="S659">
        <v>80</v>
      </c>
      <c r="T659">
        <v>29</v>
      </c>
      <c r="U659">
        <v>1405</v>
      </c>
    </row>
    <row r="660" spans="1:21" x14ac:dyDescent="0.25">
      <c r="A660">
        <v>2025</v>
      </c>
      <c r="B660">
        <v>4</v>
      </c>
      <c r="C660" t="s">
        <v>61</v>
      </c>
      <c r="D660" t="s">
        <v>22</v>
      </c>
      <c r="E660" t="s">
        <v>32</v>
      </c>
      <c r="F660" t="s">
        <v>29</v>
      </c>
      <c r="G660" t="s">
        <v>25</v>
      </c>
      <c r="H660" t="s">
        <v>26</v>
      </c>
      <c r="I660" t="s">
        <v>25</v>
      </c>
      <c r="J660">
        <v>1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</row>
    <row r="661" spans="1:21" x14ac:dyDescent="0.25">
      <c r="A661">
        <v>2025</v>
      </c>
      <c r="B661">
        <v>4</v>
      </c>
      <c r="C661" t="s">
        <v>61</v>
      </c>
      <c r="D661" t="s">
        <v>22</v>
      </c>
      <c r="E661" t="s">
        <v>38</v>
      </c>
      <c r="F661" t="s">
        <v>24</v>
      </c>
      <c r="G661" t="s">
        <v>25</v>
      </c>
      <c r="H661" t="s">
        <v>26</v>
      </c>
      <c r="I661" t="s">
        <v>25</v>
      </c>
      <c r="J661">
        <v>5</v>
      </c>
      <c r="K661">
        <v>1</v>
      </c>
      <c r="L661">
        <v>0</v>
      </c>
      <c r="M661">
        <v>1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4</v>
      </c>
    </row>
    <row r="662" spans="1:21" x14ac:dyDescent="0.25">
      <c r="A662">
        <v>2025</v>
      </c>
      <c r="B662">
        <v>4</v>
      </c>
      <c r="C662" t="s">
        <v>61</v>
      </c>
      <c r="D662" t="s">
        <v>22</v>
      </c>
      <c r="E662" t="s">
        <v>34</v>
      </c>
      <c r="F662" t="s">
        <v>24</v>
      </c>
      <c r="G662" t="s">
        <v>25</v>
      </c>
      <c r="H662" t="s">
        <v>26</v>
      </c>
      <c r="I662" t="s">
        <v>26</v>
      </c>
      <c r="J662">
        <v>240</v>
      </c>
      <c r="K662">
        <v>0</v>
      </c>
      <c r="L662">
        <v>0</v>
      </c>
      <c r="M662">
        <v>0</v>
      </c>
      <c r="N662">
        <v>40</v>
      </c>
      <c r="O662">
        <v>33</v>
      </c>
      <c r="P662">
        <v>29</v>
      </c>
      <c r="Q662">
        <v>25</v>
      </c>
      <c r="R662">
        <v>23</v>
      </c>
      <c r="S662">
        <v>15</v>
      </c>
      <c r="T662">
        <v>7</v>
      </c>
      <c r="U662">
        <v>240</v>
      </c>
    </row>
    <row r="663" spans="1:21" x14ac:dyDescent="0.25">
      <c r="A663">
        <v>2025</v>
      </c>
      <c r="B663">
        <v>4</v>
      </c>
      <c r="C663" t="s">
        <v>61</v>
      </c>
      <c r="D663" t="s">
        <v>22</v>
      </c>
      <c r="E663" t="s">
        <v>23</v>
      </c>
      <c r="F663" t="s">
        <v>28</v>
      </c>
      <c r="G663" t="s">
        <v>25</v>
      </c>
      <c r="H663" t="s">
        <v>26</v>
      </c>
      <c r="I663" t="s">
        <v>25</v>
      </c>
      <c r="J663">
        <v>1602</v>
      </c>
      <c r="K663">
        <v>3</v>
      </c>
      <c r="L663">
        <v>3</v>
      </c>
      <c r="M663">
        <v>6</v>
      </c>
      <c r="N663">
        <v>259</v>
      </c>
      <c r="O663">
        <v>163</v>
      </c>
      <c r="P663">
        <v>133</v>
      </c>
      <c r="Q663">
        <v>77</v>
      </c>
      <c r="R663">
        <v>50</v>
      </c>
      <c r="S663">
        <v>26</v>
      </c>
      <c r="T663">
        <v>7</v>
      </c>
      <c r="U663">
        <v>1597</v>
      </c>
    </row>
    <row r="664" spans="1:21" x14ac:dyDescent="0.25">
      <c r="A664">
        <v>2025</v>
      </c>
      <c r="B664">
        <v>4</v>
      </c>
      <c r="C664" t="s">
        <v>61</v>
      </c>
      <c r="D664" t="s">
        <v>22</v>
      </c>
      <c r="E664" t="s">
        <v>23</v>
      </c>
      <c r="F664" t="s">
        <v>24</v>
      </c>
      <c r="G664" t="s">
        <v>25</v>
      </c>
      <c r="H664" t="s">
        <v>26</v>
      </c>
      <c r="I664" t="s">
        <v>25</v>
      </c>
      <c r="J664">
        <v>528</v>
      </c>
      <c r="K664">
        <v>2</v>
      </c>
      <c r="L664">
        <v>1</v>
      </c>
      <c r="M664">
        <v>3</v>
      </c>
      <c r="N664">
        <v>60</v>
      </c>
      <c r="O664">
        <v>51</v>
      </c>
      <c r="P664">
        <v>47</v>
      </c>
      <c r="Q664">
        <v>40</v>
      </c>
      <c r="R664">
        <v>32</v>
      </c>
      <c r="S664">
        <v>16</v>
      </c>
      <c r="T664">
        <v>5</v>
      </c>
      <c r="U664">
        <v>525</v>
      </c>
    </row>
    <row r="665" spans="1:21" x14ac:dyDescent="0.25">
      <c r="A665">
        <v>2025</v>
      </c>
      <c r="B665">
        <v>4</v>
      </c>
      <c r="C665" t="s">
        <v>61</v>
      </c>
      <c r="D665" t="s">
        <v>22</v>
      </c>
      <c r="E665" t="s">
        <v>23</v>
      </c>
      <c r="F665" t="s">
        <v>29</v>
      </c>
      <c r="G665" t="s">
        <v>25</v>
      </c>
      <c r="H665" t="s">
        <v>26</v>
      </c>
      <c r="I665" t="s">
        <v>25</v>
      </c>
      <c r="J665">
        <v>2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</row>
    <row r="666" spans="1:21" x14ac:dyDescent="0.25">
      <c r="A666">
        <v>2025</v>
      </c>
      <c r="B666">
        <v>4</v>
      </c>
      <c r="C666" t="s">
        <v>61</v>
      </c>
      <c r="D666" t="s">
        <v>22</v>
      </c>
      <c r="E666" t="s">
        <v>39</v>
      </c>
      <c r="F666" t="s">
        <v>28</v>
      </c>
      <c r="G666" t="s">
        <v>26</v>
      </c>
      <c r="H666" t="s">
        <v>26</v>
      </c>
      <c r="I666" t="s">
        <v>25</v>
      </c>
      <c r="J666">
        <v>42</v>
      </c>
      <c r="K666">
        <v>0</v>
      </c>
      <c r="L666">
        <v>0</v>
      </c>
      <c r="M666">
        <v>0</v>
      </c>
      <c r="N666">
        <v>8</v>
      </c>
      <c r="O666">
        <v>4</v>
      </c>
      <c r="P666">
        <v>3</v>
      </c>
      <c r="Q666">
        <v>1</v>
      </c>
      <c r="R666">
        <v>0</v>
      </c>
      <c r="S666">
        <v>0</v>
      </c>
      <c r="T666">
        <v>0</v>
      </c>
      <c r="U666">
        <v>42</v>
      </c>
    </row>
    <row r="667" spans="1:21" x14ac:dyDescent="0.25">
      <c r="A667">
        <v>2025</v>
      </c>
      <c r="B667">
        <v>4</v>
      </c>
      <c r="C667" t="s">
        <v>61</v>
      </c>
      <c r="D667" t="s">
        <v>22</v>
      </c>
      <c r="E667" t="s">
        <v>39</v>
      </c>
      <c r="F667" t="s">
        <v>24</v>
      </c>
      <c r="G667" t="s">
        <v>26</v>
      </c>
      <c r="H667" t="s">
        <v>26</v>
      </c>
      <c r="I667" t="s">
        <v>25</v>
      </c>
      <c r="J667">
        <v>660</v>
      </c>
      <c r="K667">
        <v>16</v>
      </c>
      <c r="L667">
        <v>4</v>
      </c>
      <c r="M667">
        <v>20</v>
      </c>
      <c r="N667">
        <v>230</v>
      </c>
      <c r="O667">
        <v>209</v>
      </c>
      <c r="P667">
        <v>196</v>
      </c>
      <c r="Q667">
        <v>175</v>
      </c>
      <c r="R667">
        <v>162</v>
      </c>
      <c r="S667">
        <v>98</v>
      </c>
      <c r="T667">
        <v>36</v>
      </c>
      <c r="U667">
        <v>641</v>
      </c>
    </row>
    <row r="668" spans="1:21" x14ac:dyDescent="0.25">
      <c r="A668">
        <v>2025</v>
      </c>
      <c r="B668">
        <v>4</v>
      </c>
      <c r="C668" t="s">
        <v>61</v>
      </c>
      <c r="D668" t="s">
        <v>22</v>
      </c>
      <c r="E668" t="s">
        <v>35</v>
      </c>
      <c r="F668" t="s">
        <v>28</v>
      </c>
      <c r="G668" t="s">
        <v>25</v>
      </c>
      <c r="H668" t="s">
        <v>26</v>
      </c>
      <c r="I668" t="s">
        <v>26</v>
      </c>
      <c r="J668">
        <v>66</v>
      </c>
      <c r="K668">
        <v>0</v>
      </c>
      <c r="L668">
        <v>0</v>
      </c>
      <c r="M668">
        <v>0</v>
      </c>
      <c r="N668">
        <v>8</v>
      </c>
      <c r="O668">
        <v>5</v>
      </c>
      <c r="P668">
        <v>5</v>
      </c>
      <c r="Q668">
        <v>5</v>
      </c>
      <c r="R668">
        <v>3</v>
      </c>
      <c r="S668">
        <v>3</v>
      </c>
      <c r="T668">
        <v>1</v>
      </c>
      <c r="U668">
        <v>66</v>
      </c>
    </row>
    <row r="669" spans="1:21" x14ac:dyDescent="0.25">
      <c r="A669">
        <v>2025</v>
      </c>
      <c r="B669">
        <v>4</v>
      </c>
      <c r="C669" t="s">
        <v>61</v>
      </c>
      <c r="D669" t="s">
        <v>22</v>
      </c>
      <c r="E669" t="s">
        <v>35</v>
      </c>
      <c r="F669" t="s">
        <v>24</v>
      </c>
      <c r="G669" t="s">
        <v>25</v>
      </c>
      <c r="H669" t="s">
        <v>26</v>
      </c>
      <c r="I669" t="s">
        <v>26</v>
      </c>
      <c r="J669">
        <v>630</v>
      </c>
      <c r="K669">
        <v>1</v>
      </c>
      <c r="L669">
        <v>0</v>
      </c>
      <c r="M669">
        <v>1</v>
      </c>
      <c r="N669">
        <v>194</v>
      </c>
      <c r="O669">
        <v>156</v>
      </c>
      <c r="P669">
        <v>137</v>
      </c>
      <c r="Q669">
        <v>114</v>
      </c>
      <c r="R669">
        <v>86</v>
      </c>
      <c r="S669">
        <v>60</v>
      </c>
      <c r="T669">
        <v>31</v>
      </c>
      <c r="U669">
        <v>629</v>
      </c>
    </row>
    <row r="670" spans="1:21" x14ac:dyDescent="0.25">
      <c r="A670">
        <v>2025</v>
      </c>
      <c r="B670">
        <v>4</v>
      </c>
      <c r="C670" t="s">
        <v>61</v>
      </c>
      <c r="D670" t="s">
        <v>22</v>
      </c>
      <c r="E670" t="s">
        <v>36</v>
      </c>
      <c r="F670" t="s">
        <v>28</v>
      </c>
      <c r="G670" t="s">
        <v>25</v>
      </c>
      <c r="H670" t="s">
        <v>26</v>
      </c>
      <c r="I670" t="s">
        <v>25</v>
      </c>
      <c r="J670">
        <v>1942</v>
      </c>
      <c r="K670">
        <v>3</v>
      </c>
      <c r="L670">
        <v>67</v>
      </c>
      <c r="M670">
        <v>70</v>
      </c>
      <c r="N670">
        <v>302</v>
      </c>
      <c r="O670">
        <v>191</v>
      </c>
      <c r="P670">
        <v>160</v>
      </c>
      <c r="Q670">
        <v>76</v>
      </c>
      <c r="R670">
        <v>47</v>
      </c>
      <c r="S670">
        <v>25</v>
      </c>
      <c r="T670">
        <v>3</v>
      </c>
      <c r="U670">
        <v>1903</v>
      </c>
    </row>
    <row r="671" spans="1:21" x14ac:dyDescent="0.25">
      <c r="A671">
        <v>2025</v>
      </c>
      <c r="B671">
        <v>4</v>
      </c>
      <c r="C671" t="s">
        <v>61</v>
      </c>
      <c r="D671" t="s">
        <v>22</v>
      </c>
      <c r="E671" t="s">
        <v>36</v>
      </c>
      <c r="F671" t="s">
        <v>24</v>
      </c>
      <c r="G671" t="s">
        <v>25</v>
      </c>
      <c r="H671" t="s">
        <v>26</v>
      </c>
      <c r="I671" t="s">
        <v>25</v>
      </c>
      <c r="J671">
        <v>1007</v>
      </c>
      <c r="K671">
        <v>4</v>
      </c>
      <c r="L671">
        <v>3</v>
      </c>
      <c r="M671">
        <v>7</v>
      </c>
      <c r="N671">
        <v>290</v>
      </c>
      <c r="O671">
        <v>230</v>
      </c>
      <c r="P671">
        <v>210</v>
      </c>
      <c r="Q671">
        <v>143</v>
      </c>
      <c r="R671">
        <v>112</v>
      </c>
      <c r="S671">
        <v>42</v>
      </c>
      <c r="T671">
        <v>14</v>
      </c>
      <c r="U671">
        <v>1003</v>
      </c>
    </row>
    <row r="672" spans="1:21" x14ac:dyDescent="0.25">
      <c r="A672">
        <v>2025</v>
      </c>
      <c r="B672">
        <v>4</v>
      </c>
      <c r="C672" t="s">
        <v>61</v>
      </c>
      <c r="D672" t="s">
        <v>22</v>
      </c>
      <c r="E672" t="s">
        <v>36</v>
      </c>
      <c r="F672" t="s">
        <v>29</v>
      </c>
      <c r="G672" t="s">
        <v>25</v>
      </c>
      <c r="H672" t="s">
        <v>26</v>
      </c>
      <c r="I672" t="s">
        <v>25</v>
      </c>
      <c r="J672">
        <v>1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</row>
    <row r="673" spans="1:21" x14ac:dyDescent="0.25">
      <c r="A673">
        <v>2025</v>
      </c>
      <c r="B673">
        <v>4</v>
      </c>
      <c r="C673" t="s">
        <v>61</v>
      </c>
      <c r="D673" t="s">
        <v>22</v>
      </c>
      <c r="E673" t="s">
        <v>41</v>
      </c>
      <c r="F673" t="s">
        <v>28</v>
      </c>
      <c r="G673" t="s">
        <v>26</v>
      </c>
      <c r="H673" t="s">
        <v>26</v>
      </c>
      <c r="I673" t="s">
        <v>25</v>
      </c>
      <c r="J673">
        <v>861</v>
      </c>
      <c r="K673">
        <v>0</v>
      </c>
      <c r="L673">
        <v>21</v>
      </c>
      <c r="M673">
        <v>21</v>
      </c>
      <c r="N673">
        <v>307</v>
      </c>
      <c r="O673">
        <v>250</v>
      </c>
      <c r="P673">
        <v>219</v>
      </c>
      <c r="Q673">
        <v>158</v>
      </c>
      <c r="R673">
        <v>121</v>
      </c>
      <c r="S673">
        <v>51</v>
      </c>
      <c r="T673">
        <v>6</v>
      </c>
      <c r="U673">
        <v>849</v>
      </c>
    </row>
    <row r="674" spans="1:21" x14ac:dyDescent="0.25">
      <c r="A674">
        <v>2025</v>
      </c>
      <c r="B674">
        <v>4</v>
      </c>
      <c r="C674" t="s">
        <v>61</v>
      </c>
      <c r="D674" t="s">
        <v>22</v>
      </c>
      <c r="E674" t="s">
        <v>41</v>
      </c>
      <c r="F674" t="s">
        <v>24</v>
      </c>
      <c r="G674" t="s">
        <v>26</v>
      </c>
      <c r="H674" t="s">
        <v>26</v>
      </c>
      <c r="I674" t="s">
        <v>25</v>
      </c>
      <c r="J674">
        <v>919</v>
      </c>
      <c r="K674">
        <v>0</v>
      </c>
      <c r="L674">
        <v>7</v>
      </c>
      <c r="M674">
        <v>7</v>
      </c>
      <c r="N674">
        <v>345</v>
      </c>
      <c r="O674">
        <v>276</v>
      </c>
      <c r="P674">
        <v>253</v>
      </c>
      <c r="Q674">
        <v>187</v>
      </c>
      <c r="R674">
        <v>139</v>
      </c>
      <c r="S674">
        <v>60</v>
      </c>
      <c r="T674">
        <v>6</v>
      </c>
      <c r="U674">
        <v>917</v>
      </c>
    </row>
    <row r="675" spans="1:21" x14ac:dyDescent="0.25">
      <c r="A675">
        <v>2025</v>
      </c>
      <c r="B675">
        <v>4</v>
      </c>
      <c r="C675" t="s">
        <v>61</v>
      </c>
      <c r="D675" t="s">
        <v>22</v>
      </c>
      <c r="E675" t="s">
        <v>41</v>
      </c>
      <c r="F675" t="s">
        <v>29</v>
      </c>
      <c r="G675" t="s">
        <v>26</v>
      </c>
      <c r="H675" t="s">
        <v>26</v>
      </c>
      <c r="I675" t="s">
        <v>25</v>
      </c>
      <c r="J675">
        <v>1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</row>
    <row r="676" spans="1:21" x14ac:dyDescent="0.25">
      <c r="A676">
        <v>2025</v>
      </c>
      <c r="B676">
        <v>4</v>
      </c>
      <c r="C676" t="s">
        <v>62</v>
      </c>
      <c r="D676" t="s">
        <v>22</v>
      </c>
      <c r="E676" t="s">
        <v>40</v>
      </c>
      <c r="F676" t="s">
        <v>28</v>
      </c>
      <c r="G676" t="s">
        <v>25</v>
      </c>
      <c r="H676" t="s">
        <v>25</v>
      </c>
      <c r="I676" t="s">
        <v>25</v>
      </c>
      <c r="J676">
        <v>9930</v>
      </c>
      <c r="K676">
        <v>7</v>
      </c>
      <c r="L676">
        <v>61</v>
      </c>
      <c r="M676">
        <v>68</v>
      </c>
      <c r="N676">
        <v>6</v>
      </c>
      <c r="O676">
        <v>4</v>
      </c>
      <c r="P676">
        <v>1</v>
      </c>
      <c r="Q676">
        <v>0</v>
      </c>
      <c r="R676">
        <v>0</v>
      </c>
      <c r="S676">
        <v>0</v>
      </c>
      <c r="T676">
        <v>0</v>
      </c>
      <c r="U676">
        <v>9867</v>
      </c>
    </row>
    <row r="677" spans="1:21" x14ac:dyDescent="0.25">
      <c r="A677">
        <v>2025</v>
      </c>
      <c r="B677">
        <v>4</v>
      </c>
      <c r="C677" t="s">
        <v>62</v>
      </c>
      <c r="D677" t="s">
        <v>22</v>
      </c>
      <c r="E677" t="s">
        <v>40</v>
      </c>
      <c r="F677" t="s">
        <v>24</v>
      </c>
      <c r="G677" t="s">
        <v>25</v>
      </c>
      <c r="H677" t="s">
        <v>25</v>
      </c>
      <c r="I677" t="s">
        <v>25</v>
      </c>
      <c r="J677">
        <v>24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24</v>
      </c>
    </row>
    <row r="678" spans="1:21" x14ac:dyDescent="0.25">
      <c r="A678">
        <v>2025</v>
      </c>
      <c r="B678">
        <v>4</v>
      </c>
      <c r="C678" t="s">
        <v>62</v>
      </c>
      <c r="D678" t="s">
        <v>22</v>
      </c>
      <c r="E678" t="s">
        <v>40</v>
      </c>
      <c r="F678" t="s">
        <v>29</v>
      </c>
      <c r="G678" t="s">
        <v>25</v>
      </c>
      <c r="H678" t="s">
        <v>25</v>
      </c>
      <c r="I678" t="s">
        <v>25</v>
      </c>
      <c r="J678">
        <v>1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</row>
    <row r="679" spans="1:21" x14ac:dyDescent="0.25">
      <c r="A679">
        <v>2025</v>
      </c>
      <c r="B679">
        <v>4</v>
      </c>
      <c r="C679" t="s">
        <v>63</v>
      </c>
      <c r="D679" t="s">
        <v>45</v>
      </c>
      <c r="E679" t="s">
        <v>64</v>
      </c>
      <c r="F679" t="s">
        <v>24</v>
      </c>
      <c r="G679" t="s">
        <v>25</v>
      </c>
      <c r="H679" t="s">
        <v>25</v>
      </c>
      <c r="I679" t="s">
        <v>25</v>
      </c>
      <c r="J679">
        <v>119</v>
      </c>
      <c r="K679">
        <v>0</v>
      </c>
      <c r="L679">
        <v>2</v>
      </c>
      <c r="M679">
        <v>2</v>
      </c>
      <c r="N679">
        <v>23</v>
      </c>
      <c r="O679">
        <v>20</v>
      </c>
      <c r="P679">
        <v>20</v>
      </c>
      <c r="Q679">
        <v>16</v>
      </c>
      <c r="R679">
        <v>13</v>
      </c>
      <c r="S679">
        <v>7</v>
      </c>
      <c r="T679">
        <v>3</v>
      </c>
      <c r="U679">
        <v>117</v>
      </c>
    </row>
    <row r="680" spans="1:21" x14ac:dyDescent="0.25">
      <c r="A680">
        <v>2025</v>
      </c>
      <c r="B680">
        <v>4</v>
      </c>
      <c r="C680" t="s">
        <v>63</v>
      </c>
      <c r="D680" t="s">
        <v>45</v>
      </c>
      <c r="E680" t="s">
        <v>65</v>
      </c>
      <c r="F680" t="s">
        <v>28</v>
      </c>
      <c r="G680" t="s">
        <v>26</v>
      </c>
      <c r="H680" t="s">
        <v>26</v>
      </c>
      <c r="I680" t="s">
        <v>25</v>
      </c>
      <c r="J680">
        <v>1735</v>
      </c>
      <c r="K680">
        <v>0</v>
      </c>
      <c r="L680">
        <v>7</v>
      </c>
      <c r="M680">
        <v>7</v>
      </c>
      <c r="N680">
        <v>281</v>
      </c>
      <c r="O680">
        <v>244</v>
      </c>
      <c r="P680">
        <v>244</v>
      </c>
      <c r="Q680">
        <v>166</v>
      </c>
      <c r="R680">
        <v>136</v>
      </c>
      <c r="S680">
        <v>62</v>
      </c>
      <c r="T680">
        <v>28</v>
      </c>
      <c r="U680">
        <v>1733</v>
      </c>
    </row>
    <row r="681" spans="1:21" x14ac:dyDescent="0.25">
      <c r="A681">
        <v>2025</v>
      </c>
      <c r="B681">
        <v>4</v>
      </c>
      <c r="C681" t="s">
        <v>63</v>
      </c>
      <c r="D681" t="s">
        <v>45</v>
      </c>
      <c r="E681" t="s">
        <v>65</v>
      </c>
      <c r="F681" t="s">
        <v>29</v>
      </c>
      <c r="G681" t="s">
        <v>26</v>
      </c>
      <c r="H681" t="s">
        <v>26</v>
      </c>
      <c r="I681" t="s">
        <v>25</v>
      </c>
      <c r="J681">
        <v>59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</row>
    <row r="682" spans="1:21" x14ac:dyDescent="0.25">
      <c r="A682">
        <v>2025</v>
      </c>
      <c r="B682">
        <v>4</v>
      </c>
      <c r="C682" t="s">
        <v>66</v>
      </c>
      <c r="D682" t="s">
        <v>22</v>
      </c>
      <c r="E682" t="s">
        <v>32</v>
      </c>
      <c r="F682" t="s">
        <v>28</v>
      </c>
      <c r="G682" t="s">
        <v>25</v>
      </c>
      <c r="H682" t="s">
        <v>25</v>
      </c>
      <c r="I682" t="s">
        <v>25</v>
      </c>
      <c r="J682">
        <v>1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1</v>
      </c>
    </row>
    <row r="683" spans="1:21" x14ac:dyDescent="0.25">
      <c r="A683">
        <v>2025</v>
      </c>
      <c r="B683">
        <v>4</v>
      </c>
      <c r="C683" t="s">
        <v>66</v>
      </c>
      <c r="D683" t="s">
        <v>22</v>
      </c>
      <c r="E683" t="s">
        <v>32</v>
      </c>
      <c r="F683" t="s">
        <v>24</v>
      </c>
      <c r="G683" t="s">
        <v>25</v>
      </c>
      <c r="H683" t="s">
        <v>25</v>
      </c>
      <c r="I683" t="s">
        <v>25</v>
      </c>
      <c r="J683">
        <v>764</v>
      </c>
      <c r="K683">
        <v>1</v>
      </c>
      <c r="L683">
        <v>0</v>
      </c>
      <c r="M683">
        <v>1</v>
      </c>
      <c r="N683">
        <v>200</v>
      </c>
      <c r="O683">
        <v>140</v>
      </c>
      <c r="P683">
        <v>126</v>
      </c>
      <c r="Q683">
        <v>83</v>
      </c>
      <c r="R683">
        <v>60</v>
      </c>
      <c r="S683">
        <v>30</v>
      </c>
      <c r="T683">
        <v>15</v>
      </c>
      <c r="U683">
        <v>763</v>
      </c>
    </row>
    <row r="684" spans="1:21" x14ac:dyDescent="0.25">
      <c r="A684">
        <v>2025</v>
      </c>
      <c r="B684">
        <v>4</v>
      </c>
      <c r="C684" t="s">
        <v>66</v>
      </c>
      <c r="D684" t="s">
        <v>22</v>
      </c>
      <c r="E684" t="s">
        <v>34</v>
      </c>
      <c r="F684" t="s">
        <v>24</v>
      </c>
      <c r="G684" t="s">
        <v>25</v>
      </c>
      <c r="H684" t="s">
        <v>26</v>
      </c>
      <c r="I684" t="s">
        <v>26</v>
      </c>
      <c r="J684">
        <v>53</v>
      </c>
      <c r="K684">
        <v>0</v>
      </c>
      <c r="L684">
        <v>0</v>
      </c>
      <c r="M684">
        <v>0</v>
      </c>
      <c r="N684">
        <v>14</v>
      </c>
      <c r="O684">
        <v>11</v>
      </c>
      <c r="P684">
        <v>10</v>
      </c>
      <c r="Q684">
        <v>3</v>
      </c>
      <c r="R684">
        <v>2</v>
      </c>
      <c r="S684">
        <v>0</v>
      </c>
      <c r="T684">
        <v>0</v>
      </c>
      <c r="U684">
        <v>53</v>
      </c>
    </row>
    <row r="685" spans="1:21" x14ac:dyDescent="0.25">
      <c r="A685">
        <v>2025</v>
      </c>
      <c r="B685">
        <v>4</v>
      </c>
      <c r="C685" t="s">
        <v>66</v>
      </c>
      <c r="D685" t="s">
        <v>22</v>
      </c>
      <c r="E685" t="s">
        <v>23</v>
      </c>
      <c r="F685" t="s">
        <v>24</v>
      </c>
      <c r="G685" t="s">
        <v>25</v>
      </c>
      <c r="H685" t="s">
        <v>25</v>
      </c>
      <c r="I685" t="s">
        <v>25</v>
      </c>
      <c r="J685">
        <v>1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1</v>
      </c>
    </row>
    <row r="686" spans="1:21" x14ac:dyDescent="0.25">
      <c r="A686">
        <v>2025</v>
      </c>
      <c r="B686">
        <v>4</v>
      </c>
      <c r="C686" t="s">
        <v>66</v>
      </c>
      <c r="D686" t="s">
        <v>22</v>
      </c>
      <c r="E686" t="s">
        <v>23</v>
      </c>
      <c r="F686" t="s">
        <v>24</v>
      </c>
      <c r="G686" t="s">
        <v>25</v>
      </c>
      <c r="H686" t="s">
        <v>26</v>
      </c>
      <c r="I686" t="s">
        <v>25</v>
      </c>
      <c r="J686">
        <v>52</v>
      </c>
      <c r="K686">
        <v>0</v>
      </c>
      <c r="L686">
        <v>0</v>
      </c>
      <c r="M686">
        <v>0</v>
      </c>
      <c r="N686">
        <v>14</v>
      </c>
      <c r="O686">
        <v>11</v>
      </c>
      <c r="P686">
        <v>10</v>
      </c>
      <c r="Q686">
        <v>3</v>
      </c>
      <c r="R686">
        <v>2</v>
      </c>
      <c r="S686">
        <v>0</v>
      </c>
      <c r="T686">
        <v>0</v>
      </c>
      <c r="U686">
        <v>52</v>
      </c>
    </row>
    <row r="687" spans="1:21" x14ac:dyDescent="0.25">
      <c r="A687">
        <v>2025</v>
      </c>
      <c r="B687">
        <v>4</v>
      </c>
      <c r="C687" t="s">
        <v>67</v>
      </c>
      <c r="D687" t="s">
        <v>22</v>
      </c>
      <c r="E687" t="s">
        <v>68</v>
      </c>
      <c r="F687" t="s">
        <v>28</v>
      </c>
      <c r="G687" t="s">
        <v>25</v>
      </c>
      <c r="H687" t="s">
        <v>25</v>
      </c>
      <c r="I687" t="s">
        <v>25</v>
      </c>
      <c r="J687">
        <v>1313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1313</v>
      </c>
    </row>
    <row r="688" spans="1:21" x14ac:dyDescent="0.25">
      <c r="A688">
        <v>2025</v>
      </c>
      <c r="B688">
        <v>4</v>
      </c>
      <c r="C688" t="s">
        <v>67</v>
      </c>
      <c r="D688" t="s">
        <v>22</v>
      </c>
      <c r="E688" t="s">
        <v>68</v>
      </c>
      <c r="F688" t="s">
        <v>24</v>
      </c>
      <c r="G688" t="s">
        <v>25</v>
      </c>
      <c r="H688" t="s">
        <v>25</v>
      </c>
      <c r="I688" t="s">
        <v>25</v>
      </c>
      <c r="J688">
        <v>73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73</v>
      </c>
    </row>
    <row r="689" spans="1:21" x14ac:dyDescent="0.25">
      <c r="A689">
        <v>2025</v>
      </c>
      <c r="B689">
        <v>4</v>
      </c>
      <c r="C689" t="s">
        <v>69</v>
      </c>
      <c r="D689" t="s">
        <v>22</v>
      </c>
      <c r="E689" t="s">
        <v>32</v>
      </c>
      <c r="F689" t="s">
        <v>28</v>
      </c>
      <c r="G689" t="s">
        <v>25</v>
      </c>
      <c r="H689" t="s">
        <v>26</v>
      </c>
      <c r="I689" t="s">
        <v>25</v>
      </c>
      <c r="J689">
        <v>42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42</v>
      </c>
    </row>
    <row r="690" spans="1:21" x14ac:dyDescent="0.25">
      <c r="A690">
        <v>2025</v>
      </c>
      <c r="B690">
        <v>4</v>
      </c>
      <c r="C690" t="s">
        <v>69</v>
      </c>
      <c r="D690" t="s">
        <v>22</v>
      </c>
      <c r="E690" t="s">
        <v>32</v>
      </c>
      <c r="F690" t="s">
        <v>24</v>
      </c>
      <c r="G690" t="s">
        <v>25</v>
      </c>
      <c r="H690" t="s">
        <v>26</v>
      </c>
      <c r="I690" t="s">
        <v>25</v>
      </c>
      <c r="J690">
        <v>1689</v>
      </c>
      <c r="K690">
        <v>17</v>
      </c>
      <c r="L690">
        <v>44</v>
      </c>
      <c r="M690">
        <v>61</v>
      </c>
      <c r="N690">
        <v>224</v>
      </c>
      <c r="O690">
        <v>186</v>
      </c>
      <c r="P690">
        <v>176</v>
      </c>
      <c r="Q690">
        <v>127</v>
      </c>
      <c r="R690">
        <v>87</v>
      </c>
      <c r="S690">
        <v>52</v>
      </c>
      <c r="T690">
        <v>11</v>
      </c>
      <c r="U690">
        <v>1634</v>
      </c>
    </row>
    <row r="691" spans="1:21" x14ac:dyDescent="0.25">
      <c r="A691">
        <v>2025</v>
      </c>
      <c r="B691">
        <v>4</v>
      </c>
      <c r="C691" t="s">
        <v>69</v>
      </c>
      <c r="D691" t="s">
        <v>22</v>
      </c>
      <c r="E691" t="s">
        <v>38</v>
      </c>
      <c r="F691" t="s">
        <v>24</v>
      </c>
      <c r="G691" t="s">
        <v>25</v>
      </c>
      <c r="H691" t="s">
        <v>25</v>
      </c>
      <c r="I691" t="s">
        <v>25</v>
      </c>
      <c r="J691">
        <v>235</v>
      </c>
      <c r="K691">
        <v>1</v>
      </c>
      <c r="L691">
        <v>2</v>
      </c>
      <c r="M691">
        <v>3</v>
      </c>
      <c r="N691">
        <v>149</v>
      </c>
      <c r="O691">
        <v>110</v>
      </c>
      <c r="P691">
        <v>92</v>
      </c>
      <c r="Q691">
        <v>37</v>
      </c>
      <c r="R691">
        <v>14</v>
      </c>
      <c r="S691">
        <v>2</v>
      </c>
      <c r="T691">
        <v>1</v>
      </c>
      <c r="U691">
        <v>232</v>
      </c>
    </row>
    <row r="692" spans="1:21" x14ac:dyDescent="0.25">
      <c r="A692">
        <v>2025</v>
      </c>
      <c r="B692">
        <v>4</v>
      </c>
      <c r="C692" t="s">
        <v>69</v>
      </c>
      <c r="D692" t="s">
        <v>22</v>
      </c>
      <c r="E692" t="s">
        <v>38</v>
      </c>
      <c r="F692" t="s">
        <v>24</v>
      </c>
      <c r="G692" t="s">
        <v>25</v>
      </c>
      <c r="H692" t="s">
        <v>26</v>
      </c>
      <c r="I692" t="s">
        <v>25</v>
      </c>
      <c r="J692">
        <v>2</v>
      </c>
      <c r="K692">
        <v>1</v>
      </c>
      <c r="L692">
        <v>0</v>
      </c>
      <c r="M692">
        <v>1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1</v>
      </c>
    </row>
    <row r="693" spans="1:21" x14ac:dyDescent="0.25">
      <c r="A693">
        <v>2025</v>
      </c>
      <c r="B693">
        <v>4</v>
      </c>
      <c r="C693" t="s">
        <v>69</v>
      </c>
      <c r="D693" t="s">
        <v>22</v>
      </c>
      <c r="E693" t="s">
        <v>34</v>
      </c>
      <c r="F693" t="s">
        <v>24</v>
      </c>
      <c r="G693" t="s">
        <v>25</v>
      </c>
      <c r="H693" t="s">
        <v>26</v>
      </c>
      <c r="I693" t="s">
        <v>26</v>
      </c>
      <c r="J693">
        <v>118</v>
      </c>
      <c r="K693">
        <v>0</v>
      </c>
      <c r="L693">
        <v>0</v>
      </c>
      <c r="M693">
        <v>0</v>
      </c>
      <c r="N693">
        <v>19</v>
      </c>
      <c r="O693">
        <v>18</v>
      </c>
      <c r="P693">
        <v>18</v>
      </c>
      <c r="Q693">
        <v>12</v>
      </c>
      <c r="R693">
        <v>10</v>
      </c>
      <c r="S693">
        <v>9</v>
      </c>
      <c r="T693">
        <v>3</v>
      </c>
      <c r="U693">
        <v>118</v>
      </c>
    </row>
    <row r="694" spans="1:21" x14ac:dyDescent="0.25">
      <c r="A694">
        <v>2025</v>
      </c>
      <c r="B694">
        <v>4</v>
      </c>
      <c r="C694" t="s">
        <v>69</v>
      </c>
      <c r="D694" t="s">
        <v>22</v>
      </c>
      <c r="E694" t="s">
        <v>23</v>
      </c>
      <c r="F694" t="s">
        <v>28</v>
      </c>
      <c r="G694" t="s">
        <v>25</v>
      </c>
      <c r="H694" t="s">
        <v>26</v>
      </c>
      <c r="I694" t="s">
        <v>25</v>
      </c>
      <c r="J694">
        <v>10634</v>
      </c>
      <c r="K694">
        <v>16</v>
      </c>
      <c r="L694">
        <v>139</v>
      </c>
      <c r="M694">
        <v>155</v>
      </c>
      <c r="N694">
        <v>13</v>
      </c>
      <c r="O694">
        <v>11</v>
      </c>
      <c r="P694">
        <v>10</v>
      </c>
      <c r="Q694">
        <v>7</v>
      </c>
      <c r="R694">
        <v>5</v>
      </c>
      <c r="S694">
        <v>1</v>
      </c>
      <c r="T694">
        <v>0</v>
      </c>
      <c r="U694">
        <v>10491</v>
      </c>
    </row>
    <row r="695" spans="1:21" x14ac:dyDescent="0.25">
      <c r="A695">
        <v>2025</v>
      </c>
      <c r="B695">
        <v>4</v>
      </c>
      <c r="C695" t="s">
        <v>69</v>
      </c>
      <c r="D695" t="s">
        <v>22</v>
      </c>
      <c r="E695" t="s">
        <v>23</v>
      </c>
      <c r="F695" t="s">
        <v>24</v>
      </c>
      <c r="G695" t="s">
        <v>25</v>
      </c>
      <c r="H695" t="s">
        <v>26</v>
      </c>
      <c r="I695" t="s">
        <v>25</v>
      </c>
      <c r="J695">
        <v>1026</v>
      </c>
      <c r="K695">
        <v>59</v>
      </c>
      <c r="L695">
        <v>18</v>
      </c>
      <c r="M695">
        <v>77</v>
      </c>
      <c r="N695">
        <v>251</v>
      </c>
      <c r="O695">
        <v>197</v>
      </c>
      <c r="P695">
        <v>191</v>
      </c>
      <c r="Q695">
        <v>151</v>
      </c>
      <c r="R695">
        <v>95</v>
      </c>
      <c r="S695">
        <v>18</v>
      </c>
      <c r="T695">
        <v>8</v>
      </c>
      <c r="U695">
        <v>958</v>
      </c>
    </row>
    <row r="696" spans="1:21" x14ac:dyDescent="0.25">
      <c r="A696">
        <v>2025</v>
      </c>
      <c r="B696">
        <v>4</v>
      </c>
      <c r="C696" t="s">
        <v>69</v>
      </c>
      <c r="D696" t="s">
        <v>22</v>
      </c>
      <c r="E696" t="s">
        <v>23</v>
      </c>
      <c r="F696" t="s">
        <v>29</v>
      </c>
      <c r="G696" t="s">
        <v>25</v>
      </c>
      <c r="H696" t="s">
        <v>26</v>
      </c>
      <c r="I696" t="s">
        <v>25</v>
      </c>
      <c r="J696">
        <v>8</v>
      </c>
      <c r="K696">
        <v>1</v>
      </c>
      <c r="L696">
        <v>0</v>
      </c>
      <c r="M696">
        <v>1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</row>
    <row r="697" spans="1:21" x14ac:dyDescent="0.25">
      <c r="A697">
        <v>2025</v>
      </c>
      <c r="B697">
        <v>4</v>
      </c>
      <c r="C697" t="s">
        <v>69</v>
      </c>
      <c r="D697" t="s">
        <v>22</v>
      </c>
      <c r="E697" t="s">
        <v>39</v>
      </c>
      <c r="F697" t="s">
        <v>28</v>
      </c>
      <c r="G697" t="s">
        <v>26</v>
      </c>
      <c r="H697" t="s">
        <v>26</v>
      </c>
      <c r="I697" t="s">
        <v>25</v>
      </c>
      <c r="J697">
        <v>28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28</v>
      </c>
    </row>
    <row r="698" spans="1:21" x14ac:dyDescent="0.25">
      <c r="A698">
        <v>2025</v>
      </c>
      <c r="B698">
        <v>4</v>
      </c>
      <c r="C698" t="s">
        <v>69</v>
      </c>
      <c r="D698" t="s">
        <v>22</v>
      </c>
      <c r="E698" t="s">
        <v>39</v>
      </c>
      <c r="F698" t="s">
        <v>24</v>
      </c>
      <c r="G698" t="s">
        <v>26</v>
      </c>
      <c r="H698" t="s">
        <v>26</v>
      </c>
      <c r="I698" t="s">
        <v>25</v>
      </c>
      <c r="J698">
        <v>990</v>
      </c>
      <c r="K698">
        <v>59</v>
      </c>
      <c r="L698">
        <v>110</v>
      </c>
      <c r="M698">
        <v>169</v>
      </c>
      <c r="N698">
        <v>194</v>
      </c>
      <c r="O698">
        <v>144</v>
      </c>
      <c r="P698">
        <v>129</v>
      </c>
      <c r="Q698">
        <v>89</v>
      </c>
      <c r="R698">
        <v>59</v>
      </c>
      <c r="S698">
        <v>28</v>
      </c>
      <c r="T698">
        <v>8</v>
      </c>
      <c r="U698">
        <v>864</v>
      </c>
    </row>
    <row r="699" spans="1:21" x14ac:dyDescent="0.25">
      <c r="A699">
        <v>2025</v>
      </c>
      <c r="B699">
        <v>4</v>
      </c>
      <c r="C699" t="s">
        <v>69</v>
      </c>
      <c r="D699" t="s">
        <v>22</v>
      </c>
      <c r="E699" t="s">
        <v>40</v>
      </c>
      <c r="F699" t="s">
        <v>28</v>
      </c>
      <c r="G699" t="s">
        <v>25</v>
      </c>
      <c r="H699" t="s">
        <v>26</v>
      </c>
      <c r="I699" t="s">
        <v>25</v>
      </c>
      <c r="J699">
        <v>12067</v>
      </c>
      <c r="K699">
        <v>28</v>
      </c>
      <c r="L699">
        <v>147</v>
      </c>
      <c r="M699">
        <v>175</v>
      </c>
      <c r="N699">
        <v>13</v>
      </c>
      <c r="O699">
        <v>9</v>
      </c>
      <c r="P699">
        <v>7</v>
      </c>
      <c r="Q699">
        <v>5</v>
      </c>
      <c r="R699">
        <v>3</v>
      </c>
      <c r="S699">
        <v>2</v>
      </c>
      <c r="T699">
        <v>1</v>
      </c>
      <c r="U699">
        <v>11928</v>
      </c>
    </row>
    <row r="700" spans="1:21" x14ac:dyDescent="0.25">
      <c r="A700">
        <v>2025</v>
      </c>
      <c r="B700">
        <v>4</v>
      </c>
      <c r="C700" t="s">
        <v>69</v>
      </c>
      <c r="D700" t="s">
        <v>22</v>
      </c>
      <c r="E700" t="s">
        <v>40</v>
      </c>
      <c r="F700" t="s">
        <v>24</v>
      </c>
      <c r="G700" t="s">
        <v>25</v>
      </c>
      <c r="H700" t="s">
        <v>26</v>
      </c>
      <c r="I700" t="s">
        <v>25</v>
      </c>
      <c r="J700">
        <v>791</v>
      </c>
      <c r="K700">
        <v>0</v>
      </c>
      <c r="L700">
        <v>15</v>
      </c>
      <c r="M700">
        <v>15</v>
      </c>
      <c r="N700">
        <v>24</v>
      </c>
      <c r="O700">
        <v>16</v>
      </c>
      <c r="P700">
        <v>13</v>
      </c>
      <c r="Q700">
        <v>5</v>
      </c>
      <c r="R700">
        <v>3</v>
      </c>
      <c r="S700">
        <v>0</v>
      </c>
      <c r="T700">
        <v>0</v>
      </c>
      <c r="U700">
        <v>780</v>
      </c>
    </row>
    <row r="701" spans="1:21" x14ac:dyDescent="0.25">
      <c r="A701">
        <v>2025</v>
      </c>
      <c r="B701">
        <v>4</v>
      </c>
      <c r="C701" t="s">
        <v>69</v>
      </c>
      <c r="D701" t="s">
        <v>22</v>
      </c>
      <c r="E701" t="s">
        <v>40</v>
      </c>
      <c r="F701" t="s">
        <v>29</v>
      </c>
      <c r="G701" t="s">
        <v>25</v>
      </c>
      <c r="H701" t="s">
        <v>26</v>
      </c>
      <c r="I701" t="s">
        <v>25</v>
      </c>
      <c r="J701">
        <v>4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</row>
    <row r="702" spans="1:21" x14ac:dyDescent="0.25">
      <c r="A702">
        <v>2025</v>
      </c>
      <c r="B702">
        <v>4</v>
      </c>
      <c r="C702" t="s">
        <v>69</v>
      </c>
      <c r="D702" t="s">
        <v>22</v>
      </c>
      <c r="E702" t="s">
        <v>70</v>
      </c>
      <c r="F702" t="s">
        <v>28</v>
      </c>
      <c r="G702" t="s">
        <v>26</v>
      </c>
      <c r="H702" t="s">
        <v>26</v>
      </c>
      <c r="I702" t="s">
        <v>25</v>
      </c>
      <c r="J702">
        <v>52</v>
      </c>
      <c r="K702">
        <v>0</v>
      </c>
      <c r="L702">
        <v>0</v>
      </c>
      <c r="M702">
        <v>0</v>
      </c>
      <c r="N702">
        <v>1</v>
      </c>
      <c r="O702">
        <v>1</v>
      </c>
      <c r="P702">
        <v>1</v>
      </c>
      <c r="Q702">
        <v>0</v>
      </c>
      <c r="R702">
        <v>0</v>
      </c>
      <c r="S702">
        <v>0</v>
      </c>
      <c r="T702">
        <v>0</v>
      </c>
      <c r="U702">
        <v>52</v>
      </c>
    </row>
    <row r="703" spans="1:21" x14ac:dyDescent="0.25">
      <c r="A703">
        <v>2025</v>
      </c>
      <c r="B703">
        <v>4</v>
      </c>
      <c r="C703" t="s">
        <v>69</v>
      </c>
      <c r="D703" t="s">
        <v>22</v>
      </c>
      <c r="E703" t="s">
        <v>70</v>
      </c>
      <c r="F703" t="s">
        <v>24</v>
      </c>
      <c r="G703" t="s">
        <v>26</v>
      </c>
      <c r="H703" t="s">
        <v>26</v>
      </c>
      <c r="I703" t="s">
        <v>25</v>
      </c>
      <c r="J703">
        <v>855</v>
      </c>
      <c r="K703">
        <v>1</v>
      </c>
      <c r="L703">
        <v>3</v>
      </c>
      <c r="M703">
        <v>4</v>
      </c>
      <c r="N703">
        <v>108</v>
      </c>
      <c r="O703">
        <v>57</v>
      </c>
      <c r="P703">
        <v>52</v>
      </c>
      <c r="Q703">
        <v>38</v>
      </c>
      <c r="R703">
        <v>30</v>
      </c>
      <c r="S703">
        <v>12</v>
      </c>
      <c r="T703">
        <v>2</v>
      </c>
      <c r="U703">
        <v>853</v>
      </c>
    </row>
    <row r="704" spans="1:21" x14ac:dyDescent="0.25">
      <c r="A704">
        <v>2025</v>
      </c>
      <c r="B704">
        <v>4</v>
      </c>
      <c r="C704" t="s">
        <v>69</v>
      </c>
      <c r="D704" t="s">
        <v>22</v>
      </c>
      <c r="E704" t="s">
        <v>70</v>
      </c>
      <c r="F704" t="s">
        <v>29</v>
      </c>
      <c r="G704" t="s">
        <v>26</v>
      </c>
      <c r="H704" t="s">
        <v>26</v>
      </c>
      <c r="I704" t="s">
        <v>25</v>
      </c>
      <c r="J704">
        <v>5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</row>
    <row r="705" spans="1:21" x14ac:dyDescent="0.25">
      <c r="A705">
        <v>2025</v>
      </c>
      <c r="B705">
        <v>4</v>
      </c>
      <c r="C705" t="s">
        <v>69</v>
      </c>
      <c r="D705" t="s">
        <v>22</v>
      </c>
      <c r="E705" t="s">
        <v>35</v>
      </c>
      <c r="F705" t="s">
        <v>28</v>
      </c>
      <c r="G705" t="s">
        <v>25</v>
      </c>
      <c r="H705" t="s">
        <v>26</v>
      </c>
      <c r="I705" t="s">
        <v>26</v>
      </c>
      <c r="J705">
        <v>5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5</v>
      </c>
    </row>
    <row r="706" spans="1:21" x14ac:dyDescent="0.25">
      <c r="A706">
        <v>2025</v>
      </c>
      <c r="B706">
        <v>4</v>
      </c>
      <c r="C706" t="s">
        <v>69</v>
      </c>
      <c r="D706" t="s">
        <v>22</v>
      </c>
      <c r="E706" t="s">
        <v>35</v>
      </c>
      <c r="F706" t="s">
        <v>24</v>
      </c>
      <c r="G706" t="s">
        <v>25</v>
      </c>
      <c r="H706" t="s">
        <v>26</v>
      </c>
      <c r="I706" t="s">
        <v>26</v>
      </c>
      <c r="J706">
        <v>213</v>
      </c>
      <c r="K706">
        <v>3</v>
      </c>
      <c r="L706">
        <v>3</v>
      </c>
      <c r="M706">
        <v>6</v>
      </c>
      <c r="N706">
        <v>58</v>
      </c>
      <c r="O706">
        <v>49</v>
      </c>
      <c r="P706">
        <v>47</v>
      </c>
      <c r="Q706">
        <v>37</v>
      </c>
      <c r="R706">
        <v>31</v>
      </c>
      <c r="S706">
        <v>23</v>
      </c>
      <c r="T706">
        <v>11</v>
      </c>
      <c r="U706">
        <v>208</v>
      </c>
    </row>
    <row r="707" spans="1:21" x14ac:dyDescent="0.25">
      <c r="A707">
        <v>2025</v>
      </c>
      <c r="B707">
        <v>4</v>
      </c>
      <c r="C707" t="s">
        <v>69</v>
      </c>
      <c r="D707" t="s">
        <v>22</v>
      </c>
      <c r="E707" t="s">
        <v>35</v>
      </c>
      <c r="F707" t="s">
        <v>29</v>
      </c>
      <c r="G707" t="s">
        <v>25</v>
      </c>
      <c r="H707" t="s">
        <v>26</v>
      </c>
      <c r="I707" t="s">
        <v>26</v>
      </c>
      <c r="J707">
        <v>1</v>
      </c>
      <c r="K707">
        <v>1</v>
      </c>
      <c r="L707">
        <v>0</v>
      </c>
      <c r="M707">
        <v>1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</row>
    <row r="708" spans="1:21" x14ac:dyDescent="0.25">
      <c r="A708">
        <v>2025</v>
      </c>
      <c r="B708">
        <v>4</v>
      </c>
      <c r="C708" t="s">
        <v>69</v>
      </c>
      <c r="D708" t="s">
        <v>22</v>
      </c>
      <c r="E708" t="s">
        <v>41</v>
      </c>
      <c r="F708" t="s">
        <v>24</v>
      </c>
      <c r="G708" t="s">
        <v>26</v>
      </c>
      <c r="H708" t="s">
        <v>26</v>
      </c>
      <c r="I708" t="s">
        <v>25</v>
      </c>
      <c r="J708">
        <v>283</v>
      </c>
      <c r="K708">
        <v>0</v>
      </c>
      <c r="L708">
        <v>1</v>
      </c>
      <c r="M708">
        <v>1</v>
      </c>
      <c r="N708">
        <v>20</v>
      </c>
      <c r="O708">
        <v>13</v>
      </c>
      <c r="P708">
        <v>11</v>
      </c>
      <c r="Q708">
        <v>8</v>
      </c>
      <c r="R708">
        <v>8</v>
      </c>
      <c r="S708">
        <v>4</v>
      </c>
      <c r="T708">
        <v>1</v>
      </c>
      <c r="U708">
        <v>283</v>
      </c>
    </row>
    <row r="709" spans="1:21" x14ac:dyDescent="0.25">
      <c r="A709">
        <v>2025</v>
      </c>
      <c r="B709">
        <v>4</v>
      </c>
      <c r="C709" t="s">
        <v>69</v>
      </c>
      <c r="D709" t="s">
        <v>22</v>
      </c>
      <c r="E709" t="s">
        <v>41</v>
      </c>
      <c r="F709" t="s">
        <v>29</v>
      </c>
      <c r="G709" t="s">
        <v>26</v>
      </c>
      <c r="H709" t="s">
        <v>26</v>
      </c>
      <c r="I709" t="s">
        <v>25</v>
      </c>
      <c r="J709">
        <v>5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</row>
    <row r="710" spans="1:21" x14ac:dyDescent="0.25">
      <c r="A710">
        <v>2025</v>
      </c>
      <c r="B710">
        <v>4</v>
      </c>
      <c r="C710" t="s">
        <v>71</v>
      </c>
      <c r="D710" t="s">
        <v>22</v>
      </c>
      <c r="E710" t="s">
        <v>34</v>
      </c>
      <c r="F710" t="s">
        <v>24</v>
      </c>
      <c r="G710" t="s">
        <v>25</v>
      </c>
      <c r="H710" t="s">
        <v>26</v>
      </c>
      <c r="I710" t="s">
        <v>26</v>
      </c>
      <c r="J710">
        <v>39</v>
      </c>
      <c r="K710">
        <v>2</v>
      </c>
      <c r="L710">
        <v>0</v>
      </c>
      <c r="M710">
        <v>2</v>
      </c>
      <c r="N710">
        <v>15</v>
      </c>
      <c r="O710">
        <v>15</v>
      </c>
      <c r="P710">
        <v>14</v>
      </c>
      <c r="Q710">
        <v>10</v>
      </c>
      <c r="R710">
        <v>9</v>
      </c>
      <c r="S710">
        <v>6</v>
      </c>
      <c r="T710">
        <v>2</v>
      </c>
      <c r="U710">
        <v>37</v>
      </c>
    </row>
    <row r="711" spans="1:21" x14ac:dyDescent="0.25">
      <c r="A711">
        <v>2025</v>
      </c>
      <c r="B711">
        <v>4</v>
      </c>
      <c r="C711" t="s">
        <v>72</v>
      </c>
      <c r="D711" t="s">
        <v>22</v>
      </c>
      <c r="E711" t="s">
        <v>54</v>
      </c>
      <c r="F711" t="s">
        <v>24</v>
      </c>
      <c r="G711" t="s">
        <v>25</v>
      </c>
      <c r="H711" t="s">
        <v>25</v>
      </c>
      <c r="I711" t="s">
        <v>25</v>
      </c>
      <c r="J711">
        <v>730</v>
      </c>
      <c r="K711">
        <v>37</v>
      </c>
      <c r="L711">
        <v>28</v>
      </c>
      <c r="M711">
        <v>65</v>
      </c>
      <c r="N711">
        <v>186</v>
      </c>
      <c r="O711">
        <v>124</v>
      </c>
      <c r="P711">
        <v>110</v>
      </c>
      <c r="Q711">
        <v>66</v>
      </c>
      <c r="R711">
        <v>40</v>
      </c>
      <c r="S711">
        <v>18</v>
      </c>
      <c r="T711">
        <v>0</v>
      </c>
      <c r="U711">
        <v>673</v>
      </c>
    </row>
    <row r="712" spans="1:21" x14ac:dyDescent="0.25">
      <c r="A712">
        <v>2025</v>
      </c>
      <c r="B712">
        <v>4</v>
      </c>
      <c r="C712" t="s">
        <v>72</v>
      </c>
      <c r="D712" t="s">
        <v>22</v>
      </c>
      <c r="E712" t="s">
        <v>55</v>
      </c>
      <c r="F712" t="s">
        <v>24</v>
      </c>
      <c r="G712" t="s">
        <v>25</v>
      </c>
      <c r="H712" t="s">
        <v>25</v>
      </c>
      <c r="I712" t="s">
        <v>25</v>
      </c>
      <c r="J712">
        <v>740</v>
      </c>
      <c r="K712">
        <v>13</v>
      </c>
      <c r="L712">
        <v>1</v>
      </c>
      <c r="M712">
        <v>14</v>
      </c>
      <c r="N712">
        <v>200</v>
      </c>
      <c r="O712">
        <v>124</v>
      </c>
      <c r="P712">
        <v>105</v>
      </c>
      <c r="Q712">
        <v>65</v>
      </c>
      <c r="R712">
        <v>43</v>
      </c>
      <c r="S712">
        <v>17</v>
      </c>
      <c r="T712">
        <v>2</v>
      </c>
      <c r="U712">
        <v>716</v>
      </c>
    </row>
    <row r="713" spans="1:21" x14ac:dyDescent="0.25">
      <c r="A713">
        <v>2025</v>
      </c>
      <c r="B713">
        <v>4</v>
      </c>
      <c r="C713" t="s">
        <v>72</v>
      </c>
      <c r="D713" t="s">
        <v>22</v>
      </c>
      <c r="E713" t="s">
        <v>23</v>
      </c>
      <c r="F713" t="s">
        <v>28</v>
      </c>
      <c r="G713" t="s">
        <v>25</v>
      </c>
      <c r="H713" t="s">
        <v>26</v>
      </c>
      <c r="I713" t="s">
        <v>25</v>
      </c>
      <c r="J713">
        <v>24351</v>
      </c>
      <c r="K713">
        <v>74</v>
      </c>
      <c r="L713">
        <v>474</v>
      </c>
      <c r="M713">
        <v>548</v>
      </c>
      <c r="N713">
        <v>4548</v>
      </c>
      <c r="O713">
        <v>2754</v>
      </c>
      <c r="P713">
        <v>2238</v>
      </c>
      <c r="Q713">
        <v>1123</v>
      </c>
      <c r="R713">
        <v>622</v>
      </c>
      <c r="S713">
        <v>119</v>
      </c>
      <c r="T713">
        <v>8</v>
      </c>
      <c r="U713">
        <v>24008</v>
      </c>
    </row>
    <row r="714" spans="1:21" x14ac:dyDescent="0.25">
      <c r="A714">
        <v>2025</v>
      </c>
      <c r="B714">
        <v>4</v>
      </c>
      <c r="C714" t="s">
        <v>72</v>
      </c>
      <c r="D714" t="s">
        <v>22</v>
      </c>
      <c r="E714" t="s">
        <v>23</v>
      </c>
      <c r="F714" t="s">
        <v>24</v>
      </c>
      <c r="G714" t="s">
        <v>25</v>
      </c>
      <c r="H714" t="s">
        <v>26</v>
      </c>
      <c r="I714" t="s">
        <v>25</v>
      </c>
      <c r="J714">
        <v>1912</v>
      </c>
      <c r="K714">
        <v>8</v>
      </c>
      <c r="L714">
        <v>24</v>
      </c>
      <c r="M714">
        <v>32</v>
      </c>
      <c r="N714">
        <v>271</v>
      </c>
      <c r="O714">
        <v>175</v>
      </c>
      <c r="P714">
        <v>141</v>
      </c>
      <c r="Q714">
        <v>83</v>
      </c>
      <c r="R714">
        <v>56</v>
      </c>
      <c r="S714">
        <v>9</v>
      </c>
      <c r="T714">
        <v>0</v>
      </c>
      <c r="U714">
        <v>1887</v>
      </c>
    </row>
    <row r="715" spans="1:21" x14ac:dyDescent="0.25">
      <c r="A715">
        <v>2025</v>
      </c>
      <c r="B715">
        <v>4</v>
      </c>
      <c r="C715" t="s">
        <v>72</v>
      </c>
      <c r="D715" t="s">
        <v>22</v>
      </c>
      <c r="E715" t="s">
        <v>23</v>
      </c>
      <c r="F715" t="s">
        <v>29</v>
      </c>
      <c r="G715" t="s">
        <v>25</v>
      </c>
      <c r="H715" t="s">
        <v>26</v>
      </c>
      <c r="I715" t="s">
        <v>25</v>
      </c>
      <c r="J715">
        <v>2</v>
      </c>
      <c r="K715">
        <v>2</v>
      </c>
      <c r="L715">
        <v>0</v>
      </c>
      <c r="M715">
        <v>2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</row>
    <row r="716" spans="1:21" x14ac:dyDescent="0.25">
      <c r="A716">
        <v>2025</v>
      </c>
      <c r="B716">
        <v>4</v>
      </c>
      <c r="C716" t="s">
        <v>72</v>
      </c>
      <c r="D716" t="s">
        <v>22</v>
      </c>
      <c r="E716" t="s">
        <v>39</v>
      </c>
      <c r="F716" t="s">
        <v>28</v>
      </c>
      <c r="G716" t="s">
        <v>26</v>
      </c>
      <c r="H716" t="s">
        <v>26</v>
      </c>
      <c r="I716" t="s">
        <v>25</v>
      </c>
      <c r="J716">
        <v>2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2</v>
      </c>
    </row>
    <row r="717" spans="1:21" x14ac:dyDescent="0.25">
      <c r="A717">
        <v>2025</v>
      </c>
      <c r="B717">
        <v>4</v>
      </c>
      <c r="C717" t="s">
        <v>72</v>
      </c>
      <c r="D717" t="s">
        <v>22</v>
      </c>
      <c r="E717" t="s">
        <v>39</v>
      </c>
      <c r="F717" t="s">
        <v>24</v>
      </c>
      <c r="G717" t="s">
        <v>26</v>
      </c>
      <c r="H717" t="s">
        <v>26</v>
      </c>
      <c r="I717" t="s">
        <v>25</v>
      </c>
      <c r="J717">
        <v>425</v>
      </c>
      <c r="K717">
        <v>15</v>
      </c>
      <c r="L717">
        <v>4</v>
      </c>
      <c r="M717">
        <v>19</v>
      </c>
      <c r="N717">
        <v>151</v>
      </c>
      <c r="O717">
        <v>107</v>
      </c>
      <c r="P717">
        <v>91</v>
      </c>
      <c r="Q717">
        <v>53</v>
      </c>
      <c r="R717">
        <v>39</v>
      </c>
      <c r="S717">
        <v>18</v>
      </c>
      <c r="T717">
        <v>2</v>
      </c>
      <c r="U717">
        <v>408</v>
      </c>
    </row>
    <row r="718" spans="1:21" x14ac:dyDescent="0.25">
      <c r="A718">
        <v>2025</v>
      </c>
      <c r="B718">
        <v>4</v>
      </c>
      <c r="C718" t="s">
        <v>72</v>
      </c>
      <c r="D718" t="s">
        <v>22</v>
      </c>
      <c r="E718" t="s">
        <v>73</v>
      </c>
      <c r="F718" t="s">
        <v>28</v>
      </c>
      <c r="G718" t="s">
        <v>25</v>
      </c>
      <c r="H718" t="s">
        <v>25</v>
      </c>
      <c r="I718" t="s">
        <v>25</v>
      </c>
      <c r="J718">
        <v>14508</v>
      </c>
      <c r="K718">
        <v>33</v>
      </c>
      <c r="L718">
        <v>80</v>
      </c>
      <c r="M718">
        <v>113</v>
      </c>
      <c r="N718">
        <v>2122</v>
      </c>
      <c r="O718">
        <v>1136</v>
      </c>
      <c r="P718">
        <v>860</v>
      </c>
      <c r="Q718">
        <v>375</v>
      </c>
      <c r="R718">
        <v>169</v>
      </c>
      <c r="S718">
        <v>35</v>
      </c>
      <c r="T718">
        <v>0</v>
      </c>
      <c r="U718">
        <v>14422</v>
      </c>
    </row>
    <row r="719" spans="1:21" x14ac:dyDescent="0.25">
      <c r="A719">
        <v>2025</v>
      </c>
      <c r="B719">
        <v>4</v>
      </c>
      <c r="C719" t="s">
        <v>72</v>
      </c>
      <c r="D719" t="s">
        <v>22</v>
      </c>
      <c r="E719" t="s">
        <v>73</v>
      </c>
      <c r="F719" t="s">
        <v>24</v>
      </c>
      <c r="G719" t="s">
        <v>25</v>
      </c>
      <c r="H719" t="s">
        <v>25</v>
      </c>
      <c r="I719" t="s">
        <v>25</v>
      </c>
      <c r="J719">
        <v>3478</v>
      </c>
      <c r="K719">
        <v>9</v>
      </c>
      <c r="L719">
        <v>13</v>
      </c>
      <c r="M719">
        <v>22</v>
      </c>
      <c r="N719">
        <v>253</v>
      </c>
      <c r="O719">
        <v>143</v>
      </c>
      <c r="P719">
        <v>111</v>
      </c>
      <c r="Q719">
        <v>40</v>
      </c>
      <c r="R719">
        <v>23</v>
      </c>
      <c r="S719">
        <v>4</v>
      </c>
      <c r="T719">
        <v>0</v>
      </c>
      <c r="U719">
        <v>3469</v>
      </c>
    </row>
    <row r="720" spans="1:21" x14ac:dyDescent="0.25">
      <c r="A720">
        <v>2025</v>
      </c>
      <c r="B720">
        <v>4</v>
      </c>
      <c r="C720" t="s">
        <v>72</v>
      </c>
      <c r="D720" t="s">
        <v>22</v>
      </c>
      <c r="E720" t="s">
        <v>73</v>
      </c>
      <c r="F720" t="s">
        <v>29</v>
      </c>
      <c r="G720" t="s">
        <v>25</v>
      </c>
      <c r="H720" t="s">
        <v>25</v>
      </c>
      <c r="I720" t="s">
        <v>25</v>
      </c>
      <c r="J720">
        <v>3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</row>
    <row r="721" spans="1:21" x14ac:dyDescent="0.25">
      <c r="A721">
        <v>2025</v>
      </c>
      <c r="B721">
        <v>4</v>
      </c>
      <c r="C721" t="s">
        <v>72</v>
      </c>
      <c r="D721" t="s">
        <v>22</v>
      </c>
      <c r="E721" t="s">
        <v>35</v>
      </c>
      <c r="F721" t="s">
        <v>24</v>
      </c>
      <c r="G721" t="s">
        <v>25</v>
      </c>
      <c r="H721" t="s">
        <v>26</v>
      </c>
      <c r="I721" t="s">
        <v>26</v>
      </c>
      <c r="J721">
        <v>40</v>
      </c>
      <c r="K721">
        <v>2</v>
      </c>
      <c r="L721">
        <v>0</v>
      </c>
      <c r="M721">
        <v>2</v>
      </c>
      <c r="N721">
        <v>17</v>
      </c>
      <c r="O721">
        <v>14</v>
      </c>
      <c r="P721">
        <v>13</v>
      </c>
      <c r="Q721">
        <v>7</v>
      </c>
      <c r="R721">
        <v>4</v>
      </c>
      <c r="S721">
        <v>4</v>
      </c>
      <c r="T721">
        <v>4</v>
      </c>
      <c r="U721">
        <v>38</v>
      </c>
    </row>
    <row r="722" spans="1:21" x14ac:dyDescent="0.25">
      <c r="A722">
        <v>2025</v>
      </c>
      <c r="B722">
        <v>4</v>
      </c>
      <c r="C722" t="s">
        <v>72</v>
      </c>
      <c r="D722" t="s">
        <v>22</v>
      </c>
      <c r="E722" t="s">
        <v>74</v>
      </c>
      <c r="F722" t="s">
        <v>28</v>
      </c>
      <c r="G722" t="s">
        <v>25</v>
      </c>
      <c r="H722" t="s">
        <v>25</v>
      </c>
      <c r="I722" t="s">
        <v>25</v>
      </c>
      <c r="J722">
        <v>3417</v>
      </c>
      <c r="K722">
        <v>28</v>
      </c>
      <c r="L722">
        <v>23</v>
      </c>
      <c r="M722">
        <v>51</v>
      </c>
      <c r="N722">
        <v>622</v>
      </c>
      <c r="O722">
        <v>363</v>
      </c>
      <c r="P722">
        <v>291</v>
      </c>
      <c r="Q722">
        <v>145</v>
      </c>
      <c r="R722">
        <v>76</v>
      </c>
      <c r="S722">
        <v>21</v>
      </c>
      <c r="T722">
        <v>0</v>
      </c>
      <c r="U722">
        <v>3371</v>
      </c>
    </row>
    <row r="723" spans="1:21" x14ac:dyDescent="0.25">
      <c r="A723">
        <v>2025</v>
      </c>
      <c r="B723">
        <v>4</v>
      </c>
      <c r="C723" t="s">
        <v>72</v>
      </c>
      <c r="D723" t="s">
        <v>22</v>
      </c>
      <c r="E723" t="s">
        <v>74</v>
      </c>
      <c r="F723" t="s">
        <v>24</v>
      </c>
      <c r="G723" t="s">
        <v>25</v>
      </c>
      <c r="H723" t="s">
        <v>25</v>
      </c>
      <c r="I723" t="s">
        <v>25</v>
      </c>
      <c r="J723">
        <v>94</v>
      </c>
      <c r="K723">
        <v>1</v>
      </c>
      <c r="L723">
        <v>0</v>
      </c>
      <c r="M723">
        <v>1</v>
      </c>
      <c r="N723">
        <v>15</v>
      </c>
      <c r="O723">
        <v>10</v>
      </c>
      <c r="P723">
        <v>9</v>
      </c>
      <c r="Q723">
        <v>4</v>
      </c>
      <c r="R723">
        <v>2</v>
      </c>
      <c r="S723">
        <v>0</v>
      </c>
      <c r="T723">
        <v>0</v>
      </c>
      <c r="U723">
        <v>93</v>
      </c>
    </row>
    <row r="724" spans="1:21" x14ac:dyDescent="0.25">
      <c r="A724">
        <v>2025</v>
      </c>
      <c r="B724">
        <v>4</v>
      </c>
      <c r="C724" t="s">
        <v>72</v>
      </c>
      <c r="D724" t="s">
        <v>22</v>
      </c>
      <c r="E724" t="s">
        <v>58</v>
      </c>
      <c r="F724" t="s">
        <v>28</v>
      </c>
      <c r="G724" t="s">
        <v>25</v>
      </c>
      <c r="H724" t="s">
        <v>25</v>
      </c>
      <c r="I724" t="s">
        <v>25</v>
      </c>
      <c r="J724">
        <v>22648</v>
      </c>
      <c r="K724">
        <v>52</v>
      </c>
      <c r="L724">
        <v>202</v>
      </c>
      <c r="M724">
        <v>254</v>
      </c>
      <c r="N724">
        <v>2997</v>
      </c>
      <c r="O724">
        <v>1628</v>
      </c>
      <c r="P724">
        <v>1274</v>
      </c>
      <c r="Q724">
        <v>606</v>
      </c>
      <c r="R724">
        <v>301</v>
      </c>
      <c r="S724">
        <v>59</v>
      </c>
      <c r="T724">
        <v>4</v>
      </c>
      <c r="U724">
        <v>22461</v>
      </c>
    </row>
    <row r="725" spans="1:21" x14ac:dyDescent="0.25">
      <c r="A725">
        <v>2025</v>
      </c>
      <c r="B725">
        <v>4</v>
      </c>
      <c r="C725" t="s">
        <v>72</v>
      </c>
      <c r="D725" t="s">
        <v>22</v>
      </c>
      <c r="E725" t="s">
        <v>58</v>
      </c>
      <c r="F725" t="s">
        <v>24</v>
      </c>
      <c r="G725" t="s">
        <v>25</v>
      </c>
      <c r="H725" t="s">
        <v>25</v>
      </c>
      <c r="I725" t="s">
        <v>25</v>
      </c>
      <c r="J725">
        <v>2547</v>
      </c>
      <c r="K725">
        <v>17</v>
      </c>
      <c r="L725">
        <v>72</v>
      </c>
      <c r="M725">
        <v>89</v>
      </c>
      <c r="N725">
        <v>556</v>
      </c>
      <c r="O725">
        <v>363</v>
      </c>
      <c r="P725">
        <v>281</v>
      </c>
      <c r="Q725">
        <v>144</v>
      </c>
      <c r="R725">
        <v>55</v>
      </c>
      <c r="S725">
        <v>6</v>
      </c>
      <c r="T725">
        <v>0</v>
      </c>
      <c r="U725">
        <v>2488</v>
      </c>
    </row>
    <row r="726" spans="1:21" x14ac:dyDescent="0.25">
      <c r="A726">
        <v>2025</v>
      </c>
      <c r="B726">
        <v>4</v>
      </c>
      <c r="C726" t="s">
        <v>72</v>
      </c>
      <c r="D726" t="s">
        <v>22</v>
      </c>
      <c r="E726" t="s">
        <v>27</v>
      </c>
      <c r="F726" t="s">
        <v>24</v>
      </c>
      <c r="G726" t="s">
        <v>26</v>
      </c>
      <c r="H726" t="s">
        <v>26</v>
      </c>
      <c r="I726" t="s">
        <v>25</v>
      </c>
      <c r="J726">
        <v>130</v>
      </c>
      <c r="K726">
        <v>3</v>
      </c>
      <c r="L726">
        <v>0</v>
      </c>
      <c r="M726">
        <v>3</v>
      </c>
      <c r="N726">
        <v>57</v>
      </c>
      <c r="O726">
        <v>36</v>
      </c>
      <c r="P726">
        <v>36</v>
      </c>
      <c r="Q726">
        <v>30</v>
      </c>
      <c r="R726">
        <v>19</v>
      </c>
      <c r="S726">
        <v>10</v>
      </c>
      <c r="T726">
        <v>1</v>
      </c>
      <c r="U726">
        <v>127</v>
      </c>
    </row>
    <row r="727" spans="1:21" x14ac:dyDescent="0.25">
      <c r="A727">
        <v>2025</v>
      </c>
      <c r="B727">
        <v>4</v>
      </c>
      <c r="C727" t="s">
        <v>72</v>
      </c>
      <c r="D727" t="s">
        <v>22</v>
      </c>
      <c r="E727" t="s">
        <v>27</v>
      </c>
      <c r="F727" t="s">
        <v>29</v>
      </c>
      <c r="G727" t="s">
        <v>26</v>
      </c>
      <c r="H727" t="s">
        <v>26</v>
      </c>
      <c r="I727" t="s">
        <v>25</v>
      </c>
      <c r="J727">
        <v>2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</row>
    <row r="728" spans="1:21" x14ac:dyDescent="0.25">
      <c r="A728">
        <v>2025</v>
      </c>
      <c r="B728">
        <v>4</v>
      </c>
      <c r="C728" t="s">
        <v>75</v>
      </c>
      <c r="D728" t="s">
        <v>22</v>
      </c>
      <c r="E728" t="s">
        <v>23</v>
      </c>
      <c r="F728" t="s">
        <v>24</v>
      </c>
      <c r="G728" t="s">
        <v>25</v>
      </c>
      <c r="H728" t="s">
        <v>26</v>
      </c>
      <c r="I728" t="s">
        <v>25</v>
      </c>
      <c r="J728">
        <v>1149</v>
      </c>
      <c r="K728">
        <v>2</v>
      </c>
      <c r="L728">
        <v>5</v>
      </c>
      <c r="M728">
        <v>7</v>
      </c>
      <c r="N728">
        <v>65</v>
      </c>
      <c r="O728">
        <v>36</v>
      </c>
      <c r="P728">
        <v>25</v>
      </c>
      <c r="Q728">
        <v>15</v>
      </c>
      <c r="R728">
        <v>9</v>
      </c>
      <c r="S728">
        <v>1</v>
      </c>
      <c r="T728">
        <v>0</v>
      </c>
      <c r="U728">
        <v>1147</v>
      </c>
    </row>
    <row r="729" spans="1:21" x14ac:dyDescent="0.25">
      <c r="A729">
        <v>2025</v>
      </c>
      <c r="B729">
        <v>4</v>
      </c>
      <c r="C729" t="s">
        <v>75</v>
      </c>
      <c r="D729" t="s">
        <v>22</v>
      </c>
      <c r="E729" t="s">
        <v>39</v>
      </c>
      <c r="F729" t="s">
        <v>28</v>
      </c>
      <c r="G729" t="s">
        <v>26</v>
      </c>
      <c r="H729" t="s">
        <v>26</v>
      </c>
      <c r="I729" t="s">
        <v>25</v>
      </c>
      <c r="J729">
        <v>2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2</v>
      </c>
    </row>
    <row r="730" spans="1:21" x14ac:dyDescent="0.25">
      <c r="A730">
        <v>2025</v>
      </c>
      <c r="B730">
        <v>4</v>
      </c>
      <c r="C730" t="s">
        <v>75</v>
      </c>
      <c r="D730" t="s">
        <v>22</v>
      </c>
      <c r="E730" t="s">
        <v>39</v>
      </c>
      <c r="F730" t="s">
        <v>24</v>
      </c>
      <c r="G730" t="s">
        <v>26</v>
      </c>
      <c r="H730" t="s">
        <v>26</v>
      </c>
      <c r="I730" t="s">
        <v>25</v>
      </c>
      <c r="J730">
        <v>656</v>
      </c>
      <c r="K730">
        <v>3</v>
      </c>
      <c r="L730">
        <v>5</v>
      </c>
      <c r="M730">
        <v>8</v>
      </c>
      <c r="N730">
        <v>232</v>
      </c>
      <c r="O730">
        <v>152</v>
      </c>
      <c r="P730">
        <v>146</v>
      </c>
      <c r="Q730">
        <v>90</v>
      </c>
      <c r="R730">
        <v>65</v>
      </c>
      <c r="S730">
        <v>31</v>
      </c>
      <c r="T730">
        <v>11</v>
      </c>
      <c r="U730">
        <v>650</v>
      </c>
    </row>
    <row r="731" spans="1:21" x14ac:dyDescent="0.25">
      <c r="A731">
        <v>2025</v>
      </c>
      <c r="B731">
        <v>4</v>
      </c>
      <c r="C731" t="s">
        <v>75</v>
      </c>
      <c r="D731" t="s">
        <v>22</v>
      </c>
      <c r="E731" t="s">
        <v>39</v>
      </c>
      <c r="F731" t="s">
        <v>29</v>
      </c>
      <c r="G731" t="s">
        <v>26</v>
      </c>
      <c r="H731" t="s">
        <v>26</v>
      </c>
      <c r="I731" t="s">
        <v>25</v>
      </c>
      <c r="J731">
        <v>5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</row>
    <row r="732" spans="1:21" x14ac:dyDescent="0.25">
      <c r="A732">
        <v>2025</v>
      </c>
      <c r="B732">
        <v>4</v>
      </c>
      <c r="C732" t="s">
        <v>75</v>
      </c>
      <c r="D732" t="s">
        <v>22</v>
      </c>
      <c r="E732" t="s">
        <v>77</v>
      </c>
      <c r="F732" t="s">
        <v>28</v>
      </c>
      <c r="G732" t="s">
        <v>25</v>
      </c>
      <c r="H732" t="s">
        <v>26</v>
      </c>
      <c r="I732" t="s">
        <v>25</v>
      </c>
      <c r="J732">
        <v>2021</v>
      </c>
      <c r="K732">
        <v>10</v>
      </c>
      <c r="L732">
        <v>18</v>
      </c>
      <c r="M732">
        <v>28</v>
      </c>
      <c r="N732">
        <v>623</v>
      </c>
      <c r="O732">
        <v>394</v>
      </c>
      <c r="P732">
        <v>393</v>
      </c>
      <c r="Q732">
        <v>288</v>
      </c>
      <c r="R732">
        <v>236</v>
      </c>
      <c r="S732">
        <v>135</v>
      </c>
      <c r="T732">
        <v>47</v>
      </c>
      <c r="U732">
        <v>2003</v>
      </c>
    </row>
    <row r="733" spans="1:21" x14ac:dyDescent="0.25">
      <c r="A733">
        <v>2025</v>
      </c>
      <c r="B733">
        <v>4</v>
      </c>
      <c r="C733" t="s">
        <v>75</v>
      </c>
      <c r="D733" t="s">
        <v>22</v>
      </c>
      <c r="E733" t="s">
        <v>77</v>
      </c>
      <c r="F733" t="s">
        <v>29</v>
      </c>
      <c r="G733" t="s">
        <v>25</v>
      </c>
      <c r="H733" t="s">
        <v>26</v>
      </c>
      <c r="I733" t="s">
        <v>25</v>
      </c>
      <c r="J733">
        <v>27</v>
      </c>
      <c r="K733">
        <v>1</v>
      </c>
      <c r="L733">
        <v>0</v>
      </c>
      <c r="M733">
        <v>1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</row>
    <row r="734" spans="1:21" x14ac:dyDescent="0.25">
      <c r="A734">
        <v>2025</v>
      </c>
      <c r="B734">
        <v>4</v>
      </c>
      <c r="C734" t="s">
        <v>75</v>
      </c>
      <c r="D734" t="s">
        <v>22</v>
      </c>
      <c r="E734" t="s">
        <v>78</v>
      </c>
      <c r="F734" t="s">
        <v>28</v>
      </c>
      <c r="G734" t="s">
        <v>25</v>
      </c>
      <c r="H734" t="s">
        <v>26</v>
      </c>
      <c r="I734" t="s">
        <v>26</v>
      </c>
      <c r="J734">
        <v>141</v>
      </c>
      <c r="K734">
        <v>0</v>
      </c>
      <c r="L734">
        <v>2</v>
      </c>
      <c r="M734">
        <v>2</v>
      </c>
      <c r="N734">
        <v>50</v>
      </c>
      <c r="O734">
        <v>29</v>
      </c>
      <c r="P734">
        <v>29</v>
      </c>
      <c r="Q734">
        <v>21</v>
      </c>
      <c r="R734">
        <v>18</v>
      </c>
      <c r="S734">
        <v>11</v>
      </c>
      <c r="T734">
        <v>6</v>
      </c>
      <c r="U734">
        <v>140</v>
      </c>
    </row>
    <row r="735" spans="1:21" x14ac:dyDescent="0.25">
      <c r="A735">
        <v>2025</v>
      </c>
      <c r="B735">
        <v>4</v>
      </c>
      <c r="C735" t="s">
        <v>75</v>
      </c>
      <c r="D735" t="s">
        <v>22</v>
      </c>
      <c r="E735" t="s">
        <v>78</v>
      </c>
      <c r="F735" t="s">
        <v>29</v>
      </c>
      <c r="G735" t="s">
        <v>25</v>
      </c>
      <c r="H735" t="s">
        <v>26</v>
      </c>
      <c r="I735" t="s">
        <v>26</v>
      </c>
      <c r="J735">
        <v>107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</row>
    <row r="736" spans="1:21" x14ac:dyDescent="0.25">
      <c r="A736">
        <v>2025</v>
      </c>
      <c r="B736">
        <v>4</v>
      </c>
      <c r="C736" t="s">
        <v>75</v>
      </c>
      <c r="D736" t="s">
        <v>22</v>
      </c>
      <c r="E736" t="s">
        <v>70</v>
      </c>
      <c r="F736" t="s">
        <v>28</v>
      </c>
      <c r="G736" t="s">
        <v>26</v>
      </c>
      <c r="H736" t="s">
        <v>26</v>
      </c>
      <c r="I736" t="s">
        <v>25</v>
      </c>
      <c r="J736">
        <v>8</v>
      </c>
      <c r="K736">
        <v>0</v>
      </c>
      <c r="L736">
        <v>0</v>
      </c>
      <c r="M736">
        <v>0</v>
      </c>
      <c r="N736">
        <v>1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8</v>
      </c>
    </row>
    <row r="737" spans="1:21" x14ac:dyDescent="0.25">
      <c r="A737">
        <v>2025</v>
      </c>
      <c r="B737">
        <v>4</v>
      </c>
      <c r="C737" t="s">
        <v>75</v>
      </c>
      <c r="D737" t="s">
        <v>22</v>
      </c>
      <c r="E737" t="s">
        <v>70</v>
      </c>
      <c r="F737" t="s">
        <v>24</v>
      </c>
      <c r="G737" t="s">
        <v>26</v>
      </c>
      <c r="H737" t="s">
        <v>26</v>
      </c>
      <c r="I737" t="s">
        <v>25</v>
      </c>
      <c r="J737">
        <v>1027</v>
      </c>
      <c r="K737">
        <v>0</v>
      </c>
      <c r="L737">
        <v>1</v>
      </c>
      <c r="M737">
        <v>1</v>
      </c>
      <c r="N737">
        <v>143</v>
      </c>
      <c r="O737">
        <v>72</v>
      </c>
      <c r="P737">
        <v>72</v>
      </c>
      <c r="Q737">
        <v>50</v>
      </c>
      <c r="R737">
        <v>37</v>
      </c>
      <c r="S737">
        <v>19</v>
      </c>
      <c r="T737">
        <v>5</v>
      </c>
      <c r="U737">
        <v>1027</v>
      </c>
    </row>
    <row r="738" spans="1:21" x14ac:dyDescent="0.25">
      <c r="A738">
        <v>2025</v>
      </c>
      <c r="B738">
        <v>4</v>
      </c>
      <c r="C738" t="s">
        <v>75</v>
      </c>
      <c r="D738" t="s">
        <v>22</v>
      </c>
      <c r="E738" t="s">
        <v>70</v>
      </c>
      <c r="F738" t="s">
        <v>29</v>
      </c>
      <c r="G738" t="s">
        <v>26</v>
      </c>
      <c r="H738" t="s">
        <v>26</v>
      </c>
      <c r="I738" t="s">
        <v>25</v>
      </c>
      <c r="J738">
        <v>20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</row>
    <row r="739" spans="1:21" x14ac:dyDescent="0.25">
      <c r="A739">
        <v>2025</v>
      </c>
      <c r="B739">
        <v>4</v>
      </c>
      <c r="C739" t="s">
        <v>75</v>
      </c>
      <c r="D739" t="s">
        <v>22</v>
      </c>
      <c r="E739" t="s">
        <v>35</v>
      </c>
      <c r="F739" t="s">
        <v>24</v>
      </c>
      <c r="G739" t="s">
        <v>25</v>
      </c>
      <c r="H739" t="s">
        <v>26</v>
      </c>
      <c r="I739" t="s">
        <v>26</v>
      </c>
      <c r="J739">
        <v>10</v>
      </c>
      <c r="K739">
        <v>1</v>
      </c>
      <c r="L739">
        <v>0</v>
      </c>
      <c r="M739">
        <v>1</v>
      </c>
      <c r="N739">
        <v>4</v>
      </c>
      <c r="O739">
        <v>4</v>
      </c>
      <c r="P739">
        <v>4</v>
      </c>
      <c r="Q739">
        <v>4</v>
      </c>
      <c r="R739">
        <v>4</v>
      </c>
      <c r="S739">
        <v>4</v>
      </c>
      <c r="T739">
        <v>2</v>
      </c>
      <c r="U739">
        <v>9</v>
      </c>
    </row>
    <row r="740" spans="1:21" x14ac:dyDescent="0.25">
      <c r="A740">
        <v>2025</v>
      </c>
      <c r="B740">
        <v>4</v>
      </c>
      <c r="C740" t="s">
        <v>75</v>
      </c>
      <c r="D740" t="s">
        <v>22</v>
      </c>
      <c r="E740" t="s">
        <v>42</v>
      </c>
      <c r="F740" t="s">
        <v>24</v>
      </c>
      <c r="G740" t="s">
        <v>26</v>
      </c>
      <c r="H740" t="s">
        <v>26</v>
      </c>
      <c r="I740" t="s">
        <v>25</v>
      </c>
      <c r="J740">
        <v>31</v>
      </c>
      <c r="K740">
        <v>1</v>
      </c>
      <c r="L740">
        <v>0</v>
      </c>
      <c r="M740">
        <v>1</v>
      </c>
      <c r="N740">
        <v>16</v>
      </c>
      <c r="O740">
        <v>15</v>
      </c>
      <c r="P740">
        <v>14</v>
      </c>
      <c r="Q740">
        <v>9</v>
      </c>
      <c r="R740">
        <v>6</v>
      </c>
      <c r="S740">
        <v>3</v>
      </c>
      <c r="T740">
        <v>2</v>
      </c>
      <c r="U740">
        <v>30</v>
      </c>
    </row>
    <row r="741" spans="1:21" x14ac:dyDescent="0.25">
      <c r="A741">
        <v>2025</v>
      </c>
      <c r="B741">
        <v>4</v>
      </c>
      <c r="C741" t="s">
        <v>75</v>
      </c>
      <c r="D741" t="s">
        <v>22</v>
      </c>
      <c r="E741" t="s">
        <v>42</v>
      </c>
      <c r="F741" t="s">
        <v>29</v>
      </c>
      <c r="G741" t="s">
        <v>26</v>
      </c>
      <c r="H741" t="s">
        <v>26</v>
      </c>
      <c r="I741" t="s">
        <v>25</v>
      </c>
      <c r="J741">
        <v>1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</row>
    <row r="742" spans="1:21" x14ac:dyDescent="0.25">
      <c r="A742">
        <v>2025</v>
      </c>
      <c r="B742">
        <v>4</v>
      </c>
      <c r="C742" t="s">
        <v>75</v>
      </c>
      <c r="D742" t="s">
        <v>22</v>
      </c>
      <c r="E742" t="s">
        <v>27</v>
      </c>
      <c r="F742" t="s">
        <v>28</v>
      </c>
      <c r="G742" t="s">
        <v>26</v>
      </c>
      <c r="H742" t="s">
        <v>26</v>
      </c>
      <c r="I742" t="s">
        <v>25</v>
      </c>
      <c r="J742">
        <v>13974</v>
      </c>
      <c r="K742">
        <v>14</v>
      </c>
      <c r="L742">
        <v>96</v>
      </c>
      <c r="M742">
        <v>110</v>
      </c>
      <c r="N742">
        <v>3154</v>
      </c>
      <c r="O742">
        <v>1723</v>
      </c>
      <c r="P742">
        <v>1723</v>
      </c>
      <c r="Q742">
        <v>1092</v>
      </c>
      <c r="R742">
        <v>768</v>
      </c>
      <c r="S742">
        <v>342</v>
      </c>
      <c r="T742">
        <v>109</v>
      </c>
      <c r="U742">
        <v>13941</v>
      </c>
    </row>
    <row r="743" spans="1:21" x14ac:dyDescent="0.25">
      <c r="A743">
        <v>2025</v>
      </c>
      <c r="B743">
        <v>4</v>
      </c>
      <c r="C743" t="s">
        <v>75</v>
      </c>
      <c r="D743" t="s">
        <v>22</v>
      </c>
      <c r="E743" t="s">
        <v>27</v>
      </c>
      <c r="F743" t="s">
        <v>24</v>
      </c>
      <c r="G743" t="s">
        <v>26</v>
      </c>
      <c r="H743" t="s">
        <v>26</v>
      </c>
      <c r="I743" t="s">
        <v>25</v>
      </c>
      <c r="J743">
        <v>980</v>
      </c>
      <c r="K743">
        <v>15</v>
      </c>
      <c r="L743">
        <v>7</v>
      </c>
      <c r="M743">
        <v>22</v>
      </c>
      <c r="N743">
        <v>379</v>
      </c>
      <c r="O743">
        <v>226</v>
      </c>
      <c r="P743">
        <v>226</v>
      </c>
      <c r="Q743">
        <v>166</v>
      </c>
      <c r="R743">
        <v>123</v>
      </c>
      <c r="S743">
        <v>58</v>
      </c>
      <c r="T743">
        <v>18</v>
      </c>
      <c r="U743">
        <v>963</v>
      </c>
    </row>
    <row r="744" spans="1:21" x14ac:dyDescent="0.25">
      <c r="A744">
        <v>2025</v>
      </c>
      <c r="B744">
        <v>4</v>
      </c>
      <c r="C744" t="s">
        <v>75</v>
      </c>
      <c r="D744" t="s">
        <v>22</v>
      </c>
      <c r="E744" t="s">
        <v>27</v>
      </c>
      <c r="F744" t="s">
        <v>29</v>
      </c>
      <c r="G744" t="s">
        <v>26</v>
      </c>
      <c r="H744" t="s">
        <v>26</v>
      </c>
      <c r="I744" t="s">
        <v>25</v>
      </c>
      <c r="J744">
        <v>1090</v>
      </c>
      <c r="K744">
        <v>3</v>
      </c>
      <c r="L744">
        <v>0</v>
      </c>
      <c r="M744">
        <v>3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</row>
    <row r="745" spans="1:21" x14ac:dyDescent="0.25">
      <c r="A745">
        <v>2025</v>
      </c>
      <c r="B745">
        <v>4</v>
      </c>
      <c r="C745" t="s">
        <v>79</v>
      </c>
      <c r="D745" t="s">
        <v>22</v>
      </c>
      <c r="E745" t="s">
        <v>31</v>
      </c>
      <c r="F745" t="s">
        <v>24</v>
      </c>
      <c r="G745" t="s">
        <v>25</v>
      </c>
      <c r="H745" t="s">
        <v>25</v>
      </c>
      <c r="I745" t="s">
        <v>25</v>
      </c>
      <c r="J745">
        <v>536</v>
      </c>
      <c r="K745">
        <v>0</v>
      </c>
      <c r="L745">
        <v>0</v>
      </c>
      <c r="M745">
        <v>0</v>
      </c>
      <c r="N745">
        <v>5</v>
      </c>
      <c r="O745">
        <v>5</v>
      </c>
      <c r="P745">
        <v>5</v>
      </c>
      <c r="Q745">
        <v>3</v>
      </c>
      <c r="R745">
        <v>3</v>
      </c>
      <c r="S745">
        <v>0</v>
      </c>
      <c r="T745">
        <v>0</v>
      </c>
      <c r="U745">
        <v>536</v>
      </c>
    </row>
    <row r="746" spans="1:21" x14ac:dyDescent="0.25">
      <c r="A746">
        <v>2025</v>
      </c>
      <c r="B746">
        <v>4</v>
      </c>
      <c r="C746" t="s">
        <v>79</v>
      </c>
      <c r="D746" t="s">
        <v>22</v>
      </c>
      <c r="E746" t="s">
        <v>32</v>
      </c>
      <c r="F746" t="s">
        <v>24</v>
      </c>
      <c r="G746" t="s">
        <v>25</v>
      </c>
      <c r="H746" t="s">
        <v>25</v>
      </c>
      <c r="I746" t="s">
        <v>25</v>
      </c>
      <c r="J746">
        <v>29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29</v>
      </c>
    </row>
    <row r="747" spans="1:21" x14ac:dyDescent="0.25">
      <c r="A747">
        <v>2025</v>
      </c>
      <c r="B747">
        <v>4</v>
      </c>
      <c r="C747" t="s">
        <v>79</v>
      </c>
      <c r="D747" t="s">
        <v>22</v>
      </c>
      <c r="E747" t="s">
        <v>34</v>
      </c>
      <c r="F747" t="s">
        <v>24</v>
      </c>
      <c r="G747" t="s">
        <v>25</v>
      </c>
      <c r="H747" t="s">
        <v>26</v>
      </c>
      <c r="I747" t="s">
        <v>26</v>
      </c>
      <c r="J747">
        <v>59</v>
      </c>
      <c r="K747">
        <v>0</v>
      </c>
      <c r="L747">
        <v>0</v>
      </c>
      <c r="M747">
        <v>0</v>
      </c>
      <c r="N747">
        <v>15</v>
      </c>
      <c r="O747">
        <v>11</v>
      </c>
      <c r="P747">
        <v>9</v>
      </c>
      <c r="Q747">
        <v>7</v>
      </c>
      <c r="R747">
        <v>7</v>
      </c>
      <c r="S747">
        <v>5</v>
      </c>
      <c r="T747">
        <v>2</v>
      </c>
      <c r="U747">
        <v>59</v>
      </c>
    </row>
    <row r="748" spans="1:21" x14ac:dyDescent="0.25">
      <c r="A748">
        <v>2025</v>
      </c>
      <c r="B748">
        <v>4</v>
      </c>
      <c r="C748" t="s">
        <v>79</v>
      </c>
      <c r="D748" t="s">
        <v>22</v>
      </c>
      <c r="E748" t="s">
        <v>23</v>
      </c>
      <c r="F748" t="s">
        <v>28</v>
      </c>
      <c r="G748" t="s">
        <v>25</v>
      </c>
      <c r="H748" t="s">
        <v>25</v>
      </c>
      <c r="I748" t="s">
        <v>25</v>
      </c>
      <c r="J748">
        <v>1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1</v>
      </c>
    </row>
    <row r="749" spans="1:21" x14ac:dyDescent="0.25">
      <c r="A749">
        <v>2025</v>
      </c>
      <c r="B749">
        <v>4</v>
      </c>
      <c r="C749" t="s">
        <v>79</v>
      </c>
      <c r="D749" t="s">
        <v>22</v>
      </c>
      <c r="E749" t="s">
        <v>23</v>
      </c>
      <c r="F749" t="s">
        <v>24</v>
      </c>
      <c r="G749" t="s">
        <v>25</v>
      </c>
      <c r="H749" t="s">
        <v>25</v>
      </c>
      <c r="I749" t="s">
        <v>25</v>
      </c>
      <c r="J749">
        <v>47</v>
      </c>
      <c r="K749">
        <v>0</v>
      </c>
      <c r="L749">
        <v>0</v>
      </c>
      <c r="M749">
        <v>0</v>
      </c>
      <c r="N749">
        <v>4</v>
      </c>
      <c r="O749">
        <v>3</v>
      </c>
      <c r="P749">
        <v>3</v>
      </c>
      <c r="Q749">
        <v>3</v>
      </c>
      <c r="R749">
        <v>2</v>
      </c>
      <c r="S749">
        <v>1</v>
      </c>
      <c r="T749">
        <v>0</v>
      </c>
      <c r="U749">
        <v>47</v>
      </c>
    </row>
    <row r="750" spans="1:21" x14ac:dyDescent="0.25">
      <c r="A750">
        <v>2025</v>
      </c>
      <c r="B750">
        <v>4</v>
      </c>
      <c r="C750" t="s">
        <v>80</v>
      </c>
      <c r="D750" t="s">
        <v>22</v>
      </c>
      <c r="E750" t="s">
        <v>31</v>
      </c>
      <c r="F750" t="s">
        <v>24</v>
      </c>
      <c r="G750" t="s">
        <v>25</v>
      </c>
      <c r="H750" t="s">
        <v>25</v>
      </c>
      <c r="I750" t="s">
        <v>25</v>
      </c>
      <c r="J750">
        <v>112</v>
      </c>
      <c r="K750">
        <v>0</v>
      </c>
      <c r="L750">
        <v>0</v>
      </c>
      <c r="M750">
        <v>0</v>
      </c>
      <c r="N750">
        <v>24</v>
      </c>
      <c r="O750">
        <v>19</v>
      </c>
      <c r="P750">
        <v>13</v>
      </c>
      <c r="Q750">
        <v>8</v>
      </c>
      <c r="R750">
        <v>5</v>
      </c>
      <c r="S750">
        <v>0</v>
      </c>
      <c r="T750">
        <v>0</v>
      </c>
      <c r="U750">
        <v>112</v>
      </c>
    </row>
    <row r="751" spans="1:21" x14ac:dyDescent="0.25">
      <c r="A751">
        <v>2025</v>
      </c>
      <c r="B751">
        <v>4</v>
      </c>
      <c r="C751" t="s">
        <v>80</v>
      </c>
      <c r="D751" t="s">
        <v>22</v>
      </c>
      <c r="E751" t="s">
        <v>32</v>
      </c>
      <c r="F751" t="s">
        <v>28</v>
      </c>
      <c r="G751" t="s">
        <v>25</v>
      </c>
      <c r="H751" t="s">
        <v>25</v>
      </c>
      <c r="I751" t="s">
        <v>25</v>
      </c>
      <c r="J751">
        <v>63</v>
      </c>
      <c r="K751">
        <v>0</v>
      </c>
      <c r="L751">
        <v>0</v>
      </c>
      <c r="M751">
        <v>0</v>
      </c>
      <c r="N751">
        <v>31</v>
      </c>
      <c r="O751">
        <v>26</v>
      </c>
      <c r="P751">
        <v>22</v>
      </c>
      <c r="Q751">
        <v>13</v>
      </c>
      <c r="R751">
        <v>9</v>
      </c>
      <c r="S751">
        <v>0</v>
      </c>
      <c r="T751">
        <v>0</v>
      </c>
      <c r="U751">
        <v>63</v>
      </c>
    </row>
    <row r="752" spans="1:21" x14ac:dyDescent="0.25">
      <c r="A752">
        <v>2025</v>
      </c>
      <c r="B752">
        <v>4</v>
      </c>
      <c r="C752" t="s">
        <v>80</v>
      </c>
      <c r="D752" t="s">
        <v>22</v>
      </c>
      <c r="E752" t="s">
        <v>32</v>
      </c>
      <c r="F752" t="s">
        <v>24</v>
      </c>
      <c r="G752" t="s">
        <v>25</v>
      </c>
      <c r="H752" t="s">
        <v>25</v>
      </c>
      <c r="I752" t="s">
        <v>25</v>
      </c>
      <c r="J752">
        <v>1413</v>
      </c>
      <c r="K752">
        <v>0</v>
      </c>
      <c r="L752">
        <v>11</v>
      </c>
      <c r="M752">
        <v>11</v>
      </c>
      <c r="N752">
        <v>408</v>
      </c>
      <c r="O752">
        <v>304</v>
      </c>
      <c r="P752">
        <v>261</v>
      </c>
      <c r="Q752">
        <v>172</v>
      </c>
      <c r="R752">
        <v>114</v>
      </c>
      <c r="S752">
        <v>46</v>
      </c>
      <c r="T752">
        <v>12</v>
      </c>
      <c r="U752">
        <v>1404</v>
      </c>
    </row>
    <row r="753" spans="1:21" x14ac:dyDescent="0.25">
      <c r="A753">
        <v>2025</v>
      </c>
      <c r="B753">
        <v>4</v>
      </c>
      <c r="C753" t="s">
        <v>80</v>
      </c>
      <c r="D753" t="s">
        <v>22</v>
      </c>
      <c r="E753" t="s">
        <v>32</v>
      </c>
      <c r="F753" t="s">
        <v>29</v>
      </c>
      <c r="G753" t="s">
        <v>25</v>
      </c>
      <c r="H753" t="s">
        <v>25</v>
      </c>
      <c r="I753" t="s">
        <v>25</v>
      </c>
      <c r="J753">
        <v>1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</row>
    <row r="754" spans="1:21" x14ac:dyDescent="0.25">
      <c r="A754">
        <v>2025</v>
      </c>
      <c r="B754">
        <v>4</v>
      </c>
      <c r="C754" t="s">
        <v>80</v>
      </c>
      <c r="D754" t="s">
        <v>22</v>
      </c>
      <c r="E754" t="s">
        <v>34</v>
      </c>
      <c r="F754" t="s">
        <v>28</v>
      </c>
      <c r="G754" t="s">
        <v>25</v>
      </c>
      <c r="H754" t="s">
        <v>26</v>
      </c>
      <c r="I754" t="s">
        <v>26</v>
      </c>
      <c r="J754">
        <v>2</v>
      </c>
      <c r="K754">
        <v>0</v>
      </c>
      <c r="L754">
        <v>0</v>
      </c>
      <c r="M754">
        <v>0</v>
      </c>
      <c r="N754">
        <v>1</v>
      </c>
      <c r="O754">
        <v>1</v>
      </c>
      <c r="P754">
        <v>1</v>
      </c>
      <c r="Q754">
        <v>1</v>
      </c>
      <c r="R754">
        <v>1</v>
      </c>
      <c r="S754">
        <v>1</v>
      </c>
      <c r="T754">
        <v>0</v>
      </c>
      <c r="U754">
        <v>2</v>
      </c>
    </row>
    <row r="755" spans="1:21" x14ac:dyDescent="0.25">
      <c r="A755">
        <v>2025</v>
      </c>
      <c r="B755">
        <v>4</v>
      </c>
      <c r="C755" t="s">
        <v>80</v>
      </c>
      <c r="D755" t="s">
        <v>22</v>
      </c>
      <c r="E755" t="s">
        <v>34</v>
      </c>
      <c r="F755" t="s">
        <v>24</v>
      </c>
      <c r="G755" t="s">
        <v>25</v>
      </c>
      <c r="H755" t="s">
        <v>26</v>
      </c>
      <c r="I755" t="s">
        <v>26</v>
      </c>
      <c r="J755">
        <v>27</v>
      </c>
      <c r="K755">
        <v>0</v>
      </c>
      <c r="L755">
        <v>22</v>
      </c>
      <c r="M755">
        <v>22</v>
      </c>
      <c r="N755">
        <v>1</v>
      </c>
      <c r="O755">
        <v>1</v>
      </c>
      <c r="P755">
        <v>1</v>
      </c>
      <c r="Q755">
        <v>1</v>
      </c>
      <c r="R755">
        <v>1</v>
      </c>
      <c r="S755">
        <v>1</v>
      </c>
      <c r="T755">
        <v>1</v>
      </c>
      <c r="U755">
        <v>27</v>
      </c>
    </row>
    <row r="756" spans="1:21" x14ac:dyDescent="0.25">
      <c r="A756">
        <v>2025</v>
      </c>
      <c r="B756">
        <v>4</v>
      </c>
      <c r="C756" t="s">
        <v>80</v>
      </c>
      <c r="D756" t="s">
        <v>22</v>
      </c>
      <c r="E756" t="s">
        <v>76</v>
      </c>
      <c r="F756" t="s">
        <v>28</v>
      </c>
      <c r="G756" t="s">
        <v>25</v>
      </c>
      <c r="H756" t="s">
        <v>26</v>
      </c>
      <c r="I756" t="s">
        <v>25</v>
      </c>
      <c r="J756">
        <v>26</v>
      </c>
      <c r="K756">
        <v>0</v>
      </c>
      <c r="L756">
        <v>2</v>
      </c>
      <c r="M756">
        <v>2</v>
      </c>
      <c r="N756">
        <v>19</v>
      </c>
      <c r="O756">
        <v>13</v>
      </c>
      <c r="P756">
        <v>13</v>
      </c>
      <c r="Q756">
        <v>11</v>
      </c>
      <c r="R756">
        <v>9</v>
      </c>
      <c r="S756">
        <v>5</v>
      </c>
      <c r="T756">
        <v>2</v>
      </c>
      <c r="U756">
        <v>24</v>
      </c>
    </row>
    <row r="757" spans="1:21" x14ac:dyDescent="0.25">
      <c r="A757">
        <v>2025</v>
      </c>
      <c r="B757">
        <v>4</v>
      </c>
      <c r="C757" t="s">
        <v>80</v>
      </c>
      <c r="D757" t="s">
        <v>22</v>
      </c>
      <c r="E757" t="s">
        <v>81</v>
      </c>
      <c r="F757" t="s">
        <v>28</v>
      </c>
      <c r="G757" t="s">
        <v>25</v>
      </c>
      <c r="H757" t="s">
        <v>26</v>
      </c>
      <c r="I757" t="s">
        <v>25</v>
      </c>
      <c r="J757">
        <v>476</v>
      </c>
      <c r="K757">
        <v>0</v>
      </c>
      <c r="L757">
        <v>0</v>
      </c>
      <c r="M757">
        <v>0</v>
      </c>
      <c r="N757">
        <v>272</v>
      </c>
      <c r="O757">
        <v>222</v>
      </c>
      <c r="P757">
        <v>199</v>
      </c>
      <c r="Q757">
        <v>135</v>
      </c>
      <c r="R757">
        <v>97</v>
      </c>
      <c r="S757">
        <v>44</v>
      </c>
      <c r="T757">
        <v>13</v>
      </c>
      <c r="U757">
        <v>476</v>
      </c>
    </row>
    <row r="758" spans="1:21" x14ac:dyDescent="0.25">
      <c r="A758">
        <v>2025</v>
      </c>
      <c r="B758">
        <v>4</v>
      </c>
      <c r="C758" t="s">
        <v>80</v>
      </c>
      <c r="D758" t="s">
        <v>22</v>
      </c>
      <c r="E758" t="s">
        <v>82</v>
      </c>
      <c r="F758" t="s">
        <v>28</v>
      </c>
      <c r="G758" t="s">
        <v>25</v>
      </c>
      <c r="H758" t="s">
        <v>26</v>
      </c>
      <c r="I758" t="s">
        <v>25</v>
      </c>
      <c r="J758">
        <v>283</v>
      </c>
      <c r="K758">
        <v>0</v>
      </c>
      <c r="L758">
        <v>2</v>
      </c>
      <c r="M758">
        <v>2</v>
      </c>
      <c r="N758">
        <v>177</v>
      </c>
      <c r="O758">
        <v>153</v>
      </c>
      <c r="P758">
        <v>147</v>
      </c>
      <c r="Q758">
        <v>113</v>
      </c>
      <c r="R758">
        <v>75</v>
      </c>
      <c r="S758">
        <v>35</v>
      </c>
      <c r="T758">
        <v>13</v>
      </c>
      <c r="U758">
        <v>283</v>
      </c>
    </row>
    <row r="759" spans="1:21" x14ac:dyDescent="0.25">
      <c r="A759">
        <v>2025</v>
      </c>
      <c r="B759">
        <v>4</v>
      </c>
      <c r="C759" t="s">
        <v>80</v>
      </c>
      <c r="D759" t="s">
        <v>22</v>
      </c>
      <c r="E759" t="s">
        <v>83</v>
      </c>
      <c r="F759" t="s">
        <v>28</v>
      </c>
      <c r="G759" t="s">
        <v>26</v>
      </c>
      <c r="H759" t="s">
        <v>26</v>
      </c>
      <c r="I759" t="s">
        <v>25</v>
      </c>
      <c r="J759">
        <v>6594</v>
      </c>
      <c r="K759">
        <v>0</v>
      </c>
      <c r="L759">
        <v>12</v>
      </c>
      <c r="M759">
        <v>12</v>
      </c>
      <c r="N759">
        <v>2719</v>
      </c>
      <c r="O759">
        <v>2067</v>
      </c>
      <c r="P759">
        <v>1863</v>
      </c>
      <c r="Q759">
        <v>1289</v>
      </c>
      <c r="R759">
        <v>939</v>
      </c>
      <c r="S759">
        <v>472</v>
      </c>
      <c r="T759">
        <v>157</v>
      </c>
      <c r="U759">
        <v>6588</v>
      </c>
    </row>
    <row r="760" spans="1:21" x14ac:dyDescent="0.25">
      <c r="A760">
        <v>2025</v>
      </c>
      <c r="B760">
        <v>4</v>
      </c>
      <c r="C760" t="s">
        <v>80</v>
      </c>
      <c r="D760" t="s">
        <v>22</v>
      </c>
      <c r="E760" t="s">
        <v>23</v>
      </c>
      <c r="F760" t="s">
        <v>28</v>
      </c>
      <c r="G760" t="s">
        <v>25</v>
      </c>
      <c r="H760" t="s">
        <v>26</v>
      </c>
      <c r="I760" t="s">
        <v>25</v>
      </c>
      <c r="J760">
        <v>2818</v>
      </c>
      <c r="K760">
        <v>0</v>
      </c>
      <c r="L760">
        <v>16</v>
      </c>
      <c r="M760">
        <v>16</v>
      </c>
      <c r="N760">
        <v>1005</v>
      </c>
      <c r="O760">
        <v>784</v>
      </c>
      <c r="P760">
        <v>700</v>
      </c>
      <c r="Q760">
        <v>492</v>
      </c>
      <c r="R760">
        <v>333</v>
      </c>
      <c r="S760">
        <v>154</v>
      </c>
      <c r="T760">
        <v>65</v>
      </c>
      <c r="U760">
        <v>2809</v>
      </c>
    </row>
    <row r="761" spans="1:21" x14ac:dyDescent="0.25">
      <c r="A761">
        <v>2025</v>
      </c>
      <c r="B761">
        <v>4</v>
      </c>
      <c r="C761" t="s">
        <v>80</v>
      </c>
      <c r="D761" t="s">
        <v>22</v>
      </c>
      <c r="E761" t="s">
        <v>23</v>
      </c>
      <c r="F761" t="s">
        <v>24</v>
      </c>
      <c r="G761" t="s">
        <v>25</v>
      </c>
      <c r="H761" t="s">
        <v>26</v>
      </c>
      <c r="I761" t="s">
        <v>25</v>
      </c>
      <c r="J761">
        <v>1</v>
      </c>
      <c r="K761">
        <v>0</v>
      </c>
      <c r="L761">
        <v>0</v>
      </c>
      <c r="M761">
        <v>0</v>
      </c>
      <c r="N761">
        <v>1</v>
      </c>
      <c r="O761">
        <v>1</v>
      </c>
      <c r="P761">
        <v>1</v>
      </c>
      <c r="Q761">
        <v>1</v>
      </c>
      <c r="R761">
        <v>1</v>
      </c>
      <c r="S761">
        <v>1</v>
      </c>
      <c r="T761">
        <v>1</v>
      </c>
      <c r="U761">
        <v>1</v>
      </c>
    </row>
    <row r="762" spans="1:21" x14ac:dyDescent="0.25">
      <c r="A762">
        <v>2025</v>
      </c>
      <c r="B762">
        <v>4</v>
      </c>
      <c r="C762" t="s">
        <v>80</v>
      </c>
      <c r="D762" t="s">
        <v>22</v>
      </c>
      <c r="E762" t="s">
        <v>84</v>
      </c>
      <c r="F762" t="s">
        <v>28</v>
      </c>
      <c r="G762" t="s">
        <v>25</v>
      </c>
      <c r="H762" t="s">
        <v>26</v>
      </c>
      <c r="I762" t="s">
        <v>26</v>
      </c>
      <c r="J762">
        <v>529</v>
      </c>
      <c r="K762">
        <v>0</v>
      </c>
      <c r="L762">
        <v>0</v>
      </c>
      <c r="M762">
        <v>0</v>
      </c>
      <c r="N762">
        <v>151</v>
      </c>
      <c r="O762">
        <v>121</v>
      </c>
      <c r="P762">
        <v>113</v>
      </c>
      <c r="Q762">
        <v>90</v>
      </c>
      <c r="R762">
        <v>70</v>
      </c>
      <c r="S762">
        <v>43</v>
      </c>
      <c r="T762">
        <v>21</v>
      </c>
      <c r="U762">
        <v>529</v>
      </c>
    </row>
    <row r="763" spans="1:21" x14ac:dyDescent="0.25">
      <c r="A763">
        <v>2025</v>
      </c>
      <c r="B763">
        <v>4</v>
      </c>
      <c r="C763" t="s">
        <v>80</v>
      </c>
      <c r="D763" t="s">
        <v>22</v>
      </c>
      <c r="E763" t="s">
        <v>40</v>
      </c>
      <c r="F763" t="s">
        <v>28</v>
      </c>
      <c r="G763" t="s">
        <v>25</v>
      </c>
      <c r="H763" t="s">
        <v>26</v>
      </c>
      <c r="I763" t="s">
        <v>25</v>
      </c>
      <c r="J763">
        <v>3</v>
      </c>
      <c r="K763">
        <v>0</v>
      </c>
      <c r="L763">
        <v>1</v>
      </c>
      <c r="M763">
        <v>1</v>
      </c>
      <c r="N763">
        <v>2</v>
      </c>
      <c r="O763">
        <v>2</v>
      </c>
      <c r="P763">
        <v>2</v>
      </c>
      <c r="Q763">
        <v>2</v>
      </c>
      <c r="R763">
        <v>1</v>
      </c>
      <c r="S763">
        <v>1</v>
      </c>
      <c r="T763">
        <v>1</v>
      </c>
      <c r="U763">
        <v>2</v>
      </c>
    </row>
    <row r="764" spans="1:21" x14ac:dyDescent="0.25">
      <c r="A764">
        <v>2025</v>
      </c>
      <c r="B764">
        <v>4</v>
      </c>
      <c r="C764" t="s">
        <v>80</v>
      </c>
      <c r="D764" t="s">
        <v>22</v>
      </c>
      <c r="E764" t="s">
        <v>40</v>
      </c>
      <c r="F764" t="s">
        <v>24</v>
      </c>
      <c r="G764" t="s">
        <v>25</v>
      </c>
      <c r="H764" t="s">
        <v>26</v>
      </c>
      <c r="I764" t="s">
        <v>25</v>
      </c>
      <c r="J764">
        <v>39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39</v>
      </c>
    </row>
    <row r="765" spans="1:21" x14ac:dyDescent="0.25">
      <c r="A765">
        <v>2025</v>
      </c>
      <c r="B765">
        <v>4</v>
      </c>
      <c r="C765" t="s">
        <v>80</v>
      </c>
      <c r="D765" t="s">
        <v>22</v>
      </c>
      <c r="E765" t="s">
        <v>85</v>
      </c>
      <c r="F765" t="s">
        <v>28</v>
      </c>
      <c r="G765" t="s">
        <v>25</v>
      </c>
      <c r="H765" t="s">
        <v>25</v>
      </c>
      <c r="I765" t="s">
        <v>25</v>
      </c>
      <c r="J765">
        <v>6256</v>
      </c>
      <c r="K765">
        <v>0</v>
      </c>
      <c r="L765">
        <v>110</v>
      </c>
      <c r="M765">
        <v>110</v>
      </c>
      <c r="N765">
        <v>357</v>
      </c>
      <c r="O765">
        <v>159</v>
      </c>
      <c r="P765">
        <v>125</v>
      </c>
      <c r="Q765">
        <v>64</v>
      </c>
      <c r="R765">
        <v>36</v>
      </c>
      <c r="S765">
        <v>13</v>
      </c>
      <c r="T765">
        <v>3</v>
      </c>
      <c r="U765">
        <v>6183</v>
      </c>
    </row>
    <row r="766" spans="1:21" x14ac:dyDescent="0.25">
      <c r="A766">
        <v>2025</v>
      </c>
      <c r="B766">
        <v>4</v>
      </c>
      <c r="C766" t="s">
        <v>80</v>
      </c>
      <c r="D766" t="s">
        <v>22</v>
      </c>
      <c r="E766" t="s">
        <v>86</v>
      </c>
      <c r="F766" t="s">
        <v>28</v>
      </c>
      <c r="G766" t="s">
        <v>25</v>
      </c>
      <c r="H766" t="s">
        <v>25</v>
      </c>
      <c r="I766" t="s">
        <v>25</v>
      </c>
      <c r="J766">
        <v>12</v>
      </c>
      <c r="K766">
        <v>0</v>
      </c>
      <c r="L766">
        <v>4</v>
      </c>
      <c r="M766">
        <v>4</v>
      </c>
      <c r="N766">
        <v>5</v>
      </c>
      <c r="O766">
        <v>5</v>
      </c>
      <c r="P766">
        <v>5</v>
      </c>
      <c r="Q766">
        <v>4</v>
      </c>
      <c r="R766">
        <v>3</v>
      </c>
      <c r="S766">
        <v>3</v>
      </c>
      <c r="T766">
        <v>2</v>
      </c>
      <c r="U766">
        <v>8</v>
      </c>
    </row>
    <row r="767" spans="1:21" x14ac:dyDescent="0.25">
      <c r="A767">
        <v>2025</v>
      </c>
      <c r="B767">
        <v>4</v>
      </c>
      <c r="C767" t="s">
        <v>80</v>
      </c>
      <c r="D767" t="s">
        <v>22</v>
      </c>
      <c r="E767" t="s">
        <v>86</v>
      </c>
      <c r="F767" t="s">
        <v>29</v>
      </c>
      <c r="G767" t="s">
        <v>25</v>
      </c>
      <c r="H767" t="s">
        <v>25</v>
      </c>
      <c r="I767" t="s">
        <v>25</v>
      </c>
      <c r="J767">
        <v>2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</row>
    <row r="768" spans="1:21" x14ac:dyDescent="0.25">
      <c r="A768">
        <v>2025</v>
      </c>
      <c r="B768">
        <v>4</v>
      </c>
      <c r="C768" t="s">
        <v>80</v>
      </c>
      <c r="D768" t="s">
        <v>22</v>
      </c>
      <c r="E768" t="s">
        <v>35</v>
      </c>
      <c r="F768" t="s">
        <v>28</v>
      </c>
      <c r="G768" t="s">
        <v>25</v>
      </c>
      <c r="H768" t="s">
        <v>26</v>
      </c>
      <c r="I768" t="s">
        <v>26</v>
      </c>
      <c r="J768">
        <v>13</v>
      </c>
      <c r="K768">
        <v>0</v>
      </c>
      <c r="L768">
        <v>0</v>
      </c>
      <c r="M768">
        <v>0</v>
      </c>
      <c r="N768">
        <v>7</v>
      </c>
      <c r="O768">
        <v>7</v>
      </c>
      <c r="P768">
        <v>7</v>
      </c>
      <c r="Q768">
        <v>5</v>
      </c>
      <c r="R768">
        <v>4</v>
      </c>
      <c r="S768">
        <v>2</v>
      </c>
      <c r="T768">
        <v>2</v>
      </c>
      <c r="U768">
        <v>13</v>
      </c>
    </row>
    <row r="769" spans="1:21" x14ac:dyDescent="0.25">
      <c r="A769">
        <v>2025</v>
      </c>
      <c r="B769">
        <v>4</v>
      </c>
      <c r="C769" t="s">
        <v>80</v>
      </c>
      <c r="D769" t="s">
        <v>22</v>
      </c>
      <c r="E769" t="s">
        <v>35</v>
      </c>
      <c r="F769" t="s">
        <v>24</v>
      </c>
      <c r="G769" t="s">
        <v>25</v>
      </c>
      <c r="H769" t="s">
        <v>26</v>
      </c>
      <c r="I769" t="s">
        <v>26</v>
      </c>
      <c r="J769">
        <v>185</v>
      </c>
      <c r="K769">
        <v>0</v>
      </c>
      <c r="L769">
        <v>6</v>
      </c>
      <c r="M769">
        <v>6</v>
      </c>
      <c r="N769">
        <v>43</v>
      </c>
      <c r="O769">
        <v>39</v>
      </c>
      <c r="P769">
        <v>35</v>
      </c>
      <c r="Q769">
        <v>27</v>
      </c>
      <c r="R769">
        <v>22</v>
      </c>
      <c r="S769">
        <v>7</v>
      </c>
      <c r="T769">
        <v>3</v>
      </c>
      <c r="U769">
        <v>183</v>
      </c>
    </row>
    <row r="770" spans="1:21" x14ac:dyDescent="0.25">
      <c r="A770">
        <v>2025</v>
      </c>
      <c r="B770">
        <v>4</v>
      </c>
      <c r="C770" t="s">
        <v>80</v>
      </c>
      <c r="D770" t="s">
        <v>22</v>
      </c>
      <c r="E770" t="s">
        <v>87</v>
      </c>
      <c r="F770" t="s">
        <v>28</v>
      </c>
      <c r="G770" t="s">
        <v>25</v>
      </c>
      <c r="H770" t="s">
        <v>25</v>
      </c>
      <c r="I770" t="s">
        <v>25</v>
      </c>
      <c r="J770">
        <v>216285</v>
      </c>
      <c r="K770">
        <v>43</v>
      </c>
      <c r="L770">
        <v>4007</v>
      </c>
      <c r="M770">
        <v>4050</v>
      </c>
      <c r="N770">
        <v>39741</v>
      </c>
      <c r="O770">
        <v>21597</v>
      </c>
      <c r="P770">
        <v>16877</v>
      </c>
      <c r="Q770">
        <v>8459</v>
      </c>
      <c r="R770">
        <v>4817</v>
      </c>
      <c r="S770">
        <v>1523</v>
      </c>
      <c r="T770">
        <v>280</v>
      </c>
      <c r="U770">
        <v>213216</v>
      </c>
    </row>
    <row r="771" spans="1:21" x14ac:dyDescent="0.25">
      <c r="A771">
        <v>2025</v>
      </c>
      <c r="B771">
        <v>4</v>
      </c>
      <c r="C771" t="s">
        <v>80</v>
      </c>
      <c r="D771" t="s">
        <v>22</v>
      </c>
      <c r="E771" t="s">
        <v>87</v>
      </c>
      <c r="F771" t="s">
        <v>24</v>
      </c>
      <c r="G771" t="s">
        <v>25</v>
      </c>
      <c r="H771" t="s">
        <v>25</v>
      </c>
      <c r="I771" t="s">
        <v>25</v>
      </c>
      <c r="J771">
        <v>5196</v>
      </c>
      <c r="K771">
        <v>83</v>
      </c>
      <c r="L771">
        <v>32</v>
      </c>
      <c r="M771">
        <v>115</v>
      </c>
      <c r="N771">
        <v>820</v>
      </c>
      <c r="O771">
        <v>454</v>
      </c>
      <c r="P771">
        <v>351</v>
      </c>
      <c r="Q771">
        <v>151</v>
      </c>
      <c r="R771">
        <v>86</v>
      </c>
      <c r="S771">
        <v>23</v>
      </c>
      <c r="T771">
        <v>1</v>
      </c>
      <c r="U771">
        <v>5086</v>
      </c>
    </row>
    <row r="772" spans="1:21" x14ac:dyDescent="0.25">
      <c r="A772">
        <v>2025</v>
      </c>
      <c r="B772">
        <v>4</v>
      </c>
      <c r="C772" t="s">
        <v>80</v>
      </c>
      <c r="D772" t="s">
        <v>22</v>
      </c>
      <c r="E772" t="s">
        <v>87</v>
      </c>
      <c r="F772" t="s">
        <v>29</v>
      </c>
      <c r="G772" t="s">
        <v>25</v>
      </c>
      <c r="H772" t="s">
        <v>25</v>
      </c>
      <c r="I772" t="s">
        <v>25</v>
      </c>
      <c r="J772">
        <v>1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</row>
    <row r="773" spans="1:21" x14ac:dyDescent="0.25">
      <c r="A773">
        <v>2025</v>
      </c>
      <c r="B773">
        <v>4</v>
      </c>
      <c r="C773" t="s">
        <v>80</v>
      </c>
      <c r="D773" t="s">
        <v>22</v>
      </c>
      <c r="E773" t="s">
        <v>36</v>
      </c>
      <c r="F773" t="s">
        <v>28</v>
      </c>
      <c r="G773" t="s">
        <v>25</v>
      </c>
      <c r="H773" t="s">
        <v>26</v>
      </c>
      <c r="I773" t="s">
        <v>25</v>
      </c>
      <c r="J773">
        <v>1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1</v>
      </c>
    </row>
    <row r="774" spans="1:21" x14ac:dyDescent="0.25">
      <c r="A774">
        <v>2025</v>
      </c>
      <c r="B774">
        <v>4</v>
      </c>
      <c r="C774" t="s">
        <v>80</v>
      </c>
      <c r="D774" t="s">
        <v>22</v>
      </c>
      <c r="E774" t="s">
        <v>36</v>
      </c>
      <c r="F774" t="s">
        <v>24</v>
      </c>
      <c r="G774" t="s">
        <v>25</v>
      </c>
      <c r="H774" t="s">
        <v>26</v>
      </c>
      <c r="I774" t="s">
        <v>25</v>
      </c>
      <c r="J774">
        <v>134</v>
      </c>
      <c r="K774">
        <v>0</v>
      </c>
      <c r="L774">
        <v>0</v>
      </c>
      <c r="M774">
        <v>0</v>
      </c>
      <c r="N774">
        <v>15</v>
      </c>
      <c r="O774">
        <v>13</v>
      </c>
      <c r="P774">
        <v>13</v>
      </c>
      <c r="Q774">
        <v>12</v>
      </c>
      <c r="R774">
        <v>9</v>
      </c>
      <c r="S774">
        <v>5</v>
      </c>
      <c r="T774">
        <v>1</v>
      </c>
      <c r="U774">
        <v>134</v>
      </c>
    </row>
    <row r="775" spans="1:21" x14ac:dyDescent="0.25">
      <c r="A775">
        <v>2025</v>
      </c>
      <c r="B775">
        <v>4</v>
      </c>
      <c r="C775" t="s">
        <v>80</v>
      </c>
      <c r="D775" t="s">
        <v>22</v>
      </c>
      <c r="E775" t="s">
        <v>41</v>
      </c>
      <c r="F775" t="s">
        <v>24</v>
      </c>
      <c r="G775" t="s">
        <v>26</v>
      </c>
      <c r="H775" t="s">
        <v>26</v>
      </c>
      <c r="I775" t="s">
        <v>25</v>
      </c>
      <c r="J775">
        <v>4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4</v>
      </c>
    </row>
    <row r="776" spans="1:21" x14ac:dyDescent="0.25">
      <c r="A776">
        <v>2025</v>
      </c>
      <c r="B776">
        <v>4</v>
      </c>
      <c r="C776" t="s">
        <v>88</v>
      </c>
      <c r="D776" t="s">
        <v>45</v>
      </c>
      <c r="E776" t="s">
        <v>83</v>
      </c>
      <c r="F776" t="s">
        <v>24</v>
      </c>
      <c r="G776" t="s">
        <v>26</v>
      </c>
      <c r="H776" t="s">
        <v>26</v>
      </c>
      <c r="I776" t="s">
        <v>25</v>
      </c>
      <c r="J776">
        <v>83</v>
      </c>
      <c r="K776">
        <v>0</v>
      </c>
      <c r="L776">
        <v>5</v>
      </c>
      <c r="M776">
        <v>5</v>
      </c>
      <c r="N776">
        <v>55</v>
      </c>
      <c r="O776">
        <v>50</v>
      </c>
      <c r="P776">
        <v>47</v>
      </c>
      <c r="Q776">
        <v>34</v>
      </c>
      <c r="R776">
        <v>19</v>
      </c>
      <c r="S776">
        <v>8</v>
      </c>
      <c r="T776">
        <v>4</v>
      </c>
      <c r="U776">
        <v>78</v>
      </c>
    </row>
    <row r="777" spans="1:21" x14ac:dyDescent="0.25">
      <c r="A777">
        <v>2025</v>
      </c>
      <c r="B777">
        <v>4</v>
      </c>
      <c r="C777" t="s">
        <v>89</v>
      </c>
      <c r="D777" t="s">
        <v>22</v>
      </c>
      <c r="E777" t="s">
        <v>91</v>
      </c>
      <c r="F777" t="s">
        <v>28</v>
      </c>
      <c r="G777" t="s">
        <v>25</v>
      </c>
      <c r="H777" t="s">
        <v>25</v>
      </c>
      <c r="I777" t="s">
        <v>25</v>
      </c>
      <c r="J777">
        <v>3251</v>
      </c>
      <c r="K777">
        <v>0</v>
      </c>
      <c r="L777">
        <v>0</v>
      </c>
      <c r="M777">
        <v>0</v>
      </c>
      <c r="N777">
        <v>6</v>
      </c>
      <c r="O777">
        <v>5</v>
      </c>
      <c r="P777">
        <v>3</v>
      </c>
      <c r="Q777">
        <v>3</v>
      </c>
      <c r="R777">
        <v>2</v>
      </c>
      <c r="S777">
        <v>1</v>
      </c>
      <c r="T777">
        <v>0</v>
      </c>
      <c r="U777">
        <v>3251</v>
      </c>
    </row>
    <row r="778" spans="1:21" x14ac:dyDescent="0.25">
      <c r="A778">
        <v>2025</v>
      </c>
      <c r="B778">
        <v>4</v>
      </c>
      <c r="C778" t="s">
        <v>89</v>
      </c>
      <c r="D778" t="s">
        <v>22</v>
      </c>
      <c r="E778" t="s">
        <v>91</v>
      </c>
      <c r="F778" t="s">
        <v>24</v>
      </c>
      <c r="G778" t="s">
        <v>25</v>
      </c>
      <c r="H778" t="s">
        <v>25</v>
      </c>
      <c r="I778" t="s">
        <v>25</v>
      </c>
      <c r="J778">
        <v>1415</v>
      </c>
      <c r="K778">
        <v>0</v>
      </c>
      <c r="L778">
        <v>0</v>
      </c>
      <c r="M778">
        <v>0</v>
      </c>
      <c r="N778">
        <v>22</v>
      </c>
      <c r="O778">
        <v>20</v>
      </c>
      <c r="P778">
        <v>18</v>
      </c>
      <c r="Q778">
        <v>15</v>
      </c>
      <c r="R778">
        <v>12</v>
      </c>
      <c r="S778">
        <v>8</v>
      </c>
      <c r="T778">
        <v>4</v>
      </c>
      <c r="U778">
        <v>1415</v>
      </c>
    </row>
    <row r="779" spans="1:21" x14ac:dyDescent="0.25">
      <c r="A779">
        <v>2025</v>
      </c>
      <c r="B779">
        <v>4</v>
      </c>
      <c r="C779" t="s">
        <v>89</v>
      </c>
      <c r="D779" t="s">
        <v>22</v>
      </c>
      <c r="E779" t="s">
        <v>91</v>
      </c>
      <c r="F779" t="s">
        <v>29</v>
      </c>
      <c r="G779" t="s">
        <v>25</v>
      </c>
      <c r="H779" t="s">
        <v>25</v>
      </c>
      <c r="I779" t="s">
        <v>25</v>
      </c>
      <c r="J779">
        <v>4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</row>
    <row r="780" spans="1:21" x14ac:dyDescent="0.25">
      <c r="A780">
        <v>2025</v>
      </c>
      <c r="B780">
        <v>4</v>
      </c>
      <c r="C780" t="s">
        <v>89</v>
      </c>
      <c r="D780" t="s">
        <v>22</v>
      </c>
      <c r="E780" t="s">
        <v>92</v>
      </c>
      <c r="F780" t="s">
        <v>28</v>
      </c>
      <c r="G780" t="s">
        <v>25</v>
      </c>
      <c r="H780" t="s">
        <v>25</v>
      </c>
      <c r="I780" t="s">
        <v>25</v>
      </c>
      <c r="J780">
        <v>2011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2011</v>
      </c>
    </row>
    <row r="781" spans="1:21" x14ac:dyDescent="0.25">
      <c r="A781">
        <v>2025</v>
      </c>
      <c r="B781">
        <v>4</v>
      </c>
      <c r="C781" t="s">
        <v>89</v>
      </c>
      <c r="D781" t="s">
        <v>22</v>
      </c>
      <c r="E781" t="s">
        <v>92</v>
      </c>
      <c r="F781" t="s">
        <v>29</v>
      </c>
      <c r="G781" t="s">
        <v>25</v>
      </c>
      <c r="H781" t="s">
        <v>25</v>
      </c>
      <c r="I781" t="s">
        <v>25</v>
      </c>
      <c r="J781">
        <v>1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</row>
    <row r="782" spans="1:21" x14ac:dyDescent="0.25">
      <c r="A782">
        <v>2025</v>
      </c>
      <c r="B782">
        <v>4</v>
      </c>
      <c r="C782" t="s">
        <v>89</v>
      </c>
      <c r="D782" t="s">
        <v>22</v>
      </c>
      <c r="E782" t="s">
        <v>31</v>
      </c>
      <c r="F782" t="s">
        <v>28</v>
      </c>
      <c r="G782" t="s">
        <v>25</v>
      </c>
      <c r="H782" t="s">
        <v>25</v>
      </c>
      <c r="I782" t="s">
        <v>25</v>
      </c>
      <c r="J782">
        <v>1</v>
      </c>
      <c r="K782">
        <v>0</v>
      </c>
      <c r="L782">
        <v>0</v>
      </c>
      <c r="M782">
        <v>0</v>
      </c>
      <c r="N782">
        <v>1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1</v>
      </c>
    </row>
    <row r="783" spans="1:21" x14ac:dyDescent="0.25">
      <c r="A783">
        <v>2025</v>
      </c>
      <c r="B783">
        <v>4</v>
      </c>
      <c r="C783" t="s">
        <v>89</v>
      </c>
      <c r="D783" t="s">
        <v>22</v>
      </c>
      <c r="E783" t="s">
        <v>31</v>
      </c>
      <c r="F783" t="s">
        <v>24</v>
      </c>
      <c r="G783" t="s">
        <v>25</v>
      </c>
      <c r="H783" t="s">
        <v>25</v>
      </c>
      <c r="I783" t="s">
        <v>25</v>
      </c>
      <c r="J783">
        <v>102</v>
      </c>
      <c r="K783">
        <v>30</v>
      </c>
      <c r="L783">
        <v>0</v>
      </c>
      <c r="M783">
        <v>30</v>
      </c>
      <c r="N783">
        <v>15</v>
      </c>
      <c r="O783">
        <v>13</v>
      </c>
      <c r="P783">
        <v>12</v>
      </c>
      <c r="Q783">
        <v>11</v>
      </c>
      <c r="R783">
        <v>10</v>
      </c>
      <c r="S783">
        <v>4</v>
      </c>
      <c r="T783">
        <v>1</v>
      </c>
      <c r="U783">
        <v>72</v>
      </c>
    </row>
    <row r="784" spans="1:21" x14ac:dyDescent="0.25">
      <c r="A784">
        <v>2025</v>
      </c>
      <c r="B784">
        <v>4</v>
      </c>
      <c r="C784" t="s">
        <v>89</v>
      </c>
      <c r="D784" t="s">
        <v>22</v>
      </c>
      <c r="E784" t="s">
        <v>105</v>
      </c>
      <c r="F784" t="s">
        <v>28</v>
      </c>
      <c r="G784" t="s">
        <v>25</v>
      </c>
      <c r="H784" t="s">
        <v>25</v>
      </c>
      <c r="I784" t="s">
        <v>25</v>
      </c>
      <c r="J784">
        <v>2</v>
      </c>
      <c r="K784">
        <v>0</v>
      </c>
      <c r="L784">
        <v>0</v>
      </c>
      <c r="M784">
        <v>0</v>
      </c>
      <c r="N784">
        <v>1</v>
      </c>
      <c r="O784">
        <v>1</v>
      </c>
      <c r="P784">
        <v>1</v>
      </c>
      <c r="Q784">
        <v>1</v>
      </c>
      <c r="R784">
        <v>1</v>
      </c>
      <c r="S784">
        <v>1</v>
      </c>
      <c r="T784">
        <v>1</v>
      </c>
      <c r="U784">
        <v>2</v>
      </c>
    </row>
    <row r="785" spans="1:21" x14ac:dyDescent="0.25">
      <c r="A785">
        <v>2025</v>
      </c>
      <c r="B785">
        <v>4</v>
      </c>
      <c r="C785" t="s">
        <v>89</v>
      </c>
      <c r="D785" t="s">
        <v>22</v>
      </c>
      <c r="E785" t="s">
        <v>95</v>
      </c>
      <c r="F785" t="s">
        <v>28</v>
      </c>
      <c r="G785" t="s">
        <v>25</v>
      </c>
      <c r="H785" t="s">
        <v>25</v>
      </c>
      <c r="I785" t="s">
        <v>25</v>
      </c>
      <c r="J785">
        <v>56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56</v>
      </c>
    </row>
    <row r="786" spans="1:21" x14ac:dyDescent="0.25">
      <c r="A786">
        <v>2025</v>
      </c>
      <c r="B786">
        <v>4</v>
      </c>
      <c r="C786" t="s">
        <v>89</v>
      </c>
      <c r="D786" t="s">
        <v>22</v>
      </c>
      <c r="E786" t="s">
        <v>95</v>
      </c>
      <c r="F786" t="s">
        <v>24</v>
      </c>
      <c r="G786" t="s">
        <v>25</v>
      </c>
      <c r="H786" t="s">
        <v>25</v>
      </c>
      <c r="I786" t="s">
        <v>25</v>
      </c>
      <c r="J786">
        <v>84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84</v>
      </c>
    </row>
    <row r="787" spans="1:21" x14ac:dyDescent="0.25">
      <c r="A787">
        <v>2025</v>
      </c>
      <c r="B787">
        <v>4</v>
      </c>
      <c r="C787" t="s">
        <v>89</v>
      </c>
      <c r="D787" t="s">
        <v>22</v>
      </c>
      <c r="E787" t="s">
        <v>23</v>
      </c>
      <c r="F787" t="s">
        <v>28</v>
      </c>
      <c r="G787" t="s">
        <v>25</v>
      </c>
      <c r="H787" t="s">
        <v>25</v>
      </c>
      <c r="I787" t="s">
        <v>25</v>
      </c>
      <c r="J787">
        <v>2</v>
      </c>
      <c r="K787">
        <v>0</v>
      </c>
      <c r="L787">
        <v>0</v>
      </c>
      <c r="M787">
        <v>0</v>
      </c>
      <c r="N787">
        <v>2</v>
      </c>
      <c r="O787">
        <v>1</v>
      </c>
      <c r="P787">
        <v>1</v>
      </c>
      <c r="Q787">
        <v>0</v>
      </c>
      <c r="R787">
        <v>0</v>
      </c>
      <c r="S787">
        <v>0</v>
      </c>
      <c r="T787">
        <v>0</v>
      </c>
      <c r="U787">
        <v>2</v>
      </c>
    </row>
    <row r="788" spans="1:21" x14ac:dyDescent="0.25">
      <c r="A788">
        <v>2025</v>
      </c>
      <c r="B788">
        <v>4</v>
      </c>
      <c r="C788" t="s">
        <v>89</v>
      </c>
      <c r="D788" t="s">
        <v>22</v>
      </c>
      <c r="E788" t="s">
        <v>23</v>
      </c>
      <c r="F788" t="s">
        <v>24</v>
      </c>
      <c r="G788" t="s">
        <v>25</v>
      </c>
      <c r="H788" t="s">
        <v>25</v>
      </c>
      <c r="I788" t="s">
        <v>25</v>
      </c>
      <c r="J788">
        <v>45</v>
      </c>
      <c r="K788">
        <v>1</v>
      </c>
      <c r="L788">
        <v>0</v>
      </c>
      <c r="M788">
        <v>1</v>
      </c>
      <c r="N788">
        <v>3</v>
      </c>
      <c r="O788">
        <v>2</v>
      </c>
      <c r="P788">
        <v>2</v>
      </c>
      <c r="Q788">
        <v>2</v>
      </c>
      <c r="R788">
        <v>1</v>
      </c>
      <c r="S788">
        <v>0</v>
      </c>
      <c r="T788">
        <v>0</v>
      </c>
      <c r="U788">
        <v>44</v>
      </c>
    </row>
    <row r="789" spans="1:21" x14ac:dyDescent="0.25">
      <c r="A789">
        <v>2025</v>
      </c>
      <c r="B789">
        <v>4</v>
      </c>
      <c r="C789" t="s">
        <v>89</v>
      </c>
      <c r="D789" t="s">
        <v>22</v>
      </c>
      <c r="F789" t="s">
        <v>28</v>
      </c>
      <c r="G789" t="s">
        <v>25</v>
      </c>
      <c r="H789" t="s">
        <v>25</v>
      </c>
      <c r="I789" t="s">
        <v>25</v>
      </c>
      <c r="J789">
        <v>5</v>
      </c>
      <c r="K789">
        <v>0</v>
      </c>
      <c r="L789">
        <v>0</v>
      </c>
      <c r="M789">
        <v>0</v>
      </c>
      <c r="N789">
        <v>2</v>
      </c>
      <c r="O789">
        <v>1</v>
      </c>
      <c r="P789">
        <v>1</v>
      </c>
      <c r="Q789">
        <v>1</v>
      </c>
      <c r="R789">
        <v>1</v>
      </c>
      <c r="S789">
        <v>1</v>
      </c>
      <c r="T789">
        <v>1</v>
      </c>
      <c r="U789">
        <v>5</v>
      </c>
    </row>
    <row r="790" spans="1:21" x14ac:dyDescent="0.25">
      <c r="A790">
        <v>2025</v>
      </c>
      <c r="B790">
        <v>4</v>
      </c>
      <c r="C790" t="s">
        <v>89</v>
      </c>
      <c r="D790" t="s">
        <v>22</v>
      </c>
      <c r="F790" t="s">
        <v>24</v>
      </c>
      <c r="G790" t="s">
        <v>25</v>
      </c>
      <c r="H790" t="s">
        <v>25</v>
      </c>
      <c r="I790" t="s">
        <v>25</v>
      </c>
      <c r="J790">
        <v>148</v>
      </c>
      <c r="K790">
        <v>74</v>
      </c>
      <c r="L790">
        <v>74</v>
      </c>
      <c r="M790">
        <v>148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</row>
    <row r="791" spans="1:21" x14ac:dyDescent="0.25">
      <c r="A791">
        <v>2025</v>
      </c>
      <c r="B791">
        <v>4</v>
      </c>
      <c r="C791" t="s">
        <v>89</v>
      </c>
      <c r="D791" t="s">
        <v>22</v>
      </c>
      <c r="F791" t="s">
        <v>29</v>
      </c>
      <c r="G791" t="s">
        <v>25</v>
      </c>
      <c r="H791" t="s">
        <v>25</v>
      </c>
      <c r="I791" t="s">
        <v>25</v>
      </c>
      <c r="J791">
        <v>3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</row>
    <row r="792" spans="1:21" x14ac:dyDescent="0.25">
      <c r="A792">
        <v>2025</v>
      </c>
      <c r="B792">
        <v>4</v>
      </c>
      <c r="C792" t="s">
        <v>98</v>
      </c>
      <c r="D792" t="s">
        <v>22</v>
      </c>
      <c r="E792" t="s">
        <v>31</v>
      </c>
      <c r="F792" t="s">
        <v>24</v>
      </c>
      <c r="G792" t="s">
        <v>25</v>
      </c>
      <c r="H792" t="s">
        <v>25</v>
      </c>
      <c r="I792" t="s">
        <v>25</v>
      </c>
      <c r="J792">
        <v>52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52</v>
      </c>
    </row>
    <row r="793" spans="1:21" x14ac:dyDescent="0.25">
      <c r="A793">
        <v>2025</v>
      </c>
      <c r="B793">
        <v>4</v>
      </c>
      <c r="C793" t="s">
        <v>99</v>
      </c>
      <c r="D793" t="s">
        <v>45</v>
      </c>
      <c r="E793" t="s">
        <v>100</v>
      </c>
      <c r="F793" t="s">
        <v>28</v>
      </c>
      <c r="G793" t="s">
        <v>25</v>
      </c>
      <c r="H793" t="s">
        <v>26</v>
      </c>
      <c r="I793" t="s">
        <v>25</v>
      </c>
      <c r="J793">
        <v>1355</v>
      </c>
      <c r="K793">
        <v>0</v>
      </c>
      <c r="L793">
        <v>0</v>
      </c>
      <c r="M793">
        <v>0</v>
      </c>
      <c r="N793">
        <v>34</v>
      </c>
      <c r="O793">
        <v>26</v>
      </c>
      <c r="P793">
        <v>26</v>
      </c>
      <c r="Q793">
        <v>15</v>
      </c>
      <c r="R793">
        <v>12</v>
      </c>
      <c r="S793">
        <v>5</v>
      </c>
      <c r="T793">
        <v>2</v>
      </c>
      <c r="U793">
        <v>1355</v>
      </c>
    </row>
    <row r="794" spans="1:21" x14ac:dyDescent="0.25">
      <c r="A794">
        <v>2025</v>
      </c>
      <c r="B794">
        <v>4</v>
      </c>
      <c r="C794" t="s">
        <v>99</v>
      </c>
      <c r="D794" t="s">
        <v>45</v>
      </c>
      <c r="E794" t="s">
        <v>100</v>
      </c>
      <c r="F794" t="s">
        <v>24</v>
      </c>
      <c r="G794" t="s">
        <v>25</v>
      </c>
      <c r="H794" t="s">
        <v>26</v>
      </c>
      <c r="I794" t="s">
        <v>25</v>
      </c>
      <c r="J794">
        <v>324</v>
      </c>
      <c r="K794">
        <v>0</v>
      </c>
      <c r="L794">
        <v>5</v>
      </c>
      <c r="M794">
        <v>5</v>
      </c>
      <c r="N794">
        <v>145</v>
      </c>
      <c r="O794">
        <v>100</v>
      </c>
      <c r="P794">
        <v>93</v>
      </c>
      <c r="Q794">
        <v>59</v>
      </c>
      <c r="R794">
        <v>35</v>
      </c>
      <c r="S794">
        <v>16</v>
      </c>
      <c r="T794">
        <v>5</v>
      </c>
      <c r="U794">
        <v>324</v>
      </c>
    </row>
    <row r="795" spans="1:21" x14ac:dyDescent="0.25">
      <c r="A795">
        <v>2025</v>
      </c>
      <c r="B795">
        <v>4</v>
      </c>
      <c r="C795" t="s">
        <v>101</v>
      </c>
      <c r="D795" t="s">
        <v>22</v>
      </c>
      <c r="E795" t="s">
        <v>32</v>
      </c>
      <c r="F795" t="s">
        <v>24</v>
      </c>
      <c r="G795" t="s">
        <v>25</v>
      </c>
      <c r="H795" t="s">
        <v>25</v>
      </c>
      <c r="I795" t="s">
        <v>25</v>
      </c>
      <c r="J795">
        <v>55</v>
      </c>
      <c r="K795">
        <v>0</v>
      </c>
      <c r="L795">
        <v>0</v>
      </c>
      <c r="M795">
        <v>0</v>
      </c>
      <c r="N795">
        <v>39</v>
      </c>
      <c r="O795">
        <v>33</v>
      </c>
      <c r="P795">
        <v>31</v>
      </c>
      <c r="Q795">
        <v>25</v>
      </c>
      <c r="R795">
        <v>11</v>
      </c>
      <c r="S795">
        <v>3</v>
      </c>
      <c r="T795">
        <v>0</v>
      </c>
      <c r="U795">
        <v>55</v>
      </c>
    </row>
    <row r="796" spans="1:21" x14ac:dyDescent="0.25">
      <c r="A796">
        <v>2025</v>
      </c>
      <c r="B796">
        <v>4</v>
      </c>
      <c r="C796" t="s">
        <v>101</v>
      </c>
      <c r="D796" t="s">
        <v>22</v>
      </c>
      <c r="E796" t="s">
        <v>34</v>
      </c>
      <c r="F796" t="s">
        <v>24</v>
      </c>
      <c r="G796" t="s">
        <v>25</v>
      </c>
      <c r="H796" t="s">
        <v>26</v>
      </c>
      <c r="I796" t="s">
        <v>26</v>
      </c>
      <c r="J796">
        <v>54</v>
      </c>
      <c r="K796">
        <v>0</v>
      </c>
      <c r="L796">
        <v>0</v>
      </c>
      <c r="M796">
        <v>0</v>
      </c>
      <c r="N796">
        <v>6</v>
      </c>
      <c r="O796">
        <v>5</v>
      </c>
      <c r="P796">
        <v>4</v>
      </c>
      <c r="Q796">
        <v>3</v>
      </c>
      <c r="R796">
        <v>2</v>
      </c>
      <c r="S796">
        <v>1</v>
      </c>
      <c r="T796">
        <v>0</v>
      </c>
      <c r="U796">
        <v>54</v>
      </c>
    </row>
    <row r="797" spans="1:21" x14ac:dyDescent="0.25">
      <c r="A797">
        <v>2025</v>
      </c>
      <c r="B797">
        <v>4</v>
      </c>
      <c r="C797" t="s">
        <v>101</v>
      </c>
      <c r="D797" t="s">
        <v>22</v>
      </c>
      <c r="E797" t="s">
        <v>35</v>
      </c>
      <c r="F797" t="s">
        <v>24</v>
      </c>
      <c r="G797" t="s">
        <v>25</v>
      </c>
      <c r="H797" t="s">
        <v>26</v>
      </c>
      <c r="I797" t="s">
        <v>26</v>
      </c>
      <c r="J797">
        <v>1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1</v>
      </c>
    </row>
    <row r="798" spans="1:21" x14ac:dyDescent="0.25">
      <c r="A798">
        <v>2025</v>
      </c>
      <c r="B798">
        <v>4</v>
      </c>
      <c r="C798" t="s">
        <v>101</v>
      </c>
      <c r="D798" t="s">
        <v>22</v>
      </c>
      <c r="E798" t="s">
        <v>41</v>
      </c>
      <c r="F798" t="s">
        <v>24</v>
      </c>
      <c r="G798" t="s">
        <v>26</v>
      </c>
      <c r="H798" t="s">
        <v>26</v>
      </c>
      <c r="I798" t="s">
        <v>25</v>
      </c>
      <c r="J798">
        <v>56</v>
      </c>
      <c r="K798">
        <v>0</v>
      </c>
      <c r="L798">
        <v>0</v>
      </c>
      <c r="M798">
        <v>0</v>
      </c>
      <c r="N798">
        <v>7</v>
      </c>
      <c r="O798">
        <v>6</v>
      </c>
      <c r="P798">
        <v>5</v>
      </c>
      <c r="Q798">
        <v>5</v>
      </c>
      <c r="R798">
        <v>4</v>
      </c>
      <c r="S798">
        <v>3</v>
      </c>
      <c r="T798">
        <v>0</v>
      </c>
      <c r="U798">
        <v>56</v>
      </c>
    </row>
    <row r="799" spans="1:21" x14ac:dyDescent="0.25">
      <c r="A799">
        <v>2025</v>
      </c>
      <c r="B799">
        <v>5</v>
      </c>
      <c r="C799" t="s">
        <v>21</v>
      </c>
      <c r="D799" t="s">
        <v>22</v>
      </c>
      <c r="E799" t="s">
        <v>23</v>
      </c>
      <c r="F799" t="s">
        <v>24</v>
      </c>
      <c r="G799" t="s">
        <v>25</v>
      </c>
      <c r="H799" t="s">
        <v>26</v>
      </c>
      <c r="I799" t="s">
        <v>25</v>
      </c>
      <c r="J799">
        <v>1162</v>
      </c>
      <c r="K799">
        <v>20</v>
      </c>
      <c r="L799">
        <v>1</v>
      </c>
      <c r="M799">
        <v>21</v>
      </c>
      <c r="N799">
        <v>80</v>
      </c>
      <c r="O799">
        <v>56</v>
      </c>
      <c r="P799">
        <v>49</v>
      </c>
      <c r="Q799">
        <v>35</v>
      </c>
      <c r="R799">
        <v>23</v>
      </c>
      <c r="S799">
        <v>6</v>
      </c>
      <c r="T799">
        <v>0</v>
      </c>
      <c r="U799">
        <v>1142</v>
      </c>
    </row>
    <row r="800" spans="1:21" x14ac:dyDescent="0.25">
      <c r="A800">
        <v>2025</v>
      </c>
      <c r="B800">
        <v>5</v>
      </c>
      <c r="C800" t="s">
        <v>21</v>
      </c>
      <c r="D800" t="s">
        <v>22</v>
      </c>
      <c r="E800" t="s">
        <v>27</v>
      </c>
      <c r="F800" t="s">
        <v>24</v>
      </c>
      <c r="G800" t="s">
        <v>26</v>
      </c>
      <c r="H800" t="s">
        <v>26</v>
      </c>
      <c r="I800" t="s">
        <v>25</v>
      </c>
      <c r="J800">
        <v>73</v>
      </c>
      <c r="K800">
        <v>1</v>
      </c>
      <c r="L800">
        <v>0</v>
      </c>
      <c r="M800">
        <v>1</v>
      </c>
      <c r="N800">
        <v>35</v>
      </c>
      <c r="O800">
        <v>11</v>
      </c>
      <c r="P800">
        <v>11</v>
      </c>
      <c r="Q800">
        <v>7</v>
      </c>
      <c r="R800">
        <v>3</v>
      </c>
      <c r="S800">
        <v>1</v>
      </c>
      <c r="T800">
        <v>0</v>
      </c>
      <c r="U800">
        <v>72</v>
      </c>
    </row>
    <row r="801" spans="1:21" x14ac:dyDescent="0.25">
      <c r="A801">
        <v>2025</v>
      </c>
      <c r="B801">
        <v>5</v>
      </c>
      <c r="C801" t="s">
        <v>21</v>
      </c>
      <c r="D801" t="s">
        <v>22</v>
      </c>
      <c r="E801" t="s">
        <v>27</v>
      </c>
      <c r="F801" t="s">
        <v>29</v>
      </c>
      <c r="G801" t="s">
        <v>26</v>
      </c>
      <c r="H801" t="s">
        <v>26</v>
      </c>
      <c r="I801" t="s">
        <v>25</v>
      </c>
      <c r="J801">
        <v>8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</row>
    <row r="802" spans="1:21" x14ac:dyDescent="0.25">
      <c r="A802">
        <v>2025</v>
      </c>
      <c r="B802">
        <v>5</v>
      </c>
      <c r="C802" t="s">
        <v>30</v>
      </c>
      <c r="D802" t="s">
        <v>22</v>
      </c>
      <c r="E802" t="s">
        <v>31</v>
      </c>
      <c r="F802" t="s">
        <v>24</v>
      </c>
      <c r="G802" t="s">
        <v>25</v>
      </c>
      <c r="H802" t="s">
        <v>25</v>
      </c>
      <c r="I802" t="s">
        <v>25</v>
      </c>
      <c r="J802">
        <v>62</v>
      </c>
      <c r="K802">
        <v>0</v>
      </c>
      <c r="L802">
        <v>0</v>
      </c>
      <c r="M802">
        <v>0</v>
      </c>
      <c r="N802">
        <v>5</v>
      </c>
      <c r="O802">
        <v>5</v>
      </c>
      <c r="P802">
        <v>5</v>
      </c>
      <c r="Q802">
        <v>2</v>
      </c>
      <c r="R802">
        <v>1</v>
      </c>
      <c r="S802">
        <v>0</v>
      </c>
      <c r="T802">
        <v>0</v>
      </c>
      <c r="U802">
        <v>62</v>
      </c>
    </row>
    <row r="803" spans="1:21" x14ac:dyDescent="0.25">
      <c r="A803">
        <v>2025</v>
      </c>
      <c r="B803">
        <v>5</v>
      </c>
      <c r="C803" t="s">
        <v>33</v>
      </c>
      <c r="D803" t="s">
        <v>22</v>
      </c>
      <c r="E803" t="s">
        <v>32</v>
      </c>
      <c r="F803" t="s">
        <v>24</v>
      </c>
      <c r="G803" t="s">
        <v>25</v>
      </c>
      <c r="H803" t="s">
        <v>25</v>
      </c>
      <c r="I803" t="s">
        <v>25</v>
      </c>
      <c r="J803">
        <v>923</v>
      </c>
      <c r="K803">
        <v>3</v>
      </c>
      <c r="L803">
        <v>1</v>
      </c>
      <c r="M803">
        <v>4</v>
      </c>
      <c r="N803">
        <v>287</v>
      </c>
      <c r="O803">
        <v>245</v>
      </c>
      <c r="P803">
        <v>216</v>
      </c>
      <c r="Q803">
        <v>138</v>
      </c>
      <c r="R803">
        <v>100</v>
      </c>
      <c r="S803">
        <v>46</v>
      </c>
      <c r="T803">
        <v>13</v>
      </c>
      <c r="U803">
        <v>920</v>
      </c>
    </row>
    <row r="804" spans="1:21" x14ac:dyDescent="0.25">
      <c r="A804">
        <v>2025</v>
      </c>
      <c r="B804">
        <v>5</v>
      </c>
      <c r="C804" t="s">
        <v>33</v>
      </c>
      <c r="D804" t="s">
        <v>22</v>
      </c>
      <c r="E804" t="s">
        <v>34</v>
      </c>
      <c r="F804" t="s">
        <v>24</v>
      </c>
      <c r="G804" t="s">
        <v>25</v>
      </c>
      <c r="H804" t="s">
        <v>26</v>
      </c>
      <c r="I804" t="s">
        <v>26</v>
      </c>
      <c r="J804">
        <v>181</v>
      </c>
      <c r="K804">
        <v>4</v>
      </c>
      <c r="L804">
        <v>0</v>
      </c>
      <c r="M804">
        <v>4</v>
      </c>
      <c r="N804">
        <v>98</v>
      </c>
      <c r="O804">
        <v>87</v>
      </c>
      <c r="P804">
        <v>81</v>
      </c>
      <c r="Q804">
        <v>64</v>
      </c>
      <c r="R804">
        <v>52</v>
      </c>
      <c r="S804">
        <v>31</v>
      </c>
      <c r="T804">
        <v>8</v>
      </c>
      <c r="U804">
        <v>177</v>
      </c>
    </row>
    <row r="805" spans="1:21" x14ac:dyDescent="0.25">
      <c r="A805">
        <v>2025</v>
      </c>
      <c r="B805">
        <v>5</v>
      </c>
      <c r="C805" t="s">
        <v>33</v>
      </c>
      <c r="D805" t="s">
        <v>22</v>
      </c>
      <c r="E805" t="s">
        <v>23</v>
      </c>
      <c r="F805" t="s">
        <v>24</v>
      </c>
      <c r="G805" t="s">
        <v>25</v>
      </c>
      <c r="H805" t="s">
        <v>25</v>
      </c>
      <c r="I805" t="s">
        <v>25</v>
      </c>
      <c r="J805">
        <v>248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248</v>
      </c>
    </row>
    <row r="806" spans="1:21" x14ac:dyDescent="0.25">
      <c r="A806">
        <v>2025</v>
      </c>
      <c r="B806">
        <v>5</v>
      </c>
      <c r="C806" t="s">
        <v>33</v>
      </c>
      <c r="D806" t="s">
        <v>22</v>
      </c>
      <c r="E806" t="s">
        <v>23</v>
      </c>
      <c r="F806" t="s">
        <v>24</v>
      </c>
      <c r="G806" t="s">
        <v>25</v>
      </c>
      <c r="H806" t="s">
        <v>26</v>
      </c>
      <c r="I806" t="s">
        <v>25</v>
      </c>
      <c r="J806">
        <v>62</v>
      </c>
      <c r="K806">
        <v>0</v>
      </c>
      <c r="L806">
        <v>0</v>
      </c>
      <c r="M806">
        <v>0</v>
      </c>
      <c r="N806">
        <v>14</v>
      </c>
      <c r="O806">
        <v>12</v>
      </c>
      <c r="P806">
        <v>10</v>
      </c>
      <c r="Q806">
        <v>8</v>
      </c>
      <c r="R806">
        <v>5</v>
      </c>
      <c r="S806">
        <v>1</v>
      </c>
      <c r="T806">
        <v>0</v>
      </c>
      <c r="U806">
        <v>62</v>
      </c>
    </row>
    <row r="807" spans="1:21" x14ac:dyDescent="0.25">
      <c r="A807">
        <v>2025</v>
      </c>
      <c r="B807">
        <v>5</v>
      </c>
      <c r="C807" t="s">
        <v>33</v>
      </c>
      <c r="D807" t="s">
        <v>22</v>
      </c>
      <c r="E807" t="s">
        <v>35</v>
      </c>
      <c r="F807" t="s">
        <v>24</v>
      </c>
      <c r="G807" t="s">
        <v>25</v>
      </c>
      <c r="H807" t="s">
        <v>26</v>
      </c>
      <c r="I807" t="s">
        <v>26</v>
      </c>
      <c r="J807">
        <v>62</v>
      </c>
      <c r="K807">
        <v>0</v>
      </c>
      <c r="L807">
        <v>0</v>
      </c>
      <c r="M807">
        <v>0</v>
      </c>
      <c r="N807">
        <v>49</v>
      </c>
      <c r="O807">
        <v>45</v>
      </c>
      <c r="P807">
        <v>45</v>
      </c>
      <c r="Q807">
        <v>38</v>
      </c>
      <c r="R807">
        <v>29</v>
      </c>
      <c r="S807">
        <v>17</v>
      </c>
      <c r="T807">
        <v>4</v>
      </c>
      <c r="U807">
        <v>62</v>
      </c>
    </row>
    <row r="808" spans="1:21" x14ac:dyDescent="0.25">
      <c r="A808">
        <v>2025</v>
      </c>
      <c r="B808">
        <v>5</v>
      </c>
      <c r="C808" t="s">
        <v>33</v>
      </c>
      <c r="D808" t="s">
        <v>22</v>
      </c>
      <c r="E808" t="s">
        <v>36</v>
      </c>
      <c r="F808" t="s">
        <v>24</v>
      </c>
      <c r="G808" t="s">
        <v>25</v>
      </c>
      <c r="H808" t="s">
        <v>26</v>
      </c>
      <c r="I808" t="s">
        <v>25</v>
      </c>
      <c r="J808">
        <v>496</v>
      </c>
      <c r="K808">
        <v>0</v>
      </c>
      <c r="L808">
        <v>0</v>
      </c>
      <c r="M808">
        <v>0</v>
      </c>
      <c r="N808">
        <v>124</v>
      </c>
      <c r="O808">
        <v>101</v>
      </c>
      <c r="P808">
        <v>93</v>
      </c>
      <c r="Q808">
        <v>65</v>
      </c>
      <c r="R808">
        <v>48</v>
      </c>
      <c r="S808">
        <v>17</v>
      </c>
      <c r="T808">
        <v>6</v>
      </c>
      <c r="U808">
        <v>496</v>
      </c>
    </row>
    <row r="809" spans="1:21" x14ac:dyDescent="0.25">
      <c r="A809">
        <v>2025</v>
      </c>
      <c r="B809">
        <v>5</v>
      </c>
      <c r="C809" t="s">
        <v>37</v>
      </c>
      <c r="D809" t="s">
        <v>22</v>
      </c>
      <c r="E809" t="s">
        <v>32</v>
      </c>
      <c r="F809" t="s">
        <v>28</v>
      </c>
      <c r="G809" t="s">
        <v>25</v>
      </c>
      <c r="H809" t="s">
        <v>26</v>
      </c>
      <c r="I809" t="s">
        <v>25</v>
      </c>
      <c r="J809">
        <v>3</v>
      </c>
      <c r="K809">
        <v>0</v>
      </c>
      <c r="L809">
        <v>1</v>
      </c>
      <c r="M809">
        <v>1</v>
      </c>
      <c r="N809">
        <v>1</v>
      </c>
      <c r="O809">
        <v>1</v>
      </c>
      <c r="P809">
        <v>1</v>
      </c>
      <c r="Q809">
        <v>1</v>
      </c>
      <c r="R809">
        <v>1</v>
      </c>
      <c r="S809">
        <v>1</v>
      </c>
      <c r="T809">
        <v>0</v>
      </c>
      <c r="U809">
        <v>2</v>
      </c>
    </row>
    <row r="810" spans="1:21" x14ac:dyDescent="0.25">
      <c r="A810">
        <v>2025</v>
      </c>
      <c r="B810">
        <v>5</v>
      </c>
      <c r="C810" t="s">
        <v>37</v>
      </c>
      <c r="D810" t="s">
        <v>22</v>
      </c>
      <c r="E810" t="s">
        <v>32</v>
      </c>
      <c r="F810" t="s">
        <v>24</v>
      </c>
      <c r="G810" t="s">
        <v>25</v>
      </c>
      <c r="H810" t="s">
        <v>26</v>
      </c>
      <c r="I810" t="s">
        <v>25</v>
      </c>
      <c r="J810">
        <v>2102</v>
      </c>
      <c r="K810">
        <v>22</v>
      </c>
      <c r="L810">
        <v>66</v>
      </c>
      <c r="M810">
        <v>88</v>
      </c>
      <c r="N810">
        <v>1035</v>
      </c>
      <c r="O810">
        <v>840</v>
      </c>
      <c r="P810">
        <v>766</v>
      </c>
      <c r="Q810">
        <v>599</v>
      </c>
      <c r="R810">
        <v>440</v>
      </c>
      <c r="S810">
        <v>233</v>
      </c>
      <c r="T810">
        <v>73</v>
      </c>
      <c r="U810">
        <v>2047</v>
      </c>
    </row>
    <row r="811" spans="1:21" x14ac:dyDescent="0.25">
      <c r="A811">
        <v>2025</v>
      </c>
      <c r="B811">
        <v>5</v>
      </c>
      <c r="C811" t="s">
        <v>37</v>
      </c>
      <c r="D811" t="s">
        <v>22</v>
      </c>
      <c r="E811" t="s">
        <v>38</v>
      </c>
      <c r="F811" t="s">
        <v>28</v>
      </c>
      <c r="G811" t="s">
        <v>25</v>
      </c>
      <c r="H811" t="s">
        <v>26</v>
      </c>
      <c r="I811" t="s">
        <v>25</v>
      </c>
      <c r="J811">
        <v>1</v>
      </c>
      <c r="K811">
        <v>0</v>
      </c>
      <c r="L811">
        <v>0</v>
      </c>
      <c r="M811">
        <v>0</v>
      </c>
      <c r="N811">
        <v>1</v>
      </c>
      <c r="O811">
        <v>1</v>
      </c>
      <c r="P811">
        <v>1</v>
      </c>
      <c r="Q811">
        <v>1</v>
      </c>
      <c r="R811">
        <v>1</v>
      </c>
      <c r="S811">
        <v>1</v>
      </c>
      <c r="T811">
        <v>1</v>
      </c>
      <c r="U811">
        <v>1</v>
      </c>
    </row>
    <row r="812" spans="1:21" x14ac:dyDescent="0.25">
      <c r="A812">
        <v>2025</v>
      </c>
      <c r="B812">
        <v>5</v>
      </c>
      <c r="C812" t="s">
        <v>37</v>
      </c>
      <c r="D812" t="s">
        <v>22</v>
      </c>
      <c r="E812" t="s">
        <v>38</v>
      </c>
      <c r="F812" t="s">
        <v>24</v>
      </c>
      <c r="G812" t="s">
        <v>25</v>
      </c>
      <c r="H812" t="s">
        <v>26</v>
      </c>
      <c r="I812" t="s">
        <v>25</v>
      </c>
      <c r="J812">
        <v>46</v>
      </c>
      <c r="K812">
        <v>0</v>
      </c>
      <c r="L812">
        <v>0</v>
      </c>
      <c r="M812">
        <v>0</v>
      </c>
      <c r="N812">
        <v>40</v>
      </c>
      <c r="O812">
        <v>39</v>
      </c>
      <c r="P812">
        <v>35</v>
      </c>
      <c r="Q812">
        <v>25</v>
      </c>
      <c r="R812">
        <v>15</v>
      </c>
      <c r="S812">
        <v>7</v>
      </c>
      <c r="T812">
        <v>7</v>
      </c>
      <c r="U812">
        <v>46</v>
      </c>
    </row>
    <row r="813" spans="1:21" x14ac:dyDescent="0.25">
      <c r="A813">
        <v>2025</v>
      </c>
      <c r="B813">
        <v>5</v>
      </c>
      <c r="C813" t="s">
        <v>37</v>
      </c>
      <c r="D813" t="s">
        <v>22</v>
      </c>
      <c r="E813" t="s">
        <v>34</v>
      </c>
      <c r="F813" t="s">
        <v>24</v>
      </c>
      <c r="G813" t="s">
        <v>25</v>
      </c>
      <c r="H813" t="s">
        <v>26</v>
      </c>
      <c r="I813" t="s">
        <v>26</v>
      </c>
      <c r="J813">
        <v>359</v>
      </c>
      <c r="K813">
        <v>0</v>
      </c>
      <c r="L813">
        <v>8</v>
      </c>
      <c r="M813">
        <v>8</v>
      </c>
      <c r="N813">
        <v>108</v>
      </c>
      <c r="O813">
        <v>101</v>
      </c>
      <c r="P813">
        <v>89</v>
      </c>
      <c r="Q813">
        <v>77</v>
      </c>
      <c r="R813">
        <v>63</v>
      </c>
      <c r="S813">
        <v>38</v>
      </c>
      <c r="T813">
        <v>20</v>
      </c>
      <c r="U813">
        <v>355</v>
      </c>
    </row>
    <row r="814" spans="1:21" x14ac:dyDescent="0.25">
      <c r="A814">
        <v>2025</v>
      </c>
      <c r="B814">
        <v>5</v>
      </c>
      <c r="C814" t="s">
        <v>37</v>
      </c>
      <c r="D814" t="s">
        <v>22</v>
      </c>
      <c r="E814" t="s">
        <v>23</v>
      </c>
      <c r="F814" t="s">
        <v>28</v>
      </c>
      <c r="G814" t="s">
        <v>25</v>
      </c>
      <c r="H814" t="s">
        <v>26</v>
      </c>
      <c r="I814" t="s">
        <v>25</v>
      </c>
      <c r="J814">
        <v>4107</v>
      </c>
      <c r="K814">
        <v>112</v>
      </c>
      <c r="L814">
        <v>606</v>
      </c>
      <c r="M814">
        <v>718</v>
      </c>
      <c r="N814">
        <v>2318</v>
      </c>
      <c r="O814">
        <v>1971</v>
      </c>
      <c r="P814">
        <v>1838</v>
      </c>
      <c r="Q814">
        <v>1431</v>
      </c>
      <c r="R814">
        <v>1059</v>
      </c>
      <c r="S814">
        <v>483</v>
      </c>
      <c r="T814">
        <v>123</v>
      </c>
      <c r="U814">
        <v>3807</v>
      </c>
    </row>
    <row r="815" spans="1:21" x14ac:dyDescent="0.25">
      <c r="A815">
        <v>2025</v>
      </c>
      <c r="B815">
        <v>5</v>
      </c>
      <c r="C815" t="s">
        <v>37</v>
      </c>
      <c r="D815" t="s">
        <v>22</v>
      </c>
      <c r="E815" t="s">
        <v>23</v>
      </c>
      <c r="F815" t="s">
        <v>24</v>
      </c>
      <c r="G815" t="s">
        <v>25</v>
      </c>
      <c r="H815" t="s">
        <v>26</v>
      </c>
      <c r="I815" t="s">
        <v>25</v>
      </c>
      <c r="J815">
        <v>2119</v>
      </c>
      <c r="K815">
        <v>32</v>
      </c>
      <c r="L815">
        <v>65</v>
      </c>
      <c r="M815">
        <v>97</v>
      </c>
      <c r="N815">
        <v>898</v>
      </c>
      <c r="O815">
        <v>731</v>
      </c>
      <c r="P815">
        <v>667</v>
      </c>
      <c r="Q815">
        <v>486</v>
      </c>
      <c r="R815">
        <v>350</v>
      </c>
      <c r="S815">
        <v>187</v>
      </c>
      <c r="T815">
        <v>69</v>
      </c>
      <c r="U815">
        <v>2066</v>
      </c>
    </row>
    <row r="816" spans="1:21" x14ac:dyDescent="0.25">
      <c r="A816">
        <v>2025</v>
      </c>
      <c r="B816">
        <v>5</v>
      </c>
      <c r="C816" t="s">
        <v>37</v>
      </c>
      <c r="D816" t="s">
        <v>22</v>
      </c>
      <c r="E816" t="s">
        <v>39</v>
      </c>
      <c r="F816" t="s">
        <v>28</v>
      </c>
      <c r="G816" t="s">
        <v>26</v>
      </c>
      <c r="H816" t="s">
        <v>26</v>
      </c>
      <c r="I816" t="s">
        <v>25</v>
      </c>
      <c r="J816">
        <v>14850</v>
      </c>
      <c r="K816">
        <v>498</v>
      </c>
      <c r="L816">
        <v>1124</v>
      </c>
      <c r="M816">
        <v>1622</v>
      </c>
      <c r="N816">
        <v>8450</v>
      </c>
      <c r="O816">
        <v>7290</v>
      </c>
      <c r="P816">
        <v>6823</v>
      </c>
      <c r="Q816">
        <v>5394</v>
      </c>
      <c r="R816">
        <v>4197</v>
      </c>
      <c r="S816">
        <v>2209</v>
      </c>
      <c r="T816">
        <v>649</v>
      </c>
      <c r="U816">
        <v>13920</v>
      </c>
    </row>
    <row r="817" spans="1:21" x14ac:dyDescent="0.25">
      <c r="A817">
        <v>2025</v>
      </c>
      <c r="B817">
        <v>5</v>
      </c>
      <c r="C817" t="s">
        <v>37</v>
      </c>
      <c r="D817" t="s">
        <v>22</v>
      </c>
      <c r="E817" t="s">
        <v>39</v>
      </c>
      <c r="F817" t="s">
        <v>24</v>
      </c>
      <c r="G817" t="s">
        <v>26</v>
      </c>
      <c r="H817" t="s">
        <v>26</v>
      </c>
      <c r="I817" t="s">
        <v>25</v>
      </c>
      <c r="J817">
        <v>3573</v>
      </c>
      <c r="K817">
        <v>21</v>
      </c>
      <c r="L817">
        <v>221</v>
      </c>
      <c r="M817">
        <v>242</v>
      </c>
      <c r="N817">
        <v>2417</v>
      </c>
      <c r="O817">
        <v>2141</v>
      </c>
      <c r="P817">
        <v>2047</v>
      </c>
      <c r="Q817">
        <v>1681</v>
      </c>
      <c r="R817">
        <v>1349</v>
      </c>
      <c r="S817">
        <v>696</v>
      </c>
      <c r="T817">
        <v>198</v>
      </c>
      <c r="U817">
        <v>3458</v>
      </c>
    </row>
    <row r="818" spans="1:21" x14ac:dyDescent="0.25">
      <c r="A818">
        <v>2025</v>
      </c>
      <c r="B818">
        <v>5</v>
      </c>
      <c r="C818" t="s">
        <v>37</v>
      </c>
      <c r="D818" t="s">
        <v>22</v>
      </c>
      <c r="E818" t="s">
        <v>39</v>
      </c>
      <c r="F818" t="s">
        <v>29</v>
      </c>
      <c r="G818" t="s">
        <v>26</v>
      </c>
      <c r="H818" t="s">
        <v>26</v>
      </c>
      <c r="I818" t="s">
        <v>25</v>
      </c>
      <c r="J818">
        <v>6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</row>
    <row r="819" spans="1:21" x14ac:dyDescent="0.25">
      <c r="A819">
        <v>2025</v>
      </c>
      <c r="B819">
        <v>5</v>
      </c>
      <c r="C819" t="s">
        <v>37</v>
      </c>
      <c r="D819" t="s">
        <v>22</v>
      </c>
      <c r="E819" t="s">
        <v>40</v>
      </c>
      <c r="F819" t="s">
        <v>24</v>
      </c>
      <c r="G819" t="s">
        <v>25</v>
      </c>
      <c r="H819" t="s">
        <v>26</v>
      </c>
      <c r="I819" t="s">
        <v>25</v>
      </c>
      <c r="J819">
        <v>228</v>
      </c>
      <c r="K819">
        <v>1</v>
      </c>
      <c r="L819">
        <v>0</v>
      </c>
      <c r="M819">
        <v>1</v>
      </c>
      <c r="N819">
        <v>14</v>
      </c>
      <c r="O819">
        <v>8</v>
      </c>
      <c r="P819">
        <v>6</v>
      </c>
      <c r="Q819">
        <v>4</v>
      </c>
      <c r="R819">
        <v>0</v>
      </c>
      <c r="S819">
        <v>0</v>
      </c>
      <c r="T819">
        <v>0</v>
      </c>
      <c r="U819">
        <v>227</v>
      </c>
    </row>
    <row r="820" spans="1:21" x14ac:dyDescent="0.25">
      <c r="A820">
        <v>2025</v>
      </c>
      <c r="B820">
        <v>5</v>
      </c>
      <c r="C820" t="s">
        <v>37</v>
      </c>
      <c r="D820" t="s">
        <v>22</v>
      </c>
      <c r="E820" t="s">
        <v>35</v>
      </c>
      <c r="F820" t="s">
        <v>28</v>
      </c>
      <c r="G820" t="s">
        <v>25</v>
      </c>
      <c r="H820" t="s">
        <v>26</v>
      </c>
      <c r="I820" t="s">
        <v>26</v>
      </c>
      <c r="J820">
        <v>7</v>
      </c>
      <c r="K820">
        <v>0</v>
      </c>
      <c r="L820">
        <v>2</v>
      </c>
      <c r="M820">
        <v>2</v>
      </c>
      <c r="N820">
        <v>2</v>
      </c>
      <c r="O820">
        <v>2</v>
      </c>
      <c r="P820">
        <v>2</v>
      </c>
      <c r="Q820">
        <v>2</v>
      </c>
      <c r="R820">
        <v>2</v>
      </c>
      <c r="S820">
        <v>2</v>
      </c>
      <c r="T820">
        <v>0</v>
      </c>
      <c r="U820">
        <v>6</v>
      </c>
    </row>
    <row r="821" spans="1:21" x14ac:dyDescent="0.25">
      <c r="A821">
        <v>2025</v>
      </c>
      <c r="B821">
        <v>5</v>
      </c>
      <c r="C821" t="s">
        <v>37</v>
      </c>
      <c r="D821" t="s">
        <v>22</v>
      </c>
      <c r="E821" t="s">
        <v>35</v>
      </c>
      <c r="F821" t="s">
        <v>24</v>
      </c>
      <c r="G821" t="s">
        <v>25</v>
      </c>
      <c r="H821" t="s">
        <v>26</v>
      </c>
      <c r="I821" t="s">
        <v>26</v>
      </c>
      <c r="J821">
        <v>574</v>
      </c>
      <c r="K821">
        <v>3</v>
      </c>
      <c r="L821">
        <v>55</v>
      </c>
      <c r="M821">
        <v>58</v>
      </c>
      <c r="N821">
        <v>339</v>
      </c>
      <c r="O821">
        <v>313</v>
      </c>
      <c r="P821">
        <v>306</v>
      </c>
      <c r="Q821">
        <v>266</v>
      </c>
      <c r="R821">
        <v>236</v>
      </c>
      <c r="S821">
        <v>170</v>
      </c>
      <c r="T821">
        <v>87</v>
      </c>
      <c r="U821">
        <v>553</v>
      </c>
    </row>
    <row r="822" spans="1:21" x14ac:dyDescent="0.25">
      <c r="A822">
        <v>2025</v>
      </c>
      <c r="B822">
        <v>5</v>
      </c>
      <c r="C822" t="s">
        <v>37</v>
      </c>
      <c r="D822" t="s">
        <v>22</v>
      </c>
      <c r="E822" t="s">
        <v>36</v>
      </c>
      <c r="F822" t="s">
        <v>24</v>
      </c>
      <c r="G822" t="s">
        <v>25</v>
      </c>
      <c r="H822" t="s">
        <v>26</v>
      </c>
      <c r="I822" t="s">
        <v>25</v>
      </c>
      <c r="J822">
        <v>629</v>
      </c>
      <c r="K822">
        <v>8</v>
      </c>
      <c r="L822">
        <v>28</v>
      </c>
      <c r="M822">
        <v>36</v>
      </c>
      <c r="N822">
        <v>272</v>
      </c>
      <c r="O822">
        <v>190</v>
      </c>
      <c r="P822">
        <v>168</v>
      </c>
      <c r="Q822">
        <v>116</v>
      </c>
      <c r="R822">
        <v>84</v>
      </c>
      <c r="S822">
        <v>22</v>
      </c>
      <c r="T822">
        <v>4</v>
      </c>
      <c r="U822">
        <v>604</v>
      </c>
    </row>
    <row r="823" spans="1:21" x14ac:dyDescent="0.25">
      <c r="A823">
        <v>2025</v>
      </c>
      <c r="B823">
        <v>5</v>
      </c>
      <c r="C823" t="s">
        <v>37</v>
      </c>
      <c r="D823" t="s">
        <v>22</v>
      </c>
      <c r="E823" t="s">
        <v>41</v>
      </c>
      <c r="F823" t="s">
        <v>28</v>
      </c>
      <c r="G823" t="s">
        <v>26</v>
      </c>
      <c r="H823" t="s">
        <v>26</v>
      </c>
      <c r="I823" t="s">
        <v>25</v>
      </c>
      <c r="J823">
        <v>1</v>
      </c>
      <c r="K823">
        <v>1</v>
      </c>
      <c r="L823">
        <v>0</v>
      </c>
      <c r="M823">
        <v>1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</row>
    <row r="824" spans="1:21" x14ac:dyDescent="0.25">
      <c r="A824">
        <v>2025</v>
      </c>
      <c r="B824">
        <v>5</v>
      </c>
      <c r="C824" t="s">
        <v>37</v>
      </c>
      <c r="D824" t="s">
        <v>22</v>
      </c>
      <c r="E824" t="s">
        <v>41</v>
      </c>
      <c r="F824" t="s">
        <v>24</v>
      </c>
      <c r="G824" t="s">
        <v>26</v>
      </c>
      <c r="H824" t="s">
        <v>26</v>
      </c>
      <c r="I824" t="s">
        <v>25</v>
      </c>
      <c r="J824">
        <v>382</v>
      </c>
      <c r="K824">
        <v>3</v>
      </c>
      <c r="L824">
        <v>7</v>
      </c>
      <c r="M824">
        <v>10</v>
      </c>
      <c r="N824">
        <v>220</v>
      </c>
      <c r="O824">
        <v>168</v>
      </c>
      <c r="P824">
        <v>149</v>
      </c>
      <c r="Q824">
        <v>90</v>
      </c>
      <c r="R824">
        <v>65</v>
      </c>
      <c r="S824">
        <v>21</v>
      </c>
      <c r="T824">
        <v>8</v>
      </c>
      <c r="U824">
        <v>377</v>
      </c>
    </row>
    <row r="825" spans="1:21" x14ac:dyDescent="0.25">
      <c r="A825">
        <v>2025</v>
      </c>
      <c r="B825">
        <v>5</v>
      </c>
      <c r="C825" t="s">
        <v>37</v>
      </c>
      <c r="D825" t="s">
        <v>22</v>
      </c>
      <c r="E825" t="s">
        <v>42</v>
      </c>
      <c r="F825" t="s">
        <v>24</v>
      </c>
      <c r="G825" t="s">
        <v>26</v>
      </c>
      <c r="H825" t="s">
        <v>26</v>
      </c>
      <c r="I825" t="s">
        <v>25</v>
      </c>
      <c r="J825">
        <v>140</v>
      </c>
      <c r="K825">
        <v>4</v>
      </c>
      <c r="L825">
        <v>0</v>
      </c>
      <c r="M825">
        <v>4</v>
      </c>
      <c r="N825">
        <v>80</v>
      </c>
      <c r="O825">
        <v>57</v>
      </c>
      <c r="P825">
        <v>57</v>
      </c>
      <c r="Q825">
        <v>41</v>
      </c>
      <c r="R825">
        <v>28</v>
      </c>
      <c r="S825">
        <v>11</v>
      </c>
      <c r="T825">
        <v>5</v>
      </c>
      <c r="U825">
        <v>136</v>
      </c>
    </row>
    <row r="826" spans="1:21" x14ac:dyDescent="0.25">
      <c r="A826">
        <v>2025</v>
      </c>
      <c r="B826">
        <v>5</v>
      </c>
      <c r="C826" t="s">
        <v>37</v>
      </c>
      <c r="D826" t="s">
        <v>22</v>
      </c>
      <c r="E826" t="s">
        <v>27</v>
      </c>
      <c r="F826" t="s">
        <v>24</v>
      </c>
      <c r="G826" t="s">
        <v>26</v>
      </c>
      <c r="H826" t="s">
        <v>26</v>
      </c>
      <c r="I826" t="s">
        <v>25</v>
      </c>
      <c r="J826">
        <v>9</v>
      </c>
      <c r="K826">
        <v>5</v>
      </c>
      <c r="L826">
        <v>0</v>
      </c>
      <c r="M826">
        <v>5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4</v>
      </c>
    </row>
    <row r="827" spans="1:21" x14ac:dyDescent="0.25">
      <c r="A827">
        <v>2025</v>
      </c>
      <c r="B827">
        <v>5</v>
      </c>
      <c r="C827" t="s">
        <v>43</v>
      </c>
      <c r="D827" t="s">
        <v>22</v>
      </c>
      <c r="E827" t="s">
        <v>32</v>
      </c>
      <c r="F827" t="s">
        <v>24</v>
      </c>
      <c r="G827" t="s">
        <v>25</v>
      </c>
      <c r="H827" t="s">
        <v>25</v>
      </c>
      <c r="I827" t="s">
        <v>25</v>
      </c>
      <c r="J827">
        <v>401</v>
      </c>
      <c r="K827">
        <v>3</v>
      </c>
      <c r="L827">
        <v>5</v>
      </c>
      <c r="M827">
        <v>8</v>
      </c>
      <c r="N827">
        <v>104</v>
      </c>
      <c r="O827">
        <v>95</v>
      </c>
      <c r="P827">
        <v>88</v>
      </c>
      <c r="Q827">
        <v>64</v>
      </c>
      <c r="R827">
        <v>39</v>
      </c>
      <c r="S827">
        <v>11</v>
      </c>
      <c r="T827">
        <v>3</v>
      </c>
      <c r="U827">
        <v>395</v>
      </c>
    </row>
    <row r="828" spans="1:21" x14ac:dyDescent="0.25">
      <c r="A828">
        <v>2025</v>
      </c>
      <c r="B828">
        <v>5</v>
      </c>
      <c r="C828" t="s">
        <v>43</v>
      </c>
      <c r="D828" t="s">
        <v>22</v>
      </c>
      <c r="E828" t="s">
        <v>34</v>
      </c>
      <c r="F828" t="s">
        <v>24</v>
      </c>
      <c r="G828" t="s">
        <v>25</v>
      </c>
      <c r="H828" t="s">
        <v>26</v>
      </c>
      <c r="I828" t="s">
        <v>26</v>
      </c>
      <c r="J828">
        <v>54</v>
      </c>
      <c r="K828">
        <v>0</v>
      </c>
      <c r="L828">
        <v>0</v>
      </c>
      <c r="M828">
        <v>0</v>
      </c>
      <c r="N828">
        <v>26</v>
      </c>
      <c r="O828">
        <v>23</v>
      </c>
      <c r="P828">
        <v>23</v>
      </c>
      <c r="Q828">
        <v>20</v>
      </c>
      <c r="R828">
        <v>14</v>
      </c>
      <c r="S828">
        <v>7</v>
      </c>
      <c r="T828">
        <v>2</v>
      </c>
      <c r="U828">
        <v>54</v>
      </c>
    </row>
    <row r="829" spans="1:21" x14ac:dyDescent="0.25">
      <c r="A829">
        <v>2025</v>
      </c>
      <c r="B829">
        <v>5</v>
      </c>
      <c r="C829" t="s">
        <v>43</v>
      </c>
      <c r="D829" t="s">
        <v>22</v>
      </c>
      <c r="E829" t="s">
        <v>23</v>
      </c>
      <c r="F829" t="s">
        <v>24</v>
      </c>
      <c r="G829" t="s">
        <v>25</v>
      </c>
      <c r="H829" t="s">
        <v>26</v>
      </c>
      <c r="I829" t="s">
        <v>25</v>
      </c>
      <c r="J829">
        <v>471</v>
      </c>
      <c r="K829">
        <v>1</v>
      </c>
      <c r="L829">
        <v>1</v>
      </c>
      <c r="M829">
        <v>2</v>
      </c>
      <c r="N829">
        <v>140</v>
      </c>
      <c r="O829">
        <v>74</v>
      </c>
      <c r="P829">
        <v>54</v>
      </c>
      <c r="Q829">
        <v>28</v>
      </c>
      <c r="R829">
        <v>10</v>
      </c>
      <c r="S829">
        <v>3</v>
      </c>
      <c r="T829">
        <v>0</v>
      </c>
      <c r="U829">
        <v>469</v>
      </c>
    </row>
    <row r="830" spans="1:21" x14ac:dyDescent="0.25">
      <c r="A830">
        <v>2025</v>
      </c>
      <c r="B830">
        <v>5</v>
      </c>
      <c r="C830" t="s">
        <v>44</v>
      </c>
      <c r="D830" t="s">
        <v>45</v>
      </c>
      <c r="E830" t="s">
        <v>46</v>
      </c>
      <c r="F830" t="s">
        <v>24</v>
      </c>
      <c r="G830" t="s">
        <v>25</v>
      </c>
      <c r="H830" t="s">
        <v>26</v>
      </c>
      <c r="I830" t="s">
        <v>26</v>
      </c>
      <c r="J830">
        <v>26</v>
      </c>
      <c r="K830">
        <v>0</v>
      </c>
      <c r="L830">
        <v>0</v>
      </c>
      <c r="M830">
        <v>0</v>
      </c>
      <c r="N830">
        <v>9</v>
      </c>
      <c r="O830">
        <v>9</v>
      </c>
      <c r="P830">
        <v>9</v>
      </c>
      <c r="Q830">
        <v>8</v>
      </c>
      <c r="R830">
        <v>7</v>
      </c>
      <c r="S830">
        <v>5</v>
      </c>
      <c r="T830">
        <v>1</v>
      </c>
      <c r="U830">
        <v>26</v>
      </c>
    </row>
    <row r="831" spans="1:21" x14ac:dyDescent="0.25">
      <c r="A831">
        <v>2025</v>
      </c>
      <c r="B831">
        <v>5</v>
      </c>
      <c r="C831" t="s">
        <v>47</v>
      </c>
      <c r="D831" t="s">
        <v>45</v>
      </c>
      <c r="E831" t="s">
        <v>48</v>
      </c>
      <c r="F831" t="s">
        <v>24</v>
      </c>
      <c r="G831" t="s">
        <v>26</v>
      </c>
      <c r="H831" t="s">
        <v>26</v>
      </c>
      <c r="I831" t="s">
        <v>25</v>
      </c>
      <c r="J831">
        <v>3732</v>
      </c>
      <c r="K831">
        <v>145</v>
      </c>
      <c r="L831">
        <v>161</v>
      </c>
      <c r="M831">
        <v>306</v>
      </c>
      <c r="N831">
        <v>868</v>
      </c>
      <c r="O831">
        <v>862</v>
      </c>
      <c r="P831">
        <v>856</v>
      </c>
      <c r="Q831">
        <v>666</v>
      </c>
      <c r="R831">
        <v>531</v>
      </c>
      <c r="S831">
        <v>251</v>
      </c>
      <c r="T831">
        <v>82</v>
      </c>
      <c r="U831">
        <v>3565</v>
      </c>
    </row>
    <row r="832" spans="1:21" x14ac:dyDescent="0.25">
      <c r="A832">
        <v>2025</v>
      </c>
      <c r="B832">
        <v>5</v>
      </c>
      <c r="C832" t="s">
        <v>49</v>
      </c>
      <c r="D832" t="s">
        <v>45</v>
      </c>
      <c r="E832" t="s">
        <v>50</v>
      </c>
      <c r="F832" t="s">
        <v>28</v>
      </c>
      <c r="G832" t="s">
        <v>25</v>
      </c>
      <c r="H832" t="s">
        <v>26</v>
      </c>
      <c r="I832" t="s">
        <v>25</v>
      </c>
      <c r="J832">
        <v>557</v>
      </c>
      <c r="K832">
        <v>3</v>
      </c>
      <c r="L832">
        <v>29</v>
      </c>
      <c r="M832">
        <v>32</v>
      </c>
      <c r="N832">
        <v>352</v>
      </c>
      <c r="O832">
        <v>315</v>
      </c>
      <c r="P832">
        <v>298</v>
      </c>
      <c r="Q832">
        <v>244</v>
      </c>
      <c r="R832">
        <v>200</v>
      </c>
      <c r="S832">
        <v>105</v>
      </c>
      <c r="T832">
        <v>39</v>
      </c>
      <c r="U832">
        <v>550</v>
      </c>
    </row>
    <row r="833" spans="1:21" x14ac:dyDescent="0.25">
      <c r="A833">
        <v>2025</v>
      </c>
      <c r="B833">
        <v>5</v>
      </c>
      <c r="C833" t="s">
        <v>49</v>
      </c>
      <c r="D833" t="s">
        <v>45</v>
      </c>
      <c r="E833" t="s">
        <v>50</v>
      </c>
      <c r="F833" t="s">
        <v>24</v>
      </c>
      <c r="G833" t="s">
        <v>25</v>
      </c>
      <c r="H833" t="s">
        <v>26</v>
      </c>
      <c r="I833" t="s">
        <v>25</v>
      </c>
      <c r="J833">
        <v>62</v>
      </c>
      <c r="K833">
        <v>0</v>
      </c>
      <c r="L833">
        <v>12</v>
      </c>
      <c r="M833">
        <v>12</v>
      </c>
      <c r="N833">
        <v>37</v>
      </c>
      <c r="O833">
        <v>35</v>
      </c>
      <c r="P833">
        <v>33</v>
      </c>
      <c r="Q833">
        <v>25</v>
      </c>
      <c r="R833">
        <v>22</v>
      </c>
      <c r="S833">
        <v>15</v>
      </c>
      <c r="T833">
        <v>7</v>
      </c>
      <c r="U833">
        <v>57</v>
      </c>
    </row>
    <row r="834" spans="1:21" x14ac:dyDescent="0.25">
      <c r="A834">
        <v>2025</v>
      </c>
      <c r="B834">
        <v>5</v>
      </c>
      <c r="C834" t="s">
        <v>51</v>
      </c>
      <c r="D834" t="s">
        <v>22</v>
      </c>
      <c r="E834" t="s">
        <v>31</v>
      </c>
      <c r="F834" t="s">
        <v>24</v>
      </c>
      <c r="G834" t="s">
        <v>25</v>
      </c>
      <c r="H834" t="s">
        <v>25</v>
      </c>
      <c r="I834" t="s">
        <v>25</v>
      </c>
      <c r="J834">
        <v>185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185</v>
      </c>
    </row>
    <row r="835" spans="1:21" x14ac:dyDescent="0.25">
      <c r="A835">
        <v>2025</v>
      </c>
      <c r="B835">
        <v>5</v>
      </c>
      <c r="C835" t="s">
        <v>51</v>
      </c>
      <c r="D835" t="s">
        <v>22</v>
      </c>
      <c r="E835" t="s">
        <v>34</v>
      </c>
      <c r="F835" t="s">
        <v>24</v>
      </c>
      <c r="G835" t="s">
        <v>25</v>
      </c>
      <c r="H835" t="s">
        <v>26</v>
      </c>
      <c r="I835" t="s">
        <v>26</v>
      </c>
      <c r="J835">
        <v>151</v>
      </c>
      <c r="K835">
        <v>0</v>
      </c>
      <c r="L835">
        <v>0</v>
      </c>
      <c r="M835">
        <v>0</v>
      </c>
      <c r="N835">
        <v>11</v>
      </c>
      <c r="O835">
        <v>9</v>
      </c>
      <c r="P835">
        <v>8</v>
      </c>
      <c r="Q835">
        <v>6</v>
      </c>
      <c r="R835">
        <v>5</v>
      </c>
      <c r="S835">
        <v>4</v>
      </c>
      <c r="T835">
        <v>0</v>
      </c>
      <c r="U835">
        <v>151</v>
      </c>
    </row>
    <row r="836" spans="1:21" x14ac:dyDescent="0.25">
      <c r="A836">
        <v>2025</v>
      </c>
      <c r="B836">
        <v>5</v>
      </c>
      <c r="C836" t="s">
        <v>52</v>
      </c>
      <c r="D836" t="s">
        <v>22</v>
      </c>
      <c r="E836" t="s">
        <v>31</v>
      </c>
      <c r="F836" t="s">
        <v>24</v>
      </c>
      <c r="G836" t="s">
        <v>25</v>
      </c>
      <c r="H836" t="s">
        <v>25</v>
      </c>
      <c r="I836" t="s">
        <v>25</v>
      </c>
      <c r="J836">
        <v>124</v>
      </c>
      <c r="K836">
        <v>0</v>
      </c>
      <c r="L836">
        <v>0</v>
      </c>
      <c r="M836">
        <v>0</v>
      </c>
      <c r="N836">
        <v>5</v>
      </c>
      <c r="O836">
        <v>5</v>
      </c>
      <c r="P836">
        <v>5</v>
      </c>
      <c r="Q836">
        <v>2</v>
      </c>
      <c r="R836">
        <v>2</v>
      </c>
      <c r="S836">
        <v>1</v>
      </c>
      <c r="T836">
        <v>1</v>
      </c>
      <c r="U836">
        <v>124</v>
      </c>
    </row>
    <row r="837" spans="1:21" x14ac:dyDescent="0.25">
      <c r="A837">
        <v>2025</v>
      </c>
      <c r="B837">
        <v>5</v>
      </c>
      <c r="C837" t="s">
        <v>52</v>
      </c>
      <c r="D837" t="s">
        <v>22</v>
      </c>
      <c r="E837" t="s">
        <v>32</v>
      </c>
      <c r="F837" t="s">
        <v>24</v>
      </c>
      <c r="G837" t="s">
        <v>25</v>
      </c>
      <c r="H837" t="s">
        <v>26</v>
      </c>
      <c r="I837" t="s">
        <v>25</v>
      </c>
      <c r="J837">
        <v>554</v>
      </c>
      <c r="K837">
        <v>0</v>
      </c>
      <c r="L837">
        <v>0</v>
      </c>
      <c r="M837">
        <v>0</v>
      </c>
      <c r="N837">
        <v>118</v>
      </c>
      <c r="O837">
        <v>103</v>
      </c>
      <c r="P837">
        <v>98</v>
      </c>
      <c r="Q837">
        <v>79</v>
      </c>
      <c r="R837">
        <v>61</v>
      </c>
      <c r="S837">
        <v>23</v>
      </c>
      <c r="T837">
        <v>6</v>
      </c>
      <c r="U837">
        <v>554</v>
      </c>
    </row>
    <row r="838" spans="1:21" x14ac:dyDescent="0.25">
      <c r="A838">
        <v>2025</v>
      </c>
      <c r="B838">
        <v>5</v>
      </c>
      <c r="C838" t="s">
        <v>52</v>
      </c>
      <c r="D838" t="s">
        <v>22</v>
      </c>
      <c r="E838" t="s">
        <v>34</v>
      </c>
      <c r="F838" t="s">
        <v>24</v>
      </c>
      <c r="G838" t="s">
        <v>25</v>
      </c>
      <c r="H838" t="s">
        <v>26</v>
      </c>
      <c r="I838" t="s">
        <v>26</v>
      </c>
      <c r="J838">
        <v>180</v>
      </c>
      <c r="K838">
        <v>1</v>
      </c>
      <c r="L838">
        <v>0</v>
      </c>
      <c r="M838">
        <v>1</v>
      </c>
      <c r="N838">
        <v>11</v>
      </c>
      <c r="O838">
        <v>7</v>
      </c>
      <c r="P838">
        <v>6</v>
      </c>
      <c r="Q838">
        <v>5</v>
      </c>
      <c r="R838">
        <v>3</v>
      </c>
      <c r="S838">
        <v>1</v>
      </c>
      <c r="T838">
        <v>1</v>
      </c>
      <c r="U838">
        <v>179</v>
      </c>
    </row>
    <row r="839" spans="1:21" x14ac:dyDescent="0.25">
      <c r="A839">
        <v>2025</v>
      </c>
      <c r="B839">
        <v>5</v>
      </c>
      <c r="C839" t="s">
        <v>52</v>
      </c>
      <c r="D839" t="s">
        <v>22</v>
      </c>
      <c r="E839" t="s">
        <v>23</v>
      </c>
      <c r="F839" t="s">
        <v>24</v>
      </c>
      <c r="G839" t="s">
        <v>25</v>
      </c>
      <c r="H839" t="s">
        <v>26</v>
      </c>
      <c r="I839" t="s">
        <v>25</v>
      </c>
      <c r="J839">
        <v>238</v>
      </c>
      <c r="K839">
        <v>0</v>
      </c>
      <c r="L839">
        <v>0</v>
      </c>
      <c r="M839">
        <v>0</v>
      </c>
      <c r="N839">
        <v>1</v>
      </c>
      <c r="O839">
        <v>1</v>
      </c>
      <c r="P839">
        <v>1</v>
      </c>
      <c r="Q839">
        <v>1</v>
      </c>
      <c r="R839">
        <v>1</v>
      </c>
      <c r="S839">
        <v>1</v>
      </c>
      <c r="T839">
        <v>0</v>
      </c>
      <c r="U839">
        <v>238</v>
      </c>
    </row>
    <row r="840" spans="1:21" x14ac:dyDescent="0.25">
      <c r="A840">
        <v>2025</v>
      </c>
      <c r="B840">
        <v>5</v>
      </c>
      <c r="C840" t="s">
        <v>52</v>
      </c>
      <c r="D840" t="s">
        <v>22</v>
      </c>
      <c r="E840" t="s">
        <v>35</v>
      </c>
      <c r="F840" t="s">
        <v>24</v>
      </c>
      <c r="G840" t="s">
        <v>25</v>
      </c>
      <c r="H840" t="s">
        <v>26</v>
      </c>
      <c r="I840" t="s">
        <v>26</v>
      </c>
      <c r="J840">
        <v>1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1</v>
      </c>
    </row>
    <row r="841" spans="1:21" x14ac:dyDescent="0.25">
      <c r="A841">
        <v>2025</v>
      </c>
      <c r="B841">
        <v>5</v>
      </c>
      <c r="C841" t="s">
        <v>52</v>
      </c>
      <c r="D841" t="s">
        <v>22</v>
      </c>
      <c r="E841" t="s">
        <v>36</v>
      </c>
      <c r="F841" t="s">
        <v>24</v>
      </c>
      <c r="G841" t="s">
        <v>25</v>
      </c>
      <c r="H841" t="s">
        <v>26</v>
      </c>
      <c r="I841" t="s">
        <v>25</v>
      </c>
      <c r="J841">
        <v>280</v>
      </c>
      <c r="K841">
        <v>0</v>
      </c>
      <c r="L841">
        <v>0</v>
      </c>
      <c r="M841">
        <v>0</v>
      </c>
      <c r="N841">
        <v>44</v>
      </c>
      <c r="O841">
        <v>34</v>
      </c>
      <c r="P841">
        <v>29</v>
      </c>
      <c r="Q841">
        <v>10</v>
      </c>
      <c r="R841">
        <v>4</v>
      </c>
      <c r="S841">
        <v>2</v>
      </c>
      <c r="T841">
        <v>1</v>
      </c>
      <c r="U841">
        <v>280</v>
      </c>
    </row>
    <row r="842" spans="1:21" x14ac:dyDescent="0.25">
      <c r="A842">
        <v>2025</v>
      </c>
      <c r="B842">
        <v>5</v>
      </c>
      <c r="C842" t="s">
        <v>52</v>
      </c>
      <c r="D842" t="s">
        <v>22</v>
      </c>
      <c r="E842" t="s">
        <v>41</v>
      </c>
      <c r="F842" t="s">
        <v>24</v>
      </c>
      <c r="G842" t="s">
        <v>26</v>
      </c>
      <c r="H842" t="s">
        <v>26</v>
      </c>
      <c r="I842" t="s">
        <v>25</v>
      </c>
      <c r="J842">
        <v>216</v>
      </c>
      <c r="K842">
        <v>0</v>
      </c>
      <c r="L842">
        <v>0</v>
      </c>
      <c r="M842">
        <v>0</v>
      </c>
      <c r="N842">
        <v>107</v>
      </c>
      <c r="O842">
        <v>96</v>
      </c>
      <c r="P842">
        <v>87</v>
      </c>
      <c r="Q842">
        <v>73</v>
      </c>
      <c r="R842">
        <v>42</v>
      </c>
      <c r="S842">
        <v>9</v>
      </c>
      <c r="T842">
        <v>0</v>
      </c>
      <c r="U842">
        <v>216</v>
      </c>
    </row>
    <row r="843" spans="1:21" x14ac:dyDescent="0.25">
      <c r="A843">
        <v>2025</v>
      </c>
      <c r="B843">
        <v>5</v>
      </c>
      <c r="C843" t="s">
        <v>53</v>
      </c>
      <c r="D843" t="s">
        <v>22</v>
      </c>
      <c r="E843" t="s">
        <v>54</v>
      </c>
      <c r="F843" t="s">
        <v>24</v>
      </c>
      <c r="G843" t="s">
        <v>25</v>
      </c>
      <c r="H843" t="s">
        <v>26</v>
      </c>
      <c r="I843" t="s">
        <v>25</v>
      </c>
      <c r="J843">
        <v>852</v>
      </c>
      <c r="K843">
        <v>8</v>
      </c>
      <c r="L843">
        <v>12</v>
      </c>
      <c r="M843">
        <v>20</v>
      </c>
      <c r="N843">
        <v>123</v>
      </c>
      <c r="O843">
        <v>82</v>
      </c>
      <c r="P843">
        <v>70</v>
      </c>
      <c r="Q843">
        <v>41</v>
      </c>
      <c r="R843">
        <v>18</v>
      </c>
      <c r="S843">
        <v>3</v>
      </c>
      <c r="T843">
        <v>1</v>
      </c>
      <c r="U843">
        <v>844</v>
      </c>
    </row>
    <row r="844" spans="1:21" x14ac:dyDescent="0.25">
      <c r="A844">
        <v>2025</v>
      </c>
      <c r="B844">
        <v>5</v>
      </c>
      <c r="C844" t="s">
        <v>53</v>
      </c>
      <c r="D844" t="s">
        <v>22</v>
      </c>
      <c r="E844" t="s">
        <v>55</v>
      </c>
      <c r="F844" t="s">
        <v>28</v>
      </c>
      <c r="G844" t="s">
        <v>25</v>
      </c>
      <c r="H844" t="s">
        <v>26</v>
      </c>
      <c r="I844" t="s">
        <v>25</v>
      </c>
      <c r="J844">
        <v>2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2</v>
      </c>
    </row>
    <row r="845" spans="1:21" x14ac:dyDescent="0.25">
      <c r="A845">
        <v>2025</v>
      </c>
      <c r="B845">
        <v>5</v>
      </c>
      <c r="C845" t="s">
        <v>53</v>
      </c>
      <c r="D845" t="s">
        <v>22</v>
      </c>
      <c r="E845" t="s">
        <v>55</v>
      </c>
      <c r="F845" t="s">
        <v>24</v>
      </c>
      <c r="G845" t="s">
        <v>25</v>
      </c>
      <c r="H845" t="s">
        <v>26</v>
      </c>
      <c r="I845" t="s">
        <v>25</v>
      </c>
      <c r="J845">
        <v>768</v>
      </c>
      <c r="K845">
        <v>7</v>
      </c>
      <c r="L845">
        <v>7</v>
      </c>
      <c r="M845">
        <v>14</v>
      </c>
      <c r="N845">
        <v>60</v>
      </c>
      <c r="O845">
        <v>44</v>
      </c>
      <c r="P845">
        <v>38</v>
      </c>
      <c r="Q845">
        <v>25</v>
      </c>
      <c r="R845">
        <v>16</v>
      </c>
      <c r="S845">
        <v>5</v>
      </c>
      <c r="T845">
        <v>0</v>
      </c>
      <c r="U845">
        <v>761</v>
      </c>
    </row>
    <row r="846" spans="1:21" x14ac:dyDescent="0.25">
      <c r="A846">
        <v>2025</v>
      </c>
      <c r="B846">
        <v>5</v>
      </c>
      <c r="C846" t="s">
        <v>53</v>
      </c>
      <c r="D846" t="s">
        <v>22</v>
      </c>
      <c r="E846" t="s">
        <v>23</v>
      </c>
      <c r="F846" t="s">
        <v>28</v>
      </c>
      <c r="G846" t="s">
        <v>25</v>
      </c>
      <c r="H846" t="s">
        <v>26</v>
      </c>
      <c r="I846" t="s">
        <v>25</v>
      </c>
      <c r="J846">
        <v>37039</v>
      </c>
      <c r="K846">
        <v>0</v>
      </c>
      <c r="L846">
        <v>2967</v>
      </c>
      <c r="M846">
        <v>2967</v>
      </c>
      <c r="N846">
        <v>4077</v>
      </c>
      <c r="O846">
        <v>2267</v>
      </c>
      <c r="P846">
        <v>1786</v>
      </c>
      <c r="Q846">
        <v>925</v>
      </c>
      <c r="R846">
        <v>436</v>
      </c>
      <c r="S846">
        <v>41</v>
      </c>
      <c r="T846">
        <v>2</v>
      </c>
      <c r="U846">
        <v>34759</v>
      </c>
    </row>
    <row r="847" spans="1:21" x14ac:dyDescent="0.25">
      <c r="A847">
        <v>2025</v>
      </c>
      <c r="B847">
        <v>5</v>
      </c>
      <c r="C847" t="s">
        <v>53</v>
      </c>
      <c r="D847" t="s">
        <v>22</v>
      </c>
      <c r="E847" t="s">
        <v>23</v>
      </c>
      <c r="F847" t="s">
        <v>24</v>
      </c>
      <c r="G847" t="s">
        <v>25</v>
      </c>
      <c r="H847" t="s">
        <v>26</v>
      </c>
      <c r="I847" t="s">
        <v>25</v>
      </c>
      <c r="J847">
        <v>502</v>
      </c>
      <c r="K847">
        <v>18</v>
      </c>
      <c r="L847">
        <v>6</v>
      </c>
      <c r="M847">
        <v>24</v>
      </c>
      <c r="N847">
        <v>219</v>
      </c>
      <c r="O847">
        <v>192</v>
      </c>
      <c r="P847">
        <v>184</v>
      </c>
      <c r="Q847">
        <v>166</v>
      </c>
      <c r="R847">
        <v>130</v>
      </c>
      <c r="S847">
        <v>60</v>
      </c>
      <c r="T847">
        <v>22</v>
      </c>
      <c r="U847">
        <v>481</v>
      </c>
    </row>
    <row r="848" spans="1:21" x14ac:dyDescent="0.25">
      <c r="A848">
        <v>2025</v>
      </c>
      <c r="B848">
        <v>5</v>
      </c>
      <c r="C848" t="s">
        <v>53</v>
      </c>
      <c r="D848" t="s">
        <v>22</v>
      </c>
      <c r="E848" t="s">
        <v>56</v>
      </c>
      <c r="F848" t="s">
        <v>28</v>
      </c>
      <c r="G848" t="s">
        <v>25</v>
      </c>
      <c r="H848" t="s">
        <v>26</v>
      </c>
      <c r="I848" t="s">
        <v>25</v>
      </c>
      <c r="J848">
        <v>3202</v>
      </c>
      <c r="K848">
        <v>0</v>
      </c>
      <c r="L848">
        <v>609</v>
      </c>
      <c r="M848">
        <v>609</v>
      </c>
      <c r="N848">
        <v>465</v>
      </c>
      <c r="O848">
        <v>290</v>
      </c>
      <c r="P848">
        <v>249</v>
      </c>
      <c r="Q848">
        <v>149</v>
      </c>
      <c r="R848">
        <v>76</v>
      </c>
      <c r="S848">
        <v>19</v>
      </c>
      <c r="T848">
        <v>0</v>
      </c>
      <c r="U848">
        <v>2783</v>
      </c>
    </row>
    <row r="849" spans="1:21" x14ac:dyDescent="0.25">
      <c r="A849">
        <v>2025</v>
      </c>
      <c r="B849">
        <v>5</v>
      </c>
      <c r="C849" t="s">
        <v>53</v>
      </c>
      <c r="D849" t="s">
        <v>22</v>
      </c>
      <c r="E849" t="s">
        <v>39</v>
      </c>
      <c r="F849" t="s">
        <v>24</v>
      </c>
      <c r="G849" t="s">
        <v>26</v>
      </c>
      <c r="H849" t="s">
        <v>26</v>
      </c>
      <c r="I849" t="s">
        <v>25</v>
      </c>
      <c r="J849">
        <v>464</v>
      </c>
      <c r="K849">
        <v>1</v>
      </c>
      <c r="L849">
        <v>9</v>
      </c>
      <c r="M849">
        <v>10</v>
      </c>
      <c r="N849">
        <v>149</v>
      </c>
      <c r="O849">
        <v>135</v>
      </c>
      <c r="P849">
        <v>132</v>
      </c>
      <c r="Q849">
        <v>123</v>
      </c>
      <c r="R849">
        <v>81</v>
      </c>
      <c r="S849">
        <v>32</v>
      </c>
      <c r="T849">
        <v>11</v>
      </c>
      <c r="U849">
        <v>461</v>
      </c>
    </row>
    <row r="850" spans="1:21" x14ac:dyDescent="0.25">
      <c r="A850">
        <v>2025</v>
      </c>
      <c r="B850">
        <v>5</v>
      </c>
      <c r="C850" t="s">
        <v>53</v>
      </c>
      <c r="D850" t="s">
        <v>22</v>
      </c>
      <c r="E850" t="s">
        <v>35</v>
      </c>
      <c r="F850" t="s">
        <v>24</v>
      </c>
      <c r="G850" t="s">
        <v>25</v>
      </c>
      <c r="H850" t="s">
        <v>26</v>
      </c>
      <c r="I850" t="s">
        <v>26</v>
      </c>
      <c r="J850">
        <v>186</v>
      </c>
      <c r="K850">
        <v>5</v>
      </c>
      <c r="L850">
        <v>2</v>
      </c>
      <c r="M850">
        <v>7</v>
      </c>
      <c r="N850">
        <v>106</v>
      </c>
      <c r="O850">
        <v>95</v>
      </c>
      <c r="P850">
        <v>90</v>
      </c>
      <c r="Q850">
        <v>81</v>
      </c>
      <c r="R850">
        <v>69</v>
      </c>
      <c r="S850">
        <v>41</v>
      </c>
      <c r="T850">
        <v>21</v>
      </c>
      <c r="U850">
        <v>180</v>
      </c>
    </row>
    <row r="851" spans="1:21" x14ac:dyDescent="0.25">
      <c r="A851">
        <v>2025</v>
      </c>
      <c r="B851">
        <v>5</v>
      </c>
      <c r="C851" t="s">
        <v>53</v>
      </c>
      <c r="D851" t="s">
        <v>22</v>
      </c>
      <c r="E851" t="s">
        <v>57</v>
      </c>
      <c r="F851" t="s">
        <v>28</v>
      </c>
      <c r="G851" t="s">
        <v>25</v>
      </c>
      <c r="H851" t="s">
        <v>26</v>
      </c>
      <c r="I851" t="s">
        <v>26</v>
      </c>
      <c r="J851">
        <v>15</v>
      </c>
      <c r="K851">
        <v>0</v>
      </c>
      <c r="L851">
        <v>0</v>
      </c>
      <c r="M851">
        <v>0</v>
      </c>
      <c r="N851">
        <v>6</v>
      </c>
      <c r="O851">
        <v>5</v>
      </c>
      <c r="P851">
        <v>3</v>
      </c>
      <c r="Q851">
        <v>1</v>
      </c>
      <c r="R851">
        <v>1</v>
      </c>
      <c r="S851">
        <v>0</v>
      </c>
      <c r="T851">
        <v>0</v>
      </c>
      <c r="U851">
        <v>15</v>
      </c>
    </row>
    <row r="852" spans="1:21" x14ac:dyDescent="0.25">
      <c r="A852">
        <v>2025</v>
      </c>
      <c r="B852">
        <v>5</v>
      </c>
      <c r="C852" t="s">
        <v>53</v>
      </c>
      <c r="D852" t="s">
        <v>22</v>
      </c>
      <c r="E852" t="s">
        <v>58</v>
      </c>
      <c r="F852" t="s">
        <v>28</v>
      </c>
      <c r="G852" t="s">
        <v>25</v>
      </c>
      <c r="H852" t="s">
        <v>25</v>
      </c>
      <c r="I852" t="s">
        <v>25</v>
      </c>
      <c r="J852">
        <v>3754</v>
      </c>
      <c r="K852">
        <v>0</v>
      </c>
      <c r="L852">
        <v>97</v>
      </c>
      <c r="M852">
        <v>97</v>
      </c>
      <c r="N852">
        <v>244</v>
      </c>
      <c r="O852">
        <v>119</v>
      </c>
      <c r="P852">
        <v>91</v>
      </c>
      <c r="Q852">
        <v>52</v>
      </c>
      <c r="R852">
        <v>18</v>
      </c>
      <c r="S852">
        <v>4</v>
      </c>
      <c r="T852">
        <v>0</v>
      </c>
      <c r="U852">
        <v>3668</v>
      </c>
    </row>
    <row r="853" spans="1:21" x14ac:dyDescent="0.25">
      <c r="A853">
        <v>2025</v>
      </c>
      <c r="B853">
        <v>5</v>
      </c>
      <c r="C853" t="s">
        <v>53</v>
      </c>
      <c r="D853" t="s">
        <v>22</v>
      </c>
      <c r="E853" t="s">
        <v>59</v>
      </c>
      <c r="F853" t="s">
        <v>28</v>
      </c>
      <c r="G853" t="s">
        <v>25</v>
      </c>
      <c r="H853" t="s">
        <v>25</v>
      </c>
      <c r="I853" t="s">
        <v>25</v>
      </c>
      <c r="J853">
        <v>78428</v>
      </c>
      <c r="K853">
        <v>1</v>
      </c>
      <c r="L853">
        <v>2910</v>
      </c>
      <c r="M853">
        <v>2911</v>
      </c>
      <c r="N853">
        <v>4932</v>
      </c>
      <c r="O853">
        <v>2345</v>
      </c>
      <c r="P853">
        <v>1727</v>
      </c>
      <c r="Q853">
        <v>685</v>
      </c>
      <c r="R853">
        <v>262</v>
      </c>
      <c r="S853">
        <v>28</v>
      </c>
      <c r="T853">
        <v>0</v>
      </c>
      <c r="U853">
        <v>76175</v>
      </c>
    </row>
    <row r="854" spans="1:21" x14ac:dyDescent="0.25">
      <c r="A854">
        <v>2025</v>
      </c>
      <c r="B854">
        <v>5</v>
      </c>
      <c r="C854" t="s">
        <v>53</v>
      </c>
      <c r="D854" t="s">
        <v>22</v>
      </c>
      <c r="E854" t="s">
        <v>60</v>
      </c>
      <c r="F854" t="s">
        <v>28</v>
      </c>
      <c r="G854" t="s">
        <v>25</v>
      </c>
      <c r="H854" t="s">
        <v>25</v>
      </c>
      <c r="I854" t="s">
        <v>25</v>
      </c>
      <c r="J854">
        <v>40096</v>
      </c>
      <c r="K854">
        <v>0</v>
      </c>
      <c r="L854">
        <v>1064</v>
      </c>
      <c r="M854">
        <v>1064</v>
      </c>
      <c r="N854">
        <v>2320</v>
      </c>
      <c r="O854">
        <v>896</v>
      </c>
      <c r="P854">
        <v>606</v>
      </c>
      <c r="Q854">
        <v>220</v>
      </c>
      <c r="R854">
        <v>88</v>
      </c>
      <c r="S854">
        <v>8</v>
      </c>
      <c r="T854">
        <v>1</v>
      </c>
      <c r="U854">
        <v>39233</v>
      </c>
    </row>
    <row r="855" spans="1:21" x14ac:dyDescent="0.25">
      <c r="A855">
        <v>2025</v>
      </c>
      <c r="B855">
        <v>5</v>
      </c>
      <c r="C855" t="s">
        <v>61</v>
      </c>
      <c r="D855" t="s">
        <v>22</v>
      </c>
      <c r="E855" t="s">
        <v>31</v>
      </c>
      <c r="F855" t="s">
        <v>28</v>
      </c>
      <c r="G855" t="s">
        <v>25</v>
      </c>
      <c r="H855" t="s">
        <v>26</v>
      </c>
      <c r="I855" t="s">
        <v>25</v>
      </c>
      <c r="J855">
        <v>1021</v>
      </c>
      <c r="K855">
        <v>59</v>
      </c>
      <c r="L855">
        <v>35</v>
      </c>
      <c r="M855">
        <v>94</v>
      </c>
      <c r="N855">
        <v>156</v>
      </c>
      <c r="O855">
        <v>87</v>
      </c>
      <c r="P855">
        <v>64</v>
      </c>
      <c r="Q855">
        <v>37</v>
      </c>
      <c r="R855">
        <v>25</v>
      </c>
      <c r="S855">
        <v>15</v>
      </c>
      <c r="T855">
        <v>6</v>
      </c>
      <c r="U855">
        <v>944</v>
      </c>
    </row>
    <row r="856" spans="1:21" x14ac:dyDescent="0.25">
      <c r="A856">
        <v>2025</v>
      </c>
      <c r="B856">
        <v>5</v>
      </c>
      <c r="C856" t="s">
        <v>61</v>
      </c>
      <c r="D856" t="s">
        <v>22</v>
      </c>
      <c r="E856" t="s">
        <v>31</v>
      </c>
      <c r="F856" t="s">
        <v>24</v>
      </c>
      <c r="G856" t="s">
        <v>25</v>
      </c>
      <c r="H856" t="s">
        <v>26</v>
      </c>
      <c r="I856" t="s">
        <v>25</v>
      </c>
      <c r="J856">
        <v>958</v>
      </c>
      <c r="K856">
        <v>0</v>
      </c>
      <c r="L856">
        <v>4</v>
      </c>
      <c r="M856">
        <v>4</v>
      </c>
      <c r="N856">
        <v>211</v>
      </c>
      <c r="O856">
        <v>141</v>
      </c>
      <c r="P856">
        <v>124</v>
      </c>
      <c r="Q856">
        <v>79</v>
      </c>
      <c r="R856">
        <v>51</v>
      </c>
      <c r="S856">
        <v>19</v>
      </c>
      <c r="T856">
        <v>4</v>
      </c>
      <c r="U856">
        <v>957</v>
      </c>
    </row>
    <row r="857" spans="1:21" x14ac:dyDescent="0.25">
      <c r="A857">
        <v>2025</v>
      </c>
      <c r="B857">
        <v>5</v>
      </c>
      <c r="C857" t="s">
        <v>61</v>
      </c>
      <c r="D857" t="s">
        <v>22</v>
      </c>
      <c r="E857" t="s">
        <v>32</v>
      </c>
      <c r="F857" t="s">
        <v>28</v>
      </c>
      <c r="G857" t="s">
        <v>25</v>
      </c>
      <c r="H857" t="s">
        <v>26</v>
      </c>
      <c r="I857" t="s">
        <v>25</v>
      </c>
      <c r="J857">
        <v>38</v>
      </c>
      <c r="K857">
        <v>0</v>
      </c>
      <c r="L857">
        <v>0</v>
      </c>
      <c r="M857">
        <v>0</v>
      </c>
      <c r="N857">
        <v>23</v>
      </c>
      <c r="O857">
        <v>20</v>
      </c>
      <c r="P857">
        <v>19</v>
      </c>
      <c r="Q857">
        <v>16</v>
      </c>
      <c r="R857">
        <v>11</v>
      </c>
      <c r="S857">
        <v>5</v>
      </c>
      <c r="T857">
        <v>0</v>
      </c>
      <c r="U857">
        <v>38</v>
      </c>
    </row>
    <row r="858" spans="1:21" x14ac:dyDescent="0.25">
      <c r="A858">
        <v>2025</v>
      </c>
      <c r="B858">
        <v>5</v>
      </c>
      <c r="C858" t="s">
        <v>61</v>
      </c>
      <c r="D858" t="s">
        <v>22</v>
      </c>
      <c r="E858" t="s">
        <v>32</v>
      </c>
      <c r="F858" t="s">
        <v>24</v>
      </c>
      <c r="G858" t="s">
        <v>25</v>
      </c>
      <c r="H858" t="s">
        <v>26</v>
      </c>
      <c r="I858" t="s">
        <v>25</v>
      </c>
      <c r="J858">
        <v>1512</v>
      </c>
      <c r="K858">
        <v>10</v>
      </c>
      <c r="L858">
        <v>0</v>
      </c>
      <c r="M858">
        <v>10</v>
      </c>
      <c r="N858">
        <v>684</v>
      </c>
      <c r="O858">
        <v>568</v>
      </c>
      <c r="P858">
        <v>525</v>
      </c>
      <c r="Q858">
        <v>386</v>
      </c>
      <c r="R858">
        <v>290</v>
      </c>
      <c r="S858">
        <v>87</v>
      </c>
      <c r="T858">
        <v>24</v>
      </c>
      <c r="U858">
        <v>1502</v>
      </c>
    </row>
    <row r="859" spans="1:21" x14ac:dyDescent="0.25">
      <c r="A859">
        <v>2025</v>
      </c>
      <c r="B859">
        <v>5</v>
      </c>
      <c r="C859" t="s">
        <v>61</v>
      </c>
      <c r="D859" t="s">
        <v>22</v>
      </c>
      <c r="E859" t="s">
        <v>38</v>
      </c>
      <c r="F859" t="s">
        <v>24</v>
      </c>
      <c r="G859" t="s">
        <v>25</v>
      </c>
      <c r="H859" t="s">
        <v>26</v>
      </c>
      <c r="I859" t="s">
        <v>25</v>
      </c>
      <c r="J859">
        <v>1</v>
      </c>
      <c r="K859">
        <v>0</v>
      </c>
      <c r="L859">
        <v>0</v>
      </c>
      <c r="M859">
        <v>0</v>
      </c>
      <c r="N859">
        <v>1</v>
      </c>
      <c r="O859">
        <v>1</v>
      </c>
      <c r="P859">
        <v>1</v>
      </c>
      <c r="Q859">
        <v>1</v>
      </c>
      <c r="R859">
        <v>1</v>
      </c>
      <c r="S859">
        <v>1</v>
      </c>
      <c r="T859">
        <v>1</v>
      </c>
      <c r="U859">
        <v>1</v>
      </c>
    </row>
    <row r="860" spans="1:21" x14ac:dyDescent="0.25">
      <c r="A860">
        <v>2025</v>
      </c>
      <c r="B860">
        <v>5</v>
      </c>
      <c r="C860" t="s">
        <v>61</v>
      </c>
      <c r="D860" t="s">
        <v>22</v>
      </c>
      <c r="E860" t="s">
        <v>34</v>
      </c>
      <c r="F860" t="s">
        <v>24</v>
      </c>
      <c r="G860" t="s">
        <v>25</v>
      </c>
      <c r="H860" t="s">
        <v>26</v>
      </c>
      <c r="I860" t="s">
        <v>26</v>
      </c>
      <c r="J860">
        <v>366</v>
      </c>
      <c r="K860">
        <v>0</v>
      </c>
      <c r="L860">
        <v>0</v>
      </c>
      <c r="M860">
        <v>0</v>
      </c>
      <c r="N860">
        <v>55</v>
      </c>
      <c r="O860">
        <v>40</v>
      </c>
      <c r="P860">
        <v>33</v>
      </c>
      <c r="Q860">
        <v>26</v>
      </c>
      <c r="R860">
        <v>21</v>
      </c>
      <c r="S860">
        <v>16</v>
      </c>
      <c r="T860">
        <v>5</v>
      </c>
      <c r="U860">
        <v>366</v>
      </c>
    </row>
    <row r="861" spans="1:21" x14ac:dyDescent="0.25">
      <c r="A861">
        <v>2025</v>
      </c>
      <c r="B861">
        <v>5</v>
      </c>
      <c r="C861" t="s">
        <v>61</v>
      </c>
      <c r="D861" t="s">
        <v>22</v>
      </c>
      <c r="E861" t="s">
        <v>23</v>
      </c>
      <c r="F861" t="s">
        <v>28</v>
      </c>
      <c r="G861" t="s">
        <v>25</v>
      </c>
      <c r="H861" t="s">
        <v>26</v>
      </c>
      <c r="I861" t="s">
        <v>25</v>
      </c>
      <c r="J861">
        <v>1795</v>
      </c>
      <c r="K861">
        <v>1</v>
      </c>
      <c r="L861">
        <v>10</v>
      </c>
      <c r="M861">
        <v>11</v>
      </c>
      <c r="N861">
        <v>266</v>
      </c>
      <c r="O861">
        <v>180</v>
      </c>
      <c r="P861">
        <v>162</v>
      </c>
      <c r="Q861">
        <v>103</v>
      </c>
      <c r="R861">
        <v>67</v>
      </c>
      <c r="S861">
        <v>26</v>
      </c>
      <c r="T861">
        <v>5</v>
      </c>
      <c r="U861">
        <v>1787</v>
      </c>
    </row>
    <row r="862" spans="1:21" x14ac:dyDescent="0.25">
      <c r="A862">
        <v>2025</v>
      </c>
      <c r="B862">
        <v>5</v>
      </c>
      <c r="C862" t="s">
        <v>61</v>
      </c>
      <c r="D862" t="s">
        <v>22</v>
      </c>
      <c r="E862" t="s">
        <v>23</v>
      </c>
      <c r="F862" t="s">
        <v>24</v>
      </c>
      <c r="G862" t="s">
        <v>25</v>
      </c>
      <c r="H862" t="s">
        <v>26</v>
      </c>
      <c r="I862" t="s">
        <v>25</v>
      </c>
      <c r="J862">
        <v>577</v>
      </c>
      <c r="K862">
        <v>0</v>
      </c>
      <c r="L862">
        <v>0</v>
      </c>
      <c r="M862">
        <v>0</v>
      </c>
      <c r="N862">
        <v>68</v>
      </c>
      <c r="O862">
        <v>50</v>
      </c>
      <c r="P862">
        <v>44</v>
      </c>
      <c r="Q862">
        <v>27</v>
      </c>
      <c r="R862">
        <v>19</v>
      </c>
      <c r="S862">
        <v>12</v>
      </c>
      <c r="T862">
        <v>2</v>
      </c>
      <c r="U862">
        <v>577</v>
      </c>
    </row>
    <row r="863" spans="1:21" x14ac:dyDescent="0.25">
      <c r="A863">
        <v>2025</v>
      </c>
      <c r="B863">
        <v>5</v>
      </c>
      <c r="C863" t="s">
        <v>61</v>
      </c>
      <c r="D863" t="s">
        <v>22</v>
      </c>
      <c r="E863" t="s">
        <v>39</v>
      </c>
      <c r="F863" t="s">
        <v>28</v>
      </c>
      <c r="G863" t="s">
        <v>26</v>
      </c>
      <c r="H863" t="s">
        <v>26</v>
      </c>
      <c r="I863" t="s">
        <v>25</v>
      </c>
      <c r="J863">
        <v>31</v>
      </c>
      <c r="K863">
        <v>0</v>
      </c>
      <c r="L863">
        <v>4</v>
      </c>
      <c r="M863">
        <v>4</v>
      </c>
      <c r="N863">
        <v>6</v>
      </c>
      <c r="O863">
        <v>4</v>
      </c>
      <c r="P863">
        <v>3</v>
      </c>
      <c r="Q863">
        <v>2</v>
      </c>
      <c r="R863">
        <v>1</v>
      </c>
      <c r="S863">
        <v>0</v>
      </c>
      <c r="T863">
        <v>0</v>
      </c>
      <c r="U863">
        <v>31</v>
      </c>
    </row>
    <row r="864" spans="1:21" x14ac:dyDescent="0.25">
      <c r="A864">
        <v>2025</v>
      </c>
      <c r="B864">
        <v>5</v>
      </c>
      <c r="C864" t="s">
        <v>61</v>
      </c>
      <c r="D864" t="s">
        <v>22</v>
      </c>
      <c r="E864" t="s">
        <v>39</v>
      </c>
      <c r="F864" t="s">
        <v>24</v>
      </c>
      <c r="G864" t="s">
        <v>26</v>
      </c>
      <c r="H864" t="s">
        <v>26</v>
      </c>
      <c r="I864" t="s">
        <v>25</v>
      </c>
      <c r="J864">
        <v>676</v>
      </c>
      <c r="K864">
        <v>12</v>
      </c>
      <c r="L864">
        <v>0</v>
      </c>
      <c r="M864">
        <v>12</v>
      </c>
      <c r="N864">
        <v>238</v>
      </c>
      <c r="O864">
        <v>203</v>
      </c>
      <c r="P864">
        <v>186</v>
      </c>
      <c r="Q864">
        <v>149</v>
      </c>
      <c r="R864">
        <v>124</v>
      </c>
      <c r="S864">
        <v>69</v>
      </c>
      <c r="T864">
        <v>24</v>
      </c>
      <c r="U864">
        <v>664</v>
      </c>
    </row>
    <row r="865" spans="1:21" x14ac:dyDescent="0.25">
      <c r="A865">
        <v>2025</v>
      </c>
      <c r="B865">
        <v>5</v>
      </c>
      <c r="C865" t="s">
        <v>61</v>
      </c>
      <c r="D865" t="s">
        <v>22</v>
      </c>
      <c r="E865" t="s">
        <v>35</v>
      </c>
      <c r="F865" t="s">
        <v>28</v>
      </c>
      <c r="G865" t="s">
        <v>25</v>
      </c>
      <c r="H865" t="s">
        <v>26</v>
      </c>
      <c r="I865" t="s">
        <v>26</v>
      </c>
      <c r="J865">
        <v>64</v>
      </c>
      <c r="K865">
        <v>0</v>
      </c>
      <c r="L865">
        <v>1</v>
      </c>
      <c r="M865">
        <v>1</v>
      </c>
      <c r="N865">
        <v>17</v>
      </c>
      <c r="O865">
        <v>10</v>
      </c>
      <c r="P865">
        <v>6</v>
      </c>
      <c r="Q865">
        <v>5</v>
      </c>
      <c r="R865">
        <v>3</v>
      </c>
      <c r="S865">
        <v>2</v>
      </c>
      <c r="T865">
        <v>0</v>
      </c>
      <c r="U865">
        <v>63</v>
      </c>
    </row>
    <row r="866" spans="1:21" x14ac:dyDescent="0.25">
      <c r="A866">
        <v>2025</v>
      </c>
      <c r="B866">
        <v>5</v>
      </c>
      <c r="C866" t="s">
        <v>61</v>
      </c>
      <c r="D866" t="s">
        <v>22</v>
      </c>
      <c r="E866" t="s">
        <v>35</v>
      </c>
      <c r="F866" t="s">
        <v>24</v>
      </c>
      <c r="G866" t="s">
        <v>25</v>
      </c>
      <c r="H866" t="s">
        <v>26</v>
      </c>
      <c r="I866" t="s">
        <v>26</v>
      </c>
      <c r="J866">
        <v>692</v>
      </c>
      <c r="K866">
        <v>3</v>
      </c>
      <c r="L866">
        <v>0</v>
      </c>
      <c r="M866">
        <v>3</v>
      </c>
      <c r="N866">
        <v>208</v>
      </c>
      <c r="O866">
        <v>163</v>
      </c>
      <c r="P866">
        <v>148</v>
      </c>
      <c r="Q866">
        <v>124</v>
      </c>
      <c r="R866">
        <v>95</v>
      </c>
      <c r="S866">
        <v>69</v>
      </c>
      <c r="T866">
        <v>36</v>
      </c>
      <c r="U866">
        <v>689</v>
      </c>
    </row>
    <row r="867" spans="1:21" x14ac:dyDescent="0.25">
      <c r="A867">
        <v>2025</v>
      </c>
      <c r="B867">
        <v>5</v>
      </c>
      <c r="C867" t="s">
        <v>61</v>
      </c>
      <c r="D867" t="s">
        <v>22</v>
      </c>
      <c r="E867" t="s">
        <v>36</v>
      </c>
      <c r="F867" t="s">
        <v>28</v>
      </c>
      <c r="G867" t="s">
        <v>25</v>
      </c>
      <c r="H867" t="s">
        <v>26</v>
      </c>
      <c r="I867" t="s">
        <v>25</v>
      </c>
      <c r="J867">
        <v>1822</v>
      </c>
      <c r="K867">
        <v>19</v>
      </c>
      <c r="L867">
        <v>332</v>
      </c>
      <c r="M867">
        <v>351</v>
      </c>
      <c r="N867">
        <v>212</v>
      </c>
      <c r="O867">
        <v>126</v>
      </c>
      <c r="P867">
        <v>102</v>
      </c>
      <c r="Q867">
        <v>46</v>
      </c>
      <c r="R867">
        <v>24</v>
      </c>
      <c r="S867">
        <v>3</v>
      </c>
      <c r="T867">
        <v>1</v>
      </c>
      <c r="U867">
        <v>1638</v>
      </c>
    </row>
    <row r="868" spans="1:21" x14ac:dyDescent="0.25">
      <c r="A868">
        <v>2025</v>
      </c>
      <c r="B868">
        <v>5</v>
      </c>
      <c r="C868" t="s">
        <v>61</v>
      </c>
      <c r="D868" t="s">
        <v>22</v>
      </c>
      <c r="E868" t="s">
        <v>36</v>
      </c>
      <c r="F868" t="s">
        <v>24</v>
      </c>
      <c r="G868" t="s">
        <v>25</v>
      </c>
      <c r="H868" t="s">
        <v>26</v>
      </c>
      <c r="I868" t="s">
        <v>25</v>
      </c>
      <c r="J868">
        <v>1369</v>
      </c>
      <c r="K868">
        <v>3</v>
      </c>
      <c r="L868">
        <v>6</v>
      </c>
      <c r="M868">
        <v>9</v>
      </c>
      <c r="N868">
        <v>425</v>
      </c>
      <c r="O868">
        <v>319</v>
      </c>
      <c r="P868">
        <v>284</v>
      </c>
      <c r="Q868">
        <v>209</v>
      </c>
      <c r="R868">
        <v>137</v>
      </c>
      <c r="S868">
        <v>60</v>
      </c>
      <c r="T868">
        <v>18</v>
      </c>
      <c r="U868">
        <v>1361</v>
      </c>
    </row>
    <row r="869" spans="1:21" x14ac:dyDescent="0.25">
      <c r="A869">
        <v>2025</v>
      </c>
      <c r="B869">
        <v>5</v>
      </c>
      <c r="C869" t="s">
        <v>61</v>
      </c>
      <c r="D869" t="s">
        <v>22</v>
      </c>
      <c r="E869" t="s">
        <v>41</v>
      </c>
      <c r="F869" t="s">
        <v>28</v>
      </c>
      <c r="G869" t="s">
        <v>26</v>
      </c>
      <c r="H869" t="s">
        <v>26</v>
      </c>
      <c r="I869" t="s">
        <v>25</v>
      </c>
      <c r="J869">
        <v>925</v>
      </c>
      <c r="K869">
        <v>2</v>
      </c>
      <c r="L869">
        <v>156</v>
      </c>
      <c r="M869">
        <v>158</v>
      </c>
      <c r="N869">
        <v>244</v>
      </c>
      <c r="O869">
        <v>180</v>
      </c>
      <c r="P869">
        <v>154</v>
      </c>
      <c r="Q869">
        <v>102</v>
      </c>
      <c r="R869">
        <v>78</v>
      </c>
      <c r="S869">
        <v>24</v>
      </c>
      <c r="T869">
        <v>10</v>
      </c>
      <c r="U869">
        <v>856</v>
      </c>
    </row>
    <row r="870" spans="1:21" x14ac:dyDescent="0.25">
      <c r="A870">
        <v>2025</v>
      </c>
      <c r="B870">
        <v>5</v>
      </c>
      <c r="C870" t="s">
        <v>61</v>
      </c>
      <c r="D870" t="s">
        <v>22</v>
      </c>
      <c r="E870" t="s">
        <v>41</v>
      </c>
      <c r="F870" t="s">
        <v>24</v>
      </c>
      <c r="G870" t="s">
        <v>26</v>
      </c>
      <c r="H870" t="s">
        <v>26</v>
      </c>
      <c r="I870" t="s">
        <v>25</v>
      </c>
      <c r="J870">
        <v>981</v>
      </c>
      <c r="K870">
        <v>0</v>
      </c>
      <c r="L870">
        <v>61</v>
      </c>
      <c r="M870">
        <v>61</v>
      </c>
      <c r="N870">
        <v>285</v>
      </c>
      <c r="O870">
        <v>219</v>
      </c>
      <c r="P870">
        <v>197</v>
      </c>
      <c r="Q870">
        <v>140</v>
      </c>
      <c r="R870">
        <v>111</v>
      </c>
      <c r="S870">
        <v>36</v>
      </c>
      <c r="T870">
        <v>11</v>
      </c>
      <c r="U870">
        <v>961</v>
      </c>
    </row>
    <row r="871" spans="1:21" x14ac:dyDescent="0.25">
      <c r="A871">
        <v>2025</v>
      </c>
      <c r="B871">
        <v>5</v>
      </c>
      <c r="C871" t="s">
        <v>62</v>
      </c>
      <c r="D871" t="s">
        <v>22</v>
      </c>
      <c r="E871" t="s">
        <v>40</v>
      </c>
      <c r="F871" t="s">
        <v>28</v>
      </c>
      <c r="G871" t="s">
        <v>25</v>
      </c>
      <c r="H871" t="s">
        <v>25</v>
      </c>
      <c r="I871" t="s">
        <v>25</v>
      </c>
      <c r="J871">
        <v>10943</v>
      </c>
      <c r="K871">
        <v>1</v>
      </c>
      <c r="L871">
        <v>8</v>
      </c>
      <c r="M871">
        <v>9</v>
      </c>
      <c r="N871">
        <v>1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10934</v>
      </c>
    </row>
    <row r="872" spans="1:21" x14ac:dyDescent="0.25">
      <c r="A872">
        <v>2025</v>
      </c>
      <c r="B872">
        <v>5</v>
      </c>
      <c r="C872" t="s">
        <v>62</v>
      </c>
      <c r="D872" t="s">
        <v>22</v>
      </c>
      <c r="E872" t="s">
        <v>40</v>
      </c>
      <c r="F872" t="s">
        <v>24</v>
      </c>
      <c r="G872" t="s">
        <v>25</v>
      </c>
      <c r="H872" t="s">
        <v>25</v>
      </c>
      <c r="I872" t="s">
        <v>25</v>
      </c>
      <c r="J872">
        <v>20</v>
      </c>
      <c r="K872">
        <v>1</v>
      </c>
      <c r="L872">
        <v>0</v>
      </c>
      <c r="M872">
        <v>1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19</v>
      </c>
    </row>
    <row r="873" spans="1:21" x14ac:dyDescent="0.25">
      <c r="A873">
        <v>2025</v>
      </c>
      <c r="B873">
        <v>5</v>
      </c>
      <c r="C873" t="s">
        <v>63</v>
      </c>
      <c r="D873" t="s">
        <v>45</v>
      </c>
      <c r="E873" t="s">
        <v>64</v>
      </c>
      <c r="F873" t="s">
        <v>24</v>
      </c>
      <c r="G873" t="s">
        <v>25</v>
      </c>
      <c r="H873" t="s">
        <v>25</v>
      </c>
      <c r="I873" t="s">
        <v>25</v>
      </c>
      <c r="J873">
        <v>18</v>
      </c>
      <c r="K873">
        <v>0</v>
      </c>
      <c r="L873">
        <v>0</v>
      </c>
      <c r="M873">
        <v>0</v>
      </c>
      <c r="N873">
        <v>3</v>
      </c>
      <c r="O873">
        <v>2</v>
      </c>
      <c r="P873">
        <v>2</v>
      </c>
      <c r="Q873">
        <v>2</v>
      </c>
      <c r="R873">
        <v>2</v>
      </c>
      <c r="S873">
        <v>1</v>
      </c>
      <c r="T873">
        <v>0</v>
      </c>
      <c r="U873">
        <v>18</v>
      </c>
    </row>
    <row r="874" spans="1:21" x14ac:dyDescent="0.25">
      <c r="A874">
        <v>2025</v>
      </c>
      <c r="B874">
        <v>5</v>
      </c>
      <c r="C874" t="s">
        <v>63</v>
      </c>
      <c r="D874" t="s">
        <v>45</v>
      </c>
      <c r="E874" t="s">
        <v>65</v>
      </c>
      <c r="F874" t="s">
        <v>28</v>
      </c>
      <c r="G874" t="s">
        <v>26</v>
      </c>
      <c r="H874" t="s">
        <v>26</v>
      </c>
      <c r="I874" t="s">
        <v>25</v>
      </c>
      <c r="J874">
        <v>1661</v>
      </c>
      <c r="K874">
        <v>5</v>
      </c>
      <c r="L874">
        <v>31</v>
      </c>
      <c r="M874">
        <v>36</v>
      </c>
      <c r="N874">
        <v>298</v>
      </c>
      <c r="O874">
        <v>271</v>
      </c>
      <c r="P874">
        <v>271</v>
      </c>
      <c r="Q874">
        <v>192</v>
      </c>
      <c r="R874">
        <v>157</v>
      </c>
      <c r="S874">
        <v>86</v>
      </c>
      <c r="T874">
        <v>34</v>
      </c>
      <c r="U874">
        <v>1646</v>
      </c>
    </row>
    <row r="875" spans="1:21" x14ac:dyDescent="0.25">
      <c r="A875">
        <v>2025</v>
      </c>
      <c r="B875">
        <v>5</v>
      </c>
      <c r="C875" t="s">
        <v>63</v>
      </c>
      <c r="D875" t="s">
        <v>45</v>
      </c>
      <c r="E875" t="s">
        <v>65</v>
      </c>
      <c r="F875" t="s">
        <v>29</v>
      </c>
      <c r="G875" t="s">
        <v>26</v>
      </c>
      <c r="H875" t="s">
        <v>26</v>
      </c>
      <c r="I875" t="s">
        <v>25</v>
      </c>
      <c r="J875">
        <v>61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</row>
    <row r="876" spans="1:21" x14ac:dyDescent="0.25">
      <c r="A876">
        <v>2025</v>
      </c>
      <c r="B876">
        <v>5</v>
      </c>
      <c r="C876" t="s">
        <v>63</v>
      </c>
      <c r="D876" t="s">
        <v>45</v>
      </c>
      <c r="E876" t="s">
        <v>106</v>
      </c>
      <c r="F876" t="s">
        <v>24</v>
      </c>
      <c r="G876" t="s">
        <v>25</v>
      </c>
      <c r="H876" t="s">
        <v>25</v>
      </c>
      <c r="I876" t="s">
        <v>25</v>
      </c>
      <c r="J876">
        <v>88</v>
      </c>
      <c r="K876">
        <v>0</v>
      </c>
      <c r="L876">
        <v>0</v>
      </c>
      <c r="M876">
        <v>0</v>
      </c>
      <c r="N876">
        <v>22</v>
      </c>
      <c r="O876">
        <v>16</v>
      </c>
      <c r="P876">
        <v>16</v>
      </c>
      <c r="Q876">
        <v>11</v>
      </c>
      <c r="R876">
        <v>8</v>
      </c>
      <c r="S876">
        <v>5</v>
      </c>
      <c r="T876">
        <v>2</v>
      </c>
      <c r="U876">
        <v>88</v>
      </c>
    </row>
    <row r="877" spans="1:21" x14ac:dyDescent="0.25">
      <c r="A877">
        <v>2025</v>
      </c>
      <c r="B877">
        <v>5</v>
      </c>
      <c r="C877" t="s">
        <v>66</v>
      </c>
      <c r="D877" t="s">
        <v>22</v>
      </c>
      <c r="E877" t="s">
        <v>32</v>
      </c>
      <c r="F877" t="s">
        <v>28</v>
      </c>
      <c r="G877" t="s">
        <v>25</v>
      </c>
      <c r="H877" t="s">
        <v>25</v>
      </c>
      <c r="I877" t="s">
        <v>25</v>
      </c>
      <c r="J877">
        <v>1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1</v>
      </c>
    </row>
    <row r="878" spans="1:21" x14ac:dyDescent="0.25">
      <c r="A878">
        <v>2025</v>
      </c>
      <c r="B878">
        <v>5</v>
      </c>
      <c r="C878" t="s">
        <v>66</v>
      </c>
      <c r="D878" t="s">
        <v>22</v>
      </c>
      <c r="E878" t="s">
        <v>32</v>
      </c>
      <c r="F878" t="s">
        <v>24</v>
      </c>
      <c r="G878" t="s">
        <v>25</v>
      </c>
      <c r="H878" t="s">
        <v>25</v>
      </c>
      <c r="I878" t="s">
        <v>25</v>
      </c>
      <c r="J878">
        <v>911</v>
      </c>
      <c r="K878">
        <v>2</v>
      </c>
      <c r="L878">
        <v>0</v>
      </c>
      <c r="M878">
        <v>2</v>
      </c>
      <c r="N878">
        <v>274</v>
      </c>
      <c r="O878">
        <v>188</v>
      </c>
      <c r="P878">
        <v>163</v>
      </c>
      <c r="Q878">
        <v>119</v>
      </c>
      <c r="R878">
        <v>79</v>
      </c>
      <c r="S878">
        <v>37</v>
      </c>
      <c r="T878">
        <v>8</v>
      </c>
      <c r="U878">
        <v>909</v>
      </c>
    </row>
    <row r="879" spans="1:21" x14ac:dyDescent="0.25">
      <c r="A879">
        <v>2025</v>
      </c>
      <c r="B879">
        <v>5</v>
      </c>
      <c r="C879" t="s">
        <v>66</v>
      </c>
      <c r="D879" t="s">
        <v>22</v>
      </c>
      <c r="E879" t="s">
        <v>34</v>
      </c>
      <c r="F879" t="s">
        <v>24</v>
      </c>
      <c r="G879" t="s">
        <v>25</v>
      </c>
      <c r="H879" t="s">
        <v>26</v>
      </c>
      <c r="I879" t="s">
        <v>26</v>
      </c>
      <c r="J879">
        <v>60</v>
      </c>
      <c r="K879">
        <v>0</v>
      </c>
      <c r="L879">
        <v>0</v>
      </c>
      <c r="M879">
        <v>0</v>
      </c>
      <c r="N879">
        <v>14</v>
      </c>
      <c r="O879">
        <v>11</v>
      </c>
      <c r="P879">
        <v>9</v>
      </c>
      <c r="Q879">
        <v>4</v>
      </c>
      <c r="R879">
        <v>4</v>
      </c>
      <c r="S879">
        <v>2</v>
      </c>
      <c r="T879">
        <v>0</v>
      </c>
      <c r="U879">
        <v>60</v>
      </c>
    </row>
    <row r="880" spans="1:21" x14ac:dyDescent="0.25">
      <c r="A880">
        <v>2025</v>
      </c>
      <c r="B880">
        <v>5</v>
      </c>
      <c r="C880" t="s">
        <v>66</v>
      </c>
      <c r="D880" t="s">
        <v>22</v>
      </c>
      <c r="E880" t="s">
        <v>23</v>
      </c>
      <c r="F880" t="s">
        <v>24</v>
      </c>
      <c r="G880" t="s">
        <v>25</v>
      </c>
      <c r="H880" t="s">
        <v>26</v>
      </c>
      <c r="I880" t="s">
        <v>25</v>
      </c>
      <c r="J880">
        <v>60</v>
      </c>
      <c r="K880">
        <v>0</v>
      </c>
      <c r="L880">
        <v>0</v>
      </c>
      <c r="M880">
        <v>0</v>
      </c>
      <c r="N880">
        <v>14</v>
      </c>
      <c r="O880">
        <v>11</v>
      </c>
      <c r="P880">
        <v>9</v>
      </c>
      <c r="Q880">
        <v>4</v>
      </c>
      <c r="R880">
        <v>4</v>
      </c>
      <c r="S880">
        <v>2</v>
      </c>
      <c r="T880">
        <v>0</v>
      </c>
      <c r="U880">
        <v>60</v>
      </c>
    </row>
    <row r="881" spans="1:21" x14ac:dyDescent="0.25">
      <c r="A881">
        <v>2025</v>
      </c>
      <c r="B881">
        <v>5</v>
      </c>
      <c r="C881" t="s">
        <v>67</v>
      </c>
      <c r="D881" t="s">
        <v>22</v>
      </c>
      <c r="E881" t="s">
        <v>68</v>
      </c>
      <c r="F881" t="s">
        <v>28</v>
      </c>
      <c r="G881" t="s">
        <v>25</v>
      </c>
      <c r="H881" t="s">
        <v>25</v>
      </c>
      <c r="I881" t="s">
        <v>25</v>
      </c>
      <c r="J881">
        <v>1590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1590</v>
      </c>
    </row>
    <row r="882" spans="1:21" x14ac:dyDescent="0.25">
      <c r="A882">
        <v>2025</v>
      </c>
      <c r="B882">
        <v>5</v>
      </c>
      <c r="C882" t="s">
        <v>67</v>
      </c>
      <c r="D882" t="s">
        <v>22</v>
      </c>
      <c r="E882" t="s">
        <v>68</v>
      </c>
      <c r="F882" t="s">
        <v>24</v>
      </c>
      <c r="G882" t="s">
        <v>25</v>
      </c>
      <c r="H882" t="s">
        <v>25</v>
      </c>
      <c r="I882" t="s">
        <v>25</v>
      </c>
      <c r="J882">
        <v>123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123</v>
      </c>
    </row>
    <row r="883" spans="1:21" x14ac:dyDescent="0.25">
      <c r="A883">
        <v>2025</v>
      </c>
      <c r="B883">
        <v>5</v>
      </c>
      <c r="C883" t="s">
        <v>69</v>
      </c>
      <c r="D883" t="s">
        <v>22</v>
      </c>
      <c r="E883" t="s">
        <v>32</v>
      </c>
      <c r="F883" t="s">
        <v>28</v>
      </c>
      <c r="G883" t="s">
        <v>25</v>
      </c>
      <c r="H883" t="s">
        <v>26</v>
      </c>
      <c r="I883" t="s">
        <v>25</v>
      </c>
      <c r="J883">
        <v>106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106</v>
      </c>
    </row>
    <row r="884" spans="1:21" x14ac:dyDescent="0.25">
      <c r="A884">
        <v>2025</v>
      </c>
      <c r="B884">
        <v>5</v>
      </c>
      <c r="C884" t="s">
        <v>69</v>
      </c>
      <c r="D884" t="s">
        <v>22</v>
      </c>
      <c r="E884" t="s">
        <v>32</v>
      </c>
      <c r="F884" t="s">
        <v>24</v>
      </c>
      <c r="G884" t="s">
        <v>25</v>
      </c>
      <c r="H884" t="s">
        <v>26</v>
      </c>
      <c r="I884" t="s">
        <v>25</v>
      </c>
      <c r="J884">
        <v>1863</v>
      </c>
      <c r="K884">
        <v>13</v>
      </c>
      <c r="L884">
        <v>28</v>
      </c>
      <c r="M884">
        <v>41</v>
      </c>
      <c r="N884">
        <v>383</v>
      </c>
      <c r="O884">
        <v>315</v>
      </c>
      <c r="P884">
        <v>289</v>
      </c>
      <c r="Q884">
        <v>230</v>
      </c>
      <c r="R884">
        <v>193</v>
      </c>
      <c r="S884">
        <v>129</v>
      </c>
      <c r="T884">
        <v>21</v>
      </c>
      <c r="U884">
        <v>1834</v>
      </c>
    </row>
    <row r="885" spans="1:21" x14ac:dyDescent="0.25">
      <c r="A885">
        <v>2025</v>
      </c>
      <c r="B885">
        <v>5</v>
      </c>
      <c r="C885" t="s">
        <v>69</v>
      </c>
      <c r="D885" t="s">
        <v>22</v>
      </c>
      <c r="E885" t="s">
        <v>38</v>
      </c>
      <c r="F885" t="s">
        <v>24</v>
      </c>
      <c r="G885" t="s">
        <v>25</v>
      </c>
      <c r="H885" t="s">
        <v>25</v>
      </c>
      <c r="I885" t="s">
        <v>25</v>
      </c>
      <c r="J885">
        <v>255</v>
      </c>
      <c r="K885">
        <v>5</v>
      </c>
      <c r="L885">
        <v>9</v>
      </c>
      <c r="M885">
        <v>14</v>
      </c>
      <c r="N885">
        <v>190</v>
      </c>
      <c r="O885">
        <v>175</v>
      </c>
      <c r="P885">
        <v>165</v>
      </c>
      <c r="Q885">
        <v>124</v>
      </c>
      <c r="R885">
        <v>65</v>
      </c>
      <c r="S885">
        <v>13</v>
      </c>
      <c r="T885">
        <v>9</v>
      </c>
      <c r="U885">
        <v>246</v>
      </c>
    </row>
    <row r="886" spans="1:21" x14ac:dyDescent="0.25">
      <c r="A886">
        <v>2025</v>
      </c>
      <c r="B886">
        <v>5</v>
      </c>
      <c r="C886" t="s">
        <v>69</v>
      </c>
      <c r="D886" t="s">
        <v>22</v>
      </c>
      <c r="E886" t="s">
        <v>34</v>
      </c>
      <c r="F886" t="s">
        <v>24</v>
      </c>
      <c r="G886" t="s">
        <v>25</v>
      </c>
      <c r="H886" t="s">
        <v>26</v>
      </c>
      <c r="I886" t="s">
        <v>26</v>
      </c>
      <c r="J886">
        <v>181</v>
      </c>
      <c r="K886">
        <v>0</v>
      </c>
      <c r="L886">
        <v>0</v>
      </c>
      <c r="M886">
        <v>0</v>
      </c>
      <c r="N886">
        <v>24</v>
      </c>
      <c r="O886">
        <v>21</v>
      </c>
      <c r="P886">
        <v>18</v>
      </c>
      <c r="Q886">
        <v>16</v>
      </c>
      <c r="R886">
        <v>13</v>
      </c>
      <c r="S886">
        <v>7</v>
      </c>
      <c r="T886">
        <v>1</v>
      </c>
      <c r="U886">
        <v>181</v>
      </c>
    </row>
    <row r="887" spans="1:21" x14ac:dyDescent="0.25">
      <c r="A887">
        <v>2025</v>
      </c>
      <c r="B887">
        <v>5</v>
      </c>
      <c r="C887" t="s">
        <v>69</v>
      </c>
      <c r="D887" t="s">
        <v>22</v>
      </c>
      <c r="E887" t="s">
        <v>76</v>
      </c>
      <c r="F887" t="s">
        <v>24</v>
      </c>
      <c r="G887" t="s">
        <v>25</v>
      </c>
      <c r="H887" t="s">
        <v>26</v>
      </c>
      <c r="I887" t="s">
        <v>25</v>
      </c>
      <c r="J887">
        <v>1</v>
      </c>
      <c r="K887">
        <v>0</v>
      </c>
      <c r="L887">
        <v>0</v>
      </c>
      <c r="M887">
        <v>0</v>
      </c>
      <c r="N887">
        <v>1</v>
      </c>
      <c r="O887">
        <v>1</v>
      </c>
      <c r="P887">
        <v>1</v>
      </c>
      <c r="Q887">
        <v>1</v>
      </c>
      <c r="R887">
        <v>1</v>
      </c>
      <c r="S887">
        <v>1</v>
      </c>
      <c r="T887">
        <v>0</v>
      </c>
      <c r="U887">
        <v>1</v>
      </c>
    </row>
    <row r="888" spans="1:21" x14ac:dyDescent="0.25">
      <c r="A888">
        <v>2025</v>
      </c>
      <c r="B888">
        <v>5</v>
      </c>
      <c r="C888" t="s">
        <v>69</v>
      </c>
      <c r="D888" t="s">
        <v>22</v>
      </c>
      <c r="E888" t="s">
        <v>23</v>
      </c>
      <c r="F888" t="s">
        <v>28</v>
      </c>
      <c r="G888" t="s">
        <v>25</v>
      </c>
      <c r="H888" t="s">
        <v>26</v>
      </c>
      <c r="I888" t="s">
        <v>25</v>
      </c>
      <c r="J888">
        <v>11663</v>
      </c>
      <c r="K888">
        <v>1</v>
      </c>
      <c r="L888">
        <v>4</v>
      </c>
      <c r="M888">
        <v>5</v>
      </c>
      <c r="N888">
        <v>3</v>
      </c>
      <c r="O888">
        <v>2</v>
      </c>
      <c r="P888">
        <v>1</v>
      </c>
      <c r="Q888">
        <v>1</v>
      </c>
      <c r="R888">
        <v>1</v>
      </c>
      <c r="S888">
        <v>0</v>
      </c>
      <c r="T888">
        <v>0</v>
      </c>
      <c r="U888">
        <v>11658</v>
      </c>
    </row>
    <row r="889" spans="1:21" x14ac:dyDescent="0.25">
      <c r="A889">
        <v>2025</v>
      </c>
      <c r="B889">
        <v>5</v>
      </c>
      <c r="C889" t="s">
        <v>69</v>
      </c>
      <c r="D889" t="s">
        <v>22</v>
      </c>
      <c r="E889" t="s">
        <v>23</v>
      </c>
      <c r="F889" t="s">
        <v>24</v>
      </c>
      <c r="G889" t="s">
        <v>25</v>
      </c>
      <c r="H889" t="s">
        <v>26</v>
      </c>
      <c r="I889" t="s">
        <v>25</v>
      </c>
      <c r="J889">
        <v>1184</v>
      </c>
      <c r="K889">
        <v>20</v>
      </c>
      <c r="L889">
        <v>19</v>
      </c>
      <c r="M889">
        <v>39</v>
      </c>
      <c r="N889">
        <v>251</v>
      </c>
      <c r="O889">
        <v>205</v>
      </c>
      <c r="P889">
        <v>191</v>
      </c>
      <c r="Q889">
        <v>150</v>
      </c>
      <c r="R889">
        <v>92</v>
      </c>
      <c r="S889">
        <v>24</v>
      </c>
      <c r="T889">
        <v>10</v>
      </c>
      <c r="U889">
        <v>1154</v>
      </c>
    </row>
    <row r="890" spans="1:21" x14ac:dyDescent="0.25">
      <c r="A890">
        <v>2025</v>
      </c>
      <c r="B890">
        <v>5</v>
      </c>
      <c r="C890" t="s">
        <v>69</v>
      </c>
      <c r="D890" t="s">
        <v>22</v>
      </c>
      <c r="E890" t="s">
        <v>39</v>
      </c>
      <c r="F890" t="s">
        <v>28</v>
      </c>
      <c r="G890" t="s">
        <v>26</v>
      </c>
      <c r="H890" t="s">
        <v>26</v>
      </c>
      <c r="I890" t="s">
        <v>25</v>
      </c>
      <c r="J890">
        <v>59</v>
      </c>
      <c r="K890">
        <v>1</v>
      </c>
      <c r="L890">
        <v>0</v>
      </c>
      <c r="M890">
        <v>1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58</v>
      </c>
    </row>
    <row r="891" spans="1:21" x14ac:dyDescent="0.25">
      <c r="A891">
        <v>2025</v>
      </c>
      <c r="B891">
        <v>5</v>
      </c>
      <c r="C891" t="s">
        <v>69</v>
      </c>
      <c r="D891" t="s">
        <v>22</v>
      </c>
      <c r="E891" t="s">
        <v>39</v>
      </c>
      <c r="F891" t="s">
        <v>24</v>
      </c>
      <c r="G891" t="s">
        <v>26</v>
      </c>
      <c r="H891" t="s">
        <v>26</v>
      </c>
      <c r="I891" t="s">
        <v>25</v>
      </c>
      <c r="J891">
        <v>1342</v>
      </c>
      <c r="K891">
        <v>70</v>
      </c>
      <c r="L891">
        <v>218</v>
      </c>
      <c r="M891">
        <v>288</v>
      </c>
      <c r="N891">
        <v>367</v>
      </c>
      <c r="O891">
        <v>273</v>
      </c>
      <c r="P891">
        <v>238</v>
      </c>
      <c r="Q891">
        <v>172</v>
      </c>
      <c r="R891">
        <v>122</v>
      </c>
      <c r="S891">
        <v>46</v>
      </c>
      <c r="T891">
        <v>8</v>
      </c>
      <c r="U891">
        <v>1135</v>
      </c>
    </row>
    <row r="892" spans="1:21" x14ac:dyDescent="0.25">
      <c r="A892">
        <v>2025</v>
      </c>
      <c r="B892">
        <v>5</v>
      </c>
      <c r="C892" t="s">
        <v>69</v>
      </c>
      <c r="D892" t="s">
        <v>22</v>
      </c>
      <c r="E892" t="s">
        <v>40</v>
      </c>
      <c r="F892" t="s">
        <v>28</v>
      </c>
      <c r="G892" t="s">
        <v>25</v>
      </c>
      <c r="H892" t="s">
        <v>26</v>
      </c>
      <c r="I892" t="s">
        <v>25</v>
      </c>
      <c r="J892">
        <v>13774</v>
      </c>
      <c r="K892">
        <v>2</v>
      </c>
      <c r="L892">
        <v>0</v>
      </c>
      <c r="M892">
        <v>2</v>
      </c>
      <c r="N892">
        <v>1</v>
      </c>
      <c r="O892">
        <v>1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13772</v>
      </c>
    </row>
    <row r="893" spans="1:21" x14ac:dyDescent="0.25">
      <c r="A893">
        <v>2025</v>
      </c>
      <c r="B893">
        <v>5</v>
      </c>
      <c r="C893" t="s">
        <v>69</v>
      </c>
      <c r="D893" t="s">
        <v>22</v>
      </c>
      <c r="E893" t="s">
        <v>40</v>
      </c>
      <c r="F893" t="s">
        <v>24</v>
      </c>
      <c r="G893" t="s">
        <v>25</v>
      </c>
      <c r="H893" t="s">
        <v>26</v>
      </c>
      <c r="I893" t="s">
        <v>25</v>
      </c>
      <c r="J893">
        <v>517</v>
      </c>
      <c r="K893">
        <v>0</v>
      </c>
      <c r="L893">
        <v>3</v>
      </c>
      <c r="M893">
        <v>3</v>
      </c>
      <c r="N893">
        <v>6</v>
      </c>
      <c r="O893">
        <v>5</v>
      </c>
      <c r="P893">
        <v>4</v>
      </c>
      <c r="Q893">
        <v>1</v>
      </c>
      <c r="R893">
        <v>0</v>
      </c>
      <c r="S893">
        <v>0</v>
      </c>
      <c r="T893">
        <v>0</v>
      </c>
      <c r="U893">
        <v>515</v>
      </c>
    </row>
    <row r="894" spans="1:21" x14ac:dyDescent="0.25">
      <c r="A894">
        <v>2025</v>
      </c>
      <c r="B894">
        <v>5</v>
      </c>
      <c r="C894" t="s">
        <v>69</v>
      </c>
      <c r="D894" t="s">
        <v>22</v>
      </c>
      <c r="E894" t="s">
        <v>40</v>
      </c>
      <c r="F894" t="s">
        <v>29</v>
      </c>
      <c r="G894" t="s">
        <v>25</v>
      </c>
      <c r="H894" t="s">
        <v>26</v>
      </c>
      <c r="I894" t="s">
        <v>25</v>
      </c>
      <c r="J894">
        <v>3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</row>
    <row r="895" spans="1:21" x14ac:dyDescent="0.25">
      <c r="A895">
        <v>2025</v>
      </c>
      <c r="B895">
        <v>5</v>
      </c>
      <c r="C895" t="s">
        <v>69</v>
      </c>
      <c r="D895" t="s">
        <v>22</v>
      </c>
      <c r="E895" t="s">
        <v>70</v>
      </c>
      <c r="F895" t="s">
        <v>28</v>
      </c>
      <c r="G895" t="s">
        <v>26</v>
      </c>
      <c r="H895" t="s">
        <v>26</v>
      </c>
      <c r="I895" t="s">
        <v>25</v>
      </c>
      <c r="J895">
        <v>332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332</v>
      </c>
    </row>
    <row r="896" spans="1:21" x14ac:dyDescent="0.25">
      <c r="A896">
        <v>2025</v>
      </c>
      <c r="B896">
        <v>5</v>
      </c>
      <c r="C896" t="s">
        <v>69</v>
      </c>
      <c r="D896" t="s">
        <v>22</v>
      </c>
      <c r="E896" t="s">
        <v>70</v>
      </c>
      <c r="F896" t="s">
        <v>24</v>
      </c>
      <c r="G896" t="s">
        <v>26</v>
      </c>
      <c r="H896" t="s">
        <v>26</v>
      </c>
      <c r="I896" t="s">
        <v>25</v>
      </c>
      <c r="J896">
        <v>757</v>
      </c>
      <c r="K896">
        <v>0</v>
      </c>
      <c r="L896">
        <v>1</v>
      </c>
      <c r="M896">
        <v>1</v>
      </c>
      <c r="N896">
        <v>72</v>
      </c>
      <c r="O896">
        <v>31</v>
      </c>
      <c r="P896">
        <v>30</v>
      </c>
      <c r="Q896">
        <v>16</v>
      </c>
      <c r="R896">
        <v>12</v>
      </c>
      <c r="S896">
        <v>3</v>
      </c>
      <c r="T896">
        <v>2</v>
      </c>
      <c r="U896">
        <v>757</v>
      </c>
    </row>
    <row r="897" spans="1:21" x14ac:dyDescent="0.25">
      <c r="A897">
        <v>2025</v>
      </c>
      <c r="B897">
        <v>5</v>
      </c>
      <c r="C897" t="s">
        <v>69</v>
      </c>
      <c r="D897" t="s">
        <v>22</v>
      </c>
      <c r="E897" t="s">
        <v>70</v>
      </c>
      <c r="F897" t="s">
        <v>29</v>
      </c>
      <c r="G897" t="s">
        <v>26</v>
      </c>
      <c r="H897" t="s">
        <v>26</v>
      </c>
      <c r="I897" t="s">
        <v>25</v>
      </c>
      <c r="J897">
        <v>7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</row>
    <row r="898" spans="1:21" x14ac:dyDescent="0.25">
      <c r="A898">
        <v>2025</v>
      </c>
      <c r="B898">
        <v>5</v>
      </c>
      <c r="C898" t="s">
        <v>69</v>
      </c>
      <c r="D898" t="s">
        <v>22</v>
      </c>
      <c r="E898" t="s">
        <v>35</v>
      </c>
      <c r="F898" t="s">
        <v>28</v>
      </c>
      <c r="G898" t="s">
        <v>25</v>
      </c>
      <c r="H898" t="s">
        <v>26</v>
      </c>
      <c r="I898" t="s">
        <v>26</v>
      </c>
      <c r="J898">
        <v>3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3</v>
      </c>
    </row>
    <row r="899" spans="1:21" x14ac:dyDescent="0.25">
      <c r="A899">
        <v>2025</v>
      </c>
      <c r="B899">
        <v>5</v>
      </c>
      <c r="C899" t="s">
        <v>69</v>
      </c>
      <c r="D899" t="s">
        <v>22</v>
      </c>
      <c r="E899" t="s">
        <v>35</v>
      </c>
      <c r="F899" t="s">
        <v>24</v>
      </c>
      <c r="G899" t="s">
        <v>25</v>
      </c>
      <c r="H899" t="s">
        <v>26</v>
      </c>
      <c r="I899" t="s">
        <v>26</v>
      </c>
      <c r="J899">
        <v>305</v>
      </c>
      <c r="K899">
        <v>2</v>
      </c>
      <c r="L899">
        <v>1</v>
      </c>
      <c r="M899">
        <v>3</v>
      </c>
      <c r="N899">
        <v>79</v>
      </c>
      <c r="O899">
        <v>66</v>
      </c>
      <c r="P899">
        <v>58</v>
      </c>
      <c r="Q899">
        <v>47</v>
      </c>
      <c r="R899">
        <v>36</v>
      </c>
      <c r="S899">
        <v>22</v>
      </c>
      <c r="T899">
        <v>11</v>
      </c>
      <c r="U899">
        <v>302</v>
      </c>
    </row>
    <row r="900" spans="1:21" x14ac:dyDescent="0.25">
      <c r="A900">
        <v>2025</v>
      </c>
      <c r="B900">
        <v>5</v>
      </c>
      <c r="C900" t="s">
        <v>69</v>
      </c>
      <c r="D900" t="s">
        <v>22</v>
      </c>
      <c r="E900" t="s">
        <v>41</v>
      </c>
      <c r="F900" t="s">
        <v>24</v>
      </c>
      <c r="G900" t="s">
        <v>26</v>
      </c>
      <c r="H900" t="s">
        <v>26</v>
      </c>
      <c r="I900" t="s">
        <v>25</v>
      </c>
      <c r="J900">
        <v>372</v>
      </c>
      <c r="K900">
        <v>0</v>
      </c>
      <c r="L900">
        <v>0</v>
      </c>
      <c r="M900">
        <v>0</v>
      </c>
      <c r="N900">
        <v>24</v>
      </c>
      <c r="O900">
        <v>10</v>
      </c>
      <c r="P900">
        <v>7</v>
      </c>
      <c r="Q900">
        <v>5</v>
      </c>
      <c r="R900">
        <v>5</v>
      </c>
      <c r="S900">
        <v>3</v>
      </c>
      <c r="T900">
        <v>2</v>
      </c>
      <c r="U900">
        <v>372</v>
      </c>
    </row>
    <row r="901" spans="1:21" x14ac:dyDescent="0.25">
      <c r="A901">
        <v>2025</v>
      </c>
      <c r="B901">
        <v>5</v>
      </c>
      <c r="C901" t="s">
        <v>71</v>
      </c>
      <c r="D901" t="s">
        <v>22</v>
      </c>
      <c r="E901" t="s">
        <v>34</v>
      </c>
      <c r="F901" t="s">
        <v>24</v>
      </c>
      <c r="G901" t="s">
        <v>25</v>
      </c>
      <c r="H901" t="s">
        <v>26</v>
      </c>
      <c r="I901" t="s">
        <v>26</v>
      </c>
      <c r="J901">
        <v>54</v>
      </c>
      <c r="K901">
        <v>0</v>
      </c>
      <c r="L901">
        <v>0</v>
      </c>
      <c r="M901">
        <v>0</v>
      </c>
      <c r="N901">
        <v>25</v>
      </c>
      <c r="O901">
        <v>22</v>
      </c>
      <c r="P901">
        <v>22</v>
      </c>
      <c r="Q901">
        <v>19</v>
      </c>
      <c r="R901">
        <v>13</v>
      </c>
      <c r="S901">
        <v>6</v>
      </c>
      <c r="T901">
        <v>1</v>
      </c>
      <c r="U901">
        <v>54</v>
      </c>
    </row>
    <row r="902" spans="1:21" x14ac:dyDescent="0.25">
      <c r="A902">
        <v>2025</v>
      </c>
      <c r="B902">
        <v>5</v>
      </c>
      <c r="C902" t="s">
        <v>72</v>
      </c>
      <c r="D902" t="s">
        <v>22</v>
      </c>
      <c r="E902" t="s">
        <v>54</v>
      </c>
      <c r="F902" t="s">
        <v>24</v>
      </c>
      <c r="G902" t="s">
        <v>25</v>
      </c>
      <c r="H902" t="s">
        <v>25</v>
      </c>
      <c r="I902" t="s">
        <v>25</v>
      </c>
      <c r="J902">
        <v>886</v>
      </c>
      <c r="K902">
        <v>22</v>
      </c>
      <c r="L902">
        <v>22</v>
      </c>
      <c r="M902">
        <v>44</v>
      </c>
      <c r="N902">
        <v>253</v>
      </c>
      <c r="O902">
        <v>163</v>
      </c>
      <c r="P902">
        <v>143</v>
      </c>
      <c r="Q902">
        <v>72</v>
      </c>
      <c r="R902">
        <v>31</v>
      </c>
      <c r="S902">
        <v>4</v>
      </c>
      <c r="T902">
        <v>1</v>
      </c>
      <c r="U902">
        <v>851</v>
      </c>
    </row>
    <row r="903" spans="1:21" x14ac:dyDescent="0.25">
      <c r="A903">
        <v>2025</v>
      </c>
      <c r="B903">
        <v>5</v>
      </c>
      <c r="C903" t="s">
        <v>72</v>
      </c>
      <c r="D903" t="s">
        <v>22</v>
      </c>
      <c r="E903" t="s">
        <v>55</v>
      </c>
      <c r="F903" t="s">
        <v>24</v>
      </c>
      <c r="G903" t="s">
        <v>25</v>
      </c>
      <c r="H903" t="s">
        <v>25</v>
      </c>
      <c r="I903" t="s">
        <v>25</v>
      </c>
      <c r="J903">
        <v>768</v>
      </c>
      <c r="K903">
        <v>8</v>
      </c>
      <c r="L903">
        <v>4</v>
      </c>
      <c r="M903">
        <v>12</v>
      </c>
      <c r="N903">
        <v>200</v>
      </c>
      <c r="O903">
        <v>134</v>
      </c>
      <c r="P903">
        <v>111</v>
      </c>
      <c r="Q903">
        <v>60</v>
      </c>
      <c r="R903">
        <v>45</v>
      </c>
      <c r="S903">
        <v>15</v>
      </c>
      <c r="T903">
        <v>2</v>
      </c>
      <c r="U903">
        <v>760</v>
      </c>
    </row>
    <row r="904" spans="1:21" x14ac:dyDescent="0.25">
      <c r="A904">
        <v>2025</v>
      </c>
      <c r="B904">
        <v>5</v>
      </c>
      <c r="C904" t="s">
        <v>72</v>
      </c>
      <c r="D904" t="s">
        <v>22</v>
      </c>
      <c r="E904" t="s">
        <v>23</v>
      </c>
      <c r="F904" t="s">
        <v>28</v>
      </c>
      <c r="G904" t="s">
        <v>25</v>
      </c>
      <c r="H904" t="s">
        <v>26</v>
      </c>
      <c r="I904" t="s">
        <v>25</v>
      </c>
      <c r="J904">
        <v>28125</v>
      </c>
      <c r="K904">
        <v>104</v>
      </c>
      <c r="L904">
        <v>757</v>
      </c>
      <c r="M904">
        <v>861</v>
      </c>
      <c r="N904">
        <v>5539</v>
      </c>
      <c r="O904">
        <v>3364</v>
      </c>
      <c r="P904">
        <v>2759</v>
      </c>
      <c r="Q904">
        <v>1384</v>
      </c>
      <c r="R904">
        <v>716</v>
      </c>
      <c r="S904">
        <v>120</v>
      </c>
      <c r="T904">
        <v>6</v>
      </c>
      <c r="U904">
        <v>27593</v>
      </c>
    </row>
    <row r="905" spans="1:21" x14ac:dyDescent="0.25">
      <c r="A905">
        <v>2025</v>
      </c>
      <c r="B905">
        <v>5</v>
      </c>
      <c r="C905" t="s">
        <v>72</v>
      </c>
      <c r="D905" t="s">
        <v>22</v>
      </c>
      <c r="E905" t="s">
        <v>23</v>
      </c>
      <c r="F905" t="s">
        <v>24</v>
      </c>
      <c r="G905" t="s">
        <v>25</v>
      </c>
      <c r="H905" t="s">
        <v>26</v>
      </c>
      <c r="I905" t="s">
        <v>25</v>
      </c>
      <c r="J905">
        <v>3245</v>
      </c>
      <c r="K905">
        <v>29</v>
      </c>
      <c r="L905">
        <v>29</v>
      </c>
      <c r="M905">
        <v>58</v>
      </c>
      <c r="N905">
        <v>529</v>
      </c>
      <c r="O905">
        <v>342</v>
      </c>
      <c r="P905">
        <v>283</v>
      </c>
      <c r="Q905">
        <v>149</v>
      </c>
      <c r="R905">
        <v>98</v>
      </c>
      <c r="S905">
        <v>19</v>
      </c>
      <c r="T905">
        <v>0</v>
      </c>
      <c r="U905">
        <v>3201</v>
      </c>
    </row>
    <row r="906" spans="1:21" x14ac:dyDescent="0.25">
      <c r="A906">
        <v>2025</v>
      </c>
      <c r="B906">
        <v>5</v>
      </c>
      <c r="C906" t="s">
        <v>72</v>
      </c>
      <c r="D906" t="s">
        <v>22</v>
      </c>
      <c r="E906" t="s">
        <v>23</v>
      </c>
      <c r="F906" t="s">
        <v>29</v>
      </c>
      <c r="G906" t="s">
        <v>25</v>
      </c>
      <c r="H906" t="s">
        <v>26</v>
      </c>
      <c r="I906" t="s">
        <v>25</v>
      </c>
      <c r="J906">
        <v>2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</row>
    <row r="907" spans="1:21" x14ac:dyDescent="0.25">
      <c r="A907">
        <v>2025</v>
      </c>
      <c r="B907">
        <v>5</v>
      </c>
      <c r="C907" t="s">
        <v>72</v>
      </c>
      <c r="D907" t="s">
        <v>22</v>
      </c>
      <c r="E907" t="s">
        <v>39</v>
      </c>
      <c r="F907" t="s">
        <v>24</v>
      </c>
      <c r="G907" t="s">
        <v>26</v>
      </c>
      <c r="H907" t="s">
        <v>26</v>
      </c>
      <c r="I907" t="s">
        <v>25</v>
      </c>
      <c r="J907">
        <v>463</v>
      </c>
      <c r="K907">
        <v>8</v>
      </c>
      <c r="L907">
        <v>11</v>
      </c>
      <c r="M907">
        <v>19</v>
      </c>
      <c r="N907">
        <v>249</v>
      </c>
      <c r="O907">
        <v>214</v>
      </c>
      <c r="P907">
        <v>193</v>
      </c>
      <c r="Q907">
        <v>147</v>
      </c>
      <c r="R907">
        <v>120</v>
      </c>
      <c r="S907">
        <v>65</v>
      </c>
      <c r="T907">
        <v>8</v>
      </c>
      <c r="U907">
        <v>449</v>
      </c>
    </row>
    <row r="908" spans="1:21" x14ac:dyDescent="0.25">
      <c r="A908">
        <v>2025</v>
      </c>
      <c r="B908">
        <v>5</v>
      </c>
      <c r="C908" t="s">
        <v>72</v>
      </c>
      <c r="D908" t="s">
        <v>22</v>
      </c>
      <c r="E908" t="s">
        <v>73</v>
      </c>
      <c r="F908" t="s">
        <v>28</v>
      </c>
      <c r="G908" t="s">
        <v>25</v>
      </c>
      <c r="H908" t="s">
        <v>25</v>
      </c>
      <c r="I908" t="s">
        <v>25</v>
      </c>
      <c r="J908">
        <v>16944</v>
      </c>
      <c r="K908">
        <v>35</v>
      </c>
      <c r="L908">
        <v>127</v>
      </c>
      <c r="M908">
        <v>162</v>
      </c>
      <c r="N908">
        <v>2626</v>
      </c>
      <c r="O908">
        <v>1397</v>
      </c>
      <c r="P908">
        <v>1078</v>
      </c>
      <c r="Q908">
        <v>418</v>
      </c>
      <c r="R908">
        <v>195</v>
      </c>
      <c r="S908">
        <v>36</v>
      </c>
      <c r="T908">
        <v>2</v>
      </c>
      <c r="U908">
        <v>16825</v>
      </c>
    </row>
    <row r="909" spans="1:21" x14ac:dyDescent="0.25">
      <c r="A909">
        <v>2025</v>
      </c>
      <c r="B909">
        <v>5</v>
      </c>
      <c r="C909" t="s">
        <v>72</v>
      </c>
      <c r="D909" t="s">
        <v>22</v>
      </c>
      <c r="E909" t="s">
        <v>73</v>
      </c>
      <c r="F909" t="s">
        <v>24</v>
      </c>
      <c r="G909" t="s">
        <v>25</v>
      </c>
      <c r="H909" t="s">
        <v>25</v>
      </c>
      <c r="I909" t="s">
        <v>25</v>
      </c>
      <c r="J909">
        <v>4247</v>
      </c>
      <c r="K909">
        <v>14</v>
      </c>
      <c r="L909">
        <v>34</v>
      </c>
      <c r="M909">
        <v>48</v>
      </c>
      <c r="N909">
        <v>219</v>
      </c>
      <c r="O909">
        <v>116</v>
      </c>
      <c r="P909">
        <v>96</v>
      </c>
      <c r="Q909">
        <v>47</v>
      </c>
      <c r="R909">
        <v>25</v>
      </c>
      <c r="S909">
        <v>11</v>
      </c>
      <c r="T909">
        <v>3</v>
      </c>
      <c r="U909">
        <v>4232</v>
      </c>
    </row>
    <row r="910" spans="1:21" x14ac:dyDescent="0.25">
      <c r="A910">
        <v>2025</v>
      </c>
      <c r="B910">
        <v>5</v>
      </c>
      <c r="C910" t="s">
        <v>72</v>
      </c>
      <c r="D910" t="s">
        <v>22</v>
      </c>
      <c r="E910" t="s">
        <v>73</v>
      </c>
      <c r="F910" t="s">
        <v>29</v>
      </c>
      <c r="G910" t="s">
        <v>25</v>
      </c>
      <c r="H910" t="s">
        <v>25</v>
      </c>
      <c r="I910" t="s">
        <v>25</v>
      </c>
      <c r="J910">
        <v>1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</row>
    <row r="911" spans="1:21" x14ac:dyDescent="0.25">
      <c r="A911">
        <v>2025</v>
      </c>
      <c r="B911">
        <v>5</v>
      </c>
      <c r="C911" t="s">
        <v>72</v>
      </c>
      <c r="D911" t="s">
        <v>22</v>
      </c>
      <c r="E911" t="s">
        <v>35</v>
      </c>
      <c r="F911" t="s">
        <v>28</v>
      </c>
      <c r="G911" t="s">
        <v>25</v>
      </c>
      <c r="H911" t="s">
        <v>26</v>
      </c>
      <c r="I911" t="s">
        <v>26</v>
      </c>
      <c r="J911">
        <v>1</v>
      </c>
      <c r="K911">
        <v>0</v>
      </c>
      <c r="L911">
        <v>0</v>
      </c>
      <c r="M911">
        <v>0</v>
      </c>
      <c r="N911">
        <v>1</v>
      </c>
      <c r="O911">
        <v>1</v>
      </c>
      <c r="P911">
        <v>1</v>
      </c>
      <c r="Q911">
        <v>1</v>
      </c>
      <c r="R911">
        <v>1</v>
      </c>
      <c r="S911">
        <v>0</v>
      </c>
      <c r="T911">
        <v>0</v>
      </c>
      <c r="U911">
        <v>1</v>
      </c>
    </row>
    <row r="912" spans="1:21" x14ac:dyDescent="0.25">
      <c r="A912">
        <v>2025</v>
      </c>
      <c r="B912">
        <v>5</v>
      </c>
      <c r="C912" t="s">
        <v>72</v>
      </c>
      <c r="D912" t="s">
        <v>22</v>
      </c>
      <c r="E912" t="s">
        <v>35</v>
      </c>
      <c r="F912" t="s">
        <v>24</v>
      </c>
      <c r="G912" t="s">
        <v>25</v>
      </c>
      <c r="H912" t="s">
        <v>26</v>
      </c>
      <c r="I912" t="s">
        <v>26</v>
      </c>
      <c r="J912">
        <v>51</v>
      </c>
      <c r="K912">
        <v>4</v>
      </c>
      <c r="L912">
        <v>0</v>
      </c>
      <c r="M912">
        <v>4</v>
      </c>
      <c r="N912">
        <v>25</v>
      </c>
      <c r="O912">
        <v>22</v>
      </c>
      <c r="P912">
        <v>21</v>
      </c>
      <c r="Q912">
        <v>18</v>
      </c>
      <c r="R912">
        <v>13</v>
      </c>
      <c r="S912">
        <v>12</v>
      </c>
      <c r="T912">
        <v>5</v>
      </c>
      <c r="U912">
        <v>47</v>
      </c>
    </row>
    <row r="913" spans="1:21" x14ac:dyDescent="0.25">
      <c r="A913">
        <v>2025</v>
      </c>
      <c r="B913">
        <v>5</v>
      </c>
      <c r="C913" t="s">
        <v>72</v>
      </c>
      <c r="D913" t="s">
        <v>22</v>
      </c>
      <c r="E913" t="s">
        <v>74</v>
      </c>
      <c r="F913" t="s">
        <v>28</v>
      </c>
      <c r="G913" t="s">
        <v>25</v>
      </c>
      <c r="H913" t="s">
        <v>25</v>
      </c>
      <c r="I913" t="s">
        <v>25</v>
      </c>
      <c r="J913">
        <v>4634</v>
      </c>
      <c r="K913">
        <v>35</v>
      </c>
      <c r="L913">
        <v>25</v>
      </c>
      <c r="M913">
        <v>60</v>
      </c>
      <c r="N913">
        <v>905</v>
      </c>
      <c r="O913">
        <v>516</v>
      </c>
      <c r="P913">
        <v>414</v>
      </c>
      <c r="Q913">
        <v>187</v>
      </c>
      <c r="R913">
        <v>88</v>
      </c>
      <c r="S913">
        <v>17</v>
      </c>
      <c r="T913">
        <v>1</v>
      </c>
      <c r="U913">
        <v>4578</v>
      </c>
    </row>
    <row r="914" spans="1:21" x14ac:dyDescent="0.25">
      <c r="A914">
        <v>2025</v>
      </c>
      <c r="B914">
        <v>5</v>
      </c>
      <c r="C914" t="s">
        <v>72</v>
      </c>
      <c r="D914" t="s">
        <v>22</v>
      </c>
      <c r="E914" t="s">
        <v>74</v>
      </c>
      <c r="F914" t="s">
        <v>24</v>
      </c>
      <c r="G914" t="s">
        <v>25</v>
      </c>
      <c r="H914" t="s">
        <v>25</v>
      </c>
      <c r="I914" t="s">
        <v>25</v>
      </c>
      <c r="J914">
        <v>194</v>
      </c>
      <c r="K914">
        <v>2</v>
      </c>
      <c r="L914">
        <v>1</v>
      </c>
      <c r="M914">
        <v>3</v>
      </c>
      <c r="N914">
        <v>11</v>
      </c>
      <c r="O914">
        <v>6</v>
      </c>
      <c r="P914">
        <v>3</v>
      </c>
      <c r="Q914">
        <v>1</v>
      </c>
      <c r="R914">
        <v>0</v>
      </c>
      <c r="S914">
        <v>0</v>
      </c>
      <c r="T914">
        <v>0</v>
      </c>
      <c r="U914">
        <v>192</v>
      </c>
    </row>
    <row r="915" spans="1:21" x14ac:dyDescent="0.25">
      <c r="A915">
        <v>2025</v>
      </c>
      <c r="B915">
        <v>5</v>
      </c>
      <c r="C915" t="s">
        <v>72</v>
      </c>
      <c r="D915" t="s">
        <v>22</v>
      </c>
      <c r="E915" t="s">
        <v>58</v>
      </c>
      <c r="F915" t="s">
        <v>28</v>
      </c>
      <c r="G915" t="s">
        <v>25</v>
      </c>
      <c r="H915" t="s">
        <v>25</v>
      </c>
      <c r="I915" t="s">
        <v>25</v>
      </c>
      <c r="J915">
        <v>27568</v>
      </c>
      <c r="K915">
        <v>78</v>
      </c>
      <c r="L915">
        <v>419</v>
      </c>
      <c r="M915">
        <v>497</v>
      </c>
      <c r="N915">
        <v>3803</v>
      </c>
      <c r="O915">
        <v>2107</v>
      </c>
      <c r="P915">
        <v>1650</v>
      </c>
      <c r="Q915">
        <v>768</v>
      </c>
      <c r="R915">
        <v>387</v>
      </c>
      <c r="S915">
        <v>77</v>
      </c>
      <c r="T915">
        <v>5</v>
      </c>
      <c r="U915">
        <v>27231</v>
      </c>
    </row>
    <row r="916" spans="1:21" x14ac:dyDescent="0.25">
      <c r="A916">
        <v>2025</v>
      </c>
      <c r="B916">
        <v>5</v>
      </c>
      <c r="C916" t="s">
        <v>72</v>
      </c>
      <c r="D916" t="s">
        <v>22</v>
      </c>
      <c r="E916" t="s">
        <v>58</v>
      </c>
      <c r="F916" t="s">
        <v>24</v>
      </c>
      <c r="G916" t="s">
        <v>25</v>
      </c>
      <c r="H916" t="s">
        <v>25</v>
      </c>
      <c r="I916" t="s">
        <v>25</v>
      </c>
      <c r="J916">
        <v>2854</v>
      </c>
      <c r="K916">
        <v>21</v>
      </c>
      <c r="L916">
        <v>101</v>
      </c>
      <c r="M916">
        <v>122</v>
      </c>
      <c r="N916">
        <v>527</v>
      </c>
      <c r="O916">
        <v>314</v>
      </c>
      <c r="P916">
        <v>259</v>
      </c>
      <c r="Q916">
        <v>110</v>
      </c>
      <c r="R916">
        <v>50</v>
      </c>
      <c r="S916">
        <v>11</v>
      </c>
      <c r="T916">
        <v>0</v>
      </c>
      <c r="U916">
        <v>2765</v>
      </c>
    </row>
    <row r="917" spans="1:21" x14ac:dyDescent="0.25">
      <c r="A917">
        <v>2025</v>
      </c>
      <c r="B917">
        <v>5</v>
      </c>
      <c r="C917" t="s">
        <v>72</v>
      </c>
      <c r="D917" t="s">
        <v>22</v>
      </c>
      <c r="E917" t="s">
        <v>58</v>
      </c>
      <c r="F917" t="s">
        <v>29</v>
      </c>
      <c r="G917" t="s">
        <v>25</v>
      </c>
      <c r="H917" t="s">
        <v>25</v>
      </c>
      <c r="I917" t="s">
        <v>25</v>
      </c>
      <c r="J917">
        <v>1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</row>
    <row r="918" spans="1:21" x14ac:dyDescent="0.25">
      <c r="A918">
        <v>2025</v>
      </c>
      <c r="B918">
        <v>5</v>
      </c>
      <c r="C918" t="s">
        <v>72</v>
      </c>
      <c r="D918" t="s">
        <v>22</v>
      </c>
      <c r="E918" t="s">
        <v>27</v>
      </c>
      <c r="F918" t="s">
        <v>24</v>
      </c>
      <c r="G918" t="s">
        <v>26</v>
      </c>
      <c r="H918" t="s">
        <v>26</v>
      </c>
      <c r="I918" t="s">
        <v>25</v>
      </c>
      <c r="J918">
        <v>108</v>
      </c>
      <c r="K918">
        <v>2</v>
      </c>
      <c r="L918">
        <v>0</v>
      </c>
      <c r="M918">
        <v>2</v>
      </c>
      <c r="N918">
        <v>58</v>
      </c>
      <c r="O918">
        <v>26</v>
      </c>
      <c r="P918">
        <v>26</v>
      </c>
      <c r="Q918">
        <v>25</v>
      </c>
      <c r="R918">
        <v>10</v>
      </c>
      <c r="S918">
        <v>6</v>
      </c>
      <c r="T918">
        <v>0</v>
      </c>
      <c r="U918">
        <v>106</v>
      </c>
    </row>
    <row r="919" spans="1:21" x14ac:dyDescent="0.25">
      <c r="A919">
        <v>2025</v>
      </c>
      <c r="B919">
        <v>5</v>
      </c>
      <c r="C919" t="s">
        <v>72</v>
      </c>
      <c r="D919" t="s">
        <v>22</v>
      </c>
      <c r="E919" t="s">
        <v>27</v>
      </c>
      <c r="F919" t="s">
        <v>29</v>
      </c>
      <c r="G919" t="s">
        <v>26</v>
      </c>
      <c r="H919" t="s">
        <v>26</v>
      </c>
      <c r="I919" t="s">
        <v>25</v>
      </c>
      <c r="J919">
        <v>4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</row>
    <row r="920" spans="1:21" x14ac:dyDescent="0.25">
      <c r="A920">
        <v>2025</v>
      </c>
      <c r="B920">
        <v>5</v>
      </c>
      <c r="C920" t="s">
        <v>75</v>
      </c>
      <c r="D920" t="s">
        <v>22</v>
      </c>
      <c r="E920" t="s">
        <v>23</v>
      </c>
      <c r="F920" t="s">
        <v>28</v>
      </c>
      <c r="G920" t="s">
        <v>25</v>
      </c>
      <c r="H920" t="s">
        <v>26</v>
      </c>
      <c r="I920" t="s">
        <v>25</v>
      </c>
      <c r="J920">
        <v>1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1</v>
      </c>
    </row>
    <row r="921" spans="1:21" x14ac:dyDescent="0.25">
      <c r="A921">
        <v>2025</v>
      </c>
      <c r="B921">
        <v>5</v>
      </c>
      <c r="C921" t="s">
        <v>75</v>
      </c>
      <c r="D921" t="s">
        <v>22</v>
      </c>
      <c r="E921" t="s">
        <v>23</v>
      </c>
      <c r="F921" t="s">
        <v>24</v>
      </c>
      <c r="G921" t="s">
        <v>25</v>
      </c>
      <c r="H921" t="s">
        <v>26</v>
      </c>
      <c r="I921" t="s">
        <v>25</v>
      </c>
      <c r="J921">
        <v>1931</v>
      </c>
      <c r="K921">
        <v>4</v>
      </c>
      <c r="L921">
        <v>25</v>
      </c>
      <c r="M921">
        <v>29</v>
      </c>
      <c r="N921">
        <v>183</v>
      </c>
      <c r="O921">
        <v>130</v>
      </c>
      <c r="P921">
        <v>114</v>
      </c>
      <c r="Q921">
        <v>71</v>
      </c>
      <c r="R921">
        <v>42</v>
      </c>
      <c r="S921">
        <v>2</v>
      </c>
      <c r="T921">
        <v>0</v>
      </c>
      <c r="U921">
        <v>1927</v>
      </c>
    </row>
    <row r="922" spans="1:21" x14ac:dyDescent="0.25">
      <c r="A922">
        <v>2025</v>
      </c>
      <c r="B922">
        <v>5</v>
      </c>
      <c r="C922" t="s">
        <v>75</v>
      </c>
      <c r="D922" t="s">
        <v>22</v>
      </c>
      <c r="E922" t="s">
        <v>39</v>
      </c>
      <c r="F922" t="s">
        <v>28</v>
      </c>
      <c r="G922" t="s">
        <v>26</v>
      </c>
      <c r="H922" t="s">
        <v>26</v>
      </c>
      <c r="I922" t="s">
        <v>25</v>
      </c>
      <c r="J922">
        <v>1</v>
      </c>
      <c r="K922">
        <v>0</v>
      </c>
      <c r="L922">
        <v>0</v>
      </c>
      <c r="M922">
        <v>0</v>
      </c>
      <c r="N922">
        <v>1</v>
      </c>
      <c r="O922">
        <v>1</v>
      </c>
      <c r="P922">
        <v>1</v>
      </c>
      <c r="Q922">
        <v>1</v>
      </c>
      <c r="R922">
        <v>1</v>
      </c>
      <c r="S922">
        <v>1</v>
      </c>
      <c r="T922">
        <v>1</v>
      </c>
      <c r="U922">
        <v>1</v>
      </c>
    </row>
    <row r="923" spans="1:21" x14ac:dyDescent="0.25">
      <c r="A923">
        <v>2025</v>
      </c>
      <c r="B923">
        <v>5</v>
      </c>
      <c r="C923" t="s">
        <v>75</v>
      </c>
      <c r="D923" t="s">
        <v>22</v>
      </c>
      <c r="E923" t="s">
        <v>39</v>
      </c>
      <c r="F923" t="s">
        <v>24</v>
      </c>
      <c r="G923" t="s">
        <v>26</v>
      </c>
      <c r="H923" t="s">
        <v>26</v>
      </c>
      <c r="I923" t="s">
        <v>25</v>
      </c>
      <c r="J923">
        <v>724</v>
      </c>
      <c r="K923">
        <v>5</v>
      </c>
      <c r="L923">
        <v>2</v>
      </c>
      <c r="M923">
        <v>7</v>
      </c>
      <c r="N923">
        <v>252</v>
      </c>
      <c r="O923">
        <v>178</v>
      </c>
      <c r="P923">
        <v>170</v>
      </c>
      <c r="Q923">
        <v>119</v>
      </c>
      <c r="R923">
        <v>86</v>
      </c>
      <c r="S923">
        <v>31</v>
      </c>
      <c r="T923">
        <v>8</v>
      </c>
      <c r="U923">
        <v>717</v>
      </c>
    </row>
    <row r="924" spans="1:21" x14ac:dyDescent="0.25">
      <c r="A924">
        <v>2025</v>
      </c>
      <c r="B924">
        <v>5</v>
      </c>
      <c r="C924" t="s">
        <v>75</v>
      </c>
      <c r="D924" t="s">
        <v>22</v>
      </c>
      <c r="E924" t="s">
        <v>39</v>
      </c>
      <c r="F924" t="s">
        <v>29</v>
      </c>
      <c r="G924" t="s">
        <v>26</v>
      </c>
      <c r="H924" t="s">
        <v>26</v>
      </c>
      <c r="I924" t="s">
        <v>25</v>
      </c>
      <c r="J924">
        <v>6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</row>
    <row r="925" spans="1:21" x14ac:dyDescent="0.25">
      <c r="A925">
        <v>2025</v>
      </c>
      <c r="B925">
        <v>5</v>
      </c>
      <c r="C925" t="s">
        <v>75</v>
      </c>
      <c r="D925" t="s">
        <v>22</v>
      </c>
      <c r="E925" t="s">
        <v>77</v>
      </c>
      <c r="F925" t="s">
        <v>28</v>
      </c>
      <c r="G925" t="s">
        <v>25</v>
      </c>
      <c r="H925" t="s">
        <v>26</v>
      </c>
      <c r="I925" t="s">
        <v>25</v>
      </c>
      <c r="J925">
        <v>1925</v>
      </c>
      <c r="K925">
        <v>37</v>
      </c>
      <c r="L925">
        <v>17</v>
      </c>
      <c r="M925">
        <v>54</v>
      </c>
      <c r="N925">
        <v>599</v>
      </c>
      <c r="O925">
        <v>373</v>
      </c>
      <c r="P925">
        <v>373</v>
      </c>
      <c r="Q925">
        <v>291</v>
      </c>
      <c r="R925">
        <v>235</v>
      </c>
      <c r="S925">
        <v>129</v>
      </c>
      <c r="T925">
        <v>53</v>
      </c>
      <c r="U925">
        <v>1881</v>
      </c>
    </row>
    <row r="926" spans="1:21" x14ac:dyDescent="0.25">
      <c r="A926">
        <v>2025</v>
      </c>
      <c r="B926">
        <v>5</v>
      </c>
      <c r="C926" t="s">
        <v>75</v>
      </c>
      <c r="D926" t="s">
        <v>22</v>
      </c>
      <c r="E926" t="s">
        <v>77</v>
      </c>
      <c r="F926" t="s">
        <v>29</v>
      </c>
      <c r="G926" t="s">
        <v>25</v>
      </c>
      <c r="H926" t="s">
        <v>26</v>
      </c>
      <c r="I926" t="s">
        <v>25</v>
      </c>
      <c r="J926">
        <v>24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</row>
    <row r="927" spans="1:21" x14ac:dyDescent="0.25">
      <c r="A927">
        <v>2025</v>
      </c>
      <c r="B927">
        <v>5</v>
      </c>
      <c r="C927" t="s">
        <v>75</v>
      </c>
      <c r="D927" t="s">
        <v>22</v>
      </c>
      <c r="E927" t="s">
        <v>78</v>
      </c>
      <c r="F927" t="s">
        <v>28</v>
      </c>
      <c r="G927" t="s">
        <v>25</v>
      </c>
      <c r="H927" t="s">
        <v>26</v>
      </c>
      <c r="I927" t="s">
        <v>26</v>
      </c>
      <c r="J927">
        <v>136</v>
      </c>
      <c r="K927">
        <v>11</v>
      </c>
      <c r="L927">
        <v>1</v>
      </c>
      <c r="M927">
        <v>12</v>
      </c>
      <c r="N927">
        <v>48</v>
      </c>
      <c r="O927">
        <v>31</v>
      </c>
      <c r="P927">
        <v>31</v>
      </c>
      <c r="Q927">
        <v>25</v>
      </c>
      <c r="R927">
        <v>21</v>
      </c>
      <c r="S927">
        <v>11</v>
      </c>
      <c r="T927">
        <v>3</v>
      </c>
      <c r="U927">
        <v>125</v>
      </c>
    </row>
    <row r="928" spans="1:21" x14ac:dyDescent="0.25">
      <c r="A928">
        <v>2025</v>
      </c>
      <c r="B928">
        <v>5</v>
      </c>
      <c r="C928" t="s">
        <v>75</v>
      </c>
      <c r="D928" t="s">
        <v>22</v>
      </c>
      <c r="E928" t="s">
        <v>78</v>
      </c>
      <c r="F928" t="s">
        <v>29</v>
      </c>
      <c r="G928" t="s">
        <v>25</v>
      </c>
      <c r="H928" t="s">
        <v>26</v>
      </c>
      <c r="I928" t="s">
        <v>26</v>
      </c>
      <c r="J928">
        <v>90</v>
      </c>
      <c r="K928">
        <v>1</v>
      </c>
      <c r="L928">
        <v>0</v>
      </c>
      <c r="M928">
        <v>1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</row>
    <row r="929" spans="1:21" x14ac:dyDescent="0.25">
      <c r="A929">
        <v>2025</v>
      </c>
      <c r="B929">
        <v>5</v>
      </c>
      <c r="C929" t="s">
        <v>75</v>
      </c>
      <c r="D929" t="s">
        <v>22</v>
      </c>
      <c r="E929" t="s">
        <v>70</v>
      </c>
      <c r="F929" t="s">
        <v>24</v>
      </c>
      <c r="G929" t="s">
        <v>26</v>
      </c>
      <c r="H929" t="s">
        <v>26</v>
      </c>
      <c r="I929" t="s">
        <v>25</v>
      </c>
      <c r="J929">
        <v>1039</v>
      </c>
      <c r="K929">
        <v>0</v>
      </c>
      <c r="L929">
        <v>4</v>
      </c>
      <c r="M929">
        <v>4</v>
      </c>
      <c r="N929">
        <v>147</v>
      </c>
      <c r="O929">
        <v>80</v>
      </c>
      <c r="P929">
        <v>80</v>
      </c>
      <c r="Q929">
        <v>52</v>
      </c>
      <c r="R929">
        <v>41</v>
      </c>
      <c r="S929">
        <v>22</v>
      </c>
      <c r="T929">
        <v>10</v>
      </c>
      <c r="U929">
        <v>1039</v>
      </c>
    </row>
    <row r="930" spans="1:21" x14ac:dyDescent="0.25">
      <c r="A930">
        <v>2025</v>
      </c>
      <c r="B930">
        <v>5</v>
      </c>
      <c r="C930" t="s">
        <v>75</v>
      </c>
      <c r="D930" t="s">
        <v>22</v>
      </c>
      <c r="E930" t="s">
        <v>70</v>
      </c>
      <c r="F930" t="s">
        <v>29</v>
      </c>
      <c r="G930" t="s">
        <v>26</v>
      </c>
      <c r="H930" t="s">
        <v>26</v>
      </c>
      <c r="I930" t="s">
        <v>25</v>
      </c>
      <c r="J930">
        <v>10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</row>
    <row r="931" spans="1:21" x14ac:dyDescent="0.25">
      <c r="A931">
        <v>2025</v>
      </c>
      <c r="B931">
        <v>5</v>
      </c>
      <c r="C931" t="s">
        <v>75</v>
      </c>
      <c r="D931" t="s">
        <v>22</v>
      </c>
      <c r="E931" t="s">
        <v>35</v>
      </c>
      <c r="F931" t="s">
        <v>24</v>
      </c>
      <c r="G931" t="s">
        <v>25</v>
      </c>
      <c r="H931" t="s">
        <v>26</v>
      </c>
      <c r="I931" t="s">
        <v>26</v>
      </c>
      <c r="J931">
        <v>13</v>
      </c>
      <c r="K931">
        <v>2</v>
      </c>
      <c r="L931">
        <v>0</v>
      </c>
      <c r="M931">
        <v>2</v>
      </c>
      <c r="N931">
        <v>6</v>
      </c>
      <c r="O931">
        <v>4</v>
      </c>
      <c r="P931">
        <v>4</v>
      </c>
      <c r="Q931">
        <v>4</v>
      </c>
      <c r="R931">
        <v>4</v>
      </c>
      <c r="S931">
        <v>2</v>
      </c>
      <c r="T931">
        <v>0</v>
      </c>
      <c r="U931">
        <v>11</v>
      </c>
    </row>
    <row r="932" spans="1:21" x14ac:dyDescent="0.25">
      <c r="A932">
        <v>2025</v>
      </c>
      <c r="B932">
        <v>5</v>
      </c>
      <c r="C932" t="s">
        <v>75</v>
      </c>
      <c r="D932" t="s">
        <v>22</v>
      </c>
      <c r="E932" t="s">
        <v>42</v>
      </c>
      <c r="F932" t="s">
        <v>24</v>
      </c>
      <c r="G932" t="s">
        <v>26</v>
      </c>
      <c r="H932" t="s">
        <v>26</v>
      </c>
      <c r="I932" t="s">
        <v>25</v>
      </c>
      <c r="J932">
        <v>21</v>
      </c>
      <c r="K932">
        <v>1</v>
      </c>
      <c r="L932">
        <v>0</v>
      </c>
      <c r="M932">
        <v>1</v>
      </c>
      <c r="N932">
        <v>11</v>
      </c>
      <c r="O932">
        <v>10</v>
      </c>
      <c r="P932">
        <v>10</v>
      </c>
      <c r="Q932">
        <v>9</v>
      </c>
      <c r="R932">
        <v>7</v>
      </c>
      <c r="S932">
        <v>4</v>
      </c>
      <c r="T932">
        <v>1</v>
      </c>
      <c r="U932">
        <v>20</v>
      </c>
    </row>
    <row r="933" spans="1:21" x14ac:dyDescent="0.25">
      <c r="A933">
        <v>2025</v>
      </c>
      <c r="B933">
        <v>5</v>
      </c>
      <c r="C933" t="s">
        <v>75</v>
      </c>
      <c r="D933" t="s">
        <v>22</v>
      </c>
      <c r="E933" t="s">
        <v>27</v>
      </c>
      <c r="F933" t="s">
        <v>28</v>
      </c>
      <c r="G933" t="s">
        <v>26</v>
      </c>
      <c r="H933" t="s">
        <v>26</v>
      </c>
      <c r="I933" t="s">
        <v>25</v>
      </c>
      <c r="J933">
        <v>13522</v>
      </c>
      <c r="K933">
        <v>46</v>
      </c>
      <c r="L933">
        <v>113</v>
      </c>
      <c r="M933">
        <v>159</v>
      </c>
      <c r="N933">
        <v>2785</v>
      </c>
      <c r="O933">
        <v>1599</v>
      </c>
      <c r="P933">
        <v>1599</v>
      </c>
      <c r="Q933">
        <v>1067</v>
      </c>
      <c r="R933">
        <v>808</v>
      </c>
      <c r="S933">
        <v>389</v>
      </c>
      <c r="T933">
        <v>140</v>
      </c>
      <c r="U933">
        <v>13442</v>
      </c>
    </row>
    <row r="934" spans="1:21" x14ac:dyDescent="0.25">
      <c r="A934">
        <v>2025</v>
      </c>
      <c r="B934">
        <v>5</v>
      </c>
      <c r="C934" t="s">
        <v>75</v>
      </c>
      <c r="D934" t="s">
        <v>22</v>
      </c>
      <c r="E934" t="s">
        <v>27</v>
      </c>
      <c r="F934" t="s">
        <v>24</v>
      </c>
      <c r="G934" t="s">
        <v>26</v>
      </c>
      <c r="H934" t="s">
        <v>26</v>
      </c>
      <c r="I934" t="s">
        <v>25</v>
      </c>
      <c r="J934">
        <v>950</v>
      </c>
      <c r="K934">
        <v>2</v>
      </c>
      <c r="L934">
        <v>7</v>
      </c>
      <c r="M934">
        <v>9</v>
      </c>
      <c r="N934">
        <v>357</v>
      </c>
      <c r="O934">
        <v>202</v>
      </c>
      <c r="P934">
        <v>202</v>
      </c>
      <c r="Q934">
        <v>146</v>
      </c>
      <c r="R934">
        <v>104</v>
      </c>
      <c r="S934">
        <v>49</v>
      </c>
      <c r="T934">
        <v>17</v>
      </c>
      <c r="U934">
        <v>946</v>
      </c>
    </row>
    <row r="935" spans="1:21" x14ac:dyDescent="0.25">
      <c r="A935">
        <v>2025</v>
      </c>
      <c r="B935">
        <v>5</v>
      </c>
      <c r="C935" t="s">
        <v>75</v>
      </c>
      <c r="D935" t="s">
        <v>22</v>
      </c>
      <c r="E935" t="s">
        <v>27</v>
      </c>
      <c r="F935" t="s">
        <v>29</v>
      </c>
      <c r="G935" t="s">
        <v>26</v>
      </c>
      <c r="H935" t="s">
        <v>26</v>
      </c>
      <c r="I935" t="s">
        <v>25</v>
      </c>
      <c r="J935">
        <v>997</v>
      </c>
      <c r="K935">
        <v>7</v>
      </c>
      <c r="L935">
        <v>0</v>
      </c>
      <c r="M935">
        <v>7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</row>
    <row r="936" spans="1:21" x14ac:dyDescent="0.25">
      <c r="A936">
        <v>2025</v>
      </c>
      <c r="B936">
        <v>5</v>
      </c>
      <c r="C936" t="s">
        <v>79</v>
      </c>
      <c r="D936" t="s">
        <v>22</v>
      </c>
      <c r="E936" t="s">
        <v>31</v>
      </c>
      <c r="F936" t="s">
        <v>24</v>
      </c>
      <c r="G936" t="s">
        <v>25</v>
      </c>
      <c r="H936" t="s">
        <v>25</v>
      </c>
      <c r="I936" t="s">
        <v>25</v>
      </c>
      <c r="J936">
        <v>710</v>
      </c>
      <c r="K936">
        <v>0</v>
      </c>
      <c r="L936">
        <v>0</v>
      </c>
      <c r="M936">
        <v>0</v>
      </c>
      <c r="N936">
        <v>15</v>
      </c>
      <c r="O936">
        <v>11</v>
      </c>
      <c r="P936">
        <v>8</v>
      </c>
      <c r="Q936">
        <v>2</v>
      </c>
      <c r="R936">
        <v>1</v>
      </c>
      <c r="S936">
        <v>0</v>
      </c>
      <c r="T936">
        <v>0</v>
      </c>
      <c r="U936">
        <v>710</v>
      </c>
    </row>
    <row r="937" spans="1:21" x14ac:dyDescent="0.25">
      <c r="A937">
        <v>2025</v>
      </c>
      <c r="B937">
        <v>5</v>
      </c>
      <c r="C937" t="s">
        <v>79</v>
      </c>
      <c r="D937" t="s">
        <v>22</v>
      </c>
      <c r="E937" t="s">
        <v>32</v>
      </c>
      <c r="F937" t="s">
        <v>24</v>
      </c>
      <c r="G937" t="s">
        <v>25</v>
      </c>
      <c r="H937" t="s">
        <v>25</v>
      </c>
      <c r="I937" t="s">
        <v>25</v>
      </c>
      <c r="J937">
        <v>20</v>
      </c>
      <c r="K937">
        <v>0</v>
      </c>
      <c r="L937">
        <v>0</v>
      </c>
      <c r="M937">
        <v>0</v>
      </c>
      <c r="N937">
        <v>1</v>
      </c>
      <c r="O937">
        <v>1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20</v>
      </c>
    </row>
    <row r="938" spans="1:21" x14ac:dyDescent="0.25">
      <c r="A938">
        <v>2025</v>
      </c>
      <c r="B938">
        <v>5</v>
      </c>
      <c r="C938" t="s">
        <v>79</v>
      </c>
      <c r="D938" t="s">
        <v>22</v>
      </c>
      <c r="E938" t="s">
        <v>34</v>
      </c>
      <c r="F938" t="s">
        <v>24</v>
      </c>
      <c r="G938" t="s">
        <v>25</v>
      </c>
      <c r="H938" t="s">
        <v>26</v>
      </c>
      <c r="I938" t="s">
        <v>26</v>
      </c>
      <c r="J938">
        <v>152</v>
      </c>
      <c r="K938">
        <v>0</v>
      </c>
      <c r="L938">
        <v>0</v>
      </c>
      <c r="M938">
        <v>0</v>
      </c>
      <c r="N938">
        <v>11</v>
      </c>
      <c r="O938">
        <v>9</v>
      </c>
      <c r="P938">
        <v>8</v>
      </c>
      <c r="Q938">
        <v>6</v>
      </c>
      <c r="R938">
        <v>5</v>
      </c>
      <c r="S938">
        <v>5</v>
      </c>
      <c r="T938">
        <v>0</v>
      </c>
      <c r="U938">
        <v>152</v>
      </c>
    </row>
    <row r="939" spans="1:21" x14ac:dyDescent="0.25">
      <c r="A939">
        <v>2025</v>
      </c>
      <c r="B939">
        <v>5</v>
      </c>
      <c r="C939" t="s">
        <v>79</v>
      </c>
      <c r="D939" t="s">
        <v>22</v>
      </c>
      <c r="E939" t="s">
        <v>23</v>
      </c>
      <c r="F939" t="s">
        <v>24</v>
      </c>
      <c r="G939" t="s">
        <v>25</v>
      </c>
      <c r="H939" t="s">
        <v>25</v>
      </c>
      <c r="I939" t="s">
        <v>25</v>
      </c>
      <c r="J939">
        <v>62</v>
      </c>
      <c r="K939">
        <v>0</v>
      </c>
      <c r="L939">
        <v>0</v>
      </c>
      <c r="M939">
        <v>0</v>
      </c>
      <c r="N939">
        <v>4</v>
      </c>
      <c r="O939">
        <v>3</v>
      </c>
      <c r="P939">
        <v>3</v>
      </c>
      <c r="Q939">
        <v>2</v>
      </c>
      <c r="R939">
        <v>1</v>
      </c>
      <c r="S939">
        <v>0</v>
      </c>
      <c r="T939">
        <v>0</v>
      </c>
      <c r="U939">
        <v>62</v>
      </c>
    </row>
    <row r="940" spans="1:21" x14ac:dyDescent="0.25">
      <c r="A940">
        <v>2025</v>
      </c>
      <c r="B940">
        <v>5</v>
      </c>
      <c r="C940" t="s">
        <v>80</v>
      </c>
      <c r="D940" t="s">
        <v>22</v>
      </c>
      <c r="E940" t="s">
        <v>31</v>
      </c>
      <c r="F940" t="s">
        <v>24</v>
      </c>
      <c r="G940" t="s">
        <v>25</v>
      </c>
      <c r="H940" t="s">
        <v>25</v>
      </c>
      <c r="I940" t="s">
        <v>25</v>
      </c>
      <c r="J940">
        <v>124</v>
      </c>
      <c r="K940">
        <v>0</v>
      </c>
      <c r="L940">
        <v>0</v>
      </c>
      <c r="M940">
        <v>0</v>
      </c>
      <c r="N940">
        <v>27</v>
      </c>
      <c r="O940">
        <v>24</v>
      </c>
      <c r="P940">
        <v>22</v>
      </c>
      <c r="Q940">
        <v>17</v>
      </c>
      <c r="R940">
        <v>13</v>
      </c>
      <c r="S940">
        <v>7</v>
      </c>
      <c r="T940">
        <v>2</v>
      </c>
      <c r="U940">
        <v>124</v>
      </c>
    </row>
    <row r="941" spans="1:21" x14ac:dyDescent="0.25">
      <c r="A941">
        <v>2025</v>
      </c>
      <c r="B941">
        <v>5</v>
      </c>
      <c r="C941" t="s">
        <v>80</v>
      </c>
      <c r="D941" t="s">
        <v>22</v>
      </c>
      <c r="E941" t="s">
        <v>102</v>
      </c>
      <c r="F941" t="s">
        <v>28</v>
      </c>
      <c r="G941" t="s">
        <v>25</v>
      </c>
      <c r="H941" t="s">
        <v>25</v>
      </c>
      <c r="I941" t="s">
        <v>25</v>
      </c>
      <c r="J941">
        <v>2</v>
      </c>
      <c r="K941">
        <v>0</v>
      </c>
      <c r="L941">
        <v>0</v>
      </c>
      <c r="M941">
        <v>0</v>
      </c>
      <c r="N941">
        <v>2</v>
      </c>
      <c r="O941">
        <v>2</v>
      </c>
      <c r="P941">
        <v>2</v>
      </c>
      <c r="Q941">
        <v>2</v>
      </c>
      <c r="R941">
        <v>2</v>
      </c>
      <c r="S941">
        <v>1</v>
      </c>
      <c r="T941">
        <v>0</v>
      </c>
      <c r="U941">
        <v>2</v>
      </c>
    </row>
    <row r="942" spans="1:21" x14ac:dyDescent="0.25">
      <c r="A942">
        <v>2025</v>
      </c>
      <c r="B942">
        <v>5</v>
      </c>
      <c r="C942" t="s">
        <v>80</v>
      </c>
      <c r="D942" t="s">
        <v>22</v>
      </c>
      <c r="E942" t="s">
        <v>32</v>
      </c>
      <c r="F942" t="s">
        <v>28</v>
      </c>
      <c r="G942" t="s">
        <v>25</v>
      </c>
      <c r="H942" t="s">
        <v>25</v>
      </c>
      <c r="I942" t="s">
        <v>25</v>
      </c>
      <c r="J942">
        <v>6</v>
      </c>
      <c r="K942">
        <v>0</v>
      </c>
      <c r="L942">
        <v>0</v>
      </c>
      <c r="M942">
        <v>0</v>
      </c>
      <c r="N942">
        <v>5</v>
      </c>
      <c r="O942">
        <v>3</v>
      </c>
      <c r="P942">
        <v>3</v>
      </c>
      <c r="Q942">
        <v>2</v>
      </c>
      <c r="R942">
        <v>1</v>
      </c>
      <c r="S942">
        <v>0</v>
      </c>
      <c r="T942">
        <v>0</v>
      </c>
      <c r="U942">
        <v>6</v>
      </c>
    </row>
    <row r="943" spans="1:21" x14ac:dyDescent="0.25">
      <c r="A943">
        <v>2025</v>
      </c>
      <c r="B943">
        <v>5</v>
      </c>
      <c r="C943" t="s">
        <v>80</v>
      </c>
      <c r="D943" t="s">
        <v>22</v>
      </c>
      <c r="E943" t="s">
        <v>32</v>
      </c>
      <c r="F943" t="s">
        <v>24</v>
      </c>
      <c r="G943" t="s">
        <v>25</v>
      </c>
      <c r="H943" t="s">
        <v>25</v>
      </c>
      <c r="I943" t="s">
        <v>25</v>
      </c>
      <c r="J943">
        <v>1530</v>
      </c>
      <c r="K943">
        <v>3</v>
      </c>
      <c r="L943">
        <v>10</v>
      </c>
      <c r="M943">
        <v>13</v>
      </c>
      <c r="N943">
        <v>604</v>
      </c>
      <c r="O943">
        <v>481</v>
      </c>
      <c r="P943">
        <v>413</v>
      </c>
      <c r="Q943">
        <v>255</v>
      </c>
      <c r="R943">
        <v>158</v>
      </c>
      <c r="S943">
        <v>64</v>
      </c>
      <c r="T943">
        <v>28</v>
      </c>
      <c r="U943">
        <v>1519</v>
      </c>
    </row>
    <row r="944" spans="1:21" x14ac:dyDescent="0.25">
      <c r="A944">
        <v>2025</v>
      </c>
      <c r="B944">
        <v>5</v>
      </c>
      <c r="C944" t="s">
        <v>80</v>
      </c>
      <c r="D944" t="s">
        <v>22</v>
      </c>
      <c r="E944" t="s">
        <v>38</v>
      </c>
      <c r="F944" t="s">
        <v>24</v>
      </c>
      <c r="G944" t="s">
        <v>25</v>
      </c>
      <c r="H944" t="s">
        <v>26</v>
      </c>
      <c r="I944" t="s">
        <v>25</v>
      </c>
      <c r="J944">
        <v>1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1</v>
      </c>
    </row>
    <row r="945" spans="1:21" x14ac:dyDescent="0.25">
      <c r="A945">
        <v>2025</v>
      </c>
      <c r="B945">
        <v>5</v>
      </c>
      <c r="C945" t="s">
        <v>80</v>
      </c>
      <c r="D945" t="s">
        <v>22</v>
      </c>
      <c r="E945" t="s">
        <v>34</v>
      </c>
      <c r="F945" t="s">
        <v>24</v>
      </c>
      <c r="G945" t="s">
        <v>25</v>
      </c>
      <c r="H945" t="s">
        <v>26</v>
      </c>
      <c r="I945" t="s">
        <v>26</v>
      </c>
      <c r="J945">
        <v>32</v>
      </c>
      <c r="K945">
        <v>0</v>
      </c>
      <c r="L945">
        <v>25</v>
      </c>
      <c r="M945">
        <v>25</v>
      </c>
      <c r="N945">
        <v>3</v>
      </c>
      <c r="O945">
        <v>3</v>
      </c>
      <c r="P945">
        <v>2</v>
      </c>
      <c r="Q945">
        <v>1</v>
      </c>
      <c r="R945">
        <v>1</v>
      </c>
      <c r="S945">
        <v>0</v>
      </c>
      <c r="T945">
        <v>0</v>
      </c>
      <c r="U945">
        <v>32</v>
      </c>
    </row>
    <row r="946" spans="1:21" x14ac:dyDescent="0.25">
      <c r="A946">
        <v>2025</v>
      </c>
      <c r="B946">
        <v>5</v>
      </c>
      <c r="C946" t="s">
        <v>80</v>
      </c>
      <c r="D946" t="s">
        <v>22</v>
      </c>
      <c r="E946" t="s">
        <v>76</v>
      </c>
      <c r="F946" t="s">
        <v>28</v>
      </c>
      <c r="G946" t="s">
        <v>25</v>
      </c>
      <c r="H946" t="s">
        <v>26</v>
      </c>
      <c r="I946" t="s">
        <v>25</v>
      </c>
      <c r="J946">
        <v>33</v>
      </c>
      <c r="K946">
        <v>0</v>
      </c>
      <c r="L946">
        <v>1</v>
      </c>
      <c r="M946">
        <v>1</v>
      </c>
      <c r="N946">
        <v>10</v>
      </c>
      <c r="O946">
        <v>10</v>
      </c>
      <c r="P946">
        <v>10</v>
      </c>
      <c r="Q946">
        <v>8</v>
      </c>
      <c r="R946">
        <v>6</v>
      </c>
      <c r="S946">
        <v>3</v>
      </c>
      <c r="T946">
        <v>1</v>
      </c>
      <c r="U946">
        <v>33</v>
      </c>
    </row>
    <row r="947" spans="1:21" x14ac:dyDescent="0.25">
      <c r="A947">
        <v>2025</v>
      </c>
      <c r="B947">
        <v>5</v>
      </c>
      <c r="C947" t="s">
        <v>80</v>
      </c>
      <c r="D947" t="s">
        <v>22</v>
      </c>
      <c r="E947" t="s">
        <v>76</v>
      </c>
      <c r="F947" t="s">
        <v>24</v>
      </c>
      <c r="G947" t="s">
        <v>25</v>
      </c>
      <c r="H947" t="s">
        <v>26</v>
      </c>
      <c r="I947" t="s">
        <v>25</v>
      </c>
      <c r="J947">
        <v>2</v>
      </c>
      <c r="K947">
        <v>0</v>
      </c>
      <c r="L947">
        <v>0</v>
      </c>
      <c r="M947">
        <v>0</v>
      </c>
      <c r="N947">
        <v>2</v>
      </c>
      <c r="O947">
        <v>2</v>
      </c>
      <c r="P947">
        <v>2</v>
      </c>
      <c r="Q947">
        <v>2</v>
      </c>
      <c r="R947">
        <v>2</v>
      </c>
      <c r="S947">
        <v>1</v>
      </c>
      <c r="T947">
        <v>0</v>
      </c>
      <c r="U947">
        <v>2</v>
      </c>
    </row>
    <row r="948" spans="1:21" x14ac:dyDescent="0.25">
      <c r="A948">
        <v>2025</v>
      </c>
      <c r="B948">
        <v>5</v>
      </c>
      <c r="C948" t="s">
        <v>80</v>
      </c>
      <c r="D948" t="s">
        <v>22</v>
      </c>
      <c r="E948" t="s">
        <v>76</v>
      </c>
      <c r="F948" t="s">
        <v>29</v>
      </c>
      <c r="G948" t="s">
        <v>25</v>
      </c>
      <c r="H948" t="s">
        <v>26</v>
      </c>
      <c r="I948" t="s">
        <v>25</v>
      </c>
      <c r="J948">
        <v>1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</row>
    <row r="949" spans="1:21" x14ac:dyDescent="0.25">
      <c r="A949">
        <v>2025</v>
      </c>
      <c r="B949">
        <v>5</v>
      </c>
      <c r="C949" t="s">
        <v>80</v>
      </c>
      <c r="D949" t="s">
        <v>22</v>
      </c>
      <c r="E949" t="s">
        <v>81</v>
      </c>
      <c r="F949" t="s">
        <v>28</v>
      </c>
      <c r="G949" t="s">
        <v>25</v>
      </c>
      <c r="H949" t="s">
        <v>26</v>
      </c>
      <c r="I949" t="s">
        <v>25</v>
      </c>
      <c r="J949">
        <v>515</v>
      </c>
      <c r="K949">
        <v>0</v>
      </c>
      <c r="L949">
        <v>27</v>
      </c>
      <c r="M949">
        <v>27</v>
      </c>
      <c r="N949">
        <v>327</v>
      </c>
      <c r="O949">
        <v>291</v>
      </c>
      <c r="P949">
        <v>270</v>
      </c>
      <c r="Q949">
        <v>189</v>
      </c>
      <c r="R949">
        <v>137</v>
      </c>
      <c r="S949">
        <v>68</v>
      </c>
      <c r="T949">
        <v>26</v>
      </c>
      <c r="U949">
        <v>490</v>
      </c>
    </row>
    <row r="950" spans="1:21" x14ac:dyDescent="0.25">
      <c r="A950">
        <v>2025</v>
      </c>
      <c r="B950">
        <v>5</v>
      </c>
      <c r="C950" t="s">
        <v>80</v>
      </c>
      <c r="D950" t="s">
        <v>22</v>
      </c>
      <c r="E950" t="s">
        <v>82</v>
      </c>
      <c r="F950" t="s">
        <v>28</v>
      </c>
      <c r="G950" t="s">
        <v>25</v>
      </c>
      <c r="H950" t="s">
        <v>26</v>
      </c>
      <c r="I950" t="s">
        <v>25</v>
      </c>
      <c r="J950">
        <v>301</v>
      </c>
      <c r="K950">
        <v>0</v>
      </c>
      <c r="L950">
        <v>8</v>
      </c>
      <c r="M950">
        <v>8</v>
      </c>
      <c r="N950">
        <v>178</v>
      </c>
      <c r="O950">
        <v>153</v>
      </c>
      <c r="P950">
        <v>143</v>
      </c>
      <c r="Q950">
        <v>102</v>
      </c>
      <c r="R950">
        <v>65</v>
      </c>
      <c r="S950">
        <v>32</v>
      </c>
      <c r="T950">
        <v>16</v>
      </c>
      <c r="U950">
        <v>294</v>
      </c>
    </row>
    <row r="951" spans="1:21" x14ac:dyDescent="0.25">
      <c r="A951">
        <v>2025</v>
      </c>
      <c r="B951">
        <v>5</v>
      </c>
      <c r="C951" t="s">
        <v>80</v>
      </c>
      <c r="D951" t="s">
        <v>22</v>
      </c>
      <c r="E951" t="s">
        <v>83</v>
      </c>
      <c r="F951" t="s">
        <v>28</v>
      </c>
      <c r="G951" t="s">
        <v>26</v>
      </c>
      <c r="H951" t="s">
        <v>26</v>
      </c>
      <c r="I951" t="s">
        <v>25</v>
      </c>
      <c r="J951">
        <v>7119</v>
      </c>
      <c r="K951">
        <v>0</v>
      </c>
      <c r="L951">
        <v>205</v>
      </c>
      <c r="M951">
        <v>205</v>
      </c>
      <c r="N951">
        <v>3184</v>
      </c>
      <c r="O951">
        <v>2537</v>
      </c>
      <c r="P951">
        <v>2260</v>
      </c>
      <c r="Q951">
        <v>1603</v>
      </c>
      <c r="R951">
        <v>1167</v>
      </c>
      <c r="S951">
        <v>584</v>
      </c>
      <c r="T951">
        <v>178</v>
      </c>
      <c r="U951">
        <v>6931</v>
      </c>
    </row>
    <row r="952" spans="1:21" x14ac:dyDescent="0.25">
      <c r="A952">
        <v>2025</v>
      </c>
      <c r="B952">
        <v>5</v>
      </c>
      <c r="C952" t="s">
        <v>80</v>
      </c>
      <c r="D952" t="s">
        <v>22</v>
      </c>
      <c r="E952" t="s">
        <v>23</v>
      </c>
      <c r="F952" t="s">
        <v>28</v>
      </c>
      <c r="G952" t="s">
        <v>25</v>
      </c>
      <c r="H952" t="s">
        <v>26</v>
      </c>
      <c r="I952" t="s">
        <v>25</v>
      </c>
      <c r="J952">
        <v>3145</v>
      </c>
      <c r="K952">
        <v>0</v>
      </c>
      <c r="L952">
        <v>125</v>
      </c>
      <c r="M952">
        <v>125</v>
      </c>
      <c r="N952">
        <v>1216</v>
      </c>
      <c r="O952">
        <v>979</v>
      </c>
      <c r="P952">
        <v>915</v>
      </c>
      <c r="Q952">
        <v>645</v>
      </c>
      <c r="R952">
        <v>466</v>
      </c>
      <c r="S952">
        <v>227</v>
      </c>
      <c r="T952">
        <v>82</v>
      </c>
      <c r="U952">
        <v>3042</v>
      </c>
    </row>
    <row r="953" spans="1:21" x14ac:dyDescent="0.25">
      <c r="A953">
        <v>2025</v>
      </c>
      <c r="B953">
        <v>5</v>
      </c>
      <c r="C953" t="s">
        <v>80</v>
      </c>
      <c r="D953" t="s">
        <v>22</v>
      </c>
      <c r="E953" t="s">
        <v>84</v>
      </c>
      <c r="F953" t="s">
        <v>28</v>
      </c>
      <c r="G953" t="s">
        <v>25</v>
      </c>
      <c r="H953" t="s">
        <v>26</v>
      </c>
      <c r="I953" t="s">
        <v>26</v>
      </c>
      <c r="J953">
        <v>595</v>
      </c>
      <c r="K953">
        <v>0</v>
      </c>
      <c r="L953">
        <v>0</v>
      </c>
      <c r="M953">
        <v>0</v>
      </c>
      <c r="N953">
        <v>182</v>
      </c>
      <c r="O953">
        <v>151</v>
      </c>
      <c r="P953">
        <v>137</v>
      </c>
      <c r="Q953">
        <v>108</v>
      </c>
      <c r="R953">
        <v>85</v>
      </c>
      <c r="S953">
        <v>56</v>
      </c>
      <c r="T953">
        <v>32</v>
      </c>
      <c r="U953">
        <v>595</v>
      </c>
    </row>
    <row r="954" spans="1:21" x14ac:dyDescent="0.25">
      <c r="A954">
        <v>2025</v>
      </c>
      <c r="B954">
        <v>5</v>
      </c>
      <c r="C954" t="s">
        <v>80</v>
      </c>
      <c r="D954" t="s">
        <v>22</v>
      </c>
      <c r="E954" t="s">
        <v>40</v>
      </c>
      <c r="F954" t="s">
        <v>28</v>
      </c>
      <c r="G954" t="s">
        <v>25</v>
      </c>
      <c r="H954" t="s">
        <v>26</v>
      </c>
      <c r="I954" t="s">
        <v>25</v>
      </c>
      <c r="J954">
        <v>6</v>
      </c>
      <c r="K954">
        <v>0</v>
      </c>
      <c r="L954">
        <v>3</v>
      </c>
      <c r="M954">
        <v>3</v>
      </c>
      <c r="N954">
        <v>1</v>
      </c>
      <c r="O954">
        <v>1</v>
      </c>
      <c r="P954">
        <v>1</v>
      </c>
      <c r="Q954">
        <v>1</v>
      </c>
      <c r="R954">
        <v>1</v>
      </c>
      <c r="S954">
        <v>1</v>
      </c>
      <c r="T954">
        <v>0</v>
      </c>
      <c r="U954">
        <v>5</v>
      </c>
    </row>
    <row r="955" spans="1:21" x14ac:dyDescent="0.25">
      <c r="A955">
        <v>2025</v>
      </c>
      <c r="B955">
        <v>5</v>
      </c>
      <c r="C955" t="s">
        <v>80</v>
      </c>
      <c r="D955" t="s">
        <v>22</v>
      </c>
      <c r="E955" t="s">
        <v>40</v>
      </c>
      <c r="F955" t="s">
        <v>24</v>
      </c>
      <c r="G955" t="s">
        <v>25</v>
      </c>
      <c r="H955" t="s">
        <v>26</v>
      </c>
      <c r="I955" t="s">
        <v>25</v>
      </c>
      <c r="J955">
        <v>44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44</v>
      </c>
    </row>
    <row r="956" spans="1:21" x14ac:dyDescent="0.25">
      <c r="A956">
        <v>2025</v>
      </c>
      <c r="B956">
        <v>5</v>
      </c>
      <c r="C956" t="s">
        <v>80</v>
      </c>
      <c r="D956" t="s">
        <v>22</v>
      </c>
      <c r="E956" t="s">
        <v>85</v>
      </c>
      <c r="F956" t="s">
        <v>28</v>
      </c>
      <c r="G956" t="s">
        <v>25</v>
      </c>
      <c r="H956" t="s">
        <v>25</v>
      </c>
      <c r="I956" t="s">
        <v>25</v>
      </c>
      <c r="J956">
        <v>6734</v>
      </c>
      <c r="K956">
        <v>0</v>
      </c>
      <c r="L956">
        <v>457</v>
      </c>
      <c r="M956">
        <v>457</v>
      </c>
      <c r="N956">
        <v>468</v>
      </c>
      <c r="O956">
        <v>273</v>
      </c>
      <c r="P956">
        <v>228</v>
      </c>
      <c r="Q956">
        <v>113</v>
      </c>
      <c r="R956">
        <v>71</v>
      </c>
      <c r="S956">
        <v>19</v>
      </c>
      <c r="T956">
        <v>4</v>
      </c>
      <c r="U956">
        <v>6342</v>
      </c>
    </row>
    <row r="957" spans="1:21" x14ac:dyDescent="0.25">
      <c r="A957">
        <v>2025</v>
      </c>
      <c r="B957">
        <v>5</v>
      </c>
      <c r="C957" t="s">
        <v>80</v>
      </c>
      <c r="D957" t="s">
        <v>22</v>
      </c>
      <c r="E957" t="s">
        <v>86</v>
      </c>
      <c r="F957" t="s">
        <v>28</v>
      </c>
      <c r="G957" t="s">
        <v>25</v>
      </c>
      <c r="H957" t="s">
        <v>25</v>
      </c>
      <c r="I957" t="s">
        <v>25</v>
      </c>
      <c r="J957">
        <v>30</v>
      </c>
      <c r="K957">
        <v>0</v>
      </c>
      <c r="L957">
        <v>4</v>
      </c>
      <c r="M957">
        <v>4</v>
      </c>
      <c r="N957">
        <v>11</v>
      </c>
      <c r="O957">
        <v>10</v>
      </c>
      <c r="P957">
        <v>10</v>
      </c>
      <c r="Q957">
        <v>10</v>
      </c>
      <c r="R957">
        <v>9</v>
      </c>
      <c r="S957">
        <v>7</v>
      </c>
      <c r="T957">
        <v>1</v>
      </c>
      <c r="U957">
        <v>26</v>
      </c>
    </row>
    <row r="958" spans="1:21" x14ac:dyDescent="0.25">
      <c r="A958">
        <v>2025</v>
      </c>
      <c r="B958">
        <v>5</v>
      </c>
      <c r="C958" t="s">
        <v>80</v>
      </c>
      <c r="D958" t="s">
        <v>22</v>
      </c>
      <c r="E958" t="s">
        <v>86</v>
      </c>
      <c r="F958" t="s">
        <v>29</v>
      </c>
      <c r="G958" t="s">
        <v>25</v>
      </c>
      <c r="H958" t="s">
        <v>25</v>
      </c>
      <c r="I958" t="s">
        <v>25</v>
      </c>
      <c r="J958">
        <v>9</v>
      </c>
      <c r="K958">
        <v>2</v>
      </c>
      <c r="L958">
        <v>0</v>
      </c>
      <c r="M958">
        <v>2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</row>
    <row r="959" spans="1:21" x14ac:dyDescent="0.25">
      <c r="A959">
        <v>2025</v>
      </c>
      <c r="B959">
        <v>5</v>
      </c>
      <c r="C959" t="s">
        <v>80</v>
      </c>
      <c r="D959" t="s">
        <v>22</v>
      </c>
      <c r="E959" t="s">
        <v>35</v>
      </c>
      <c r="F959" t="s">
        <v>28</v>
      </c>
      <c r="G959" t="s">
        <v>25</v>
      </c>
      <c r="H959" t="s">
        <v>26</v>
      </c>
      <c r="I959" t="s">
        <v>26</v>
      </c>
      <c r="J959">
        <v>2</v>
      </c>
      <c r="K959">
        <v>0</v>
      </c>
      <c r="L959">
        <v>0</v>
      </c>
      <c r="M959">
        <v>0</v>
      </c>
      <c r="N959">
        <v>1</v>
      </c>
      <c r="O959">
        <v>1</v>
      </c>
      <c r="P959">
        <v>1</v>
      </c>
      <c r="Q959">
        <v>1</v>
      </c>
      <c r="R959">
        <v>1</v>
      </c>
      <c r="S959">
        <v>0</v>
      </c>
      <c r="T959">
        <v>0</v>
      </c>
      <c r="U959">
        <v>2</v>
      </c>
    </row>
    <row r="960" spans="1:21" x14ac:dyDescent="0.25">
      <c r="A960">
        <v>2025</v>
      </c>
      <c r="B960">
        <v>5</v>
      </c>
      <c r="C960" t="s">
        <v>80</v>
      </c>
      <c r="D960" t="s">
        <v>22</v>
      </c>
      <c r="E960" t="s">
        <v>35</v>
      </c>
      <c r="F960" t="s">
        <v>24</v>
      </c>
      <c r="G960" t="s">
        <v>25</v>
      </c>
      <c r="H960" t="s">
        <v>26</v>
      </c>
      <c r="I960" t="s">
        <v>26</v>
      </c>
      <c r="J960">
        <v>202</v>
      </c>
      <c r="K960">
        <v>0</v>
      </c>
      <c r="L960">
        <v>0</v>
      </c>
      <c r="M960">
        <v>0</v>
      </c>
      <c r="N960">
        <v>62</v>
      </c>
      <c r="O960">
        <v>55</v>
      </c>
      <c r="P960">
        <v>53</v>
      </c>
      <c r="Q960">
        <v>43</v>
      </c>
      <c r="R960">
        <v>31</v>
      </c>
      <c r="S960">
        <v>14</v>
      </c>
      <c r="T960">
        <v>11</v>
      </c>
      <c r="U960">
        <v>202</v>
      </c>
    </row>
    <row r="961" spans="1:21" x14ac:dyDescent="0.25">
      <c r="A961">
        <v>2025</v>
      </c>
      <c r="B961">
        <v>5</v>
      </c>
      <c r="C961" t="s">
        <v>80</v>
      </c>
      <c r="D961" t="s">
        <v>22</v>
      </c>
      <c r="E961" t="s">
        <v>87</v>
      </c>
      <c r="F961" t="s">
        <v>28</v>
      </c>
      <c r="G961" t="s">
        <v>25</v>
      </c>
      <c r="H961" t="s">
        <v>25</v>
      </c>
      <c r="I961" t="s">
        <v>25</v>
      </c>
      <c r="J961">
        <v>233406</v>
      </c>
      <c r="K961">
        <v>121</v>
      </c>
      <c r="L961">
        <v>11523</v>
      </c>
      <c r="M961">
        <v>11644</v>
      </c>
      <c r="N961">
        <v>47552</v>
      </c>
      <c r="O961">
        <v>27622</v>
      </c>
      <c r="P961">
        <v>22193</v>
      </c>
      <c r="Q961">
        <v>11714</v>
      </c>
      <c r="R961">
        <v>7067</v>
      </c>
      <c r="S961">
        <v>2442</v>
      </c>
      <c r="T961">
        <v>495</v>
      </c>
      <c r="U961">
        <v>223270</v>
      </c>
    </row>
    <row r="962" spans="1:21" x14ac:dyDescent="0.25">
      <c r="A962">
        <v>2025</v>
      </c>
      <c r="B962">
        <v>5</v>
      </c>
      <c r="C962" t="s">
        <v>80</v>
      </c>
      <c r="D962" t="s">
        <v>22</v>
      </c>
      <c r="E962" t="s">
        <v>87</v>
      </c>
      <c r="F962" t="s">
        <v>24</v>
      </c>
      <c r="G962" t="s">
        <v>25</v>
      </c>
      <c r="H962" t="s">
        <v>25</v>
      </c>
      <c r="I962" t="s">
        <v>25</v>
      </c>
      <c r="J962">
        <v>5878</v>
      </c>
      <c r="K962">
        <v>156</v>
      </c>
      <c r="L962">
        <v>80</v>
      </c>
      <c r="M962">
        <v>236</v>
      </c>
      <c r="N962">
        <v>1076</v>
      </c>
      <c r="O962">
        <v>605</v>
      </c>
      <c r="P962">
        <v>494</v>
      </c>
      <c r="Q962">
        <v>227</v>
      </c>
      <c r="R962">
        <v>139</v>
      </c>
      <c r="S962">
        <v>22</v>
      </c>
      <c r="T962">
        <v>3</v>
      </c>
      <c r="U962">
        <v>5656</v>
      </c>
    </row>
    <row r="963" spans="1:21" x14ac:dyDescent="0.25">
      <c r="A963">
        <v>2025</v>
      </c>
      <c r="B963">
        <v>5</v>
      </c>
      <c r="C963" t="s">
        <v>80</v>
      </c>
      <c r="D963" t="s">
        <v>22</v>
      </c>
      <c r="E963" t="s">
        <v>36</v>
      </c>
      <c r="F963" t="s">
        <v>24</v>
      </c>
      <c r="G963" t="s">
        <v>25</v>
      </c>
      <c r="H963" t="s">
        <v>26</v>
      </c>
      <c r="I963" t="s">
        <v>25</v>
      </c>
      <c r="J963">
        <v>136</v>
      </c>
      <c r="K963">
        <v>0</v>
      </c>
      <c r="L963">
        <v>0</v>
      </c>
      <c r="M963">
        <v>0</v>
      </c>
      <c r="N963">
        <v>11</v>
      </c>
      <c r="O963">
        <v>8</v>
      </c>
      <c r="P963">
        <v>8</v>
      </c>
      <c r="Q963">
        <v>7</v>
      </c>
      <c r="R963">
        <v>6</v>
      </c>
      <c r="S963">
        <v>4</v>
      </c>
      <c r="T963">
        <v>1</v>
      </c>
      <c r="U963">
        <v>136</v>
      </c>
    </row>
    <row r="964" spans="1:21" x14ac:dyDescent="0.25">
      <c r="A964">
        <v>2025</v>
      </c>
      <c r="B964">
        <v>5</v>
      </c>
      <c r="C964" t="s">
        <v>80</v>
      </c>
      <c r="D964" t="s">
        <v>22</v>
      </c>
      <c r="E964" t="s">
        <v>41</v>
      </c>
      <c r="F964" t="s">
        <v>24</v>
      </c>
      <c r="G964" t="s">
        <v>26</v>
      </c>
      <c r="H964" t="s">
        <v>26</v>
      </c>
      <c r="I964" t="s">
        <v>25</v>
      </c>
      <c r="J964">
        <v>3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3</v>
      </c>
    </row>
    <row r="965" spans="1:21" x14ac:dyDescent="0.25">
      <c r="A965">
        <v>2025</v>
      </c>
      <c r="B965">
        <v>5</v>
      </c>
      <c r="C965" t="s">
        <v>88</v>
      </c>
      <c r="D965" t="s">
        <v>45</v>
      </c>
      <c r="E965" t="s">
        <v>83</v>
      </c>
      <c r="F965" t="s">
        <v>28</v>
      </c>
      <c r="G965" t="s">
        <v>26</v>
      </c>
      <c r="H965" t="s">
        <v>26</v>
      </c>
      <c r="I965" t="s">
        <v>25</v>
      </c>
      <c r="J965">
        <v>125</v>
      </c>
      <c r="K965">
        <v>0</v>
      </c>
      <c r="L965">
        <v>0</v>
      </c>
      <c r="M965">
        <v>0</v>
      </c>
      <c r="N965">
        <v>38</v>
      </c>
      <c r="O965">
        <v>29</v>
      </c>
      <c r="P965">
        <v>26</v>
      </c>
      <c r="Q965">
        <v>22</v>
      </c>
      <c r="R965">
        <v>14</v>
      </c>
      <c r="S965">
        <v>2</v>
      </c>
      <c r="T965">
        <v>1</v>
      </c>
      <c r="U965">
        <v>125</v>
      </c>
    </row>
    <row r="966" spans="1:21" x14ac:dyDescent="0.25">
      <c r="A966">
        <v>2025</v>
      </c>
      <c r="B966">
        <v>5</v>
      </c>
      <c r="C966" t="s">
        <v>88</v>
      </c>
      <c r="D966" t="s">
        <v>45</v>
      </c>
      <c r="E966" t="s">
        <v>83</v>
      </c>
      <c r="F966" t="s">
        <v>24</v>
      </c>
      <c r="G966" t="s">
        <v>26</v>
      </c>
      <c r="H966" t="s">
        <v>26</v>
      </c>
      <c r="I966" t="s">
        <v>25</v>
      </c>
      <c r="J966">
        <v>83</v>
      </c>
      <c r="K966">
        <v>0</v>
      </c>
      <c r="L966">
        <v>0</v>
      </c>
      <c r="M966">
        <v>0</v>
      </c>
      <c r="N966">
        <v>35</v>
      </c>
      <c r="O966">
        <v>30</v>
      </c>
      <c r="P966">
        <v>25</v>
      </c>
      <c r="Q966">
        <v>15</v>
      </c>
      <c r="R966">
        <v>11</v>
      </c>
      <c r="S966">
        <v>3</v>
      </c>
      <c r="T966">
        <v>0</v>
      </c>
      <c r="U966">
        <v>83</v>
      </c>
    </row>
    <row r="967" spans="1:21" x14ac:dyDescent="0.25">
      <c r="A967">
        <v>2025</v>
      </c>
      <c r="B967">
        <v>5</v>
      </c>
      <c r="C967" t="s">
        <v>89</v>
      </c>
      <c r="D967" t="s">
        <v>22</v>
      </c>
      <c r="E967" t="s">
        <v>91</v>
      </c>
      <c r="F967" t="s">
        <v>28</v>
      </c>
      <c r="G967" t="s">
        <v>25</v>
      </c>
      <c r="H967" t="s">
        <v>25</v>
      </c>
      <c r="I967" t="s">
        <v>25</v>
      </c>
      <c r="J967">
        <v>3161</v>
      </c>
      <c r="K967">
        <v>0</v>
      </c>
      <c r="L967">
        <v>0</v>
      </c>
      <c r="M967">
        <v>0</v>
      </c>
      <c r="N967">
        <v>22</v>
      </c>
      <c r="O967">
        <v>21</v>
      </c>
      <c r="P967">
        <v>20</v>
      </c>
      <c r="Q967">
        <v>16</v>
      </c>
      <c r="R967">
        <v>11</v>
      </c>
      <c r="S967">
        <v>6</v>
      </c>
      <c r="T967">
        <v>4</v>
      </c>
      <c r="U967">
        <v>3161</v>
      </c>
    </row>
    <row r="968" spans="1:21" x14ac:dyDescent="0.25">
      <c r="A968">
        <v>2025</v>
      </c>
      <c r="B968">
        <v>5</v>
      </c>
      <c r="C968" t="s">
        <v>89</v>
      </c>
      <c r="D968" t="s">
        <v>22</v>
      </c>
      <c r="E968" t="s">
        <v>91</v>
      </c>
      <c r="F968" t="s">
        <v>24</v>
      </c>
      <c r="G968" t="s">
        <v>25</v>
      </c>
      <c r="H968" t="s">
        <v>25</v>
      </c>
      <c r="I968" t="s">
        <v>25</v>
      </c>
      <c r="J968">
        <v>1311</v>
      </c>
      <c r="K968">
        <v>0</v>
      </c>
      <c r="L968">
        <v>0</v>
      </c>
      <c r="M968">
        <v>0</v>
      </c>
      <c r="N968">
        <v>1</v>
      </c>
      <c r="O968">
        <v>1</v>
      </c>
      <c r="P968">
        <v>1</v>
      </c>
      <c r="Q968">
        <v>1</v>
      </c>
      <c r="R968">
        <v>1</v>
      </c>
      <c r="S968">
        <v>0</v>
      </c>
      <c r="T968">
        <v>0</v>
      </c>
      <c r="U968">
        <v>1311</v>
      </c>
    </row>
    <row r="969" spans="1:21" x14ac:dyDescent="0.25">
      <c r="A969">
        <v>2025</v>
      </c>
      <c r="B969">
        <v>5</v>
      </c>
      <c r="C969" t="s">
        <v>89</v>
      </c>
      <c r="D969" t="s">
        <v>22</v>
      </c>
      <c r="E969" t="s">
        <v>92</v>
      </c>
      <c r="F969" t="s">
        <v>28</v>
      </c>
      <c r="G969" t="s">
        <v>25</v>
      </c>
      <c r="H969" t="s">
        <v>25</v>
      </c>
      <c r="I969" t="s">
        <v>25</v>
      </c>
      <c r="J969">
        <v>2232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2232</v>
      </c>
    </row>
    <row r="970" spans="1:21" x14ac:dyDescent="0.25">
      <c r="A970">
        <v>2025</v>
      </c>
      <c r="B970">
        <v>5</v>
      </c>
      <c r="C970" t="s">
        <v>89</v>
      </c>
      <c r="D970" t="s">
        <v>22</v>
      </c>
      <c r="E970" t="s">
        <v>31</v>
      </c>
      <c r="F970" t="s">
        <v>24</v>
      </c>
      <c r="G970" t="s">
        <v>25</v>
      </c>
      <c r="H970" t="s">
        <v>25</v>
      </c>
      <c r="I970" t="s">
        <v>25</v>
      </c>
      <c r="J970">
        <v>245</v>
      </c>
      <c r="K970">
        <v>3</v>
      </c>
      <c r="L970">
        <v>3</v>
      </c>
      <c r="M970">
        <v>6</v>
      </c>
      <c r="N970">
        <v>42</v>
      </c>
      <c r="O970">
        <v>30</v>
      </c>
      <c r="P970">
        <v>28</v>
      </c>
      <c r="Q970">
        <v>24</v>
      </c>
      <c r="R970">
        <v>21</v>
      </c>
      <c r="S970">
        <v>11</v>
      </c>
      <c r="T970">
        <v>4</v>
      </c>
      <c r="U970">
        <v>242</v>
      </c>
    </row>
    <row r="971" spans="1:21" x14ac:dyDescent="0.25">
      <c r="A971">
        <v>2025</v>
      </c>
      <c r="B971">
        <v>5</v>
      </c>
      <c r="C971" t="s">
        <v>89</v>
      </c>
      <c r="D971" t="s">
        <v>22</v>
      </c>
      <c r="E971" t="s">
        <v>105</v>
      </c>
      <c r="F971" t="s">
        <v>28</v>
      </c>
      <c r="G971" t="s">
        <v>25</v>
      </c>
      <c r="H971" t="s">
        <v>25</v>
      </c>
      <c r="I971" t="s">
        <v>25</v>
      </c>
      <c r="J971">
        <v>2</v>
      </c>
      <c r="K971">
        <v>0</v>
      </c>
      <c r="L971">
        <v>0</v>
      </c>
      <c r="M971">
        <v>0</v>
      </c>
      <c r="N971">
        <v>1</v>
      </c>
      <c r="O971">
        <v>1</v>
      </c>
      <c r="P971">
        <v>1</v>
      </c>
      <c r="Q971">
        <v>1</v>
      </c>
      <c r="R971">
        <v>1</v>
      </c>
      <c r="S971">
        <v>1</v>
      </c>
      <c r="T971">
        <v>0</v>
      </c>
      <c r="U971">
        <v>2</v>
      </c>
    </row>
    <row r="972" spans="1:21" x14ac:dyDescent="0.25">
      <c r="A972">
        <v>2025</v>
      </c>
      <c r="B972">
        <v>5</v>
      </c>
      <c r="C972" t="s">
        <v>89</v>
      </c>
      <c r="D972" t="s">
        <v>22</v>
      </c>
      <c r="E972" t="s">
        <v>38</v>
      </c>
      <c r="F972" t="s">
        <v>24</v>
      </c>
      <c r="G972" t="s">
        <v>25</v>
      </c>
      <c r="H972" t="s">
        <v>25</v>
      </c>
      <c r="I972" t="s">
        <v>25</v>
      </c>
      <c r="J972">
        <v>1</v>
      </c>
      <c r="K972">
        <v>0</v>
      </c>
      <c r="L972">
        <v>0</v>
      </c>
      <c r="M972">
        <v>0</v>
      </c>
      <c r="N972">
        <v>1</v>
      </c>
      <c r="O972">
        <v>1</v>
      </c>
      <c r="P972">
        <v>1</v>
      </c>
      <c r="Q972">
        <v>1</v>
      </c>
      <c r="R972">
        <v>1</v>
      </c>
      <c r="S972">
        <v>1</v>
      </c>
      <c r="T972">
        <v>1</v>
      </c>
      <c r="U972">
        <v>1</v>
      </c>
    </row>
    <row r="973" spans="1:21" x14ac:dyDescent="0.25">
      <c r="A973">
        <v>2025</v>
      </c>
      <c r="B973">
        <v>5</v>
      </c>
      <c r="C973" t="s">
        <v>89</v>
      </c>
      <c r="D973" t="s">
        <v>22</v>
      </c>
      <c r="E973" t="s">
        <v>95</v>
      </c>
      <c r="F973" t="s">
        <v>28</v>
      </c>
      <c r="G973" t="s">
        <v>25</v>
      </c>
      <c r="H973" t="s">
        <v>25</v>
      </c>
      <c r="I973" t="s">
        <v>25</v>
      </c>
      <c r="J973">
        <v>62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62</v>
      </c>
    </row>
    <row r="974" spans="1:21" x14ac:dyDescent="0.25">
      <c r="A974">
        <v>2025</v>
      </c>
      <c r="B974">
        <v>5</v>
      </c>
      <c r="C974" t="s">
        <v>89</v>
      </c>
      <c r="D974" t="s">
        <v>22</v>
      </c>
      <c r="E974" t="s">
        <v>95</v>
      </c>
      <c r="F974" t="s">
        <v>24</v>
      </c>
      <c r="G974" t="s">
        <v>25</v>
      </c>
      <c r="H974" t="s">
        <v>25</v>
      </c>
      <c r="I974" t="s">
        <v>25</v>
      </c>
      <c r="J974">
        <v>93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93</v>
      </c>
    </row>
    <row r="975" spans="1:21" x14ac:dyDescent="0.25">
      <c r="A975">
        <v>2025</v>
      </c>
      <c r="B975">
        <v>5</v>
      </c>
      <c r="C975" t="s">
        <v>89</v>
      </c>
      <c r="D975" t="s">
        <v>22</v>
      </c>
      <c r="E975" t="s">
        <v>23</v>
      </c>
      <c r="F975" t="s">
        <v>24</v>
      </c>
      <c r="G975" t="s">
        <v>25</v>
      </c>
      <c r="H975" t="s">
        <v>25</v>
      </c>
      <c r="I975" t="s">
        <v>25</v>
      </c>
      <c r="J975">
        <v>43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43</v>
      </c>
    </row>
    <row r="976" spans="1:21" x14ac:dyDescent="0.25">
      <c r="A976">
        <v>2025</v>
      </c>
      <c r="B976">
        <v>5</v>
      </c>
      <c r="C976" t="s">
        <v>89</v>
      </c>
      <c r="D976" t="s">
        <v>22</v>
      </c>
      <c r="E976" t="s">
        <v>107</v>
      </c>
      <c r="F976" t="s">
        <v>28</v>
      </c>
      <c r="G976" t="s">
        <v>25</v>
      </c>
      <c r="H976" t="s">
        <v>25</v>
      </c>
      <c r="I976" t="s">
        <v>25</v>
      </c>
      <c r="J976">
        <v>4</v>
      </c>
      <c r="K976">
        <v>0</v>
      </c>
      <c r="L976">
        <v>0</v>
      </c>
      <c r="M976">
        <v>0</v>
      </c>
      <c r="N976">
        <v>1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4</v>
      </c>
    </row>
    <row r="977" spans="1:21" x14ac:dyDescent="0.25">
      <c r="A977">
        <v>2025</v>
      </c>
      <c r="B977">
        <v>5</v>
      </c>
      <c r="C977" t="s">
        <v>89</v>
      </c>
      <c r="D977" t="s">
        <v>22</v>
      </c>
      <c r="E977" t="s">
        <v>97</v>
      </c>
      <c r="F977" t="s">
        <v>28</v>
      </c>
      <c r="G977" t="s">
        <v>25</v>
      </c>
      <c r="H977" t="s">
        <v>25</v>
      </c>
      <c r="I977" t="s">
        <v>25</v>
      </c>
      <c r="J977">
        <v>6</v>
      </c>
      <c r="K977">
        <v>0</v>
      </c>
      <c r="L977">
        <v>0</v>
      </c>
      <c r="M977">
        <v>0</v>
      </c>
      <c r="N977">
        <v>3</v>
      </c>
      <c r="O977">
        <v>3</v>
      </c>
      <c r="P977">
        <v>3</v>
      </c>
      <c r="Q977">
        <v>3</v>
      </c>
      <c r="R977">
        <v>3</v>
      </c>
      <c r="S977">
        <v>2</v>
      </c>
      <c r="T977">
        <v>1</v>
      </c>
      <c r="U977">
        <v>6</v>
      </c>
    </row>
    <row r="978" spans="1:21" x14ac:dyDescent="0.25">
      <c r="A978">
        <v>2025</v>
      </c>
      <c r="B978">
        <v>5</v>
      </c>
      <c r="C978" t="s">
        <v>89</v>
      </c>
      <c r="D978" t="s">
        <v>22</v>
      </c>
      <c r="E978" t="s">
        <v>97</v>
      </c>
      <c r="F978" t="s">
        <v>24</v>
      </c>
      <c r="G978" t="s">
        <v>25</v>
      </c>
      <c r="H978" t="s">
        <v>25</v>
      </c>
      <c r="I978" t="s">
        <v>25</v>
      </c>
      <c r="J978">
        <v>26</v>
      </c>
      <c r="K978">
        <v>2</v>
      </c>
      <c r="L978">
        <v>2</v>
      </c>
      <c r="M978">
        <v>4</v>
      </c>
      <c r="N978">
        <v>11</v>
      </c>
      <c r="O978">
        <v>9</v>
      </c>
      <c r="P978">
        <v>9</v>
      </c>
      <c r="Q978">
        <v>7</v>
      </c>
      <c r="R978">
        <v>7</v>
      </c>
      <c r="S978">
        <v>4</v>
      </c>
      <c r="T978">
        <v>2</v>
      </c>
      <c r="U978">
        <v>24</v>
      </c>
    </row>
    <row r="979" spans="1:21" x14ac:dyDescent="0.25">
      <c r="A979">
        <v>2025</v>
      </c>
      <c r="B979">
        <v>5</v>
      </c>
      <c r="C979" t="s">
        <v>89</v>
      </c>
      <c r="D979" t="s">
        <v>22</v>
      </c>
      <c r="F979" t="s">
        <v>28</v>
      </c>
      <c r="G979" t="s">
        <v>25</v>
      </c>
      <c r="H979" t="s">
        <v>25</v>
      </c>
      <c r="I979" t="s">
        <v>25</v>
      </c>
      <c r="J979">
        <v>18</v>
      </c>
      <c r="K979">
        <v>0</v>
      </c>
      <c r="L979">
        <v>0</v>
      </c>
      <c r="M979">
        <v>0</v>
      </c>
      <c r="N979">
        <v>5</v>
      </c>
      <c r="O979">
        <v>3</v>
      </c>
      <c r="P979">
        <v>3</v>
      </c>
      <c r="Q979">
        <v>3</v>
      </c>
      <c r="R979">
        <v>2</v>
      </c>
      <c r="S979">
        <v>1</v>
      </c>
      <c r="T979">
        <v>1</v>
      </c>
      <c r="U979">
        <v>18</v>
      </c>
    </row>
    <row r="980" spans="1:21" x14ac:dyDescent="0.25">
      <c r="A980">
        <v>2025</v>
      </c>
      <c r="B980">
        <v>5</v>
      </c>
      <c r="C980" t="s">
        <v>98</v>
      </c>
      <c r="D980" t="s">
        <v>22</v>
      </c>
      <c r="E980" t="s">
        <v>31</v>
      </c>
      <c r="F980" t="s">
        <v>24</v>
      </c>
      <c r="G980" t="s">
        <v>25</v>
      </c>
      <c r="H980" t="s">
        <v>25</v>
      </c>
      <c r="I980" t="s">
        <v>25</v>
      </c>
      <c r="J980">
        <v>62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62</v>
      </c>
    </row>
    <row r="981" spans="1:21" x14ac:dyDescent="0.25">
      <c r="A981">
        <v>2025</v>
      </c>
      <c r="B981">
        <v>5</v>
      </c>
      <c r="C981" t="s">
        <v>99</v>
      </c>
      <c r="D981" t="s">
        <v>45</v>
      </c>
      <c r="E981" t="s">
        <v>100</v>
      </c>
      <c r="F981" t="s">
        <v>28</v>
      </c>
      <c r="G981" t="s">
        <v>25</v>
      </c>
      <c r="H981" t="s">
        <v>26</v>
      </c>
      <c r="I981" t="s">
        <v>25</v>
      </c>
      <c r="J981">
        <v>1328</v>
      </c>
      <c r="K981">
        <v>0</v>
      </c>
      <c r="L981">
        <v>0</v>
      </c>
      <c r="M981">
        <v>0</v>
      </c>
      <c r="N981">
        <v>25</v>
      </c>
      <c r="O981">
        <v>19</v>
      </c>
      <c r="P981">
        <v>18</v>
      </c>
      <c r="Q981">
        <v>11</v>
      </c>
      <c r="R981">
        <v>6</v>
      </c>
      <c r="S981">
        <v>4</v>
      </c>
      <c r="T981">
        <v>2</v>
      </c>
      <c r="U981">
        <v>1328</v>
      </c>
    </row>
    <row r="982" spans="1:21" x14ac:dyDescent="0.25">
      <c r="A982">
        <v>2025</v>
      </c>
      <c r="B982">
        <v>5</v>
      </c>
      <c r="C982" t="s">
        <v>99</v>
      </c>
      <c r="D982" t="s">
        <v>45</v>
      </c>
      <c r="E982" t="s">
        <v>100</v>
      </c>
      <c r="F982" t="s">
        <v>24</v>
      </c>
      <c r="G982" t="s">
        <v>25</v>
      </c>
      <c r="H982" t="s">
        <v>26</v>
      </c>
      <c r="I982" t="s">
        <v>25</v>
      </c>
      <c r="J982">
        <v>372</v>
      </c>
      <c r="K982">
        <v>0</v>
      </c>
      <c r="L982">
        <v>3</v>
      </c>
      <c r="M982">
        <v>3</v>
      </c>
      <c r="N982">
        <v>159</v>
      </c>
      <c r="O982">
        <v>117</v>
      </c>
      <c r="P982">
        <v>95</v>
      </c>
      <c r="Q982">
        <v>52</v>
      </c>
      <c r="R982">
        <v>23</v>
      </c>
      <c r="S982">
        <v>8</v>
      </c>
      <c r="T982">
        <v>2</v>
      </c>
      <c r="U982">
        <v>371</v>
      </c>
    </row>
    <row r="983" spans="1:21" x14ac:dyDescent="0.25">
      <c r="A983">
        <v>2025</v>
      </c>
      <c r="B983">
        <v>5</v>
      </c>
      <c r="C983" t="s">
        <v>101</v>
      </c>
      <c r="D983" t="s">
        <v>22</v>
      </c>
      <c r="E983" t="s">
        <v>32</v>
      </c>
      <c r="F983" t="s">
        <v>24</v>
      </c>
      <c r="G983" t="s">
        <v>25</v>
      </c>
      <c r="H983" t="s">
        <v>25</v>
      </c>
      <c r="I983" t="s">
        <v>25</v>
      </c>
      <c r="J983">
        <v>57</v>
      </c>
      <c r="K983">
        <v>0</v>
      </c>
      <c r="L983">
        <v>0</v>
      </c>
      <c r="M983">
        <v>0</v>
      </c>
      <c r="N983">
        <v>43</v>
      </c>
      <c r="O983">
        <v>41</v>
      </c>
      <c r="P983">
        <v>39</v>
      </c>
      <c r="Q983">
        <v>31</v>
      </c>
      <c r="R983">
        <v>22</v>
      </c>
      <c r="S983">
        <v>8</v>
      </c>
      <c r="T983">
        <v>2</v>
      </c>
      <c r="U983">
        <v>57</v>
      </c>
    </row>
    <row r="984" spans="1:21" x14ac:dyDescent="0.25">
      <c r="A984">
        <v>2025</v>
      </c>
      <c r="B984">
        <v>5</v>
      </c>
      <c r="C984" t="s">
        <v>101</v>
      </c>
      <c r="D984" t="s">
        <v>22</v>
      </c>
      <c r="E984" t="s">
        <v>34</v>
      </c>
      <c r="F984" t="s">
        <v>24</v>
      </c>
      <c r="G984" t="s">
        <v>25</v>
      </c>
      <c r="H984" t="s">
        <v>26</v>
      </c>
      <c r="I984" t="s">
        <v>26</v>
      </c>
      <c r="J984">
        <v>86</v>
      </c>
      <c r="K984">
        <v>1</v>
      </c>
      <c r="L984">
        <v>0</v>
      </c>
      <c r="M984">
        <v>1</v>
      </c>
      <c r="N984">
        <v>10</v>
      </c>
      <c r="O984">
        <v>6</v>
      </c>
      <c r="P984">
        <v>6</v>
      </c>
      <c r="Q984">
        <v>6</v>
      </c>
      <c r="R984">
        <v>4</v>
      </c>
      <c r="S984">
        <v>2</v>
      </c>
      <c r="T984">
        <v>2</v>
      </c>
      <c r="U984">
        <v>85</v>
      </c>
    </row>
    <row r="985" spans="1:21" x14ac:dyDescent="0.25">
      <c r="A985">
        <v>2025</v>
      </c>
      <c r="B985">
        <v>5</v>
      </c>
      <c r="C985" t="s">
        <v>101</v>
      </c>
      <c r="D985" t="s">
        <v>22</v>
      </c>
      <c r="E985" t="s">
        <v>35</v>
      </c>
      <c r="F985" t="s">
        <v>24</v>
      </c>
      <c r="G985" t="s">
        <v>25</v>
      </c>
      <c r="H985" t="s">
        <v>26</v>
      </c>
      <c r="I985" t="s">
        <v>26</v>
      </c>
      <c r="J985">
        <v>1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1</v>
      </c>
    </row>
    <row r="986" spans="1:21" x14ac:dyDescent="0.25">
      <c r="A986">
        <v>2025</v>
      </c>
      <c r="B986">
        <v>5</v>
      </c>
      <c r="C986" t="s">
        <v>101</v>
      </c>
      <c r="D986" t="s">
        <v>22</v>
      </c>
      <c r="E986" t="s">
        <v>41</v>
      </c>
      <c r="F986" t="s">
        <v>24</v>
      </c>
      <c r="G986" t="s">
        <v>26</v>
      </c>
      <c r="H986" t="s">
        <v>26</v>
      </c>
      <c r="I986" t="s">
        <v>25</v>
      </c>
      <c r="J986">
        <v>62</v>
      </c>
      <c r="K986">
        <v>0</v>
      </c>
      <c r="L986">
        <v>0</v>
      </c>
      <c r="M986">
        <v>0</v>
      </c>
      <c r="N986">
        <v>6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62</v>
      </c>
    </row>
    <row r="987" spans="1:21" x14ac:dyDescent="0.25">
      <c r="A987">
        <v>2025</v>
      </c>
      <c r="B987">
        <v>6</v>
      </c>
      <c r="C987" t="s">
        <v>21</v>
      </c>
      <c r="D987" t="s">
        <v>22</v>
      </c>
      <c r="E987" t="s">
        <v>23</v>
      </c>
      <c r="F987" t="s">
        <v>24</v>
      </c>
      <c r="G987" t="s">
        <v>25</v>
      </c>
      <c r="H987" t="s">
        <v>26</v>
      </c>
      <c r="I987" t="s">
        <v>25</v>
      </c>
      <c r="J987">
        <v>1131</v>
      </c>
      <c r="K987">
        <v>12</v>
      </c>
      <c r="L987">
        <v>0</v>
      </c>
      <c r="M987">
        <v>12</v>
      </c>
      <c r="N987">
        <v>113</v>
      </c>
      <c r="O987">
        <v>70</v>
      </c>
      <c r="P987">
        <v>61</v>
      </c>
      <c r="Q987">
        <v>34</v>
      </c>
      <c r="R987">
        <v>22</v>
      </c>
      <c r="S987">
        <v>4</v>
      </c>
      <c r="T987">
        <v>0</v>
      </c>
      <c r="U987">
        <v>1119</v>
      </c>
    </row>
    <row r="988" spans="1:21" x14ac:dyDescent="0.25">
      <c r="A988">
        <v>2025</v>
      </c>
      <c r="B988">
        <v>6</v>
      </c>
      <c r="C988" t="s">
        <v>21</v>
      </c>
      <c r="D988" t="s">
        <v>22</v>
      </c>
      <c r="E988" t="s">
        <v>27</v>
      </c>
      <c r="F988" t="s">
        <v>24</v>
      </c>
      <c r="G988" t="s">
        <v>26</v>
      </c>
      <c r="H988" t="s">
        <v>26</v>
      </c>
      <c r="I988" t="s">
        <v>25</v>
      </c>
      <c r="J988">
        <v>69</v>
      </c>
      <c r="K988">
        <v>0</v>
      </c>
      <c r="L988">
        <v>0</v>
      </c>
      <c r="M988">
        <v>0</v>
      </c>
      <c r="N988">
        <v>40</v>
      </c>
      <c r="O988">
        <v>17</v>
      </c>
      <c r="P988">
        <v>17</v>
      </c>
      <c r="Q988">
        <v>16</v>
      </c>
      <c r="R988">
        <v>7</v>
      </c>
      <c r="S988">
        <v>3</v>
      </c>
      <c r="T988">
        <v>2</v>
      </c>
      <c r="U988">
        <v>69</v>
      </c>
    </row>
    <row r="989" spans="1:21" x14ac:dyDescent="0.25">
      <c r="A989">
        <v>2025</v>
      </c>
      <c r="B989">
        <v>6</v>
      </c>
      <c r="C989" t="s">
        <v>21</v>
      </c>
      <c r="D989" t="s">
        <v>22</v>
      </c>
      <c r="E989" t="s">
        <v>27</v>
      </c>
      <c r="F989" t="s">
        <v>29</v>
      </c>
      <c r="G989" t="s">
        <v>26</v>
      </c>
      <c r="H989" t="s">
        <v>26</v>
      </c>
      <c r="I989" t="s">
        <v>25</v>
      </c>
      <c r="J989">
        <v>3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</row>
    <row r="990" spans="1:21" x14ac:dyDescent="0.25">
      <c r="A990">
        <v>2025</v>
      </c>
      <c r="B990">
        <v>6</v>
      </c>
      <c r="C990" t="s">
        <v>30</v>
      </c>
      <c r="D990" t="s">
        <v>22</v>
      </c>
      <c r="E990" t="s">
        <v>31</v>
      </c>
      <c r="F990" t="s">
        <v>24</v>
      </c>
      <c r="G990" t="s">
        <v>25</v>
      </c>
      <c r="H990" t="s">
        <v>25</v>
      </c>
      <c r="I990" t="s">
        <v>25</v>
      </c>
      <c r="J990">
        <v>60</v>
      </c>
      <c r="K990">
        <v>0</v>
      </c>
      <c r="L990">
        <v>0</v>
      </c>
      <c r="M990">
        <v>0</v>
      </c>
      <c r="N990">
        <v>6</v>
      </c>
      <c r="O990">
        <v>6</v>
      </c>
      <c r="P990">
        <v>6</v>
      </c>
      <c r="Q990">
        <v>2</v>
      </c>
      <c r="R990">
        <v>0</v>
      </c>
      <c r="S990">
        <v>0</v>
      </c>
      <c r="T990">
        <v>0</v>
      </c>
      <c r="U990">
        <v>60</v>
      </c>
    </row>
    <row r="991" spans="1:21" x14ac:dyDescent="0.25">
      <c r="A991">
        <v>2025</v>
      </c>
      <c r="B991">
        <v>6</v>
      </c>
      <c r="C991" t="s">
        <v>33</v>
      </c>
      <c r="D991" t="s">
        <v>22</v>
      </c>
      <c r="E991" t="s">
        <v>32</v>
      </c>
      <c r="F991" t="s">
        <v>24</v>
      </c>
      <c r="G991" t="s">
        <v>25</v>
      </c>
      <c r="H991" t="s">
        <v>25</v>
      </c>
      <c r="I991" t="s">
        <v>25</v>
      </c>
      <c r="J991">
        <v>987</v>
      </c>
      <c r="K991">
        <v>3</v>
      </c>
      <c r="L991">
        <v>0</v>
      </c>
      <c r="M991">
        <v>3</v>
      </c>
      <c r="N991">
        <v>333</v>
      </c>
      <c r="O991">
        <v>278</v>
      </c>
      <c r="P991">
        <v>256</v>
      </c>
      <c r="Q991">
        <v>174</v>
      </c>
      <c r="R991">
        <v>135</v>
      </c>
      <c r="S991">
        <v>81</v>
      </c>
      <c r="T991">
        <v>30</v>
      </c>
      <c r="U991">
        <v>984</v>
      </c>
    </row>
    <row r="992" spans="1:21" x14ac:dyDescent="0.25">
      <c r="A992">
        <v>2025</v>
      </c>
      <c r="B992">
        <v>6</v>
      </c>
      <c r="C992" t="s">
        <v>33</v>
      </c>
      <c r="D992" t="s">
        <v>22</v>
      </c>
      <c r="E992" t="s">
        <v>34</v>
      </c>
      <c r="F992" t="s">
        <v>24</v>
      </c>
      <c r="G992" t="s">
        <v>25</v>
      </c>
      <c r="H992" t="s">
        <v>26</v>
      </c>
      <c r="I992" t="s">
        <v>26</v>
      </c>
      <c r="J992">
        <v>183</v>
      </c>
      <c r="K992">
        <v>0</v>
      </c>
      <c r="L992">
        <v>0</v>
      </c>
      <c r="M992">
        <v>0</v>
      </c>
      <c r="N992">
        <v>134</v>
      </c>
      <c r="O992">
        <v>116</v>
      </c>
      <c r="P992">
        <v>105</v>
      </c>
      <c r="Q992">
        <v>89</v>
      </c>
      <c r="R992">
        <v>79</v>
      </c>
      <c r="S992">
        <v>49</v>
      </c>
      <c r="T992">
        <v>19</v>
      </c>
      <c r="U992">
        <v>183</v>
      </c>
    </row>
    <row r="993" spans="1:21" x14ac:dyDescent="0.25">
      <c r="A993">
        <v>2025</v>
      </c>
      <c r="B993">
        <v>6</v>
      </c>
      <c r="C993" t="s">
        <v>33</v>
      </c>
      <c r="D993" t="s">
        <v>22</v>
      </c>
      <c r="E993" t="s">
        <v>23</v>
      </c>
      <c r="F993" t="s">
        <v>24</v>
      </c>
      <c r="G993" t="s">
        <v>25</v>
      </c>
      <c r="H993" t="s">
        <v>25</v>
      </c>
      <c r="I993" t="s">
        <v>25</v>
      </c>
      <c r="J993">
        <v>240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240</v>
      </c>
    </row>
    <row r="994" spans="1:21" x14ac:dyDescent="0.25">
      <c r="A994">
        <v>2025</v>
      </c>
      <c r="B994">
        <v>6</v>
      </c>
      <c r="C994" t="s">
        <v>33</v>
      </c>
      <c r="D994" t="s">
        <v>22</v>
      </c>
      <c r="E994" t="s">
        <v>23</v>
      </c>
      <c r="F994" t="s">
        <v>24</v>
      </c>
      <c r="G994" t="s">
        <v>25</v>
      </c>
      <c r="H994" t="s">
        <v>26</v>
      </c>
      <c r="I994" t="s">
        <v>25</v>
      </c>
      <c r="J994">
        <v>60</v>
      </c>
      <c r="K994">
        <v>0</v>
      </c>
      <c r="L994">
        <v>0</v>
      </c>
      <c r="M994">
        <v>0</v>
      </c>
      <c r="N994">
        <v>32</v>
      </c>
      <c r="O994">
        <v>29</v>
      </c>
      <c r="P994">
        <v>27</v>
      </c>
      <c r="Q994">
        <v>22</v>
      </c>
      <c r="R994">
        <v>17</v>
      </c>
      <c r="S994">
        <v>9</v>
      </c>
      <c r="T994">
        <v>7</v>
      </c>
      <c r="U994">
        <v>60</v>
      </c>
    </row>
    <row r="995" spans="1:21" x14ac:dyDescent="0.25">
      <c r="A995">
        <v>2025</v>
      </c>
      <c r="B995">
        <v>6</v>
      </c>
      <c r="C995" t="s">
        <v>33</v>
      </c>
      <c r="D995" t="s">
        <v>22</v>
      </c>
      <c r="E995" t="s">
        <v>35</v>
      </c>
      <c r="F995" t="s">
        <v>24</v>
      </c>
      <c r="G995" t="s">
        <v>25</v>
      </c>
      <c r="H995" t="s">
        <v>26</v>
      </c>
      <c r="I995" t="s">
        <v>26</v>
      </c>
      <c r="J995">
        <v>60</v>
      </c>
      <c r="K995">
        <v>0</v>
      </c>
      <c r="L995">
        <v>0</v>
      </c>
      <c r="M995">
        <v>0</v>
      </c>
      <c r="N995">
        <v>51</v>
      </c>
      <c r="O995">
        <v>45</v>
      </c>
      <c r="P995">
        <v>43</v>
      </c>
      <c r="Q995">
        <v>39</v>
      </c>
      <c r="R995">
        <v>36</v>
      </c>
      <c r="S995">
        <v>22</v>
      </c>
      <c r="T995">
        <v>5</v>
      </c>
      <c r="U995">
        <v>60</v>
      </c>
    </row>
    <row r="996" spans="1:21" x14ac:dyDescent="0.25">
      <c r="A996">
        <v>2025</v>
      </c>
      <c r="B996">
        <v>6</v>
      </c>
      <c r="C996" t="s">
        <v>33</v>
      </c>
      <c r="D996" t="s">
        <v>22</v>
      </c>
      <c r="E996" t="s">
        <v>36</v>
      </c>
      <c r="F996" t="s">
        <v>24</v>
      </c>
      <c r="G996" t="s">
        <v>25</v>
      </c>
      <c r="H996" t="s">
        <v>26</v>
      </c>
      <c r="I996" t="s">
        <v>25</v>
      </c>
      <c r="J996">
        <v>480</v>
      </c>
      <c r="K996">
        <v>0</v>
      </c>
      <c r="L996">
        <v>1</v>
      </c>
      <c r="M996">
        <v>1</v>
      </c>
      <c r="N996">
        <v>98</v>
      </c>
      <c r="O996">
        <v>86</v>
      </c>
      <c r="P996">
        <v>81</v>
      </c>
      <c r="Q996">
        <v>54</v>
      </c>
      <c r="R996">
        <v>40</v>
      </c>
      <c r="S996">
        <v>23</v>
      </c>
      <c r="T996">
        <v>7</v>
      </c>
      <c r="U996">
        <v>479</v>
      </c>
    </row>
    <row r="997" spans="1:21" x14ac:dyDescent="0.25">
      <c r="A997">
        <v>2025</v>
      </c>
      <c r="B997">
        <v>6</v>
      </c>
      <c r="C997" t="s">
        <v>37</v>
      </c>
      <c r="D997" t="s">
        <v>22</v>
      </c>
      <c r="E997" t="s">
        <v>32</v>
      </c>
      <c r="F997" t="s">
        <v>28</v>
      </c>
      <c r="G997" t="s">
        <v>25</v>
      </c>
      <c r="H997" t="s">
        <v>26</v>
      </c>
      <c r="I997" t="s">
        <v>25</v>
      </c>
      <c r="J997">
        <v>4</v>
      </c>
      <c r="K997">
        <v>4</v>
      </c>
      <c r="L997">
        <v>0</v>
      </c>
      <c r="M997">
        <v>4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</row>
    <row r="998" spans="1:21" x14ac:dyDescent="0.25">
      <c r="A998">
        <v>2025</v>
      </c>
      <c r="B998">
        <v>6</v>
      </c>
      <c r="C998" t="s">
        <v>37</v>
      </c>
      <c r="D998" t="s">
        <v>22</v>
      </c>
      <c r="E998" t="s">
        <v>32</v>
      </c>
      <c r="F998" t="s">
        <v>24</v>
      </c>
      <c r="G998" t="s">
        <v>25</v>
      </c>
      <c r="H998" t="s">
        <v>26</v>
      </c>
      <c r="I998" t="s">
        <v>25</v>
      </c>
      <c r="J998">
        <v>2061</v>
      </c>
      <c r="K998">
        <v>24</v>
      </c>
      <c r="L998">
        <v>108</v>
      </c>
      <c r="M998">
        <v>132</v>
      </c>
      <c r="N998">
        <v>1357</v>
      </c>
      <c r="O998">
        <v>1182</v>
      </c>
      <c r="P998">
        <v>1105</v>
      </c>
      <c r="Q998">
        <v>856</v>
      </c>
      <c r="R998">
        <v>678</v>
      </c>
      <c r="S998">
        <v>378</v>
      </c>
      <c r="T998">
        <v>105</v>
      </c>
      <c r="U998">
        <v>1993</v>
      </c>
    </row>
    <row r="999" spans="1:21" x14ac:dyDescent="0.25">
      <c r="A999">
        <v>2025</v>
      </c>
      <c r="B999">
        <v>6</v>
      </c>
      <c r="C999" t="s">
        <v>37</v>
      </c>
      <c r="D999" t="s">
        <v>22</v>
      </c>
      <c r="E999" t="s">
        <v>38</v>
      </c>
      <c r="F999" t="s">
        <v>24</v>
      </c>
      <c r="G999" t="s">
        <v>25</v>
      </c>
      <c r="H999" t="s">
        <v>26</v>
      </c>
      <c r="I999" t="s">
        <v>25</v>
      </c>
      <c r="J999">
        <v>45</v>
      </c>
      <c r="K999">
        <v>2</v>
      </c>
      <c r="L999">
        <v>1</v>
      </c>
      <c r="M999">
        <v>3</v>
      </c>
      <c r="N999">
        <v>34</v>
      </c>
      <c r="O999">
        <v>29</v>
      </c>
      <c r="P999">
        <v>27</v>
      </c>
      <c r="Q999">
        <v>23</v>
      </c>
      <c r="R999">
        <v>17</v>
      </c>
      <c r="S999">
        <v>6</v>
      </c>
      <c r="T999">
        <v>3</v>
      </c>
      <c r="U999">
        <v>43</v>
      </c>
    </row>
    <row r="1000" spans="1:21" x14ac:dyDescent="0.25">
      <c r="A1000">
        <v>2025</v>
      </c>
      <c r="B1000">
        <v>6</v>
      </c>
      <c r="C1000" t="s">
        <v>37</v>
      </c>
      <c r="D1000" t="s">
        <v>22</v>
      </c>
      <c r="E1000" t="s">
        <v>34</v>
      </c>
      <c r="F1000" t="s">
        <v>24</v>
      </c>
      <c r="G1000" t="s">
        <v>25</v>
      </c>
      <c r="H1000" t="s">
        <v>26</v>
      </c>
      <c r="I1000" t="s">
        <v>26</v>
      </c>
      <c r="J1000">
        <v>358</v>
      </c>
      <c r="K1000">
        <v>7</v>
      </c>
      <c r="L1000">
        <v>4</v>
      </c>
      <c r="M1000">
        <v>11</v>
      </c>
      <c r="N1000">
        <v>161</v>
      </c>
      <c r="O1000">
        <v>139</v>
      </c>
      <c r="P1000">
        <v>129</v>
      </c>
      <c r="Q1000">
        <v>109</v>
      </c>
      <c r="R1000">
        <v>98</v>
      </c>
      <c r="S1000">
        <v>65</v>
      </c>
      <c r="T1000">
        <v>37</v>
      </c>
      <c r="U1000">
        <v>350</v>
      </c>
    </row>
    <row r="1001" spans="1:21" x14ac:dyDescent="0.25">
      <c r="A1001">
        <v>2025</v>
      </c>
      <c r="B1001">
        <v>6</v>
      </c>
      <c r="C1001" t="s">
        <v>37</v>
      </c>
      <c r="D1001" t="s">
        <v>22</v>
      </c>
      <c r="E1001" t="s">
        <v>23</v>
      </c>
      <c r="F1001" t="s">
        <v>28</v>
      </c>
      <c r="G1001" t="s">
        <v>25</v>
      </c>
      <c r="H1001" t="s">
        <v>26</v>
      </c>
      <c r="I1001" t="s">
        <v>25</v>
      </c>
      <c r="J1001">
        <v>4670</v>
      </c>
      <c r="K1001">
        <v>364</v>
      </c>
      <c r="L1001">
        <v>545</v>
      </c>
      <c r="M1001">
        <v>909</v>
      </c>
      <c r="N1001">
        <v>2534</v>
      </c>
      <c r="O1001">
        <v>2175</v>
      </c>
      <c r="P1001">
        <v>2039</v>
      </c>
      <c r="Q1001">
        <v>1576</v>
      </c>
      <c r="R1001">
        <v>1183</v>
      </c>
      <c r="S1001">
        <v>553</v>
      </c>
      <c r="T1001">
        <v>146</v>
      </c>
      <c r="U1001">
        <v>4083</v>
      </c>
    </row>
    <row r="1002" spans="1:21" x14ac:dyDescent="0.25">
      <c r="A1002">
        <v>2025</v>
      </c>
      <c r="B1002">
        <v>6</v>
      </c>
      <c r="C1002" t="s">
        <v>37</v>
      </c>
      <c r="D1002" t="s">
        <v>22</v>
      </c>
      <c r="E1002" t="s">
        <v>23</v>
      </c>
      <c r="F1002" t="s">
        <v>24</v>
      </c>
      <c r="G1002" t="s">
        <v>25</v>
      </c>
      <c r="H1002" t="s">
        <v>26</v>
      </c>
      <c r="I1002" t="s">
        <v>25</v>
      </c>
      <c r="J1002">
        <v>1925</v>
      </c>
      <c r="K1002">
        <v>155</v>
      </c>
      <c r="L1002">
        <v>204</v>
      </c>
      <c r="M1002">
        <v>359</v>
      </c>
      <c r="N1002">
        <v>952</v>
      </c>
      <c r="O1002">
        <v>801</v>
      </c>
      <c r="P1002">
        <v>746</v>
      </c>
      <c r="Q1002">
        <v>562</v>
      </c>
      <c r="R1002">
        <v>425</v>
      </c>
      <c r="S1002">
        <v>208</v>
      </c>
      <c r="T1002">
        <v>58</v>
      </c>
      <c r="U1002">
        <v>1672</v>
      </c>
    </row>
    <row r="1003" spans="1:21" x14ac:dyDescent="0.25">
      <c r="A1003">
        <v>2025</v>
      </c>
      <c r="B1003">
        <v>6</v>
      </c>
      <c r="C1003" t="s">
        <v>37</v>
      </c>
      <c r="D1003" t="s">
        <v>22</v>
      </c>
      <c r="E1003" t="s">
        <v>39</v>
      </c>
      <c r="F1003" t="s">
        <v>28</v>
      </c>
      <c r="G1003" t="s">
        <v>26</v>
      </c>
      <c r="H1003" t="s">
        <v>26</v>
      </c>
      <c r="I1003" t="s">
        <v>25</v>
      </c>
      <c r="J1003">
        <v>14859</v>
      </c>
      <c r="K1003">
        <v>1023</v>
      </c>
      <c r="L1003">
        <v>1578</v>
      </c>
      <c r="M1003">
        <v>2601</v>
      </c>
      <c r="N1003">
        <v>8714</v>
      </c>
      <c r="O1003">
        <v>7644</v>
      </c>
      <c r="P1003">
        <v>7246</v>
      </c>
      <c r="Q1003">
        <v>5874</v>
      </c>
      <c r="R1003">
        <v>4637</v>
      </c>
      <c r="S1003">
        <v>2439</v>
      </c>
      <c r="T1003">
        <v>766</v>
      </c>
      <c r="U1003">
        <v>13164</v>
      </c>
    </row>
    <row r="1004" spans="1:21" x14ac:dyDescent="0.25">
      <c r="A1004">
        <v>2025</v>
      </c>
      <c r="B1004">
        <v>6</v>
      </c>
      <c r="C1004" t="s">
        <v>37</v>
      </c>
      <c r="D1004" t="s">
        <v>22</v>
      </c>
      <c r="E1004" t="s">
        <v>39</v>
      </c>
      <c r="F1004" t="s">
        <v>24</v>
      </c>
      <c r="G1004" t="s">
        <v>26</v>
      </c>
      <c r="H1004" t="s">
        <v>26</v>
      </c>
      <c r="I1004" t="s">
        <v>25</v>
      </c>
      <c r="J1004">
        <v>3485</v>
      </c>
      <c r="K1004">
        <v>86</v>
      </c>
      <c r="L1004">
        <v>291</v>
      </c>
      <c r="M1004">
        <v>377</v>
      </c>
      <c r="N1004">
        <v>2290</v>
      </c>
      <c r="O1004">
        <v>1986</v>
      </c>
      <c r="P1004">
        <v>1909</v>
      </c>
      <c r="Q1004">
        <v>1569</v>
      </c>
      <c r="R1004">
        <v>1262</v>
      </c>
      <c r="S1004">
        <v>676</v>
      </c>
      <c r="T1004">
        <v>224</v>
      </c>
      <c r="U1004">
        <v>3269</v>
      </c>
    </row>
    <row r="1005" spans="1:21" x14ac:dyDescent="0.25">
      <c r="A1005">
        <v>2025</v>
      </c>
      <c r="B1005">
        <v>6</v>
      </c>
      <c r="C1005" t="s">
        <v>37</v>
      </c>
      <c r="D1005" t="s">
        <v>22</v>
      </c>
      <c r="E1005" t="s">
        <v>39</v>
      </c>
      <c r="F1005" t="s">
        <v>29</v>
      </c>
      <c r="G1005" t="s">
        <v>26</v>
      </c>
      <c r="H1005" t="s">
        <v>26</v>
      </c>
      <c r="I1005" t="s">
        <v>25</v>
      </c>
      <c r="J1005">
        <v>4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</row>
    <row r="1006" spans="1:21" x14ac:dyDescent="0.25">
      <c r="A1006">
        <v>2025</v>
      </c>
      <c r="B1006">
        <v>6</v>
      </c>
      <c r="C1006" t="s">
        <v>37</v>
      </c>
      <c r="D1006" t="s">
        <v>22</v>
      </c>
      <c r="E1006" t="s">
        <v>40</v>
      </c>
      <c r="F1006" t="s">
        <v>24</v>
      </c>
      <c r="G1006" t="s">
        <v>25</v>
      </c>
      <c r="H1006" t="s">
        <v>26</v>
      </c>
      <c r="I1006" t="s">
        <v>25</v>
      </c>
      <c r="J1006">
        <v>487</v>
      </c>
      <c r="K1006">
        <v>15</v>
      </c>
      <c r="L1006">
        <v>0</v>
      </c>
      <c r="M1006">
        <v>15</v>
      </c>
      <c r="N1006">
        <v>24</v>
      </c>
      <c r="O1006">
        <v>17</v>
      </c>
      <c r="P1006">
        <v>14</v>
      </c>
      <c r="Q1006">
        <v>6</v>
      </c>
      <c r="R1006">
        <v>1</v>
      </c>
      <c r="S1006">
        <v>0</v>
      </c>
      <c r="T1006">
        <v>0</v>
      </c>
      <c r="U1006">
        <v>472</v>
      </c>
    </row>
    <row r="1007" spans="1:21" x14ac:dyDescent="0.25">
      <c r="A1007">
        <v>2025</v>
      </c>
      <c r="B1007">
        <v>6</v>
      </c>
      <c r="C1007" t="s">
        <v>37</v>
      </c>
      <c r="D1007" t="s">
        <v>22</v>
      </c>
      <c r="E1007" t="s">
        <v>35</v>
      </c>
      <c r="F1007" t="s">
        <v>28</v>
      </c>
      <c r="G1007" t="s">
        <v>25</v>
      </c>
      <c r="H1007" t="s">
        <v>26</v>
      </c>
      <c r="I1007" t="s">
        <v>26</v>
      </c>
      <c r="J1007">
        <v>29</v>
      </c>
      <c r="K1007">
        <v>0</v>
      </c>
      <c r="L1007">
        <v>4</v>
      </c>
      <c r="M1007">
        <v>4</v>
      </c>
      <c r="N1007">
        <v>13</v>
      </c>
      <c r="O1007">
        <v>11</v>
      </c>
      <c r="P1007">
        <v>11</v>
      </c>
      <c r="Q1007">
        <v>9</v>
      </c>
      <c r="R1007">
        <v>8</v>
      </c>
      <c r="S1007">
        <v>6</v>
      </c>
      <c r="T1007">
        <v>5</v>
      </c>
      <c r="U1007">
        <v>26</v>
      </c>
    </row>
    <row r="1008" spans="1:21" x14ac:dyDescent="0.25">
      <c r="A1008">
        <v>2025</v>
      </c>
      <c r="B1008">
        <v>6</v>
      </c>
      <c r="C1008" t="s">
        <v>37</v>
      </c>
      <c r="D1008" t="s">
        <v>22</v>
      </c>
      <c r="E1008" t="s">
        <v>35</v>
      </c>
      <c r="F1008" t="s">
        <v>24</v>
      </c>
      <c r="G1008" t="s">
        <v>25</v>
      </c>
      <c r="H1008" t="s">
        <v>26</v>
      </c>
      <c r="I1008" t="s">
        <v>26</v>
      </c>
      <c r="J1008">
        <v>579</v>
      </c>
      <c r="K1008">
        <v>3</v>
      </c>
      <c r="L1008">
        <v>46</v>
      </c>
      <c r="M1008">
        <v>49</v>
      </c>
      <c r="N1008">
        <v>362</v>
      </c>
      <c r="O1008">
        <v>320</v>
      </c>
      <c r="P1008">
        <v>305</v>
      </c>
      <c r="Q1008">
        <v>268</v>
      </c>
      <c r="R1008">
        <v>233</v>
      </c>
      <c r="S1008">
        <v>167</v>
      </c>
      <c r="T1008">
        <v>86</v>
      </c>
      <c r="U1008">
        <v>564</v>
      </c>
    </row>
    <row r="1009" spans="1:21" x14ac:dyDescent="0.25">
      <c r="A1009">
        <v>2025</v>
      </c>
      <c r="B1009">
        <v>6</v>
      </c>
      <c r="C1009" t="s">
        <v>37</v>
      </c>
      <c r="D1009" t="s">
        <v>22</v>
      </c>
      <c r="E1009" t="s">
        <v>36</v>
      </c>
      <c r="F1009" t="s">
        <v>24</v>
      </c>
      <c r="G1009" t="s">
        <v>25</v>
      </c>
      <c r="H1009" t="s">
        <v>26</v>
      </c>
      <c r="I1009" t="s">
        <v>25</v>
      </c>
      <c r="J1009">
        <v>590</v>
      </c>
      <c r="K1009">
        <v>8</v>
      </c>
      <c r="L1009">
        <v>22</v>
      </c>
      <c r="M1009">
        <v>30</v>
      </c>
      <c r="N1009">
        <v>281</v>
      </c>
      <c r="O1009">
        <v>232</v>
      </c>
      <c r="P1009">
        <v>215</v>
      </c>
      <c r="Q1009">
        <v>166</v>
      </c>
      <c r="R1009">
        <v>121</v>
      </c>
      <c r="S1009">
        <v>54</v>
      </c>
      <c r="T1009">
        <v>13</v>
      </c>
      <c r="U1009">
        <v>575</v>
      </c>
    </row>
    <row r="1010" spans="1:21" x14ac:dyDescent="0.25">
      <c r="A1010">
        <v>2025</v>
      </c>
      <c r="B1010">
        <v>6</v>
      </c>
      <c r="C1010" t="s">
        <v>37</v>
      </c>
      <c r="D1010" t="s">
        <v>22</v>
      </c>
      <c r="E1010" t="s">
        <v>41</v>
      </c>
      <c r="F1010" t="s">
        <v>24</v>
      </c>
      <c r="G1010" t="s">
        <v>26</v>
      </c>
      <c r="H1010" t="s">
        <v>26</v>
      </c>
      <c r="I1010" t="s">
        <v>25</v>
      </c>
      <c r="J1010">
        <v>385</v>
      </c>
      <c r="K1010">
        <v>6</v>
      </c>
      <c r="L1010">
        <v>19</v>
      </c>
      <c r="M1010">
        <v>25</v>
      </c>
      <c r="N1010">
        <v>243</v>
      </c>
      <c r="O1010">
        <v>216</v>
      </c>
      <c r="P1010">
        <v>207</v>
      </c>
      <c r="Q1010">
        <v>152</v>
      </c>
      <c r="R1010">
        <v>122</v>
      </c>
      <c r="S1010">
        <v>41</v>
      </c>
      <c r="T1010">
        <v>10</v>
      </c>
      <c r="U1010">
        <v>373</v>
      </c>
    </row>
    <row r="1011" spans="1:21" x14ac:dyDescent="0.25">
      <c r="A1011">
        <v>2025</v>
      </c>
      <c r="B1011">
        <v>6</v>
      </c>
      <c r="C1011" t="s">
        <v>37</v>
      </c>
      <c r="D1011" t="s">
        <v>22</v>
      </c>
      <c r="E1011" t="s">
        <v>42</v>
      </c>
      <c r="F1011" t="s">
        <v>24</v>
      </c>
      <c r="G1011" t="s">
        <v>26</v>
      </c>
      <c r="H1011" t="s">
        <v>26</v>
      </c>
      <c r="I1011" t="s">
        <v>25</v>
      </c>
      <c r="J1011">
        <v>153</v>
      </c>
      <c r="K1011">
        <v>2</v>
      </c>
      <c r="L1011">
        <v>2</v>
      </c>
      <c r="M1011">
        <v>4</v>
      </c>
      <c r="N1011">
        <v>100</v>
      </c>
      <c r="O1011">
        <v>86</v>
      </c>
      <c r="P1011">
        <v>83</v>
      </c>
      <c r="Q1011">
        <v>59</v>
      </c>
      <c r="R1011">
        <v>43</v>
      </c>
      <c r="S1011">
        <v>21</v>
      </c>
      <c r="T1011">
        <v>12</v>
      </c>
      <c r="U1011">
        <v>150</v>
      </c>
    </row>
    <row r="1012" spans="1:21" x14ac:dyDescent="0.25">
      <c r="A1012">
        <v>2025</v>
      </c>
      <c r="B1012">
        <v>6</v>
      </c>
      <c r="C1012" t="s">
        <v>37</v>
      </c>
      <c r="D1012" t="s">
        <v>22</v>
      </c>
      <c r="E1012" t="s">
        <v>27</v>
      </c>
      <c r="F1012" t="s">
        <v>24</v>
      </c>
      <c r="G1012" t="s">
        <v>26</v>
      </c>
      <c r="H1012" t="s">
        <v>26</v>
      </c>
      <c r="I1012" t="s">
        <v>25</v>
      </c>
      <c r="J1012">
        <v>4</v>
      </c>
      <c r="K1012">
        <v>2</v>
      </c>
      <c r="L1012">
        <v>0</v>
      </c>
      <c r="M1012">
        <v>2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2</v>
      </c>
    </row>
    <row r="1013" spans="1:21" x14ac:dyDescent="0.25">
      <c r="A1013">
        <v>2025</v>
      </c>
      <c r="B1013">
        <v>6</v>
      </c>
      <c r="C1013" t="s">
        <v>37</v>
      </c>
      <c r="D1013" t="s">
        <v>22</v>
      </c>
      <c r="E1013" t="s">
        <v>27</v>
      </c>
      <c r="F1013" t="s">
        <v>29</v>
      </c>
      <c r="G1013" t="s">
        <v>26</v>
      </c>
      <c r="H1013" t="s">
        <v>26</v>
      </c>
      <c r="I1013" t="s">
        <v>25</v>
      </c>
      <c r="J1013">
        <v>1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</row>
    <row r="1014" spans="1:21" x14ac:dyDescent="0.25">
      <c r="A1014">
        <v>2025</v>
      </c>
      <c r="B1014">
        <v>6</v>
      </c>
      <c r="C1014" t="s">
        <v>43</v>
      </c>
      <c r="D1014" t="s">
        <v>22</v>
      </c>
      <c r="E1014" t="s">
        <v>32</v>
      </c>
      <c r="F1014" t="s">
        <v>24</v>
      </c>
      <c r="G1014" t="s">
        <v>25</v>
      </c>
      <c r="H1014" t="s">
        <v>25</v>
      </c>
      <c r="I1014" t="s">
        <v>25</v>
      </c>
      <c r="J1014">
        <v>469</v>
      </c>
      <c r="K1014">
        <v>6</v>
      </c>
      <c r="L1014">
        <v>5</v>
      </c>
      <c r="M1014">
        <v>11</v>
      </c>
      <c r="N1014">
        <v>173</v>
      </c>
      <c r="O1014">
        <v>145</v>
      </c>
      <c r="P1014">
        <v>135</v>
      </c>
      <c r="Q1014">
        <v>97</v>
      </c>
      <c r="R1014">
        <v>72</v>
      </c>
      <c r="S1014">
        <v>29</v>
      </c>
      <c r="T1014">
        <v>6</v>
      </c>
      <c r="U1014">
        <v>460</v>
      </c>
    </row>
    <row r="1015" spans="1:21" x14ac:dyDescent="0.25">
      <c r="A1015">
        <v>2025</v>
      </c>
      <c r="B1015">
        <v>6</v>
      </c>
      <c r="C1015" t="s">
        <v>43</v>
      </c>
      <c r="D1015" t="s">
        <v>22</v>
      </c>
      <c r="E1015" t="s">
        <v>34</v>
      </c>
      <c r="F1015" t="s">
        <v>24</v>
      </c>
      <c r="G1015" t="s">
        <v>25</v>
      </c>
      <c r="H1015" t="s">
        <v>26</v>
      </c>
      <c r="I1015" t="s">
        <v>26</v>
      </c>
      <c r="J1015">
        <v>58</v>
      </c>
      <c r="K1015">
        <v>0</v>
      </c>
      <c r="L1015">
        <v>0</v>
      </c>
      <c r="M1015">
        <v>0</v>
      </c>
      <c r="N1015">
        <v>37</v>
      </c>
      <c r="O1015">
        <v>36</v>
      </c>
      <c r="P1015">
        <v>34</v>
      </c>
      <c r="Q1015">
        <v>30</v>
      </c>
      <c r="R1015">
        <v>27</v>
      </c>
      <c r="S1015">
        <v>19</v>
      </c>
      <c r="T1015">
        <v>15</v>
      </c>
      <c r="U1015">
        <v>58</v>
      </c>
    </row>
    <row r="1016" spans="1:21" x14ac:dyDescent="0.25">
      <c r="A1016">
        <v>2025</v>
      </c>
      <c r="B1016">
        <v>6</v>
      </c>
      <c r="C1016" t="s">
        <v>43</v>
      </c>
      <c r="D1016" t="s">
        <v>22</v>
      </c>
      <c r="E1016" t="s">
        <v>23</v>
      </c>
      <c r="F1016" t="s">
        <v>24</v>
      </c>
      <c r="G1016" t="s">
        <v>25</v>
      </c>
      <c r="H1016" t="s">
        <v>26</v>
      </c>
      <c r="I1016" t="s">
        <v>25</v>
      </c>
      <c r="J1016">
        <v>509</v>
      </c>
      <c r="K1016">
        <v>0</v>
      </c>
      <c r="L1016">
        <v>4</v>
      </c>
      <c r="M1016">
        <v>4</v>
      </c>
      <c r="N1016">
        <v>114</v>
      </c>
      <c r="O1016">
        <v>69</v>
      </c>
      <c r="P1016">
        <v>58</v>
      </c>
      <c r="Q1016">
        <v>32</v>
      </c>
      <c r="R1016">
        <v>21</v>
      </c>
      <c r="S1016">
        <v>3</v>
      </c>
      <c r="T1016">
        <v>0</v>
      </c>
      <c r="U1016">
        <v>507</v>
      </c>
    </row>
    <row r="1017" spans="1:21" x14ac:dyDescent="0.25">
      <c r="A1017">
        <v>2025</v>
      </c>
      <c r="B1017">
        <v>6</v>
      </c>
      <c r="C1017" t="s">
        <v>44</v>
      </c>
      <c r="D1017" t="s">
        <v>45</v>
      </c>
      <c r="E1017" t="s">
        <v>46</v>
      </c>
      <c r="F1017" t="s">
        <v>24</v>
      </c>
      <c r="G1017" t="s">
        <v>25</v>
      </c>
      <c r="H1017" t="s">
        <v>26</v>
      </c>
      <c r="I1017" t="s">
        <v>26</v>
      </c>
      <c r="J1017">
        <v>25</v>
      </c>
      <c r="K1017">
        <v>0</v>
      </c>
      <c r="L1017">
        <v>4</v>
      </c>
      <c r="M1017">
        <v>4</v>
      </c>
      <c r="N1017">
        <v>12</v>
      </c>
      <c r="O1017">
        <v>11</v>
      </c>
      <c r="P1017">
        <v>11</v>
      </c>
      <c r="Q1017">
        <v>11</v>
      </c>
      <c r="R1017">
        <v>10</v>
      </c>
      <c r="S1017">
        <v>7</v>
      </c>
      <c r="T1017">
        <v>4</v>
      </c>
      <c r="U1017">
        <v>24</v>
      </c>
    </row>
    <row r="1018" spans="1:21" x14ac:dyDescent="0.25">
      <c r="A1018">
        <v>2025</v>
      </c>
      <c r="B1018">
        <v>6</v>
      </c>
      <c r="C1018" t="s">
        <v>44</v>
      </c>
      <c r="D1018" t="s">
        <v>45</v>
      </c>
      <c r="E1018" t="s">
        <v>46</v>
      </c>
      <c r="F1018" t="s">
        <v>29</v>
      </c>
      <c r="G1018" t="s">
        <v>25</v>
      </c>
      <c r="H1018" t="s">
        <v>26</v>
      </c>
      <c r="I1018" t="s">
        <v>26</v>
      </c>
      <c r="J1018">
        <v>1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</row>
    <row r="1019" spans="1:21" x14ac:dyDescent="0.25">
      <c r="A1019">
        <v>2025</v>
      </c>
      <c r="B1019">
        <v>6</v>
      </c>
      <c r="C1019" t="s">
        <v>47</v>
      </c>
      <c r="D1019" t="s">
        <v>45</v>
      </c>
      <c r="E1019" t="s">
        <v>48</v>
      </c>
      <c r="F1019" t="s">
        <v>24</v>
      </c>
      <c r="G1019" t="s">
        <v>26</v>
      </c>
      <c r="H1019" t="s">
        <v>26</v>
      </c>
      <c r="I1019" t="s">
        <v>25</v>
      </c>
      <c r="J1019">
        <v>3719</v>
      </c>
      <c r="K1019">
        <v>166</v>
      </c>
      <c r="L1019">
        <v>183</v>
      </c>
      <c r="M1019">
        <v>349</v>
      </c>
      <c r="N1019">
        <v>1089</v>
      </c>
      <c r="O1019">
        <v>1071</v>
      </c>
      <c r="P1019">
        <v>1060</v>
      </c>
      <c r="Q1019">
        <v>807</v>
      </c>
      <c r="R1019">
        <v>645</v>
      </c>
      <c r="S1019">
        <v>332</v>
      </c>
      <c r="T1019">
        <v>128</v>
      </c>
      <c r="U1019">
        <v>3497</v>
      </c>
    </row>
    <row r="1020" spans="1:21" x14ac:dyDescent="0.25">
      <c r="A1020">
        <v>2025</v>
      </c>
      <c r="B1020">
        <v>6</v>
      </c>
      <c r="C1020" t="s">
        <v>49</v>
      </c>
      <c r="D1020" t="s">
        <v>45</v>
      </c>
      <c r="E1020" t="s">
        <v>50</v>
      </c>
      <c r="F1020" t="s">
        <v>28</v>
      </c>
      <c r="G1020" t="s">
        <v>25</v>
      </c>
      <c r="H1020" t="s">
        <v>26</v>
      </c>
      <c r="I1020" t="s">
        <v>25</v>
      </c>
      <c r="J1020">
        <v>523</v>
      </c>
      <c r="K1020">
        <v>20</v>
      </c>
      <c r="L1020">
        <v>25</v>
      </c>
      <c r="M1020">
        <v>45</v>
      </c>
      <c r="N1020">
        <v>329</v>
      </c>
      <c r="O1020">
        <v>293</v>
      </c>
      <c r="P1020">
        <v>284</v>
      </c>
      <c r="Q1020">
        <v>230</v>
      </c>
      <c r="R1020">
        <v>190</v>
      </c>
      <c r="S1020">
        <v>110</v>
      </c>
      <c r="T1020">
        <v>38</v>
      </c>
      <c r="U1020">
        <v>499</v>
      </c>
    </row>
    <row r="1021" spans="1:21" x14ac:dyDescent="0.25">
      <c r="A1021">
        <v>2025</v>
      </c>
      <c r="B1021">
        <v>6</v>
      </c>
      <c r="C1021" t="s">
        <v>49</v>
      </c>
      <c r="D1021" t="s">
        <v>45</v>
      </c>
      <c r="E1021" t="s">
        <v>50</v>
      </c>
      <c r="F1021" t="s">
        <v>24</v>
      </c>
      <c r="G1021" t="s">
        <v>25</v>
      </c>
      <c r="H1021" t="s">
        <v>26</v>
      </c>
      <c r="I1021" t="s">
        <v>25</v>
      </c>
      <c r="J1021">
        <v>60</v>
      </c>
      <c r="K1021">
        <v>2</v>
      </c>
      <c r="L1021">
        <v>2</v>
      </c>
      <c r="M1021">
        <v>4</v>
      </c>
      <c r="N1021">
        <v>32</v>
      </c>
      <c r="O1021">
        <v>27</v>
      </c>
      <c r="P1021">
        <v>26</v>
      </c>
      <c r="Q1021">
        <v>21</v>
      </c>
      <c r="R1021">
        <v>16</v>
      </c>
      <c r="S1021">
        <v>11</v>
      </c>
      <c r="T1021">
        <v>5</v>
      </c>
      <c r="U1021">
        <v>58</v>
      </c>
    </row>
    <row r="1022" spans="1:21" x14ac:dyDescent="0.25">
      <c r="A1022">
        <v>2025</v>
      </c>
      <c r="B1022">
        <v>6</v>
      </c>
      <c r="C1022" t="s">
        <v>51</v>
      </c>
      <c r="D1022" t="s">
        <v>22</v>
      </c>
      <c r="E1022" t="s">
        <v>31</v>
      </c>
      <c r="F1022" t="s">
        <v>24</v>
      </c>
      <c r="G1022" t="s">
        <v>25</v>
      </c>
      <c r="H1022" t="s">
        <v>25</v>
      </c>
      <c r="I1022" t="s">
        <v>25</v>
      </c>
      <c r="J1022">
        <v>180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180</v>
      </c>
    </row>
    <row r="1023" spans="1:21" x14ac:dyDescent="0.25">
      <c r="A1023">
        <v>2025</v>
      </c>
      <c r="B1023">
        <v>6</v>
      </c>
      <c r="C1023" t="s">
        <v>51</v>
      </c>
      <c r="D1023" t="s">
        <v>22</v>
      </c>
      <c r="E1023" t="s">
        <v>34</v>
      </c>
      <c r="F1023" t="s">
        <v>24</v>
      </c>
      <c r="G1023" t="s">
        <v>25</v>
      </c>
      <c r="H1023" t="s">
        <v>26</v>
      </c>
      <c r="I1023" t="s">
        <v>26</v>
      </c>
      <c r="J1023">
        <v>150</v>
      </c>
      <c r="K1023">
        <v>3</v>
      </c>
      <c r="L1023">
        <v>0</v>
      </c>
      <c r="M1023">
        <v>3</v>
      </c>
      <c r="N1023">
        <v>21</v>
      </c>
      <c r="O1023">
        <v>14</v>
      </c>
      <c r="P1023">
        <v>13</v>
      </c>
      <c r="Q1023">
        <v>12</v>
      </c>
      <c r="R1023">
        <v>6</v>
      </c>
      <c r="S1023">
        <v>4</v>
      </c>
      <c r="T1023">
        <v>1</v>
      </c>
      <c r="U1023">
        <v>147</v>
      </c>
    </row>
    <row r="1024" spans="1:21" x14ac:dyDescent="0.25">
      <c r="A1024">
        <v>2025</v>
      </c>
      <c r="B1024">
        <v>6</v>
      </c>
      <c r="C1024" t="s">
        <v>52</v>
      </c>
      <c r="D1024" t="s">
        <v>22</v>
      </c>
      <c r="E1024" t="s">
        <v>31</v>
      </c>
      <c r="F1024" t="s">
        <v>24</v>
      </c>
      <c r="G1024" t="s">
        <v>25</v>
      </c>
      <c r="H1024" t="s">
        <v>25</v>
      </c>
      <c r="I1024" t="s">
        <v>25</v>
      </c>
      <c r="J1024">
        <v>120</v>
      </c>
      <c r="K1024">
        <v>0</v>
      </c>
      <c r="L1024">
        <v>0</v>
      </c>
      <c r="M1024">
        <v>0</v>
      </c>
      <c r="N1024">
        <v>6</v>
      </c>
      <c r="O1024">
        <v>6</v>
      </c>
      <c r="P1024">
        <v>6</v>
      </c>
      <c r="Q1024">
        <v>3</v>
      </c>
      <c r="R1024">
        <v>1</v>
      </c>
      <c r="S1024">
        <v>1</v>
      </c>
      <c r="T1024">
        <v>0</v>
      </c>
      <c r="U1024">
        <v>120</v>
      </c>
    </row>
    <row r="1025" spans="1:21" x14ac:dyDescent="0.25">
      <c r="A1025">
        <v>2025</v>
      </c>
      <c r="B1025">
        <v>6</v>
      </c>
      <c r="C1025" t="s">
        <v>52</v>
      </c>
      <c r="D1025" t="s">
        <v>22</v>
      </c>
      <c r="E1025" t="s">
        <v>32</v>
      </c>
      <c r="F1025" t="s">
        <v>24</v>
      </c>
      <c r="G1025" t="s">
        <v>25</v>
      </c>
      <c r="H1025" t="s">
        <v>26</v>
      </c>
      <c r="I1025" t="s">
        <v>25</v>
      </c>
      <c r="J1025">
        <v>535</v>
      </c>
      <c r="K1025">
        <v>1</v>
      </c>
      <c r="L1025">
        <v>0</v>
      </c>
      <c r="M1025">
        <v>1</v>
      </c>
      <c r="N1025">
        <v>117</v>
      </c>
      <c r="O1025">
        <v>107</v>
      </c>
      <c r="P1025">
        <v>98</v>
      </c>
      <c r="Q1025">
        <v>72</v>
      </c>
      <c r="R1025">
        <v>58</v>
      </c>
      <c r="S1025">
        <v>32</v>
      </c>
      <c r="T1025">
        <v>10</v>
      </c>
      <c r="U1025">
        <v>534</v>
      </c>
    </row>
    <row r="1026" spans="1:21" x14ac:dyDescent="0.25">
      <c r="A1026">
        <v>2025</v>
      </c>
      <c r="B1026">
        <v>6</v>
      </c>
      <c r="C1026" t="s">
        <v>52</v>
      </c>
      <c r="D1026" t="s">
        <v>22</v>
      </c>
      <c r="E1026" t="s">
        <v>34</v>
      </c>
      <c r="F1026" t="s">
        <v>24</v>
      </c>
      <c r="G1026" t="s">
        <v>25</v>
      </c>
      <c r="H1026" t="s">
        <v>26</v>
      </c>
      <c r="I1026" t="s">
        <v>26</v>
      </c>
      <c r="J1026">
        <v>179</v>
      </c>
      <c r="K1026">
        <v>3</v>
      </c>
      <c r="L1026">
        <v>0</v>
      </c>
      <c r="M1026">
        <v>3</v>
      </c>
      <c r="N1026">
        <v>16</v>
      </c>
      <c r="O1026">
        <v>9</v>
      </c>
      <c r="P1026">
        <v>9</v>
      </c>
      <c r="Q1026">
        <v>5</v>
      </c>
      <c r="R1026">
        <v>4</v>
      </c>
      <c r="S1026">
        <v>2</v>
      </c>
      <c r="T1026">
        <v>0</v>
      </c>
      <c r="U1026">
        <v>176</v>
      </c>
    </row>
    <row r="1027" spans="1:21" x14ac:dyDescent="0.25">
      <c r="A1027">
        <v>2025</v>
      </c>
      <c r="B1027">
        <v>6</v>
      </c>
      <c r="C1027" t="s">
        <v>52</v>
      </c>
      <c r="D1027" t="s">
        <v>22</v>
      </c>
      <c r="E1027" t="s">
        <v>23</v>
      </c>
      <c r="F1027" t="s">
        <v>24</v>
      </c>
      <c r="G1027" t="s">
        <v>25</v>
      </c>
      <c r="H1027" t="s">
        <v>26</v>
      </c>
      <c r="I1027" t="s">
        <v>25</v>
      </c>
      <c r="J1027">
        <v>240</v>
      </c>
      <c r="K1027">
        <v>0</v>
      </c>
      <c r="L1027">
        <v>0</v>
      </c>
      <c r="M1027">
        <v>0</v>
      </c>
      <c r="N1027">
        <v>3</v>
      </c>
      <c r="O1027">
        <v>1</v>
      </c>
      <c r="P1027">
        <v>1</v>
      </c>
      <c r="Q1027">
        <v>1</v>
      </c>
      <c r="R1027">
        <v>1</v>
      </c>
      <c r="S1027">
        <v>1</v>
      </c>
      <c r="T1027">
        <v>0</v>
      </c>
      <c r="U1027">
        <v>240</v>
      </c>
    </row>
    <row r="1028" spans="1:21" x14ac:dyDescent="0.25">
      <c r="A1028">
        <v>2025</v>
      </c>
      <c r="B1028">
        <v>6</v>
      </c>
      <c r="C1028" t="s">
        <v>52</v>
      </c>
      <c r="D1028" t="s">
        <v>22</v>
      </c>
      <c r="E1028" t="s">
        <v>35</v>
      </c>
      <c r="F1028" t="s">
        <v>24</v>
      </c>
      <c r="G1028" t="s">
        <v>25</v>
      </c>
      <c r="H1028" t="s">
        <v>26</v>
      </c>
      <c r="I1028" t="s">
        <v>26</v>
      </c>
      <c r="J1028">
        <v>1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1</v>
      </c>
    </row>
    <row r="1029" spans="1:21" x14ac:dyDescent="0.25">
      <c r="A1029">
        <v>2025</v>
      </c>
      <c r="B1029">
        <v>6</v>
      </c>
      <c r="C1029" t="s">
        <v>52</v>
      </c>
      <c r="D1029" t="s">
        <v>22</v>
      </c>
      <c r="E1029" t="s">
        <v>36</v>
      </c>
      <c r="F1029" t="s">
        <v>24</v>
      </c>
      <c r="G1029" t="s">
        <v>25</v>
      </c>
      <c r="H1029" t="s">
        <v>26</v>
      </c>
      <c r="I1029" t="s">
        <v>25</v>
      </c>
      <c r="J1029">
        <v>70</v>
      </c>
      <c r="K1029">
        <v>0</v>
      </c>
      <c r="L1029">
        <v>0</v>
      </c>
      <c r="M1029">
        <v>0</v>
      </c>
      <c r="N1029">
        <v>14</v>
      </c>
      <c r="O1029">
        <v>11</v>
      </c>
      <c r="P1029">
        <v>11</v>
      </c>
      <c r="Q1029">
        <v>6</v>
      </c>
      <c r="R1029">
        <v>5</v>
      </c>
      <c r="S1029">
        <v>0</v>
      </c>
      <c r="T1029">
        <v>0</v>
      </c>
      <c r="U1029">
        <v>70</v>
      </c>
    </row>
    <row r="1030" spans="1:21" x14ac:dyDescent="0.25">
      <c r="A1030">
        <v>2025</v>
      </c>
      <c r="B1030">
        <v>6</v>
      </c>
      <c r="C1030" t="s">
        <v>52</v>
      </c>
      <c r="D1030" t="s">
        <v>22</v>
      </c>
      <c r="E1030" t="s">
        <v>41</v>
      </c>
      <c r="F1030" t="s">
        <v>24</v>
      </c>
      <c r="G1030" t="s">
        <v>26</v>
      </c>
      <c r="H1030" t="s">
        <v>26</v>
      </c>
      <c r="I1030" t="s">
        <v>25</v>
      </c>
      <c r="J1030">
        <v>410</v>
      </c>
      <c r="K1030">
        <v>1</v>
      </c>
      <c r="L1030">
        <v>0</v>
      </c>
      <c r="M1030">
        <v>1</v>
      </c>
      <c r="N1030">
        <v>146</v>
      </c>
      <c r="O1030">
        <v>128</v>
      </c>
      <c r="P1030">
        <v>114</v>
      </c>
      <c r="Q1030">
        <v>88</v>
      </c>
      <c r="R1030">
        <v>58</v>
      </c>
      <c r="S1030">
        <v>19</v>
      </c>
      <c r="T1030">
        <v>4</v>
      </c>
      <c r="U1030">
        <v>409</v>
      </c>
    </row>
    <row r="1031" spans="1:21" x14ac:dyDescent="0.25">
      <c r="A1031">
        <v>2025</v>
      </c>
      <c r="B1031">
        <v>6</v>
      </c>
      <c r="C1031" t="s">
        <v>53</v>
      </c>
      <c r="D1031" t="s">
        <v>22</v>
      </c>
      <c r="E1031" t="s">
        <v>54</v>
      </c>
      <c r="F1031" t="s">
        <v>24</v>
      </c>
      <c r="G1031" t="s">
        <v>25</v>
      </c>
      <c r="H1031" t="s">
        <v>26</v>
      </c>
      <c r="I1031" t="s">
        <v>25</v>
      </c>
      <c r="J1031">
        <v>703</v>
      </c>
      <c r="K1031">
        <v>13</v>
      </c>
      <c r="L1031">
        <v>2</v>
      </c>
      <c r="M1031">
        <v>15</v>
      </c>
      <c r="N1031">
        <v>68</v>
      </c>
      <c r="O1031">
        <v>42</v>
      </c>
      <c r="P1031">
        <v>36</v>
      </c>
      <c r="Q1031">
        <v>22</v>
      </c>
      <c r="R1031">
        <v>13</v>
      </c>
      <c r="S1031">
        <v>4</v>
      </c>
      <c r="T1031">
        <v>1</v>
      </c>
      <c r="U1031">
        <v>690</v>
      </c>
    </row>
    <row r="1032" spans="1:21" x14ac:dyDescent="0.25">
      <c r="A1032">
        <v>2025</v>
      </c>
      <c r="B1032">
        <v>6</v>
      </c>
      <c r="C1032" t="s">
        <v>53</v>
      </c>
      <c r="D1032" t="s">
        <v>22</v>
      </c>
      <c r="E1032" t="s">
        <v>55</v>
      </c>
      <c r="F1032" t="s">
        <v>28</v>
      </c>
      <c r="G1032" t="s">
        <v>25</v>
      </c>
      <c r="H1032" t="s">
        <v>26</v>
      </c>
      <c r="I1032" t="s">
        <v>25</v>
      </c>
      <c r="J1032">
        <v>2</v>
      </c>
      <c r="K1032">
        <v>0</v>
      </c>
      <c r="L1032">
        <v>1</v>
      </c>
      <c r="M1032">
        <v>1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1</v>
      </c>
    </row>
    <row r="1033" spans="1:21" x14ac:dyDescent="0.25">
      <c r="A1033">
        <v>2025</v>
      </c>
      <c r="B1033">
        <v>6</v>
      </c>
      <c r="C1033" t="s">
        <v>53</v>
      </c>
      <c r="D1033" t="s">
        <v>22</v>
      </c>
      <c r="E1033" t="s">
        <v>55</v>
      </c>
      <c r="F1033" t="s">
        <v>24</v>
      </c>
      <c r="G1033" t="s">
        <v>25</v>
      </c>
      <c r="H1033" t="s">
        <v>26</v>
      </c>
      <c r="I1033" t="s">
        <v>25</v>
      </c>
      <c r="J1033">
        <v>148</v>
      </c>
      <c r="K1033">
        <v>0</v>
      </c>
      <c r="L1033">
        <v>0</v>
      </c>
      <c r="M1033">
        <v>0</v>
      </c>
      <c r="N1033">
        <v>9</v>
      </c>
      <c r="O1033">
        <v>7</v>
      </c>
      <c r="P1033">
        <v>7</v>
      </c>
      <c r="Q1033">
        <v>3</v>
      </c>
      <c r="R1033">
        <v>2</v>
      </c>
      <c r="S1033">
        <v>0</v>
      </c>
      <c r="T1033">
        <v>0</v>
      </c>
      <c r="U1033">
        <v>148</v>
      </c>
    </row>
    <row r="1034" spans="1:21" x14ac:dyDescent="0.25">
      <c r="A1034">
        <v>2025</v>
      </c>
      <c r="B1034">
        <v>6</v>
      </c>
      <c r="C1034" t="s">
        <v>53</v>
      </c>
      <c r="D1034" t="s">
        <v>22</v>
      </c>
      <c r="E1034" t="s">
        <v>23</v>
      </c>
      <c r="F1034" t="s">
        <v>28</v>
      </c>
      <c r="G1034" t="s">
        <v>25</v>
      </c>
      <c r="H1034" t="s">
        <v>26</v>
      </c>
      <c r="I1034" t="s">
        <v>25</v>
      </c>
      <c r="J1034">
        <v>35035</v>
      </c>
      <c r="K1034">
        <v>0</v>
      </c>
      <c r="L1034">
        <v>8081</v>
      </c>
      <c r="M1034">
        <v>8081</v>
      </c>
      <c r="N1034">
        <v>3179</v>
      </c>
      <c r="O1034">
        <v>1762</v>
      </c>
      <c r="P1034">
        <v>1385</v>
      </c>
      <c r="Q1034">
        <v>681</v>
      </c>
      <c r="R1034">
        <v>284</v>
      </c>
      <c r="S1034">
        <v>21</v>
      </c>
      <c r="T1034">
        <v>0</v>
      </c>
      <c r="U1034">
        <v>28280</v>
      </c>
    </row>
    <row r="1035" spans="1:21" x14ac:dyDescent="0.25">
      <c r="A1035">
        <v>2025</v>
      </c>
      <c r="B1035">
        <v>6</v>
      </c>
      <c r="C1035" t="s">
        <v>53</v>
      </c>
      <c r="D1035" t="s">
        <v>22</v>
      </c>
      <c r="E1035" t="s">
        <v>23</v>
      </c>
      <c r="F1035" t="s">
        <v>24</v>
      </c>
      <c r="G1035" t="s">
        <v>25</v>
      </c>
      <c r="H1035" t="s">
        <v>26</v>
      </c>
      <c r="I1035" t="s">
        <v>25</v>
      </c>
      <c r="J1035">
        <v>439</v>
      </c>
      <c r="K1035">
        <v>61</v>
      </c>
      <c r="L1035">
        <v>5</v>
      </c>
      <c r="M1035">
        <v>66</v>
      </c>
      <c r="N1035">
        <v>191</v>
      </c>
      <c r="O1035">
        <v>178</v>
      </c>
      <c r="P1035">
        <v>173</v>
      </c>
      <c r="Q1035">
        <v>157</v>
      </c>
      <c r="R1035">
        <v>121</v>
      </c>
      <c r="S1035">
        <v>64</v>
      </c>
      <c r="T1035">
        <v>17</v>
      </c>
      <c r="U1035">
        <v>375</v>
      </c>
    </row>
    <row r="1036" spans="1:21" x14ac:dyDescent="0.25">
      <c r="A1036">
        <v>2025</v>
      </c>
      <c r="B1036">
        <v>6</v>
      </c>
      <c r="C1036" t="s">
        <v>53</v>
      </c>
      <c r="D1036" t="s">
        <v>22</v>
      </c>
      <c r="E1036" t="s">
        <v>56</v>
      </c>
      <c r="F1036" t="s">
        <v>28</v>
      </c>
      <c r="G1036" t="s">
        <v>25</v>
      </c>
      <c r="H1036" t="s">
        <v>26</v>
      </c>
      <c r="I1036" t="s">
        <v>25</v>
      </c>
      <c r="J1036">
        <v>2962</v>
      </c>
      <c r="K1036">
        <v>0</v>
      </c>
      <c r="L1036">
        <v>1022</v>
      </c>
      <c r="M1036">
        <v>1022</v>
      </c>
      <c r="N1036">
        <v>332</v>
      </c>
      <c r="O1036">
        <v>207</v>
      </c>
      <c r="P1036">
        <v>189</v>
      </c>
      <c r="Q1036">
        <v>97</v>
      </c>
      <c r="R1036">
        <v>46</v>
      </c>
      <c r="S1036">
        <v>5</v>
      </c>
      <c r="T1036">
        <v>0</v>
      </c>
      <c r="U1036">
        <v>2114</v>
      </c>
    </row>
    <row r="1037" spans="1:21" x14ac:dyDescent="0.25">
      <c r="A1037">
        <v>2025</v>
      </c>
      <c r="B1037">
        <v>6</v>
      </c>
      <c r="C1037" t="s">
        <v>53</v>
      </c>
      <c r="D1037" t="s">
        <v>22</v>
      </c>
      <c r="E1037" t="s">
        <v>39</v>
      </c>
      <c r="F1037" t="s">
        <v>24</v>
      </c>
      <c r="G1037" t="s">
        <v>26</v>
      </c>
      <c r="H1037" t="s">
        <v>26</v>
      </c>
      <c r="I1037" t="s">
        <v>25</v>
      </c>
      <c r="J1037">
        <v>450</v>
      </c>
      <c r="K1037">
        <v>18</v>
      </c>
      <c r="L1037">
        <v>14</v>
      </c>
      <c r="M1037">
        <v>32</v>
      </c>
      <c r="N1037">
        <v>176</v>
      </c>
      <c r="O1037">
        <v>156</v>
      </c>
      <c r="P1037">
        <v>148</v>
      </c>
      <c r="Q1037">
        <v>132</v>
      </c>
      <c r="R1037">
        <v>104</v>
      </c>
      <c r="S1037">
        <v>40</v>
      </c>
      <c r="T1037">
        <v>10</v>
      </c>
      <c r="U1037">
        <v>427</v>
      </c>
    </row>
    <row r="1038" spans="1:21" x14ac:dyDescent="0.25">
      <c r="A1038">
        <v>2025</v>
      </c>
      <c r="B1038">
        <v>6</v>
      </c>
      <c r="C1038" t="s">
        <v>53</v>
      </c>
      <c r="D1038" t="s">
        <v>22</v>
      </c>
      <c r="E1038" t="s">
        <v>35</v>
      </c>
      <c r="F1038" t="s">
        <v>24</v>
      </c>
      <c r="G1038" t="s">
        <v>25</v>
      </c>
      <c r="H1038" t="s">
        <v>26</v>
      </c>
      <c r="I1038" t="s">
        <v>26</v>
      </c>
      <c r="J1038">
        <v>180</v>
      </c>
      <c r="K1038">
        <v>17</v>
      </c>
      <c r="L1038">
        <v>2</v>
      </c>
      <c r="M1038">
        <v>19</v>
      </c>
      <c r="N1038">
        <v>115</v>
      </c>
      <c r="O1038">
        <v>100</v>
      </c>
      <c r="P1038">
        <v>95</v>
      </c>
      <c r="Q1038">
        <v>86</v>
      </c>
      <c r="R1038">
        <v>69</v>
      </c>
      <c r="S1038">
        <v>57</v>
      </c>
      <c r="T1038">
        <v>38</v>
      </c>
      <c r="U1038">
        <v>162</v>
      </c>
    </row>
    <row r="1039" spans="1:21" x14ac:dyDescent="0.25">
      <c r="A1039">
        <v>2025</v>
      </c>
      <c r="B1039">
        <v>6</v>
      </c>
      <c r="C1039" t="s">
        <v>53</v>
      </c>
      <c r="D1039" t="s">
        <v>22</v>
      </c>
      <c r="E1039" t="s">
        <v>57</v>
      </c>
      <c r="F1039" t="s">
        <v>28</v>
      </c>
      <c r="G1039" t="s">
        <v>25</v>
      </c>
      <c r="H1039" t="s">
        <v>26</v>
      </c>
      <c r="I1039" t="s">
        <v>26</v>
      </c>
      <c r="J1039">
        <v>15</v>
      </c>
      <c r="K1039">
        <v>0</v>
      </c>
      <c r="L1039">
        <v>0</v>
      </c>
      <c r="M1039">
        <v>0</v>
      </c>
      <c r="N1039">
        <v>6</v>
      </c>
      <c r="O1039">
        <v>4</v>
      </c>
      <c r="P1039">
        <v>4</v>
      </c>
      <c r="Q1039">
        <v>2</v>
      </c>
      <c r="R1039">
        <v>1</v>
      </c>
      <c r="S1039">
        <v>0</v>
      </c>
      <c r="T1039">
        <v>0</v>
      </c>
      <c r="U1039">
        <v>15</v>
      </c>
    </row>
    <row r="1040" spans="1:21" x14ac:dyDescent="0.25">
      <c r="A1040">
        <v>2025</v>
      </c>
      <c r="B1040">
        <v>6</v>
      </c>
      <c r="C1040" t="s">
        <v>53</v>
      </c>
      <c r="D1040" t="s">
        <v>22</v>
      </c>
      <c r="E1040" t="s">
        <v>58</v>
      </c>
      <c r="F1040" t="s">
        <v>28</v>
      </c>
      <c r="G1040" t="s">
        <v>25</v>
      </c>
      <c r="H1040" t="s">
        <v>25</v>
      </c>
      <c r="I1040" t="s">
        <v>25</v>
      </c>
      <c r="J1040">
        <v>3432</v>
      </c>
      <c r="K1040">
        <v>0</v>
      </c>
      <c r="L1040">
        <v>49</v>
      </c>
      <c r="M1040">
        <v>49</v>
      </c>
      <c r="N1040">
        <v>232</v>
      </c>
      <c r="O1040">
        <v>109</v>
      </c>
      <c r="P1040">
        <v>83</v>
      </c>
      <c r="Q1040">
        <v>36</v>
      </c>
      <c r="R1040">
        <v>16</v>
      </c>
      <c r="S1040">
        <v>0</v>
      </c>
      <c r="T1040">
        <v>0</v>
      </c>
      <c r="U1040">
        <v>3389</v>
      </c>
    </row>
    <row r="1041" spans="1:21" x14ac:dyDescent="0.25">
      <c r="A1041">
        <v>2025</v>
      </c>
      <c r="B1041">
        <v>6</v>
      </c>
      <c r="C1041" t="s">
        <v>53</v>
      </c>
      <c r="D1041" t="s">
        <v>22</v>
      </c>
      <c r="E1041" t="s">
        <v>59</v>
      </c>
      <c r="F1041" t="s">
        <v>28</v>
      </c>
      <c r="G1041" t="s">
        <v>25</v>
      </c>
      <c r="H1041" t="s">
        <v>25</v>
      </c>
      <c r="I1041" t="s">
        <v>25</v>
      </c>
      <c r="J1041">
        <v>73819</v>
      </c>
      <c r="K1041">
        <v>0</v>
      </c>
      <c r="L1041">
        <v>10469</v>
      </c>
      <c r="M1041">
        <v>10469</v>
      </c>
      <c r="N1041">
        <v>4345</v>
      </c>
      <c r="O1041">
        <v>2128</v>
      </c>
      <c r="P1041">
        <v>1614</v>
      </c>
      <c r="Q1041">
        <v>636</v>
      </c>
      <c r="R1041">
        <v>261</v>
      </c>
      <c r="S1041">
        <v>33</v>
      </c>
      <c r="T1041">
        <v>0</v>
      </c>
      <c r="U1041">
        <v>64632</v>
      </c>
    </row>
    <row r="1042" spans="1:21" x14ac:dyDescent="0.25">
      <c r="A1042">
        <v>2025</v>
      </c>
      <c r="B1042">
        <v>6</v>
      </c>
      <c r="C1042" t="s">
        <v>53</v>
      </c>
      <c r="D1042" t="s">
        <v>22</v>
      </c>
      <c r="E1042" t="s">
        <v>60</v>
      </c>
      <c r="F1042" t="s">
        <v>28</v>
      </c>
      <c r="G1042" t="s">
        <v>25</v>
      </c>
      <c r="H1042" t="s">
        <v>25</v>
      </c>
      <c r="I1042" t="s">
        <v>25</v>
      </c>
      <c r="J1042">
        <v>36440</v>
      </c>
      <c r="K1042">
        <v>1</v>
      </c>
      <c r="L1042">
        <v>1049</v>
      </c>
      <c r="M1042">
        <v>1050</v>
      </c>
      <c r="N1042">
        <v>2085</v>
      </c>
      <c r="O1042">
        <v>798</v>
      </c>
      <c r="P1042">
        <v>535</v>
      </c>
      <c r="Q1042">
        <v>202</v>
      </c>
      <c r="R1042">
        <v>87</v>
      </c>
      <c r="S1042">
        <v>10</v>
      </c>
      <c r="T1042">
        <v>0</v>
      </c>
      <c r="U1042">
        <v>35648</v>
      </c>
    </row>
    <row r="1043" spans="1:21" x14ac:dyDescent="0.25">
      <c r="A1043">
        <v>2025</v>
      </c>
      <c r="B1043">
        <v>6</v>
      </c>
      <c r="C1043" t="s">
        <v>61</v>
      </c>
      <c r="D1043" t="s">
        <v>22</v>
      </c>
      <c r="E1043" t="s">
        <v>31</v>
      </c>
      <c r="F1043" t="s">
        <v>28</v>
      </c>
      <c r="G1043" t="s">
        <v>25</v>
      </c>
      <c r="H1043" t="s">
        <v>26</v>
      </c>
      <c r="I1043" t="s">
        <v>25</v>
      </c>
      <c r="J1043">
        <v>886</v>
      </c>
      <c r="K1043">
        <v>26</v>
      </c>
      <c r="L1043">
        <v>9</v>
      </c>
      <c r="M1043">
        <v>35</v>
      </c>
      <c r="N1043">
        <v>205</v>
      </c>
      <c r="O1043">
        <v>150</v>
      </c>
      <c r="P1043">
        <v>134</v>
      </c>
      <c r="Q1043">
        <v>99</v>
      </c>
      <c r="R1043">
        <v>71</v>
      </c>
      <c r="S1043">
        <v>31</v>
      </c>
      <c r="T1043">
        <v>10</v>
      </c>
      <c r="U1043">
        <v>854</v>
      </c>
    </row>
    <row r="1044" spans="1:21" x14ac:dyDescent="0.25">
      <c r="A1044">
        <v>2025</v>
      </c>
      <c r="B1044">
        <v>6</v>
      </c>
      <c r="C1044" t="s">
        <v>61</v>
      </c>
      <c r="D1044" t="s">
        <v>22</v>
      </c>
      <c r="E1044" t="s">
        <v>31</v>
      </c>
      <c r="F1044" t="s">
        <v>24</v>
      </c>
      <c r="G1044" t="s">
        <v>25</v>
      </c>
      <c r="H1044" t="s">
        <v>26</v>
      </c>
      <c r="I1044" t="s">
        <v>25</v>
      </c>
      <c r="J1044">
        <v>930</v>
      </c>
      <c r="K1044">
        <v>1</v>
      </c>
      <c r="L1044">
        <v>7</v>
      </c>
      <c r="M1044">
        <v>8</v>
      </c>
      <c r="N1044">
        <v>249</v>
      </c>
      <c r="O1044">
        <v>179</v>
      </c>
      <c r="P1044">
        <v>150</v>
      </c>
      <c r="Q1044">
        <v>92</v>
      </c>
      <c r="R1044">
        <v>55</v>
      </c>
      <c r="S1044">
        <v>19</v>
      </c>
      <c r="T1044">
        <v>6</v>
      </c>
      <c r="U1044">
        <v>925</v>
      </c>
    </row>
    <row r="1045" spans="1:21" x14ac:dyDescent="0.25">
      <c r="A1045">
        <v>2025</v>
      </c>
      <c r="B1045">
        <v>6</v>
      </c>
      <c r="C1045" t="s">
        <v>61</v>
      </c>
      <c r="D1045" t="s">
        <v>22</v>
      </c>
      <c r="E1045" t="s">
        <v>32</v>
      </c>
      <c r="F1045" t="s">
        <v>24</v>
      </c>
      <c r="G1045" t="s">
        <v>25</v>
      </c>
      <c r="H1045" t="s">
        <v>26</v>
      </c>
      <c r="I1045" t="s">
        <v>25</v>
      </c>
      <c r="J1045">
        <v>1477</v>
      </c>
      <c r="K1045">
        <v>19</v>
      </c>
      <c r="L1045">
        <v>1</v>
      </c>
      <c r="M1045">
        <v>20</v>
      </c>
      <c r="N1045">
        <v>706</v>
      </c>
      <c r="O1045">
        <v>600</v>
      </c>
      <c r="P1045">
        <v>556</v>
      </c>
      <c r="Q1045">
        <v>440</v>
      </c>
      <c r="R1045">
        <v>344</v>
      </c>
      <c r="S1045">
        <v>126</v>
      </c>
      <c r="T1045">
        <v>37</v>
      </c>
      <c r="U1045">
        <v>1457</v>
      </c>
    </row>
    <row r="1046" spans="1:21" x14ac:dyDescent="0.25">
      <c r="A1046">
        <v>2025</v>
      </c>
      <c r="B1046">
        <v>6</v>
      </c>
      <c r="C1046" t="s">
        <v>61</v>
      </c>
      <c r="D1046" t="s">
        <v>22</v>
      </c>
      <c r="E1046" t="s">
        <v>34</v>
      </c>
      <c r="F1046" t="s">
        <v>24</v>
      </c>
      <c r="G1046" t="s">
        <v>25</v>
      </c>
      <c r="H1046" t="s">
        <v>26</v>
      </c>
      <c r="I1046" t="s">
        <v>26</v>
      </c>
      <c r="J1046">
        <v>360</v>
      </c>
      <c r="K1046">
        <v>6</v>
      </c>
      <c r="L1046">
        <v>0</v>
      </c>
      <c r="M1046">
        <v>6</v>
      </c>
      <c r="N1046">
        <v>75</v>
      </c>
      <c r="O1046">
        <v>60</v>
      </c>
      <c r="P1046">
        <v>56</v>
      </c>
      <c r="Q1046">
        <v>52</v>
      </c>
      <c r="R1046">
        <v>39</v>
      </c>
      <c r="S1046">
        <v>23</v>
      </c>
      <c r="T1046">
        <v>12</v>
      </c>
      <c r="U1046">
        <v>354</v>
      </c>
    </row>
    <row r="1047" spans="1:21" x14ac:dyDescent="0.25">
      <c r="A1047">
        <v>2025</v>
      </c>
      <c r="B1047">
        <v>6</v>
      </c>
      <c r="C1047" t="s">
        <v>61</v>
      </c>
      <c r="D1047" t="s">
        <v>22</v>
      </c>
      <c r="E1047" t="s">
        <v>23</v>
      </c>
      <c r="F1047" t="s">
        <v>28</v>
      </c>
      <c r="G1047" t="s">
        <v>25</v>
      </c>
      <c r="H1047" t="s">
        <v>26</v>
      </c>
      <c r="I1047" t="s">
        <v>25</v>
      </c>
      <c r="J1047">
        <v>1758</v>
      </c>
      <c r="K1047">
        <v>1</v>
      </c>
      <c r="L1047">
        <v>17</v>
      </c>
      <c r="M1047">
        <v>18</v>
      </c>
      <c r="N1047">
        <v>329</v>
      </c>
      <c r="O1047">
        <v>240</v>
      </c>
      <c r="P1047">
        <v>204</v>
      </c>
      <c r="Q1047">
        <v>136</v>
      </c>
      <c r="R1047">
        <v>104</v>
      </c>
      <c r="S1047">
        <v>53</v>
      </c>
      <c r="T1047">
        <v>13</v>
      </c>
      <c r="U1047">
        <v>1743</v>
      </c>
    </row>
    <row r="1048" spans="1:21" x14ac:dyDescent="0.25">
      <c r="A1048">
        <v>2025</v>
      </c>
      <c r="B1048">
        <v>6</v>
      </c>
      <c r="C1048" t="s">
        <v>61</v>
      </c>
      <c r="D1048" t="s">
        <v>22</v>
      </c>
      <c r="E1048" t="s">
        <v>23</v>
      </c>
      <c r="F1048" t="s">
        <v>24</v>
      </c>
      <c r="G1048" t="s">
        <v>25</v>
      </c>
      <c r="H1048" t="s">
        <v>26</v>
      </c>
      <c r="I1048" t="s">
        <v>25</v>
      </c>
      <c r="J1048">
        <v>537</v>
      </c>
      <c r="K1048">
        <v>2</v>
      </c>
      <c r="L1048">
        <v>0</v>
      </c>
      <c r="M1048">
        <v>2</v>
      </c>
      <c r="N1048">
        <v>103</v>
      </c>
      <c r="O1048">
        <v>80</v>
      </c>
      <c r="P1048">
        <v>73</v>
      </c>
      <c r="Q1048">
        <v>61</v>
      </c>
      <c r="R1048">
        <v>47</v>
      </c>
      <c r="S1048">
        <v>23</v>
      </c>
      <c r="T1048">
        <v>10</v>
      </c>
      <c r="U1048">
        <v>535</v>
      </c>
    </row>
    <row r="1049" spans="1:21" x14ac:dyDescent="0.25">
      <c r="A1049">
        <v>2025</v>
      </c>
      <c r="B1049">
        <v>6</v>
      </c>
      <c r="C1049" t="s">
        <v>61</v>
      </c>
      <c r="D1049" t="s">
        <v>22</v>
      </c>
      <c r="E1049" t="s">
        <v>39</v>
      </c>
      <c r="F1049" t="s">
        <v>28</v>
      </c>
      <c r="G1049" t="s">
        <v>26</v>
      </c>
      <c r="H1049" t="s">
        <v>26</v>
      </c>
      <c r="I1049" t="s">
        <v>25</v>
      </c>
      <c r="J1049">
        <v>30</v>
      </c>
      <c r="K1049">
        <v>0</v>
      </c>
      <c r="L1049">
        <v>0</v>
      </c>
      <c r="M1049">
        <v>0</v>
      </c>
      <c r="N1049">
        <v>6</v>
      </c>
      <c r="O1049">
        <v>5</v>
      </c>
      <c r="P1049">
        <v>2</v>
      </c>
      <c r="Q1049">
        <v>1</v>
      </c>
      <c r="R1049">
        <v>0</v>
      </c>
      <c r="S1049">
        <v>0</v>
      </c>
      <c r="T1049">
        <v>0</v>
      </c>
      <c r="U1049">
        <v>30</v>
      </c>
    </row>
    <row r="1050" spans="1:21" x14ac:dyDescent="0.25">
      <c r="A1050">
        <v>2025</v>
      </c>
      <c r="B1050">
        <v>6</v>
      </c>
      <c r="C1050" t="s">
        <v>61</v>
      </c>
      <c r="D1050" t="s">
        <v>22</v>
      </c>
      <c r="E1050" t="s">
        <v>39</v>
      </c>
      <c r="F1050" t="s">
        <v>24</v>
      </c>
      <c r="G1050" t="s">
        <v>26</v>
      </c>
      <c r="H1050" t="s">
        <v>26</v>
      </c>
      <c r="I1050" t="s">
        <v>25</v>
      </c>
      <c r="J1050">
        <v>742</v>
      </c>
      <c r="K1050">
        <v>37</v>
      </c>
      <c r="L1050">
        <v>5</v>
      </c>
      <c r="M1050">
        <v>42</v>
      </c>
      <c r="N1050">
        <v>310</v>
      </c>
      <c r="O1050">
        <v>252</v>
      </c>
      <c r="P1050">
        <v>223</v>
      </c>
      <c r="Q1050">
        <v>177</v>
      </c>
      <c r="R1050">
        <v>149</v>
      </c>
      <c r="S1050">
        <v>82</v>
      </c>
      <c r="T1050">
        <v>24</v>
      </c>
      <c r="U1050">
        <v>702</v>
      </c>
    </row>
    <row r="1051" spans="1:21" x14ac:dyDescent="0.25">
      <c r="A1051">
        <v>2025</v>
      </c>
      <c r="B1051">
        <v>6</v>
      </c>
      <c r="C1051" t="s">
        <v>61</v>
      </c>
      <c r="D1051" t="s">
        <v>22</v>
      </c>
      <c r="E1051" t="s">
        <v>35</v>
      </c>
      <c r="F1051" t="s">
        <v>28</v>
      </c>
      <c r="G1051" t="s">
        <v>25</v>
      </c>
      <c r="H1051" t="s">
        <v>26</v>
      </c>
      <c r="I1051" t="s">
        <v>26</v>
      </c>
      <c r="J1051">
        <v>60</v>
      </c>
      <c r="K1051">
        <v>0</v>
      </c>
      <c r="L1051">
        <v>0</v>
      </c>
      <c r="M1051">
        <v>0</v>
      </c>
      <c r="N1051">
        <v>9</v>
      </c>
      <c r="O1051">
        <v>6</v>
      </c>
      <c r="P1051">
        <v>5</v>
      </c>
      <c r="Q1051">
        <v>4</v>
      </c>
      <c r="R1051">
        <v>3</v>
      </c>
      <c r="S1051">
        <v>3</v>
      </c>
      <c r="T1051">
        <v>2</v>
      </c>
      <c r="U1051">
        <v>60</v>
      </c>
    </row>
    <row r="1052" spans="1:21" x14ac:dyDescent="0.25">
      <c r="A1052">
        <v>2025</v>
      </c>
      <c r="B1052">
        <v>6</v>
      </c>
      <c r="C1052" t="s">
        <v>61</v>
      </c>
      <c r="D1052" t="s">
        <v>22</v>
      </c>
      <c r="E1052" t="s">
        <v>35</v>
      </c>
      <c r="F1052" t="s">
        <v>24</v>
      </c>
      <c r="G1052" t="s">
        <v>25</v>
      </c>
      <c r="H1052" t="s">
        <v>26</v>
      </c>
      <c r="I1052" t="s">
        <v>26</v>
      </c>
      <c r="J1052">
        <v>683</v>
      </c>
      <c r="K1052">
        <v>4</v>
      </c>
      <c r="L1052">
        <v>0</v>
      </c>
      <c r="M1052">
        <v>4</v>
      </c>
      <c r="N1052">
        <v>258</v>
      </c>
      <c r="O1052">
        <v>204</v>
      </c>
      <c r="P1052">
        <v>184</v>
      </c>
      <c r="Q1052">
        <v>155</v>
      </c>
      <c r="R1052">
        <v>137</v>
      </c>
      <c r="S1052">
        <v>112</v>
      </c>
      <c r="T1052">
        <v>51</v>
      </c>
      <c r="U1052">
        <v>679</v>
      </c>
    </row>
    <row r="1053" spans="1:21" x14ac:dyDescent="0.25">
      <c r="A1053">
        <v>2025</v>
      </c>
      <c r="B1053">
        <v>6</v>
      </c>
      <c r="C1053" t="s">
        <v>61</v>
      </c>
      <c r="D1053" t="s">
        <v>22</v>
      </c>
      <c r="E1053" t="s">
        <v>36</v>
      </c>
      <c r="F1053" t="s">
        <v>28</v>
      </c>
      <c r="G1053" t="s">
        <v>25</v>
      </c>
      <c r="H1053" t="s">
        <v>26</v>
      </c>
      <c r="I1053" t="s">
        <v>25</v>
      </c>
      <c r="J1053">
        <v>1983</v>
      </c>
      <c r="K1053">
        <v>12</v>
      </c>
      <c r="L1053">
        <v>119</v>
      </c>
      <c r="M1053">
        <v>131</v>
      </c>
      <c r="N1053">
        <v>369</v>
      </c>
      <c r="O1053">
        <v>226</v>
      </c>
      <c r="P1053">
        <v>182</v>
      </c>
      <c r="Q1053">
        <v>92</v>
      </c>
      <c r="R1053">
        <v>60</v>
      </c>
      <c r="S1053">
        <v>25</v>
      </c>
      <c r="T1053">
        <v>5</v>
      </c>
      <c r="U1053">
        <v>1907</v>
      </c>
    </row>
    <row r="1054" spans="1:21" x14ac:dyDescent="0.25">
      <c r="A1054">
        <v>2025</v>
      </c>
      <c r="B1054">
        <v>6</v>
      </c>
      <c r="C1054" t="s">
        <v>61</v>
      </c>
      <c r="D1054" t="s">
        <v>22</v>
      </c>
      <c r="E1054" t="s">
        <v>36</v>
      </c>
      <c r="F1054" t="s">
        <v>24</v>
      </c>
      <c r="G1054" t="s">
        <v>25</v>
      </c>
      <c r="H1054" t="s">
        <v>26</v>
      </c>
      <c r="I1054" t="s">
        <v>25</v>
      </c>
      <c r="J1054">
        <v>1136</v>
      </c>
      <c r="K1054">
        <v>4</v>
      </c>
      <c r="L1054">
        <v>3</v>
      </c>
      <c r="M1054">
        <v>7</v>
      </c>
      <c r="N1054">
        <v>404</v>
      </c>
      <c r="O1054">
        <v>323</v>
      </c>
      <c r="P1054">
        <v>296</v>
      </c>
      <c r="Q1054">
        <v>232</v>
      </c>
      <c r="R1054">
        <v>183</v>
      </c>
      <c r="S1054">
        <v>96</v>
      </c>
      <c r="T1054">
        <v>29</v>
      </c>
      <c r="U1054">
        <v>1131</v>
      </c>
    </row>
    <row r="1055" spans="1:21" x14ac:dyDescent="0.25">
      <c r="A1055">
        <v>2025</v>
      </c>
      <c r="B1055">
        <v>6</v>
      </c>
      <c r="C1055" t="s">
        <v>61</v>
      </c>
      <c r="D1055" t="s">
        <v>22</v>
      </c>
      <c r="E1055" t="s">
        <v>41</v>
      </c>
      <c r="F1055" t="s">
        <v>28</v>
      </c>
      <c r="G1055" t="s">
        <v>26</v>
      </c>
      <c r="H1055" t="s">
        <v>26</v>
      </c>
      <c r="I1055" t="s">
        <v>25</v>
      </c>
      <c r="J1055">
        <v>886</v>
      </c>
      <c r="K1055">
        <v>5</v>
      </c>
      <c r="L1055">
        <v>80</v>
      </c>
      <c r="M1055">
        <v>85</v>
      </c>
      <c r="N1055">
        <v>401</v>
      </c>
      <c r="O1055">
        <v>324</v>
      </c>
      <c r="P1055">
        <v>296</v>
      </c>
      <c r="Q1055">
        <v>219</v>
      </c>
      <c r="R1055">
        <v>173</v>
      </c>
      <c r="S1055">
        <v>86</v>
      </c>
      <c r="T1055">
        <v>17</v>
      </c>
      <c r="U1055">
        <v>849</v>
      </c>
    </row>
    <row r="1056" spans="1:21" x14ac:dyDescent="0.25">
      <c r="A1056">
        <v>2025</v>
      </c>
      <c r="B1056">
        <v>6</v>
      </c>
      <c r="C1056" t="s">
        <v>61</v>
      </c>
      <c r="D1056" t="s">
        <v>22</v>
      </c>
      <c r="E1056" t="s">
        <v>41</v>
      </c>
      <c r="F1056" t="s">
        <v>24</v>
      </c>
      <c r="G1056" t="s">
        <v>26</v>
      </c>
      <c r="H1056" t="s">
        <v>26</v>
      </c>
      <c r="I1056" t="s">
        <v>25</v>
      </c>
      <c r="J1056">
        <v>1009</v>
      </c>
      <c r="K1056">
        <v>3</v>
      </c>
      <c r="L1056">
        <v>20</v>
      </c>
      <c r="M1056">
        <v>23</v>
      </c>
      <c r="N1056">
        <v>487</v>
      </c>
      <c r="O1056">
        <v>402</v>
      </c>
      <c r="P1056">
        <v>367</v>
      </c>
      <c r="Q1056">
        <v>277</v>
      </c>
      <c r="R1056">
        <v>212</v>
      </c>
      <c r="S1056">
        <v>100</v>
      </c>
      <c r="T1056">
        <v>22</v>
      </c>
      <c r="U1056">
        <v>998</v>
      </c>
    </row>
    <row r="1057" spans="1:21" x14ac:dyDescent="0.25">
      <c r="A1057">
        <v>2025</v>
      </c>
      <c r="B1057">
        <v>6</v>
      </c>
      <c r="C1057" t="s">
        <v>62</v>
      </c>
      <c r="D1057" t="s">
        <v>22</v>
      </c>
      <c r="E1057" t="s">
        <v>40</v>
      </c>
      <c r="F1057" t="s">
        <v>28</v>
      </c>
      <c r="G1057" t="s">
        <v>25</v>
      </c>
      <c r="H1057" t="s">
        <v>25</v>
      </c>
      <c r="I1057" t="s">
        <v>25</v>
      </c>
      <c r="J1057">
        <v>10883</v>
      </c>
      <c r="K1057">
        <v>6</v>
      </c>
      <c r="L1057">
        <v>155</v>
      </c>
      <c r="M1057">
        <v>161</v>
      </c>
      <c r="N1057">
        <v>9</v>
      </c>
      <c r="O1057">
        <v>5</v>
      </c>
      <c r="P1057">
        <v>4</v>
      </c>
      <c r="Q1057">
        <v>2</v>
      </c>
      <c r="R1057">
        <v>2</v>
      </c>
      <c r="S1057">
        <v>0</v>
      </c>
      <c r="T1057">
        <v>0</v>
      </c>
      <c r="U1057">
        <v>10755</v>
      </c>
    </row>
    <row r="1058" spans="1:21" x14ac:dyDescent="0.25">
      <c r="A1058">
        <v>2025</v>
      </c>
      <c r="B1058">
        <v>6</v>
      </c>
      <c r="C1058" t="s">
        <v>62</v>
      </c>
      <c r="D1058" t="s">
        <v>22</v>
      </c>
      <c r="E1058" t="s">
        <v>40</v>
      </c>
      <c r="F1058" t="s">
        <v>24</v>
      </c>
      <c r="G1058" t="s">
        <v>25</v>
      </c>
      <c r="H1058" t="s">
        <v>25</v>
      </c>
      <c r="I1058" t="s">
        <v>25</v>
      </c>
      <c r="J1058">
        <v>40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40</v>
      </c>
    </row>
    <row r="1059" spans="1:21" x14ac:dyDescent="0.25">
      <c r="A1059">
        <v>2025</v>
      </c>
      <c r="B1059">
        <v>6</v>
      </c>
      <c r="C1059" t="s">
        <v>63</v>
      </c>
      <c r="D1059" t="s">
        <v>45</v>
      </c>
      <c r="E1059" t="s">
        <v>64</v>
      </c>
      <c r="F1059" t="s">
        <v>24</v>
      </c>
      <c r="G1059" t="s">
        <v>25</v>
      </c>
      <c r="H1059" t="s">
        <v>25</v>
      </c>
      <c r="I1059" t="s">
        <v>25</v>
      </c>
      <c r="J1059">
        <v>98</v>
      </c>
      <c r="K1059">
        <v>0</v>
      </c>
      <c r="L1059">
        <v>0</v>
      </c>
      <c r="M1059">
        <v>0</v>
      </c>
      <c r="N1059">
        <v>16</v>
      </c>
      <c r="O1059">
        <v>12</v>
      </c>
      <c r="P1059">
        <v>12</v>
      </c>
      <c r="Q1059">
        <v>10</v>
      </c>
      <c r="R1059">
        <v>6</v>
      </c>
      <c r="S1059">
        <v>3</v>
      </c>
      <c r="T1059">
        <v>0</v>
      </c>
      <c r="U1059">
        <v>98</v>
      </c>
    </row>
    <row r="1060" spans="1:21" x14ac:dyDescent="0.25">
      <c r="A1060">
        <v>2025</v>
      </c>
      <c r="B1060">
        <v>6</v>
      </c>
      <c r="C1060" t="s">
        <v>63</v>
      </c>
      <c r="D1060" t="s">
        <v>45</v>
      </c>
      <c r="E1060" t="s">
        <v>65</v>
      </c>
      <c r="F1060" t="s">
        <v>28</v>
      </c>
      <c r="G1060" t="s">
        <v>26</v>
      </c>
      <c r="H1060" t="s">
        <v>26</v>
      </c>
      <c r="I1060" t="s">
        <v>25</v>
      </c>
      <c r="J1060">
        <v>1598</v>
      </c>
      <c r="K1060">
        <v>14</v>
      </c>
      <c r="L1060">
        <v>15</v>
      </c>
      <c r="M1060">
        <v>29</v>
      </c>
      <c r="N1060">
        <v>418</v>
      </c>
      <c r="O1060">
        <v>381</v>
      </c>
      <c r="P1060">
        <v>381</v>
      </c>
      <c r="Q1060">
        <v>282</v>
      </c>
      <c r="R1060">
        <v>234</v>
      </c>
      <c r="S1060">
        <v>126</v>
      </c>
      <c r="T1060">
        <v>52</v>
      </c>
      <c r="U1060">
        <v>1577</v>
      </c>
    </row>
    <row r="1061" spans="1:21" x14ac:dyDescent="0.25">
      <c r="A1061">
        <v>2025</v>
      </c>
      <c r="B1061">
        <v>6</v>
      </c>
      <c r="C1061" t="s">
        <v>63</v>
      </c>
      <c r="D1061" t="s">
        <v>45</v>
      </c>
      <c r="E1061" t="s">
        <v>65</v>
      </c>
      <c r="F1061" t="s">
        <v>29</v>
      </c>
      <c r="G1061" t="s">
        <v>26</v>
      </c>
      <c r="H1061" t="s">
        <v>26</v>
      </c>
      <c r="I1061" t="s">
        <v>25</v>
      </c>
      <c r="J1061">
        <v>55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</row>
    <row r="1062" spans="1:21" x14ac:dyDescent="0.25">
      <c r="A1062">
        <v>2025</v>
      </c>
      <c r="B1062">
        <v>6</v>
      </c>
      <c r="C1062" t="s">
        <v>63</v>
      </c>
      <c r="D1062" t="s">
        <v>45</v>
      </c>
      <c r="E1062" t="s">
        <v>106</v>
      </c>
      <c r="F1062" t="s">
        <v>24</v>
      </c>
      <c r="G1062" t="s">
        <v>25</v>
      </c>
      <c r="H1062" t="s">
        <v>25</v>
      </c>
      <c r="I1062" t="s">
        <v>25</v>
      </c>
      <c r="J1062">
        <v>15</v>
      </c>
      <c r="K1062">
        <v>0</v>
      </c>
      <c r="L1062">
        <v>0</v>
      </c>
      <c r="M1062">
        <v>0</v>
      </c>
      <c r="N1062">
        <v>2</v>
      </c>
      <c r="O1062">
        <v>2</v>
      </c>
      <c r="P1062">
        <v>2</v>
      </c>
      <c r="Q1062">
        <v>2</v>
      </c>
      <c r="R1062">
        <v>2</v>
      </c>
      <c r="S1062">
        <v>2</v>
      </c>
      <c r="T1062">
        <v>0</v>
      </c>
      <c r="U1062">
        <v>15</v>
      </c>
    </row>
    <row r="1063" spans="1:21" x14ac:dyDescent="0.25">
      <c r="A1063">
        <v>2025</v>
      </c>
      <c r="B1063">
        <v>6</v>
      </c>
      <c r="C1063" t="s">
        <v>66</v>
      </c>
      <c r="D1063" t="s">
        <v>22</v>
      </c>
      <c r="E1063" t="s">
        <v>32</v>
      </c>
      <c r="F1063" t="s">
        <v>24</v>
      </c>
      <c r="G1063" t="s">
        <v>25</v>
      </c>
      <c r="H1063" t="s">
        <v>25</v>
      </c>
      <c r="I1063" t="s">
        <v>25</v>
      </c>
      <c r="J1063">
        <v>881</v>
      </c>
      <c r="K1063">
        <v>3</v>
      </c>
      <c r="L1063">
        <v>0</v>
      </c>
      <c r="M1063">
        <v>3</v>
      </c>
      <c r="N1063">
        <v>382</v>
      </c>
      <c r="O1063">
        <v>307</v>
      </c>
      <c r="P1063">
        <v>273</v>
      </c>
      <c r="Q1063">
        <v>187</v>
      </c>
      <c r="R1063">
        <v>123</v>
      </c>
      <c r="S1063">
        <v>54</v>
      </c>
      <c r="T1063">
        <v>21</v>
      </c>
      <c r="U1063">
        <v>878</v>
      </c>
    </row>
    <row r="1064" spans="1:21" x14ac:dyDescent="0.25">
      <c r="A1064">
        <v>2025</v>
      </c>
      <c r="B1064">
        <v>6</v>
      </c>
      <c r="C1064" t="s">
        <v>66</v>
      </c>
      <c r="D1064" t="s">
        <v>22</v>
      </c>
      <c r="E1064" t="s">
        <v>34</v>
      </c>
      <c r="F1064" t="s">
        <v>24</v>
      </c>
      <c r="G1064" t="s">
        <v>25</v>
      </c>
      <c r="H1064" t="s">
        <v>26</v>
      </c>
      <c r="I1064" t="s">
        <v>26</v>
      </c>
      <c r="J1064">
        <v>64</v>
      </c>
      <c r="K1064">
        <v>0</v>
      </c>
      <c r="L1064">
        <v>0</v>
      </c>
      <c r="M1064">
        <v>0</v>
      </c>
      <c r="N1064">
        <v>25</v>
      </c>
      <c r="O1064">
        <v>21</v>
      </c>
      <c r="P1064">
        <v>18</v>
      </c>
      <c r="Q1064">
        <v>16</v>
      </c>
      <c r="R1064">
        <v>14</v>
      </c>
      <c r="S1064">
        <v>5</v>
      </c>
      <c r="T1064">
        <v>3</v>
      </c>
      <c r="U1064">
        <v>64</v>
      </c>
    </row>
    <row r="1065" spans="1:21" x14ac:dyDescent="0.25">
      <c r="A1065">
        <v>2025</v>
      </c>
      <c r="B1065">
        <v>6</v>
      </c>
      <c r="C1065" t="s">
        <v>66</v>
      </c>
      <c r="D1065" t="s">
        <v>22</v>
      </c>
      <c r="E1065" t="s">
        <v>23</v>
      </c>
      <c r="F1065" t="s">
        <v>24</v>
      </c>
      <c r="G1065" t="s">
        <v>25</v>
      </c>
      <c r="H1065" t="s">
        <v>26</v>
      </c>
      <c r="I1065" t="s">
        <v>25</v>
      </c>
      <c r="J1065">
        <v>61</v>
      </c>
      <c r="K1065">
        <v>0</v>
      </c>
      <c r="L1065">
        <v>0</v>
      </c>
      <c r="M1065">
        <v>0</v>
      </c>
      <c r="N1065">
        <v>24</v>
      </c>
      <c r="O1065">
        <v>20</v>
      </c>
      <c r="P1065">
        <v>17</v>
      </c>
      <c r="Q1065">
        <v>15</v>
      </c>
      <c r="R1065">
        <v>13</v>
      </c>
      <c r="S1065">
        <v>5</v>
      </c>
      <c r="T1065">
        <v>3</v>
      </c>
      <c r="U1065">
        <v>61</v>
      </c>
    </row>
    <row r="1066" spans="1:21" x14ac:dyDescent="0.25">
      <c r="A1066">
        <v>2025</v>
      </c>
      <c r="B1066">
        <v>6</v>
      </c>
      <c r="C1066" t="s">
        <v>67</v>
      </c>
      <c r="D1066" t="s">
        <v>22</v>
      </c>
      <c r="E1066" t="s">
        <v>68</v>
      </c>
      <c r="F1066" t="s">
        <v>28</v>
      </c>
      <c r="G1066" t="s">
        <v>25</v>
      </c>
      <c r="H1066" t="s">
        <v>25</v>
      </c>
      <c r="I1066" t="s">
        <v>25</v>
      </c>
      <c r="J1066">
        <v>1556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1556</v>
      </c>
    </row>
    <row r="1067" spans="1:21" x14ac:dyDescent="0.25">
      <c r="A1067">
        <v>2025</v>
      </c>
      <c r="B1067">
        <v>6</v>
      </c>
      <c r="C1067" t="s">
        <v>67</v>
      </c>
      <c r="D1067" t="s">
        <v>22</v>
      </c>
      <c r="E1067" t="s">
        <v>68</v>
      </c>
      <c r="F1067" t="s">
        <v>24</v>
      </c>
      <c r="G1067" t="s">
        <v>25</v>
      </c>
      <c r="H1067" t="s">
        <v>25</v>
      </c>
      <c r="I1067" t="s">
        <v>25</v>
      </c>
      <c r="J1067">
        <v>180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180</v>
      </c>
    </row>
    <row r="1068" spans="1:21" x14ac:dyDescent="0.25">
      <c r="A1068">
        <v>2025</v>
      </c>
      <c r="B1068">
        <v>6</v>
      </c>
      <c r="C1068" t="s">
        <v>69</v>
      </c>
      <c r="D1068" t="s">
        <v>22</v>
      </c>
      <c r="E1068" t="s">
        <v>32</v>
      </c>
      <c r="F1068" t="s">
        <v>28</v>
      </c>
      <c r="G1068" t="s">
        <v>25</v>
      </c>
      <c r="H1068" t="s">
        <v>26</v>
      </c>
      <c r="I1068" t="s">
        <v>25</v>
      </c>
      <c r="J1068">
        <v>98</v>
      </c>
      <c r="K1068">
        <v>1</v>
      </c>
      <c r="L1068">
        <v>1</v>
      </c>
      <c r="M1068">
        <v>2</v>
      </c>
      <c r="N1068">
        <v>1</v>
      </c>
      <c r="O1068">
        <v>1</v>
      </c>
      <c r="P1068">
        <v>1</v>
      </c>
      <c r="Q1068">
        <v>0</v>
      </c>
      <c r="R1068">
        <v>0</v>
      </c>
      <c r="S1068">
        <v>0</v>
      </c>
      <c r="T1068">
        <v>0</v>
      </c>
      <c r="U1068">
        <v>96</v>
      </c>
    </row>
    <row r="1069" spans="1:21" x14ac:dyDescent="0.25">
      <c r="A1069">
        <v>2025</v>
      </c>
      <c r="B1069">
        <v>6</v>
      </c>
      <c r="C1069" t="s">
        <v>69</v>
      </c>
      <c r="D1069" t="s">
        <v>22</v>
      </c>
      <c r="E1069" t="s">
        <v>32</v>
      </c>
      <c r="F1069" t="s">
        <v>24</v>
      </c>
      <c r="G1069" t="s">
        <v>25</v>
      </c>
      <c r="H1069" t="s">
        <v>26</v>
      </c>
      <c r="I1069" t="s">
        <v>25</v>
      </c>
      <c r="J1069">
        <v>1693</v>
      </c>
      <c r="K1069">
        <v>15</v>
      </c>
      <c r="L1069">
        <v>35</v>
      </c>
      <c r="M1069">
        <v>50</v>
      </c>
      <c r="N1069">
        <v>402</v>
      </c>
      <c r="O1069">
        <v>335</v>
      </c>
      <c r="P1069">
        <v>323</v>
      </c>
      <c r="Q1069">
        <v>278</v>
      </c>
      <c r="R1069">
        <v>243</v>
      </c>
      <c r="S1069">
        <v>148</v>
      </c>
      <c r="T1069">
        <v>22</v>
      </c>
      <c r="U1069">
        <v>1663</v>
      </c>
    </row>
    <row r="1070" spans="1:21" x14ac:dyDescent="0.25">
      <c r="A1070">
        <v>2025</v>
      </c>
      <c r="B1070">
        <v>6</v>
      </c>
      <c r="C1070" t="s">
        <v>69</v>
      </c>
      <c r="D1070" t="s">
        <v>22</v>
      </c>
      <c r="E1070" t="s">
        <v>38</v>
      </c>
      <c r="F1070" t="s">
        <v>24</v>
      </c>
      <c r="G1070" t="s">
        <v>25</v>
      </c>
      <c r="H1070" t="s">
        <v>25</v>
      </c>
      <c r="I1070" t="s">
        <v>25</v>
      </c>
      <c r="J1070">
        <v>263</v>
      </c>
      <c r="K1070">
        <v>3</v>
      </c>
      <c r="L1070">
        <v>3</v>
      </c>
      <c r="M1070">
        <v>6</v>
      </c>
      <c r="N1070">
        <v>208</v>
      </c>
      <c r="O1070">
        <v>202</v>
      </c>
      <c r="P1070">
        <v>192</v>
      </c>
      <c r="Q1070">
        <v>155</v>
      </c>
      <c r="R1070">
        <v>86</v>
      </c>
      <c r="S1070">
        <v>22</v>
      </c>
      <c r="T1070">
        <v>7</v>
      </c>
      <c r="U1070">
        <v>259</v>
      </c>
    </row>
    <row r="1071" spans="1:21" x14ac:dyDescent="0.25">
      <c r="A1071">
        <v>2025</v>
      </c>
      <c r="B1071">
        <v>6</v>
      </c>
      <c r="C1071" t="s">
        <v>69</v>
      </c>
      <c r="D1071" t="s">
        <v>22</v>
      </c>
      <c r="E1071" t="s">
        <v>34</v>
      </c>
      <c r="F1071" t="s">
        <v>24</v>
      </c>
      <c r="G1071" t="s">
        <v>25</v>
      </c>
      <c r="H1071" t="s">
        <v>26</v>
      </c>
      <c r="I1071" t="s">
        <v>26</v>
      </c>
      <c r="J1071">
        <v>180</v>
      </c>
      <c r="K1071">
        <v>0</v>
      </c>
      <c r="L1071">
        <v>0</v>
      </c>
      <c r="M1071">
        <v>0</v>
      </c>
      <c r="N1071">
        <v>40</v>
      </c>
      <c r="O1071">
        <v>33</v>
      </c>
      <c r="P1071">
        <v>29</v>
      </c>
      <c r="Q1071">
        <v>24</v>
      </c>
      <c r="R1071">
        <v>21</v>
      </c>
      <c r="S1071">
        <v>16</v>
      </c>
      <c r="T1071">
        <v>7</v>
      </c>
      <c r="U1071">
        <v>180</v>
      </c>
    </row>
    <row r="1072" spans="1:21" x14ac:dyDescent="0.25">
      <c r="A1072">
        <v>2025</v>
      </c>
      <c r="B1072">
        <v>6</v>
      </c>
      <c r="C1072" t="s">
        <v>69</v>
      </c>
      <c r="D1072" t="s">
        <v>22</v>
      </c>
      <c r="E1072" t="s">
        <v>23</v>
      </c>
      <c r="F1072" t="s">
        <v>28</v>
      </c>
      <c r="G1072" t="s">
        <v>25</v>
      </c>
      <c r="H1072" t="s">
        <v>26</v>
      </c>
      <c r="I1072" t="s">
        <v>25</v>
      </c>
      <c r="J1072">
        <v>11425</v>
      </c>
      <c r="K1072">
        <v>40</v>
      </c>
      <c r="L1072">
        <v>214</v>
      </c>
      <c r="M1072">
        <v>254</v>
      </c>
      <c r="N1072">
        <v>23</v>
      </c>
      <c r="O1072">
        <v>19</v>
      </c>
      <c r="P1072">
        <v>17</v>
      </c>
      <c r="Q1072">
        <v>12</v>
      </c>
      <c r="R1072">
        <v>8</v>
      </c>
      <c r="S1072">
        <v>3</v>
      </c>
      <c r="T1072">
        <v>3</v>
      </c>
      <c r="U1072">
        <v>11206</v>
      </c>
    </row>
    <row r="1073" spans="1:21" x14ac:dyDescent="0.25">
      <c r="A1073">
        <v>2025</v>
      </c>
      <c r="B1073">
        <v>6</v>
      </c>
      <c r="C1073" t="s">
        <v>69</v>
      </c>
      <c r="D1073" t="s">
        <v>22</v>
      </c>
      <c r="E1073" t="s">
        <v>23</v>
      </c>
      <c r="F1073" t="s">
        <v>24</v>
      </c>
      <c r="G1073" t="s">
        <v>25</v>
      </c>
      <c r="H1073" t="s">
        <v>26</v>
      </c>
      <c r="I1073" t="s">
        <v>25</v>
      </c>
      <c r="J1073">
        <v>1188</v>
      </c>
      <c r="K1073">
        <v>200</v>
      </c>
      <c r="L1073">
        <v>39</v>
      </c>
      <c r="M1073">
        <v>239</v>
      </c>
      <c r="N1073">
        <v>300</v>
      </c>
      <c r="O1073">
        <v>241</v>
      </c>
      <c r="P1073">
        <v>222</v>
      </c>
      <c r="Q1073">
        <v>177</v>
      </c>
      <c r="R1073">
        <v>138</v>
      </c>
      <c r="S1073">
        <v>43</v>
      </c>
      <c r="T1073">
        <v>11</v>
      </c>
      <c r="U1073">
        <v>971</v>
      </c>
    </row>
    <row r="1074" spans="1:21" x14ac:dyDescent="0.25">
      <c r="A1074">
        <v>2025</v>
      </c>
      <c r="B1074">
        <v>6</v>
      </c>
      <c r="C1074" t="s">
        <v>69</v>
      </c>
      <c r="D1074" t="s">
        <v>22</v>
      </c>
      <c r="E1074" t="s">
        <v>39</v>
      </c>
      <c r="F1074" t="s">
        <v>28</v>
      </c>
      <c r="G1074" t="s">
        <v>26</v>
      </c>
      <c r="H1074" t="s">
        <v>26</v>
      </c>
      <c r="I1074" t="s">
        <v>25</v>
      </c>
      <c r="J1074">
        <v>47</v>
      </c>
      <c r="K1074">
        <v>1</v>
      </c>
      <c r="L1074">
        <v>0</v>
      </c>
      <c r="M1074">
        <v>1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46</v>
      </c>
    </row>
    <row r="1075" spans="1:21" x14ac:dyDescent="0.25">
      <c r="A1075">
        <v>2025</v>
      </c>
      <c r="B1075">
        <v>6</v>
      </c>
      <c r="C1075" t="s">
        <v>69</v>
      </c>
      <c r="D1075" t="s">
        <v>22</v>
      </c>
      <c r="E1075" t="s">
        <v>39</v>
      </c>
      <c r="F1075" t="s">
        <v>24</v>
      </c>
      <c r="G1075" t="s">
        <v>26</v>
      </c>
      <c r="H1075" t="s">
        <v>26</v>
      </c>
      <c r="I1075" t="s">
        <v>25</v>
      </c>
      <c r="J1075">
        <v>1162</v>
      </c>
      <c r="K1075">
        <v>84</v>
      </c>
      <c r="L1075">
        <v>195</v>
      </c>
      <c r="M1075">
        <v>279</v>
      </c>
      <c r="N1075">
        <v>314</v>
      </c>
      <c r="O1075">
        <v>245</v>
      </c>
      <c r="P1075">
        <v>216</v>
      </c>
      <c r="Q1075">
        <v>150</v>
      </c>
      <c r="R1075">
        <v>109</v>
      </c>
      <c r="S1075">
        <v>48</v>
      </c>
      <c r="T1075">
        <v>10</v>
      </c>
      <c r="U1075">
        <v>956</v>
      </c>
    </row>
    <row r="1076" spans="1:21" x14ac:dyDescent="0.25">
      <c r="A1076">
        <v>2025</v>
      </c>
      <c r="B1076">
        <v>6</v>
      </c>
      <c r="C1076" t="s">
        <v>69</v>
      </c>
      <c r="D1076" t="s">
        <v>22</v>
      </c>
      <c r="E1076" t="s">
        <v>40</v>
      </c>
      <c r="F1076" t="s">
        <v>28</v>
      </c>
      <c r="G1076" t="s">
        <v>25</v>
      </c>
      <c r="H1076" t="s">
        <v>26</v>
      </c>
      <c r="I1076" t="s">
        <v>25</v>
      </c>
      <c r="J1076">
        <v>12796</v>
      </c>
      <c r="K1076">
        <v>46</v>
      </c>
      <c r="L1076">
        <v>118</v>
      </c>
      <c r="M1076">
        <v>164</v>
      </c>
      <c r="N1076">
        <v>6</v>
      </c>
      <c r="O1076">
        <v>3</v>
      </c>
      <c r="P1076">
        <v>3</v>
      </c>
      <c r="Q1076">
        <v>2</v>
      </c>
      <c r="R1076">
        <v>2</v>
      </c>
      <c r="S1076">
        <v>0</v>
      </c>
      <c r="T1076">
        <v>0</v>
      </c>
      <c r="U1076">
        <v>12673</v>
      </c>
    </row>
    <row r="1077" spans="1:21" x14ac:dyDescent="0.25">
      <c r="A1077">
        <v>2025</v>
      </c>
      <c r="B1077">
        <v>6</v>
      </c>
      <c r="C1077" t="s">
        <v>69</v>
      </c>
      <c r="D1077" t="s">
        <v>22</v>
      </c>
      <c r="E1077" t="s">
        <v>40</v>
      </c>
      <c r="F1077" t="s">
        <v>24</v>
      </c>
      <c r="G1077" t="s">
        <v>25</v>
      </c>
      <c r="H1077" t="s">
        <v>26</v>
      </c>
      <c r="I1077" t="s">
        <v>25</v>
      </c>
      <c r="J1077">
        <v>1043</v>
      </c>
      <c r="K1077">
        <v>3</v>
      </c>
      <c r="L1077">
        <v>29</v>
      </c>
      <c r="M1077">
        <v>32</v>
      </c>
      <c r="N1077">
        <v>29</v>
      </c>
      <c r="O1077">
        <v>20</v>
      </c>
      <c r="P1077">
        <v>16</v>
      </c>
      <c r="Q1077">
        <v>8</v>
      </c>
      <c r="R1077">
        <v>1</v>
      </c>
      <c r="S1077">
        <v>0</v>
      </c>
      <c r="T1077">
        <v>0</v>
      </c>
      <c r="U1077">
        <v>1014</v>
      </c>
    </row>
    <row r="1078" spans="1:21" x14ac:dyDescent="0.25">
      <c r="A1078">
        <v>2025</v>
      </c>
      <c r="B1078">
        <v>6</v>
      </c>
      <c r="C1078" t="s">
        <v>69</v>
      </c>
      <c r="D1078" t="s">
        <v>22</v>
      </c>
      <c r="E1078" t="s">
        <v>40</v>
      </c>
      <c r="F1078" t="s">
        <v>29</v>
      </c>
      <c r="G1078" t="s">
        <v>25</v>
      </c>
      <c r="H1078" t="s">
        <v>26</v>
      </c>
      <c r="I1078" t="s">
        <v>25</v>
      </c>
      <c r="J1078">
        <v>2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</row>
    <row r="1079" spans="1:21" x14ac:dyDescent="0.25">
      <c r="A1079">
        <v>2025</v>
      </c>
      <c r="B1079">
        <v>6</v>
      </c>
      <c r="C1079" t="s">
        <v>69</v>
      </c>
      <c r="D1079" t="s">
        <v>22</v>
      </c>
      <c r="E1079" t="s">
        <v>70</v>
      </c>
      <c r="F1079" t="s">
        <v>28</v>
      </c>
      <c r="G1079" t="s">
        <v>26</v>
      </c>
      <c r="H1079" t="s">
        <v>26</v>
      </c>
      <c r="I1079" t="s">
        <v>25</v>
      </c>
      <c r="J1079">
        <v>102</v>
      </c>
      <c r="K1079">
        <v>1</v>
      </c>
      <c r="L1079">
        <v>0</v>
      </c>
      <c r="M1079">
        <v>1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101</v>
      </c>
    </row>
    <row r="1080" spans="1:21" x14ac:dyDescent="0.25">
      <c r="A1080">
        <v>2025</v>
      </c>
      <c r="B1080">
        <v>6</v>
      </c>
      <c r="C1080" t="s">
        <v>69</v>
      </c>
      <c r="D1080" t="s">
        <v>22</v>
      </c>
      <c r="E1080" t="s">
        <v>70</v>
      </c>
      <c r="F1080" t="s">
        <v>24</v>
      </c>
      <c r="G1080" t="s">
        <v>26</v>
      </c>
      <c r="H1080" t="s">
        <v>26</v>
      </c>
      <c r="I1080" t="s">
        <v>25</v>
      </c>
      <c r="J1080">
        <v>786</v>
      </c>
      <c r="K1080">
        <v>1</v>
      </c>
      <c r="L1080">
        <v>24</v>
      </c>
      <c r="M1080">
        <v>25</v>
      </c>
      <c r="N1080">
        <v>144</v>
      </c>
      <c r="O1080">
        <v>112</v>
      </c>
      <c r="P1080">
        <v>105</v>
      </c>
      <c r="Q1080">
        <v>82</v>
      </c>
      <c r="R1080">
        <v>65</v>
      </c>
      <c r="S1080">
        <v>32</v>
      </c>
      <c r="T1080">
        <v>6</v>
      </c>
      <c r="U1080">
        <v>774</v>
      </c>
    </row>
    <row r="1081" spans="1:21" x14ac:dyDescent="0.25">
      <c r="A1081">
        <v>2025</v>
      </c>
      <c r="B1081">
        <v>6</v>
      </c>
      <c r="C1081" t="s">
        <v>69</v>
      </c>
      <c r="D1081" t="s">
        <v>22</v>
      </c>
      <c r="E1081" t="s">
        <v>70</v>
      </c>
      <c r="F1081" t="s">
        <v>29</v>
      </c>
      <c r="G1081" t="s">
        <v>26</v>
      </c>
      <c r="H1081" t="s">
        <v>26</v>
      </c>
      <c r="I1081" t="s">
        <v>25</v>
      </c>
      <c r="J1081">
        <v>4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</row>
    <row r="1082" spans="1:21" x14ac:dyDescent="0.25">
      <c r="A1082">
        <v>2025</v>
      </c>
      <c r="B1082">
        <v>6</v>
      </c>
      <c r="C1082" t="s">
        <v>69</v>
      </c>
      <c r="D1082" t="s">
        <v>22</v>
      </c>
      <c r="E1082" t="s">
        <v>35</v>
      </c>
      <c r="F1082" t="s">
        <v>24</v>
      </c>
      <c r="G1082" t="s">
        <v>25</v>
      </c>
      <c r="H1082" t="s">
        <v>26</v>
      </c>
      <c r="I1082" t="s">
        <v>26</v>
      </c>
      <c r="J1082">
        <v>300</v>
      </c>
      <c r="K1082">
        <v>0</v>
      </c>
      <c r="L1082">
        <v>1</v>
      </c>
      <c r="M1082">
        <v>1</v>
      </c>
      <c r="N1082">
        <v>100</v>
      </c>
      <c r="O1082">
        <v>82</v>
      </c>
      <c r="P1082">
        <v>70</v>
      </c>
      <c r="Q1082">
        <v>53</v>
      </c>
      <c r="R1082">
        <v>42</v>
      </c>
      <c r="S1082">
        <v>28</v>
      </c>
      <c r="T1082">
        <v>11</v>
      </c>
      <c r="U1082">
        <v>299</v>
      </c>
    </row>
    <row r="1083" spans="1:21" x14ac:dyDescent="0.25">
      <c r="A1083">
        <v>2025</v>
      </c>
      <c r="B1083">
        <v>6</v>
      </c>
      <c r="C1083" t="s">
        <v>69</v>
      </c>
      <c r="D1083" t="s">
        <v>22</v>
      </c>
      <c r="E1083" t="s">
        <v>41</v>
      </c>
      <c r="F1083" t="s">
        <v>24</v>
      </c>
      <c r="G1083" t="s">
        <v>26</v>
      </c>
      <c r="H1083" t="s">
        <v>26</v>
      </c>
      <c r="I1083" t="s">
        <v>25</v>
      </c>
      <c r="J1083">
        <v>360</v>
      </c>
      <c r="K1083">
        <v>0</v>
      </c>
      <c r="L1083">
        <v>10</v>
      </c>
      <c r="M1083">
        <v>10</v>
      </c>
      <c r="N1083">
        <v>72</v>
      </c>
      <c r="O1083">
        <v>53</v>
      </c>
      <c r="P1083">
        <v>50</v>
      </c>
      <c r="Q1083">
        <v>48</v>
      </c>
      <c r="R1083">
        <v>47</v>
      </c>
      <c r="S1083">
        <v>34</v>
      </c>
      <c r="T1083">
        <v>4</v>
      </c>
      <c r="U1083">
        <v>355</v>
      </c>
    </row>
    <row r="1084" spans="1:21" x14ac:dyDescent="0.25">
      <c r="A1084">
        <v>2025</v>
      </c>
      <c r="B1084">
        <v>6</v>
      </c>
      <c r="C1084" t="s">
        <v>71</v>
      </c>
      <c r="D1084" t="s">
        <v>22</v>
      </c>
      <c r="E1084" t="s">
        <v>34</v>
      </c>
      <c r="F1084" t="s">
        <v>24</v>
      </c>
      <c r="G1084" t="s">
        <v>25</v>
      </c>
      <c r="H1084" t="s">
        <v>26</v>
      </c>
      <c r="I1084" t="s">
        <v>26</v>
      </c>
      <c r="J1084">
        <v>56</v>
      </c>
      <c r="K1084">
        <v>0</v>
      </c>
      <c r="L1084">
        <v>0</v>
      </c>
      <c r="M1084">
        <v>0</v>
      </c>
      <c r="N1084">
        <v>35</v>
      </c>
      <c r="O1084">
        <v>34</v>
      </c>
      <c r="P1084">
        <v>32</v>
      </c>
      <c r="Q1084">
        <v>28</v>
      </c>
      <c r="R1084">
        <v>25</v>
      </c>
      <c r="S1084">
        <v>16</v>
      </c>
      <c r="T1084">
        <v>12</v>
      </c>
      <c r="U1084">
        <v>56</v>
      </c>
    </row>
    <row r="1085" spans="1:21" x14ac:dyDescent="0.25">
      <c r="A1085">
        <v>2025</v>
      </c>
      <c r="B1085">
        <v>6</v>
      </c>
      <c r="C1085" t="s">
        <v>72</v>
      </c>
      <c r="D1085" t="s">
        <v>22</v>
      </c>
      <c r="E1085" t="s">
        <v>54</v>
      </c>
      <c r="F1085" t="s">
        <v>24</v>
      </c>
      <c r="G1085" t="s">
        <v>25</v>
      </c>
      <c r="H1085" t="s">
        <v>25</v>
      </c>
      <c r="I1085" t="s">
        <v>25</v>
      </c>
      <c r="J1085">
        <v>703</v>
      </c>
      <c r="K1085">
        <v>6</v>
      </c>
      <c r="L1085">
        <v>15</v>
      </c>
      <c r="M1085">
        <v>21</v>
      </c>
      <c r="N1085">
        <v>229</v>
      </c>
      <c r="O1085">
        <v>155</v>
      </c>
      <c r="P1085">
        <v>135</v>
      </c>
      <c r="Q1085">
        <v>71</v>
      </c>
      <c r="R1085">
        <v>39</v>
      </c>
      <c r="S1085">
        <v>14</v>
      </c>
      <c r="T1085">
        <v>3</v>
      </c>
      <c r="U1085">
        <v>688</v>
      </c>
    </row>
    <row r="1086" spans="1:21" x14ac:dyDescent="0.25">
      <c r="A1086">
        <v>2025</v>
      </c>
      <c r="B1086">
        <v>6</v>
      </c>
      <c r="C1086" t="s">
        <v>72</v>
      </c>
      <c r="D1086" t="s">
        <v>22</v>
      </c>
      <c r="E1086" t="s">
        <v>55</v>
      </c>
      <c r="F1086" t="s">
        <v>24</v>
      </c>
      <c r="G1086" t="s">
        <v>25</v>
      </c>
      <c r="H1086" t="s">
        <v>25</v>
      </c>
      <c r="I1086" t="s">
        <v>25</v>
      </c>
      <c r="J1086">
        <v>148</v>
      </c>
      <c r="K1086">
        <v>0</v>
      </c>
      <c r="L1086">
        <v>0</v>
      </c>
      <c r="M1086">
        <v>0</v>
      </c>
      <c r="N1086">
        <v>32</v>
      </c>
      <c r="O1086">
        <v>20</v>
      </c>
      <c r="P1086">
        <v>15</v>
      </c>
      <c r="Q1086">
        <v>9</v>
      </c>
      <c r="R1086">
        <v>6</v>
      </c>
      <c r="S1086">
        <v>2</v>
      </c>
      <c r="T1086">
        <v>0</v>
      </c>
      <c r="U1086">
        <v>148</v>
      </c>
    </row>
    <row r="1087" spans="1:21" x14ac:dyDescent="0.25">
      <c r="A1087">
        <v>2025</v>
      </c>
      <c r="B1087">
        <v>6</v>
      </c>
      <c r="C1087" t="s">
        <v>72</v>
      </c>
      <c r="D1087" t="s">
        <v>22</v>
      </c>
      <c r="E1087" t="s">
        <v>23</v>
      </c>
      <c r="F1087" t="s">
        <v>28</v>
      </c>
      <c r="G1087" t="s">
        <v>25</v>
      </c>
      <c r="H1087" t="s">
        <v>26</v>
      </c>
      <c r="I1087" t="s">
        <v>25</v>
      </c>
      <c r="J1087">
        <v>25757</v>
      </c>
      <c r="K1087">
        <v>68</v>
      </c>
      <c r="L1087">
        <v>444</v>
      </c>
      <c r="M1087">
        <v>512</v>
      </c>
      <c r="N1087">
        <v>5664</v>
      </c>
      <c r="O1087">
        <v>3526</v>
      </c>
      <c r="P1087">
        <v>2903</v>
      </c>
      <c r="Q1087">
        <v>1521</v>
      </c>
      <c r="R1087">
        <v>812</v>
      </c>
      <c r="S1087">
        <v>139</v>
      </c>
      <c r="T1087">
        <v>11</v>
      </c>
      <c r="U1087">
        <v>25419</v>
      </c>
    </row>
    <row r="1088" spans="1:21" x14ac:dyDescent="0.25">
      <c r="A1088">
        <v>2025</v>
      </c>
      <c r="B1088">
        <v>6</v>
      </c>
      <c r="C1088" t="s">
        <v>72</v>
      </c>
      <c r="D1088" t="s">
        <v>22</v>
      </c>
      <c r="E1088" t="s">
        <v>23</v>
      </c>
      <c r="F1088" t="s">
        <v>24</v>
      </c>
      <c r="G1088" t="s">
        <v>25</v>
      </c>
      <c r="H1088" t="s">
        <v>26</v>
      </c>
      <c r="I1088" t="s">
        <v>25</v>
      </c>
      <c r="J1088">
        <v>3082</v>
      </c>
      <c r="K1088">
        <v>12</v>
      </c>
      <c r="L1088">
        <v>40</v>
      </c>
      <c r="M1088">
        <v>52</v>
      </c>
      <c r="N1088">
        <v>593</v>
      </c>
      <c r="O1088">
        <v>364</v>
      </c>
      <c r="P1088">
        <v>299</v>
      </c>
      <c r="Q1088">
        <v>146</v>
      </c>
      <c r="R1088">
        <v>71</v>
      </c>
      <c r="S1088">
        <v>12</v>
      </c>
      <c r="T1088">
        <v>1</v>
      </c>
      <c r="U1088">
        <v>3045</v>
      </c>
    </row>
    <row r="1089" spans="1:21" x14ac:dyDescent="0.25">
      <c r="A1089">
        <v>2025</v>
      </c>
      <c r="B1089">
        <v>6</v>
      </c>
      <c r="C1089" t="s">
        <v>72</v>
      </c>
      <c r="D1089" t="s">
        <v>22</v>
      </c>
      <c r="E1089" t="s">
        <v>23</v>
      </c>
      <c r="F1089" t="s">
        <v>29</v>
      </c>
      <c r="G1089" t="s">
        <v>25</v>
      </c>
      <c r="H1089" t="s">
        <v>26</v>
      </c>
      <c r="I1089" t="s">
        <v>25</v>
      </c>
      <c r="J1089">
        <v>2</v>
      </c>
      <c r="K1089">
        <v>1</v>
      </c>
      <c r="L1089">
        <v>0</v>
      </c>
      <c r="M1089">
        <v>1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</row>
    <row r="1090" spans="1:21" x14ac:dyDescent="0.25">
      <c r="A1090">
        <v>2025</v>
      </c>
      <c r="B1090">
        <v>6</v>
      </c>
      <c r="C1090" t="s">
        <v>72</v>
      </c>
      <c r="D1090" t="s">
        <v>22</v>
      </c>
      <c r="E1090" t="s">
        <v>39</v>
      </c>
      <c r="F1090" t="s">
        <v>24</v>
      </c>
      <c r="G1090" t="s">
        <v>26</v>
      </c>
      <c r="H1090" t="s">
        <v>26</v>
      </c>
      <c r="I1090" t="s">
        <v>25</v>
      </c>
      <c r="J1090">
        <v>468</v>
      </c>
      <c r="K1090">
        <v>6</v>
      </c>
      <c r="L1090">
        <v>4</v>
      </c>
      <c r="M1090">
        <v>10</v>
      </c>
      <c r="N1090">
        <v>197</v>
      </c>
      <c r="O1090">
        <v>138</v>
      </c>
      <c r="P1090">
        <v>123</v>
      </c>
      <c r="Q1090">
        <v>81</v>
      </c>
      <c r="R1090">
        <v>63</v>
      </c>
      <c r="S1090">
        <v>30</v>
      </c>
      <c r="T1090">
        <v>4</v>
      </c>
      <c r="U1090">
        <v>460</v>
      </c>
    </row>
    <row r="1091" spans="1:21" x14ac:dyDescent="0.25">
      <c r="A1091">
        <v>2025</v>
      </c>
      <c r="B1091">
        <v>6</v>
      </c>
      <c r="C1091" t="s">
        <v>72</v>
      </c>
      <c r="D1091" t="s">
        <v>22</v>
      </c>
      <c r="E1091" t="s">
        <v>73</v>
      </c>
      <c r="F1091" t="s">
        <v>28</v>
      </c>
      <c r="G1091" t="s">
        <v>25</v>
      </c>
      <c r="H1091" t="s">
        <v>25</v>
      </c>
      <c r="I1091" t="s">
        <v>25</v>
      </c>
      <c r="J1091">
        <v>15793</v>
      </c>
      <c r="K1091">
        <v>9</v>
      </c>
      <c r="L1091">
        <v>66</v>
      </c>
      <c r="M1091">
        <v>75</v>
      </c>
      <c r="N1091">
        <v>2587</v>
      </c>
      <c r="O1091">
        <v>1392</v>
      </c>
      <c r="P1091">
        <v>1072</v>
      </c>
      <c r="Q1091">
        <v>426</v>
      </c>
      <c r="R1091">
        <v>209</v>
      </c>
      <c r="S1091">
        <v>27</v>
      </c>
      <c r="T1091">
        <v>2</v>
      </c>
      <c r="U1091">
        <v>15737</v>
      </c>
    </row>
    <row r="1092" spans="1:21" x14ac:dyDescent="0.25">
      <c r="A1092">
        <v>2025</v>
      </c>
      <c r="B1092">
        <v>6</v>
      </c>
      <c r="C1092" t="s">
        <v>72</v>
      </c>
      <c r="D1092" t="s">
        <v>22</v>
      </c>
      <c r="E1092" t="s">
        <v>73</v>
      </c>
      <c r="F1092" t="s">
        <v>24</v>
      </c>
      <c r="G1092" t="s">
        <v>25</v>
      </c>
      <c r="H1092" t="s">
        <v>25</v>
      </c>
      <c r="I1092" t="s">
        <v>25</v>
      </c>
      <c r="J1092">
        <v>4285</v>
      </c>
      <c r="K1092">
        <v>36</v>
      </c>
      <c r="L1092">
        <v>1</v>
      </c>
      <c r="M1092">
        <v>37</v>
      </c>
      <c r="N1092">
        <v>179</v>
      </c>
      <c r="O1092">
        <v>100</v>
      </c>
      <c r="P1092">
        <v>76</v>
      </c>
      <c r="Q1092">
        <v>28</v>
      </c>
      <c r="R1092">
        <v>19</v>
      </c>
      <c r="S1092">
        <v>7</v>
      </c>
      <c r="T1092">
        <v>2</v>
      </c>
      <c r="U1092">
        <v>4249</v>
      </c>
    </row>
    <row r="1093" spans="1:21" x14ac:dyDescent="0.25">
      <c r="A1093">
        <v>2025</v>
      </c>
      <c r="B1093">
        <v>6</v>
      </c>
      <c r="C1093" t="s">
        <v>72</v>
      </c>
      <c r="D1093" t="s">
        <v>22</v>
      </c>
      <c r="E1093" t="s">
        <v>73</v>
      </c>
      <c r="F1093" t="s">
        <v>29</v>
      </c>
      <c r="G1093" t="s">
        <v>25</v>
      </c>
      <c r="H1093" t="s">
        <v>25</v>
      </c>
      <c r="I1093" t="s">
        <v>25</v>
      </c>
      <c r="J1093">
        <v>1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</row>
    <row r="1094" spans="1:21" x14ac:dyDescent="0.25">
      <c r="A1094">
        <v>2025</v>
      </c>
      <c r="B1094">
        <v>6</v>
      </c>
      <c r="C1094" t="s">
        <v>72</v>
      </c>
      <c r="D1094" t="s">
        <v>22</v>
      </c>
      <c r="E1094" t="s">
        <v>35</v>
      </c>
      <c r="F1094" t="s">
        <v>24</v>
      </c>
      <c r="G1094" t="s">
        <v>25</v>
      </c>
      <c r="H1094" t="s">
        <v>26</v>
      </c>
      <c r="I1094" t="s">
        <v>26</v>
      </c>
      <c r="J1094">
        <v>43</v>
      </c>
      <c r="K1094">
        <v>0</v>
      </c>
      <c r="L1094">
        <v>0</v>
      </c>
      <c r="M1094">
        <v>0</v>
      </c>
      <c r="N1094">
        <v>18</v>
      </c>
      <c r="O1094">
        <v>15</v>
      </c>
      <c r="P1094">
        <v>11</v>
      </c>
      <c r="Q1094">
        <v>7</v>
      </c>
      <c r="R1094">
        <v>5</v>
      </c>
      <c r="S1094">
        <v>2</v>
      </c>
      <c r="T1094">
        <v>2</v>
      </c>
      <c r="U1094">
        <v>43</v>
      </c>
    </row>
    <row r="1095" spans="1:21" x14ac:dyDescent="0.25">
      <c r="A1095">
        <v>2025</v>
      </c>
      <c r="B1095">
        <v>6</v>
      </c>
      <c r="C1095" t="s">
        <v>72</v>
      </c>
      <c r="D1095" t="s">
        <v>22</v>
      </c>
      <c r="E1095" t="s">
        <v>74</v>
      </c>
      <c r="F1095" t="s">
        <v>28</v>
      </c>
      <c r="G1095" t="s">
        <v>25</v>
      </c>
      <c r="H1095" t="s">
        <v>25</v>
      </c>
      <c r="I1095" t="s">
        <v>25</v>
      </c>
      <c r="J1095">
        <v>4937</v>
      </c>
      <c r="K1095">
        <v>21</v>
      </c>
      <c r="L1095">
        <v>24</v>
      </c>
      <c r="M1095">
        <v>45</v>
      </c>
      <c r="N1095">
        <v>1011</v>
      </c>
      <c r="O1095">
        <v>575</v>
      </c>
      <c r="P1095">
        <v>476</v>
      </c>
      <c r="Q1095">
        <v>218</v>
      </c>
      <c r="R1095">
        <v>104</v>
      </c>
      <c r="S1095">
        <v>25</v>
      </c>
      <c r="T1095">
        <v>1</v>
      </c>
      <c r="U1095">
        <v>4898</v>
      </c>
    </row>
    <row r="1096" spans="1:21" x14ac:dyDescent="0.25">
      <c r="A1096">
        <v>2025</v>
      </c>
      <c r="B1096">
        <v>6</v>
      </c>
      <c r="C1096" t="s">
        <v>72</v>
      </c>
      <c r="D1096" t="s">
        <v>22</v>
      </c>
      <c r="E1096" t="s">
        <v>74</v>
      </c>
      <c r="F1096" t="s">
        <v>24</v>
      </c>
      <c r="G1096" t="s">
        <v>25</v>
      </c>
      <c r="H1096" t="s">
        <v>25</v>
      </c>
      <c r="I1096" t="s">
        <v>25</v>
      </c>
      <c r="J1096">
        <v>241</v>
      </c>
      <c r="K1096">
        <v>0</v>
      </c>
      <c r="L1096">
        <v>0</v>
      </c>
      <c r="M1096">
        <v>0</v>
      </c>
      <c r="N1096">
        <v>19</v>
      </c>
      <c r="O1096">
        <v>13</v>
      </c>
      <c r="P1096">
        <v>13</v>
      </c>
      <c r="Q1096">
        <v>9</v>
      </c>
      <c r="R1096">
        <v>5</v>
      </c>
      <c r="S1096">
        <v>2</v>
      </c>
      <c r="T1096">
        <v>1</v>
      </c>
      <c r="U1096">
        <v>241</v>
      </c>
    </row>
    <row r="1097" spans="1:21" x14ac:dyDescent="0.25">
      <c r="A1097">
        <v>2025</v>
      </c>
      <c r="B1097">
        <v>6</v>
      </c>
      <c r="C1097" t="s">
        <v>72</v>
      </c>
      <c r="D1097" t="s">
        <v>22</v>
      </c>
      <c r="E1097" t="s">
        <v>58</v>
      </c>
      <c r="F1097" t="s">
        <v>28</v>
      </c>
      <c r="G1097" t="s">
        <v>25</v>
      </c>
      <c r="H1097" t="s">
        <v>25</v>
      </c>
      <c r="I1097" t="s">
        <v>25</v>
      </c>
      <c r="J1097">
        <v>25827</v>
      </c>
      <c r="K1097">
        <v>45</v>
      </c>
      <c r="L1097">
        <v>224</v>
      </c>
      <c r="M1097">
        <v>269</v>
      </c>
      <c r="N1097">
        <v>4141</v>
      </c>
      <c r="O1097">
        <v>2252</v>
      </c>
      <c r="P1097">
        <v>1771</v>
      </c>
      <c r="Q1097">
        <v>778</v>
      </c>
      <c r="R1097">
        <v>397</v>
      </c>
      <c r="S1097">
        <v>80</v>
      </c>
      <c r="T1097">
        <v>5</v>
      </c>
      <c r="U1097">
        <v>25640</v>
      </c>
    </row>
    <row r="1098" spans="1:21" x14ac:dyDescent="0.25">
      <c r="A1098">
        <v>2025</v>
      </c>
      <c r="B1098">
        <v>6</v>
      </c>
      <c r="C1098" t="s">
        <v>72</v>
      </c>
      <c r="D1098" t="s">
        <v>22</v>
      </c>
      <c r="E1098" t="s">
        <v>58</v>
      </c>
      <c r="F1098" t="s">
        <v>24</v>
      </c>
      <c r="G1098" t="s">
        <v>25</v>
      </c>
      <c r="H1098" t="s">
        <v>25</v>
      </c>
      <c r="I1098" t="s">
        <v>25</v>
      </c>
      <c r="J1098">
        <v>2883</v>
      </c>
      <c r="K1098">
        <v>17</v>
      </c>
      <c r="L1098">
        <v>40</v>
      </c>
      <c r="M1098">
        <v>57</v>
      </c>
      <c r="N1098">
        <v>403</v>
      </c>
      <c r="O1098">
        <v>256</v>
      </c>
      <c r="P1098">
        <v>188</v>
      </c>
      <c r="Q1098">
        <v>91</v>
      </c>
      <c r="R1098">
        <v>38</v>
      </c>
      <c r="S1098">
        <v>11</v>
      </c>
      <c r="T1098">
        <v>0</v>
      </c>
      <c r="U1098">
        <v>2838</v>
      </c>
    </row>
    <row r="1099" spans="1:21" x14ac:dyDescent="0.25">
      <c r="A1099">
        <v>2025</v>
      </c>
      <c r="B1099">
        <v>6</v>
      </c>
      <c r="C1099" t="s">
        <v>72</v>
      </c>
      <c r="D1099" t="s">
        <v>22</v>
      </c>
      <c r="E1099" t="s">
        <v>58</v>
      </c>
      <c r="F1099" t="s">
        <v>29</v>
      </c>
      <c r="G1099" t="s">
        <v>25</v>
      </c>
      <c r="H1099" t="s">
        <v>25</v>
      </c>
      <c r="I1099" t="s">
        <v>25</v>
      </c>
      <c r="J1099">
        <v>2</v>
      </c>
      <c r="K1099">
        <v>1</v>
      </c>
      <c r="L1099">
        <v>0</v>
      </c>
      <c r="M1099">
        <v>1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</row>
    <row r="1100" spans="1:21" x14ac:dyDescent="0.25">
      <c r="A1100">
        <v>2025</v>
      </c>
      <c r="B1100">
        <v>6</v>
      </c>
      <c r="C1100" t="s">
        <v>72</v>
      </c>
      <c r="D1100" t="s">
        <v>22</v>
      </c>
      <c r="E1100" t="s">
        <v>27</v>
      </c>
      <c r="F1100" t="s">
        <v>24</v>
      </c>
      <c r="G1100" t="s">
        <v>26</v>
      </c>
      <c r="H1100" t="s">
        <v>26</v>
      </c>
      <c r="I1100" t="s">
        <v>25</v>
      </c>
      <c r="J1100">
        <v>113</v>
      </c>
      <c r="K1100">
        <v>2</v>
      </c>
      <c r="L1100">
        <v>0</v>
      </c>
      <c r="M1100">
        <v>2</v>
      </c>
      <c r="N1100">
        <v>74</v>
      </c>
      <c r="O1100">
        <v>35</v>
      </c>
      <c r="P1100">
        <v>35</v>
      </c>
      <c r="Q1100">
        <v>34</v>
      </c>
      <c r="R1100">
        <v>14</v>
      </c>
      <c r="S1100">
        <v>7</v>
      </c>
      <c r="T1100">
        <v>0</v>
      </c>
      <c r="U1100">
        <v>111</v>
      </c>
    </row>
    <row r="1101" spans="1:21" x14ac:dyDescent="0.25">
      <c r="A1101">
        <v>2025</v>
      </c>
      <c r="B1101">
        <v>6</v>
      </c>
      <c r="C1101" t="s">
        <v>72</v>
      </c>
      <c r="D1101" t="s">
        <v>22</v>
      </c>
      <c r="E1101" t="s">
        <v>27</v>
      </c>
      <c r="F1101" t="s">
        <v>29</v>
      </c>
      <c r="G1101" t="s">
        <v>26</v>
      </c>
      <c r="H1101" t="s">
        <v>26</v>
      </c>
      <c r="I1101" t="s">
        <v>25</v>
      </c>
      <c r="J1101">
        <v>23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</row>
    <row r="1102" spans="1:21" x14ac:dyDescent="0.25">
      <c r="A1102">
        <v>2025</v>
      </c>
      <c r="B1102">
        <v>6</v>
      </c>
      <c r="C1102" t="s">
        <v>75</v>
      </c>
      <c r="D1102" t="s">
        <v>22</v>
      </c>
      <c r="E1102" t="s">
        <v>23</v>
      </c>
      <c r="F1102" t="s">
        <v>24</v>
      </c>
      <c r="G1102" t="s">
        <v>25</v>
      </c>
      <c r="H1102" t="s">
        <v>26</v>
      </c>
      <c r="I1102" t="s">
        <v>25</v>
      </c>
      <c r="J1102">
        <v>1717</v>
      </c>
      <c r="K1102">
        <v>9</v>
      </c>
      <c r="L1102">
        <v>2</v>
      </c>
      <c r="M1102">
        <v>11</v>
      </c>
      <c r="N1102">
        <v>22</v>
      </c>
      <c r="O1102">
        <v>13</v>
      </c>
      <c r="P1102">
        <v>11</v>
      </c>
      <c r="Q1102">
        <v>3</v>
      </c>
      <c r="R1102">
        <v>0</v>
      </c>
      <c r="S1102">
        <v>0</v>
      </c>
      <c r="T1102">
        <v>0</v>
      </c>
      <c r="U1102">
        <v>1708</v>
      </c>
    </row>
    <row r="1103" spans="1:21" x14ac:dyDescent="0.25">
      <c r="A1103">
        <v>2025</v>
      </c>
      <c r="B1103">
        <v>6</v>
      </c>
      <c r="C1103" t="s">
        <v>75</v>
      </c>
      <c r="D1103" t="s">
        <v>22</v>
      </c>
      <c r="E1103" t="s">
        <v>39</v>
      </c>
      <c r="F1103" t="s">
        <v>24</v>
      </c>
      <c r="G1103" t="s">
        <v>26</v>
      </c>
      <c r="H1103" t="s">
        <v>26</v>
      </c>
      <c r="I1103" t="s">
        <v>25</v>
      </c>
      <c r="J1103">
        <v>678</v>
      </c>
      <c r="K1103">
        <v>13</v>
      </c>
      <c r="L1103">
        <v>7</v>
      </c>
      <c r="M1103">
        <v>20</v>
      </c>
      <c r="N1103">
        <v>286</v>
      </c>
      <c r="O1103">
        <v>219</v>
      </c>
      <c r="P1103">
        <v>213</v>
      </c>
      <c r="Q1103">
        <v>166</v>
      </c>
      <c r="R1103">
        <v>119</v>
      </c>
      <c r="S1103">
        <v>58</v>
      </c>
      <c r="T1103">
        <v>18</v>
      </c>
      <c r="U1103">
        <v>659</v>
      </c>
    </row>
    <row r="1104" spans="1:21" x14ac:dyDescent="0.25">
      <c r="A1104">
        <v>2025</v>
      </c>
      <c r="B1104">
        <v>6</v>
      </c>
      <c r="C1104" t="s">
        <v>75</v>
      </c>
      <c r="D1104" t="s">
        <v>22</v>
      </c>
      <c r="E1104" t="s">
        <v>39</v>
      </c>
      <c r="F1104" t="s">
        <v>29</v>
      </c>
      <c r="G1104" t="s">
        <v>26</v>
      </c>
      <c r="H1104" t="s">
        <v>26</v>
      </c>
      <c r="I1104" t="s">
        <v>25</v>
      </c>
      <c r="J1104">
        <v>2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</row>
    <row r="1105" spans="1:21" x14ac:dyDescent="0.25">
      <c r="A1105">
        <v>2025</v>
      </c>
      <c r="B1105">
        <v>6</v>
      </c>
      <c r="C1105" t="s">
        <v>75</v>
      </c>
      <c r="D1105" t="s">
        <v>22</v>
      </c>
      <c r="E1105" t="s">
        <v>77</v>
      </c>
      <c r="F1105" t="s">
        <v>28</v>
      </c>
      <c r="G1105" t="s">
        <v>25</v>
      </c>
      <c r="H1105" t="s">
        <v>26</v>
      </c>
      <c r="I1105" t="s">
        <v>25</v>
      </c>
      <c r="J1105">
        <v>2010</v>
      </c>
      <c r="K1105">
        <v>55</v>
      </c>
      <c r="L1105">
        <v>31</v>
      </c>
      <c r="M1105">
        <v>86</v>
      </c>
      <c r="N1105">
        <v>767</v>
      </c>
      <c r="O1105">
        <v>537</v>
      </c>
      <c r="P1105">
        <v>536</v>
      </c>
      <c r="Q1105">
        <v>406</v>
      </c>
      <c r="R1105">
        <v>349</v>
      </c>
      <c r="S1105">
        <v>218</v>
      </c>
      <c r="T1105">
        <v>90</v>
      </c>
      <c r="U1105">
        <v>1944</v>
      </c>
    </row>
    <row r="1106" spans="1:21" x14ac:dyDescent="0.25">
      <c r="A1106">
        <v>2025</v>
      </c>
      <c r="B1106">
        <v>6</v>
      </c>
      <c r="C1106" t="s">
        <v>75</v>
      </c>
      <c r="D1106" t="s">
        <v>22</v>
      </c>
      <c r="E1106" t="s">
        <v>77</v>
      </c>
      <c r="F1106" t="s">
        <v>29</v>
      </c>
      <c r="G1106" t="s">
        <v>25</v>
      </c>
      <c r="H1106" t="s">
        <v>26</v>
      </c>
      <c r="I1106" t="s">
        <v>25</v>
      </c>
      <c r="J1106">
        <v>30</v>
      </c>
      <c r="K1106">
        <v>1</v>
      </c>
      <c r="L1106">
        <v>0</v>
      </c>
      <c r="M1106">
        <v>1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</row>
    <row r="1107" spans="1:21" x14ac:dyDescent="0.25">
      <c r="A1107">
        <v>2025</v>
      </c>
      <c r="B1107">
        <v>6</v>
      </c>
      <c r="C1107" t="s">
        <v>75</v>
      </c>
      <c r="D1107" t="s">
        <v>22</v>
      </c>
      <c r="E1107" t="s">
        <v>78</v>
      </c>
      <c r="F1107" t="s">
        <v>28</v>
      </c>
      <c r="G1107" t="s">
        <v>25</v>
      </c>
      <c r="H1107" t="s">
        <v>26</v>
      </c>
      <c r="I1107" t="s">
        <v>26</v>
      </c>
      <c r="J1107">
        <v>134</v>
      </c>
      <c r="K1107">
        <v>1</v>
      </c>
      <c r="L1107">
        <v>4</v>
      </c>
      <c r="M1107">
        <v>5</v>
      </c>
      <c r="N1107">
        <v>54</v>
      </c>
      <c r="O1107">
        <v>34</v>
      </c>
      <c r="P1107">
        <v>34</v>
      </c>
      <c r="Q1107">
        <v>33</v>
      </c>
      <c r="R1107">
        <v>28</v>
      </c>
      <c r="S1107">
        <v>15</v>
      </c>
      <c r="T1107">
        <v>5</v>
      </c>
      <c r="U1107">
        <v>131</v>
      </c>
    </row>
    <row r="1108" spans="1:21" x14ac:dyDescent="0.25">
      <c r="A1108">
        <v>2025</v>
      </c>
      <c r="B1108">
        <v>6</v>
      </c>
      <c r="C1108" t="s">
        <v>75</v>
      </c>
      <c r="D1108" t="s">
        <v>22</v>
      </c>
      <c r="E1108" t="s">
        <v>78</v>
      </c>
      <c r="F1108" t="s">
        <v>29</v>
      </c>
      <c r="G1108" t="s">
        <v>25</v>
      </c>
      <c r="H1108" t="s">
        <v>26</v>
      </c>
      <c r="I1108" t="s">
        <v>26</v>
      </c>
      <c r="J1108">
        <v>65</v>
      </c>
      <c r="K1108">
        <v>1</v>
      </c>
      <c r="L1108">
        <v>0</v>
      </c>
      <c r="M1108">
        <v>1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</row>
    <row r="1109" spans="1:21" x14ac:dyDescent="0.25">
      <c r="A1109">
        <v>2025</v>
      </c>
      <c r="B1109">
        <v>6</v>
      </c>
      <c r="C1109" t="s">
        <v>75</v>
      </c>
      <c r="D1109" t="s">
        <v>22</v>
      </c>
      <c r="E1109" t="s">
        <v>70</v>
      </c>
      <c r="F1109" t="s">
        <v>28</v>
      </c>
      <c r="G1109" t="s">
        <v>26</v>
      </c>
      <c r="H1109" t="s">
        <v>26</v>
      </c>
      <c r="I1109" t="s">
        <v>25</v>
      </c>
      <c r="J1109">
        <v>2</v>
      </c>
      <c r="K1109">
        <v>0</v>
      </c>
      <c r="L1109">
        <v>0</v>
      </c>
      <c r="M1109">
        <v>0</v>
      </c>
      <c r="N1109">
        <v>1</v>
      </c>
      <c r="O1109">
        <v>1</v>
      </c>
      <c r="P1109">
        <v>1</v>
      </c>
      <c r="Q1109">
        <v>0</v>
      </c>
      <c r="R1109">
        <v>0</v>
      </c>
      <c r="S1109">
        <v>0</v>
      </c>
      <c r="T1109">
        <v>0</v>
      </c>
      <c r="U1109">
        <v>2</v>
      </c>
    </row>
    <row r="1110" spans="1:21" x14ac:dyDescent="0.25">
      <c r="A1110">
        <v>2025</v>
      </c>
      <c r="B1110">
        <v>6</v>
      </c>
      <c r="C1110" t="s">
        <v>75</v>
      </c>
      <c r="D1110" t="s">
        <v>22</v>
      </c>
      <c r="E1110" t="s">
        <v>70</v>
      </c>
      <c r="F1110" t="s">
        <v>24</v>
      </c>
      <c r="G1110" t="s">
        <v>26</v>
      </c>
      <c r="H1110" t="s">
        <v>26</v>
      </c>
      <c r="I1110" t="s">
        <v>25</v>
      </c>
      <c r="J1110">
        <v>1002</v>
      </c>
      <c r="K1110">
        <v>1</v>
      </c>
      <c r="L1110">
        <v>4</v>
      </c>
      <c r="M1110">
        <v>5</v>
      </c>
      <c r="N1110">
        <v>226</v>
      </c>
      <c r="O1110">
        <v>136</v>
      </c>
      <c r="P1110">
        <v>136</v>
      </c>
      <c r="Q1110">
        <v>104</v>
      </c>
      <c r="R1110">
        <v>78</v>
      </c>
      <c r="S1110">
        <v>36</v>
      </c>
      <c r="T1110">
        <v>13</v>
      </c>
      <c r="U1110">
        <v>1001</v>
      </c>
    </row>
    <row r="1111" spans="1:21" x14ac:dyDescent="0.25">
      <c r="A1111">
        <v>2025</v>
      </c>
      <c r="B1111">
        <v>6</v>
      </c>
      <c r="C1111" t="s">
        <v>75</v>
      </c>
      <c r="D1111" t="s">
        <v>22</v>
      </c>
      <c r="E1111" t="s">
        <v>70</v>
      </c>
      <c r="F1111" t="s">
        <v>29</v>
      </c>
      <c r="G1111" t="s">
        <v>26</v>
      </c>
      <c r="H1111" t="s">
        <v>26</v>
      </c>
      <c r="I1111" t="s">
        <v>25</v>
      </c>
      <c r="J1111">
        <v>22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</row>
    <row r="1112" spans="1:21" x14ac:dyDescent="0.25">
      <c r="A1112">
        <v>2025</v>
      </c>
      <c r="B1112">
        <v>6</v>
      </c>
      <c r="C1112" t="s">
        <v>75</v>
      </c>
      <c r="D1112" t="s">
        <v>22</v>
      </c>
      <c r="E1112" t="s">
        <v>35</v>
      </c>
      <c r="F1112" t="s">
        <v>24</v>
      </c>
      <c r="G1112" t="s">
        <v>25</v>
      </c>
      <c r="H1112" t="s">
        <v>26</v>
      </c>
      <c r="I1112" t="s">
        <v>26</v>
      </c>
      <c r="J1112">
        <v>52</v>
      </c>
      <c r="K1112">
        <v>0</v>
      </c>
      <c r="L1112">
        <v>2</v>
      </c>
      <c r="M1112">
        <v>2</v>
      </c>
      <c r="N1112">
        <v>14</v>
      </c>
      <c r="O1112">
        <v>14</v>
      </c>
      <c r="P1112">
        <v>12</v>
      </c>
      <c r="Q1112">
        <v>12</v>
      </c>
      <c r="R1112">
        <v>12</v>
      </c>
      <c r="S1112">
        <v>8</v>
      </c>
      <c r="T1112">
        <v>6</v>
      </c>
      <c r="U1112">
        <v>50</v>
      </c>
    </row>
    <row r="1113" spans="1:21" x14ac:dyDescent="0.25">
      <c r="A1113">
        <v>2025</v>
      </c>
      <c r="B1113">
        <v>6</v>
      </c>
      <c r="C1113" t="s">
        <v>75</v>
      </c>
      <c r="D1113" t="s">
        <v>22</v>
      </c>
      <c r="E1113" t="s">
        <v>42</v>
      </c>
      <c r="F1113" t="s">
        <v>24</v>
      </c>
      <c r="G1113" t="s">
        <v>26</v>
      </c>
      <c r="H1113" t="s">
        <v>26</v>
      </c>
      <c r="I1113" t="s">
        <v>25</v>
      </c>
      <c r="J1113">
        <v>43</v>
      </c>
      <c r="K1113">
        <v>0</v>
      </c>
      <c r="L1113">
        <v>0</v>
      </c>
      <c r="M1113">
        <v>0</v>
      </c>
      <c r="N1113">
        <v>25</v>
      </c>
      <c r="O1113">
        <v>17</v>
      </c>
      <c r="P1113">
        <v>15</v>
      </c>
      <c r="Q1113">
        <v>13</v>
      </c>
      <c r="R1113">
        <v>8</v>
      </c>
      <c r="S1113">
        <v>5</v>
      </c>
      <c r="T1113">
        <v>2</v>
      </c>
      <c r="U1113">
        <v>43</v>
      </c>
    </row>
    <row r="1114" spans="1:21" x14ac:dyDescent="0.25">
      <c r="A1114">
        <v>2025</v>
      </c>
      <c r="B1114">
        <v>6</v>
      </c>
      <c r="C1114" t="s">
        <v>75</v>
      </c>
      <c r="D1114" t="s">
        <v>22</v>
      </c>
      <c r="E1114" t="s">
        <v>27</v>
      </c>
      <c r="F1114" t="s">
        <v>28</v>
      </c>
      <c r="G1114" t="s">
        <v>26</v>
      </c>
      <c r="H1114" t="s">
        <v>26</v>
      </c>
      <c r="I1114" t="s">
        <v>25</v>
      </c>
      <c r="J1114">
        <v>13210</v>
      </c>
      <c r="K1114">
        <v>19</v>
      </c>
      <c r="L1114">
        <v>110</v>
      </c>
      <c r="M1114">
        <v>129</v>
      </c>
      <c r="N1114">
        <v>3869</v>
      </c>
      <c r="O1114">
        <v>2369</v>
      </c>
      <c r="P1114">
        <v>2369</v>
      </c>
      <c r="Q1114">
        <v>1705</v>
      </c>
      <c r="R1114">
        <v>1325</v>
      </c>
      <c r="S1114">
        <v>663</v>
      </c>
      <c r="T1114">
        <v>213</v>
      </c>
      <c r="U1114">
        <v>13165</v>
      </c>
    </row>
    <row r="1115" spans="1:21" x14ac:dyDescent="0.25">
      <c r="A1115">
        <v>2025</v>
      </c>
      <c r="B1115">
        <v>6</v>
      </c>
      <c r="C1115" t="s">
        <v>75</v>
      </c>
      <c r="D1115" t="s">
        <v>22</v>
      </c>
      <c r="E1115" t="s">
        <v>27</v>
      </c>
      <c r="F1115" t="s">
        <v>24</v>
      </c>
      <c r="G1115" t="s">
        <v>26</v>
      </c>
      <c r="H1115" t="s">
        <v>26</v>
      </c>
      <c r="I1115" t="s">
        <v>25</v>
      </c>
      <c r="J1115">
        <v>961</v>
      </c>
      <c r="K1115">
        <v>9</v>
      </c>
      <c r="L1115">
        <v>5</v>
      </c>
      <c r="M1115">
        <v>14</v>
      </c>
      <c r="N1115">
        <v>443</v>
      </c>
      <c r="O1115">
        <v>265</v>
      </c>
      <c r="P1115">
        <v>265</v>
      </c>
      <c r="Q1115">
        <v>199</v>
      </c>
      <c r="R1115">
        <v>139</v>
      </c>
      <c r="S1115">
        <v>60</v>
      </c>
      <c r="T1115">
        <v>17</v>
      </c>
      <c r="U1115">
        <v>949</v>
      </c>
    </row>
    <row r="1116" spans="1:21" x14ac:dyDescent="0.25">
      <c r="A1116">
        <v>2025</v>
      </c>
      <c r="B1116">
        <v>6</v>
      </c>
      <c r="C1116" t="s">
        <v>75</v>
      </c>
      <c r="D1116" t="s">
        <v>22</v>
      </c>
      <c r="E1116" t="s">
        <v>27</v>
      </c>
      <c r="F1116" t="s">
        <v>29</v>
      </c>
      <c r="G1116" t="s">
        <v>26</v>
      </c>
      <c r="H1116" t="s">
        <v>26</v>
      </c>
      <c r="I1116" t="s">
        <v>25</v>
      </c>
      <c r="J1116">
        <v>1008</v>
      </c>
      <c r="K1116">
        <v>1</v>
      </c>
      <c r="L1116">
        <v>0</v>
      </c>
      <c r="M1116">
        <v>1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</row>
    <row r="1117" spans="1:21" x14ac:dyDescent="0.25">
      <c r="A1117">
        <v>2025</v>
      </c>
      <c r="B1117">
        <v>6</v>
      </c>
      <c r="C1117" t="s">
        <v>79</v>
      </c>
      <c r="D1117" t="s">
        <v>22</v>
      </c>
      <c r="E1117" t="s">
        <v>31</v>
      </c>
      <c r="F1117" t="s">
        <v>24</v>
      </c>
      <c r="G1117" t="s">
        <v>25</v>
      </c>
      <c r="H1117" t="s">
        <v>25</v>
      </c>
      <c r="I1117" t="s">
        <v>25</v>
      </c>
      <c r="J1117">
        <v>690</v>
      </c>
      <c r="K1117">
        <v>0</v>
      </c>
      <c r="L1117">
        <v>0</v>
      </c>
      <c r="M1117">
        <v>0</v>
      </c>
      <c r="N1117">
        <v>17</v>
      </c>
      <c r="O1117">
        <v>12</v>
      </c>
      <c r="P1117">
        <v>10</v>
      </c>
      <c r="Q1117">
        <v>6</v>
      </c>
      <c r="R1117">
        <v>5</v>
      </c>
      <c r="S1117">
        <v>2</v>
      </c>
      <c r="T1117">
        <v>0</v>
      </c>
      <c r="U1117">
        <v>690</v>
      </c>
    </row>
    <row r="1118" spans="1:21" x14ac:dyDescent="0.25">
      <c r="A1118">
        <v>2025</v>
      </c>
      <c r="B1118">
        <v>6</v>
      </c>
      <c r="C1118" t="s">
        <v>79</v>
      </c>
      <c r="D1118" t="s">
        <v>22</v>
      </c>
      <c r="E1118" t="s">
        <v>34</v>
      </c>
      <c r="F1118" t="s">
        <v>24</v>
      </c>
      <c r="G1118" t="s">
        <v>25</v>
      </c>
      <c r="H1118" t="s">
        <v>26</v>
      </c>
      <c r="I1118" t="s">
        <v>26</v>
      </c>
      <c r="J1118">
        <v>151</v>
      </c>
      <c r="K1118">
        <v>3</v>
      </c>
      <c r="L1118">
        <v>0</v>
      </c>
      <c r="M1118">
        <v>3</v>
      </c>
      <c r="N1118">
        <v>20</v>
      </c>
      <c r="O1118">
        <v>15</v>
      </c>
      <c r="P1118">
        <v>14</v>
      </c>
      <c r="Q1118">
        <v>12</v>
      </c>
      <c r="R1118">
        <v>7</v>
      </c>
      <c r="S1118">
        <v>4</v>
      </c>
      <c r="T1118">
        <v>1</v>
      </c>
      <c r="U1118">
        <v>148</v>
      </c>
    </row>
    <row r="1119" spans="1:21" x14ac:dyDescent="0.25">
      <c r="A1119">
        <v>2025</v>
      </c>
      <c r="B1119">
        <v>6</v>
      </c>
      <c r="C1119" t="s">
        <v>79</v>
      </c>
      <c r="D1119" t="s">
        <v>22</v>
      </c>
      <c r="E1119" t="s">
        <v>23</v>
      </c>
      <c r="F1119" t="s">
        <v>24</v>
      </c>
      <c r="G1119" t="s">
        <v>25</v>
      </c>
      <c r="H1119" t="s">
        <v>25</v>
      </c>
      <c r="I1119" t="s">
        <v>25</v>
      </c>
      <c r="J1119">
        <v>60</v>
      </c>
      <c r="K1119">
        <v>0</v>
      </c>
      <c r="L1119">
        <v>0</v>
      </c>
      <c r="M1119">
        <v>0</v>
      </c>
      <c r="N1119">
        <v>10</v>
      </c>
      <c r="O1119">
        <v>9</v>
      </c>
      <c r="P1119">
        <v>9</v>
      </c>
      <c r="Q1119">
        <v>7</v>
      </c>
      <c r="R1119">
        <v>5</v>
      </c>
      <c r="S1119">
        <v>3</v>
      </c>
      <c r="T1119">
        <v>1</v>
      </c>
      <c r="U1119">
        <v>60</v>
      </c>
    </row>
    <row r="1120" spans="1:21" x14ac:dyDescent="0.25">
      <c r="A1120">
        <v>2025</v>
      </c>
      <c r="B1120">
        <v>6</v>
      </c>
      <c r="C1120" t="s">
        <v>80</v>
      </c>
      <c r="D1120" t="s">
        <v>22</v>
      </c>
      <c r="E1120" t="s">
        <v>31</v>
      </c>
      <c r="F1120" t="s">
        <v>24</v>
      </c>
      <c r="G1120" t="s">
        <v>25</v>
      </c>
      <c r="H1120" t="s">
        <v>25</v>
      </c>
      <c r="I1120" t="s">
        <v>25</v>
      </c>
      <c r="J1120">
        <v>120</v>
      </c>
      <c r="K1120">
        <v>0</v>
      </c>
      <c r="L1120">
        <v>0</v>
      </c>
      <c r="M1120">
        <v>0</v>
      </c>
      <c r="N1120">
        <v>17</v>
      </c>
      <c r="O1120">
        <v>14</v>
      </c>
      <c r="P1120">
        <v>10</v>
      </c>
      <c r="Q1120">
        <v>8</v>
      </c>
      <c r="R1120">
        <v>5</v>
      </c>
      <c r="S1120">
        <v>1</v>
      </c>
      <c r="T1120">
        <v>1</v>
      </c>
      <c r="U1120">
        <v>120</v>
      </c>
    </row>
    <row r="1121" spans="1:21" x14ac:dyDescent="0.25">
      <c r="A1121">
        <v>2025</v>
      </c>
      <c r="B1121">
        <v>6</v>
      </c>
      <c r="C1121" t="s">
        <v>80</v>
      </c>
      <c r="D1121" t="s">
        <v>22</v>
      </c>
      <c r="E1121" t="s">
        <v>32</v>
      </c>
      <c r="F1121" t="s">
        <v>28</v>
      </c>
      <c r="G1121" t="s">
        <v>25</v>
      </c>
      <c r="H1121" t="s">
        <v>25</v>
      </c>
      <c r="I1121" t="s">
        <v>25</v>
      </c>
      <c r="J1121">
        <v>42</v>
      </c>
      <c r="K1121">
        <v>0</v>
      </c>
      <c r="L1121">
        <v>1</v>
      </c>
      <c r="M1121">
        <v>1</v>
      </c>
      <c r="N1121">
        <v>33</v>
      </c>
      <c r="O1121">
        <v>28</v>
      </c>
      <c r="P1121">
        <v>24</v>
      </c>
      <c r="Q1121">
        <v>19</v>
      </c>
      <c r="R1121">
        <v>13</v>
      </c>
      <c r="S1121">
        <v>4</v>
      </c>
      <c r="T1121">
        <v>3</v>
      </c>
      <c r="U1121">
        <v>42</v>
      </c>
    </row>
    <row r="1122" spans="1:21" x14ac:dyDescent="0.25">
      <c r="A1122">
        <v>2025</v>
      </c>
      <c r="B1122">
        <v>6</v>
      </c>
      <c r="C1122" t="s">
        <v>80</v>
      </c>
      <c r="D1122" t="s">
        <v>22</v>
      </c>
      <c r="E1122" t="s">
        <v>32</v>
      </c>
      <c r="F1122" t="s">
        <v>24</v>
      </c>
      <c r="G1122" t="s">
        <v>25</v>
      </c>
      <c r="H1122" t="s">
        <v>25</v>
      </c>
      <c r="I1122" t="s">
        <v>25</v>
      </c>
      <c r="J1122">
        <v>1260</v>
      </c>
      <c r="K1122">
        <v>2</v>
      </c>
      <c r="L1122">
        <v>17</v>
      </c>
      <c r="M1122">
        <v>19</v>
      </c>
      <c r="N1122">
        <v>467</v>
      </c>
      <c r="O1122">
        <v>395</v>
      </c>
      <c r="P1122">
        <v>352</v>
      </c>
      <c r="Q1122">
        <v>241</v>
      </c>
      <c r="R1122">
        <v>175</v>
      </c>
      <c r="S1122">
        <v>80</v>
      </c>
      <c r="T1122">
        <v>26</v>
      </c>
      <c r="U1122">
        <v>1243</v>
      </c>
    </row>
    <row r="1123" spans="1:21" x14ac:dyDescent="0.25">
      <c r="A1123">
        <v>2025</v>
      </c>
      <c r="B1123">
        <v>6</v>
      </c>
      <c r="C1123" t="s">
        <v>80</v>
      </c>
      <c r="D1123" t="s">
        <v>22</v>
      </c>
      <c r="E1123" t="s">
        <v>38</v>
      </c>
      <c r="F1123" t="s">
        <v>24</v>
      </c>
      <c r="G1123" t="s">
        <v>25</v>
      </c>
      <c r="H1123" t="s">
        <v>26</v>
      </c>
      <c r="I1123" t="s">
        <v>25</v>
      </c>
      <c r="J1123">
        <v>1</v>
      </c>
      <c r="K1123">
        <v>0</v>
      </c>
      <c r="L1123">
        <v>0</v>
      </c>
      <c r="M1123">
        <v>0</v>
      </c>
      <c r="N1123">
        <v>1</v>
      </c>
      <c r="O1123">
        <v>1</v>
      </c>
      <c r="P1123">
        <v>1</v>
      </c>
      <c r="Q1123">
        <v>1</v>
      </c>
      <c r="R1123">
        <v>0</v>
      </c>
      <c r="S1123">
        <v>0</v>
      </c>
      <c r="T1123">
        <v>0</v>
      </c>
      <c r="U1123">
        <v>1</v>
      </c>
    </row>
    <row r="1124" spans="1:21" x14ac:dyDescent="0.25">
      <c r="A1124">
        <v>2025</v>
      </c>
      <c r="B1124">
        <v>6</v>
      </c>
      <c r="C1124" t="s">
        <v>80</v>
      </c>
      <c r="D1124" t="s">
        <v>22</v>
      </c>
      <c r="E1124" t="s">
        <v>34</v>
      </c>
      <c r="F1124" t="s">
        <v>28</v>
      </c>
      <c r="G1124" t="s">
        <v>25</v>
      </c>
      <c r="H1124" t="s">
        <v>26</v>
      </c>
      <c r="I1124" t="s">
        <v>26</v>
      </c>
      <c r="J1124">
        <v>1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1</v>
      </c>
    </row>
    <row r="1125" spans="1:21" x14ac:dyDescent="0.25">
      <c r="A1125">
        <v>2025</v>
      </c>
      <c r="B1125">
        <v>6</v>
      </c>
      <c r="C1125" t="s">
        <v>80</v>
      </c>
      <c r="D1125" t="s">
        <v>22</v>
      </c>
      <c r="E1125" t="s">
        <v>34</v>
      </c>
      <c r="F1125" t="s">
        <v>24</v>
      </c>
      <c r="G1125" t="s">
        <v>25</v>
      </c>
      <c r="H1125" t="s">
        <v>26</v>
      </c>
      <c r="I1125" t="s">
        <v>26</v>
      </c>
      <c r="J1125">
        <v>30</v>
      </c>
      <c r="K1125">
        <v>0</v>
      </c>
      <c r="L1125">
        <v>0</v>
      </c>
      <c r="M1125">
        <v>0</v>
      </c>
      <c r="N1125">
        <v>1</v>
      </c>
      <c r="O1125">
        <v>1</v>
      </c>
      <c r="P1125">
        <v>1</v>
      </c>
      <c r="Q1125">
        <v>1</v>
      </c>
      <c r="R1125">
        <v>1</v>
      </c>
      <c r="S1125">
        <v>1</v>
      </c>
      <c r="T1125">
        <v>0</v>
      </c>
      <c r="U1125">
        <v>30</v>
      </c>
    </row>
    <row r="1126" spans="1:21" x14ac:dyDescent="0.25">
      <c r="A1126">
        <v>2025</v>
      </c>
      <c r="B1126">
        <v>6</v>
      </c>
      <c r="C1126" t="s">
        <v>80</v>
      </c>
      <c r="D1126" t="s">
        <v>22</v>
      </c>
      <c r="E1126" t="s">
        <v>76</v>
      </c>
      <c r="F1126" t="s">
        <v>28</v>
      </c>
      <c r="G1126" t="s">
        <v>25</v>
      </c>
      <c r="H1126" t="s">
        <v>26</v>
      </c>
      <c r="I1126" t="s">
        <v>25</v>
      </c>
      <c r="J1126">
        <v>39</v>
      </c>
      <c r="K1126">
        <v>0</v>
      </c>
      <c r="L1126">
        <v>4</v>
      </c>
      <c r="M1126">
        <v>4</v>
      </c>
      <c r="N1126">
        <v>18</v>
      </c>
      <c r="O1126">
        <v>17</v>
      </c>
      <c r="P1126">
        <v>17</v>
      </c>
      <c r="Q1126">
        <v>14</v>
      </c>
      <c r="R1126">
        <v>10</v>
      </c>
      <c r="S1126">
        <v>2</v>
      </c>
      <c r="T1126">
        <v>0</v>
      </c>
      <c r="U1126">
        <v>36</v>
      </c>
    </row>
    <row r="1127" spans="1:21" x14ac:dyDescent="0.25">
      <c r="A1127">
        <v>2025</v>
      </c>
      <c r="B1127">
        <v>6</v>
      </c>
      <c r="C1127" t="s">
        <v>80</v>
      </c>
      <c r="D1127" t="s">
        <v>22</v>
      </c>
      <c r="E1127" t="s">
        <v>76</v>
      </c>
      <c r="F1127" t="s">
        <v>29</v>
      </c>
      <c r="G1127" t="s">
        <v>25</v>
      </c>
      <c r="H1127" t="s">
        <v>26</v>
      </c>
      <c r="I1127" t="s">
        <v>25</v>
      </c>
      <c r="J1127">
        <v>1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</row>
    <row r="1128" spans="1:21" x14ac:dyDescent="0.25">
      <c r="A1128">
        <v>2025</v>
      </c>
      <c r="B1128">
        <v>6</v>
      </c>
      <c r="C1128" t="s">
        <v>80</v>
      </c>
      <c r="D1128" t="s">
        <v>22</v>
      </c>
      <c r="E1128" t="s">
        <v>81</v>
      </c>
      <c r="F1128" t="s">
        <v>28</v>
      </c>
      <c r="G1128" t="s">
        <v>25</v>
      </c>
      <c r="H1128" t="s">
        <v>26</v>
      </c>
      <c r="I1128" t="s">
        <v>25</v>
      </c>
      <c r="J1128">
        <v>507</v>
      </c>
      <c r="K1128">
        <v>0</v>
      </c>
      <c r="L1128">
        <v>16</v>
      </c>
      <c r="M1128">
        <v>16</v>
      </c>
      <c r="N1128">
        <v>332</v>
      </c>
      <c r="O1128">
        <v>289</v>
      </c>
      <c r="P1128">
        <v>267</v>
      </c>
      <c r="Q1128">
        <v>198</v>
      </c>
      <c r="R1128">
        <v>155</v>
      </c>
      <c r="S1128">
        <v>68</v>
      </c>
      <c r="T1128">
        <v>33</v>
      </c>
      <c r="U1128">
        <v>491</v>
      </c>
    </row>
    <row r="1129" spans="1:21" x14ac:dyDescent="0.25">
      <c r="A1129">
        <v>2025</v>
      </c>
      <c r="B1129">
        <v>6</v>
      </c>
      <c r="C1129" t="s">
        <v>80</v>
      </c>
      <c r="D1129" t="s">
        <v>22</v>
      </c>
      <c r="E1129" t="s">
        <v>82</v>
      </c>
      <c r="F1129" t="s">
        <v>28</v>
      </c>
      <c r="G1129" t="s">
        <v>25</v>
      </c>
      <c r="H1129" t="s">
        <v>26</v>
      </c>
      <c r="I1129" t="s">
        <v>25</v>
      </c>
      <c r="J1129">
        <v>281</v>
      </c>
      <c r="K1129">
        <v>0</v>
      </c>
      <c r="L1129">
        <v>8</v>
      </c>
      <c r="M1129">
        <v>8</v>
      </c>
      <c r="N1129">
        <v>181</v>
      </c>
      <c r="O1129">
        <v>159</v>
      </c>
      <c r="P1129">
        <v>152</v>
      </c>
      <c r="Q1129">
        <v>113</v>
      </c>
      <c r="R1129">
        <v>82</v>
      </c>
      <c r="S1129">
        <v>50</v>
      </c>
      <c r="T1129">
        <v>19</v>
      </c>
      <c r="U1129">
        <v>273</v>
      </c>
    </row>
    <row r="1130" spans="1:21" x14ac:dyDescent="0.25">
      <c r="A1130">
        <v>2025</v>
      </c>
      <c r="B1130">
        <v>6</v>
      </c>
      <c r="C1130" t="s">
        <v>80</v>
      </c>
      <c r="D1130" t="s">
        <v>22</v>
      </c>
      <c r="E1130" t="s">
        <v>83</v>
      </c>
      <c r="F1130" t="s">
        <v>28</v>
      </c>
      <c r="G1130" t="s">
        <v>26</v>
      </c>
      <c r="H1130" t="s">
        <v>26</v>
      </c>
      <c r="I1130" t="s">
        <v>25</v>
      </c>
      <c r="J1130">
        <v>6768</v>
      </c>
      <c r="K1130">
        <v>0</v>
      </c>
      <c r="L1130">
        <v>180</v>
      </c>
      <c r="M1130">
        <v>180</v>
      </c>
      <c r="N1130">
        <v>3461</v>
      </c>
      <c r="O1130">
        <v>2862</v>
      </c>
      <c r="P1130">
        <v>2654</v>
      </c>
      <c r="Q1130">
        <v>2053</v>
      </c>
      <c r="R1130">
        <v>1578</v>
      </c>
      <c r="S1130">
        <v>899</v>
      </c>
      <c r="T1130">
        <v>353</v>
      </c>
      <c r="U1130">
        <v>6627</v>
      </c>
    </row>
    <row r="1131" spans="1:21" x14ac:dyDescent="0.25">
      <c r="A1131">
        <v>2025</v>
      </c>
      <c r="B1131">
        <v>6</v>
      </c>
      <c r="C1131" t="s">
        <v>80</v>
      </c>
      <c r="D1131" t="s">
        <v>22</v>
      </c>
      <c r="E1131" t="s">
        <v>23</v>
      </c>
      <c r="F1131" t="s">
        <v>28</v>
      </c>
      <c r="G1131" t="s">
        <v>25</v>
      </c>
      <c r="H1131" t="s">
        <v>26</v>
      </c>
      <c r="I1131" t="s">
        <v>25</v>
      </c>
      <c r="J1131">
        <v>3068</v>
      </c>
      <c r="K1131">
        <v>0</v>
      </c>
      <c r="L1131">
        <v>78</v>
      </c>
      <c r="M1131">
        <v>78</v>
      </c>
      <c r="N1131">
        <v>1533</v>
      </c>
      <c r="O1131">
        <v>1298</v>
      </c>
      <c r="P1131">
        <v>1202</v>
      </c>
      <c r="Q1131">
        <v>893</v>
      </c>
      <c r="R1131">
        <v>655</v>
      </c>
      <c r="S1131">
        <v>357</v>
      </c>
      <c r="T1131">
        <v>138</v>
      </c>
      <c r="U1131">
        <v>3016</v>
      </c>
    </row>
    <row r="1132" spans="1:21" x14ac:dyDescent="0.25">
      <c r="A1132">
        <v>2025</v>
      </c>
      <c r="B1132">
        <v>6</v>
      </c>
      <c r="C1132" t="s">
        <v>80</v>
      </c>
      <c r="D1132" t="s">
        <v>22</v>
      </c>
      <c r="E1132" t="s">
        <v>23</v>
      </c>
      <c r="F1132" t="s">
        <v>24</v>
      </c>
      <c r="G1132" t="s">
        <v>25</v>
      </c>
      <c r="H1132" t="s">
        <v>26</v>
      </c>
      <c r="I1132" t="s">
        <v>25</v>
      </c>
      <c r="J1132">
        <v>1</v>
      </c>
      <c r="K1132">
        <v>0</v>
      </c>
      <c r="L1132">
        <v>0</v>
      </c>
      <c r="M1132">
        <v>0</v>
      </c>
      <c r="N1132">
        <v>1</v>
      </c>
      <c r="O1132">
        <v>1</v>
      </c>
      <c r="P1132">
        <v>1</v>
      </c>
      <c r="Q1132">
        <v>1</v>
      </c>
      <c r="R1132">
        <v>1</v>
      </c>
      <c r="S1132">
        <v>1</v>
      </c>
      <c r="T1132">
        <v>1</v>
      </c>
      <c r="U1132">
        <v>1</v>
      </c>
    </row>
    <row r="1133" spans="1:21" x14ac:dyDescent="0.25">
      <c r="A1133">
        <v>2025</v>
      </c>
      <c r="B1133">
        <v>6</v>
      </c>
      <c r="C1133" t="s">
        <v>80</v>
      </c>
      <c r="D1133" t="s">
        <v>22</v>
      </c>
      <c r="E1133" t="s">
        <v>84</v>
      </c>
      <c r="F1133" t="s">
        <v>28</v>
      </c>
      <c r="G1133" t="s">
        <v>25</v>
      </c>
      <c r="H1133" t="s">
        <v>26</v>
      </c>
      <c r="I1133" t="s">
        <v>26</v>
      </c>
      <c r="J1133">
        <v>607</v>
      </c>
      <c r="K1133">
        <v>0</v>
      </c>
      <c r="L1133">
        <v>0</v>
      </c>
      <c r="M1133">
        <v>0</v>
      </c>
      <c r="N1133">
        <v>178</v>
      </c>
      <c r="O1133">
        <v>151</v>
      </c>
      <c r="P1133">
        <v>145</v>
      </c>
      <c r="Q1133">
        <v>117</v>
      </c>
      <c r="R1133">
        <v>98</v>
      </c>
      <c r="S1133">
        <v>62</v>
      </c>
      <c r="T1133">
        <v>28</v>
      </c>
      <c r="U1133">
        <v>607</v>
      </c>
    </row>
    <row r="1134" spans="1:21" x14ac:dyDescent="0.25">
      <c r="A1134">
        <v>2025</v>
      </c>
      <c r="B1134">
        <v>6</v>
      </c>
      <c r="C1134" t="s">
        <v>80</v>
      </c>
      <c r="D1134" t="s">
        <v>22</v>
      </c>
      <c r="E1134" t="s">
        <v>40</v>
      </c>
      <c r="F1134" t="s">
        <v>28</v>
      </c>
      <c r="G1134" t="s">
        <v>25</v>
      </c>
      <c r="H1134" t="s">
        <v>26</v>
      </c>
      <c r="I1134" t="s">
        <v>25</v>
      </c>
      <c r="J1134">
        <v>9</v>
      </c>
      <c r="K1134">
        <v>0</v>
      </c>
      <c r="L1134">
        <v>2</v>
      </c>
      <c r="M1134">
        <v>2</v>
      </c>
      <c r="N1134">
        <v>5</v>
      </c>
      <c r="O1134">
        <v>4</v>
      </c>
      <c r="P1134">
        <v>4</v>
      </c>
      <c r="Q1134">
        <v>4</v>
      </c>
      <c r="R1134">
        <v>4</v>
      </c>
      <c r="S1134">
        <v>3</v>
      </c>
      <c r="T1134">
        <v>2</v>
      </c>
      <c r="U1134">
        <v>8</v>
      </c>
    </row>
    <row r="1135" spans="1:21" x14ac:dyDescent="0.25">
      <c r="A1135">
        <v>2025</v>
      </c>
      <c r="B1135">
        <v>6</v>
      </c>
      <c r="C1135" t="s">
        <v>80</v>
      </c>
      <c r="D1135" t="s">
        <v>22</v>
      </c>
      <c r="E1135" t="s">
        <v>40</v>
      </c>
      <c r="F1135" t="s">
        <v>24</v>
      </c>
      <c r="G1135" t="s">
        <v>25</v>
      </c>
      <c r="H1135" t="s">
        <v>26</v>
      </c>
      <c r="I1135" t="s">
        <v>25</v>
      </c>
      <c r="J1135">
        <v>52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52</v>
      </c>
    </row>
    <row r="1136" spans="1:21" x14ac:dyDescent="0.25">
      <c r="A1136">
        <v>2025</v>
      </c>
      <c r="B1136">
        <v>6</v>
      </c>
      <c r="C1136" t="s">
        <v>80</v>
      </c>
      <c r="D1136" t="s">
        <v>22</v>
      </c>
      <c r="E1136" t="s">
        <v>85</v>
      </c>
      <c r="F1136" t="s">
        <v>28</v>
      </c>
      <c r="G1136" t="s">
        <v>25</v>
      </c>
      <c r="H1136" t="s">
        <v>25</v>
      </c>
      <c r="I1136" t="s">
        <v>25</v>
      </c>
      <c r="J1136">
        <v>6666</v>
      </c>
      <c r="K1136">
        <v>0</v>
      </c>
      <c r="L1136">
        <v>246</v>
      </c>
      <c r="M1136">
        <v>246</v>
      </c>
      <c r="N1136">
        <v>506</v>
      </c>
      <c r="O1136">
        <v>237</v>
      </c>
      <c r="P1136">
        <v>184</v>
      </c>
      <c r="Q1136">
        <v>91</v>
      </c>
      <c r="R1136">
        <v>47</v>
      </c>
      <c r="S1136">
        <v>16</v>
      </c>
      <c r="T1136">
        <v>3</v>
      </c>
      <c r="U1136">
        <v>6460</v>
      </c>
    </row>
    <row r="1137" spans="1:21" x14ac:dyDescent="0.25">
      <c r="A1137">
        <v>2025</v>
      </c>
      <c r="B1137">
        <v>6</v>
      </c>
      <c r="C1137" t="s">
        <v>80</v>
      </c>
      <c r="D1137" t="s">
        <v>22</v>
      </c>
      <c r="E1137" t="s">
        <v>86</v>
      </c>
      <c r="F1137" t="s">
        <v>28</v>
      </c>
      <c r="G1137" t="s">
        <v>25</v>
      </c>
      <c r="H1137" t="s">
        <v>25</v>
      </c>
      <c r="I1137" t="s">
        <v>25</v>
      </c>
      <c r="J1137">
        <v>9</v>
      </c>
      <c r="K1137">
        <v>0</v>
      </c>
      <c r="L1137">
        <v>0</v>
      </c>
      <c r="M1137">
        <v>0</v>
      </c>
      <c r="N1137">
        <v>5</v>
      </c>
      <c r="O1137">
        <v>4</v>
      </c>
      <c r="P1137">
        <v>4</v>
      </c>
      <c r="Q1137">
        <v>3</v>
      </c>
      <c r="R1137">
        <v>2</v>
      </c>
      <c r="S1137">
        <v>2</v>
      </c>
      <c r="T1137">
        <v>1</v>
      </c>
      <c r="U1137">
        <v>9</v>
      </c>
    </row>
    <row r="1138" spans="1:21" x14ac:dyDescent="0.25">
      <c r="A1138">
        <v>2025</v>
      </c>
      <c r="B1138">
        <v>6</v>
      </c>
      <c r="C1138" t="s">
        <v>80</v>
      </c>
      <c r="D1138" t="s">
        <v>22</v>
      </c>
      <c r="E1138" t="s">
        <v>35</v>
      </c>
      <c r="F1138" t="s">
        <v>28</v>
      </c>
      <c r="G1138" t="s">
        <v>25</v>
      </c>
      <c r="H1138" t="s">
        <v>26</v>
      </c>
      <c r="I1138" t="s">
        <v>26</v>
      </c>
      <c r="J1138">
        <v>1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1</v>
      </c>
    </row>
    <row r="1139" spans="1:21" x14ac:dyDescent="0.25">
      <c r="A1139">
        <v>2025</v>
      </c>
      <c r="B1139">
        <v>6</v>
      </c>
      <c r="C1139" t="s">
        <v>80</v>
      </c>
      <c r="D1139" t="s">
        <v>22</v>
      </c>
      <c r="E1139" t="s">
        <v>35</v>
      </c>
      <c r="F1139" t="s">
        <v>24</v>
      </c>
      <c r="G1139" t="s">
        <v>25</v>
      </c>
      <c r="H1139" t="s">
        <v>26</v>
      </c>
      <c r="I1139" t="s">
        <v>26</v>
      </c>
      <c r="J1139">
        <v>210</v>
      </c>
      <c r="K1139">
        <v>1</v>
      </c>
      <c r="L1139">
        <v>2</v>
      </c>
      <c r="M1139">
        <v>3</v>
      </c>
      <c r="N1139">
        <v>61</v>
      </c>
      <c r="O1139">
        <v>52</v>
      </c>
      <c r="P1139">
        <v>50</v>
      </c>
      <c r="Q1139">
        <v>38</v>
      </c>
      <c r="R1139">
        <v>31</v>
      </c>
      <c r="S1139">
        <v>17</v>
      </c>
      <c r="T1139">
        <v>8</v>
      </c>
      <c r="U1139">
        <v>208</v>
      </c>
    </row>
    <row r="1140" spans="1:21" x14ac:dyDescent="0.25">
      <c r="A1140">
        <v>2025</v>
      </c>
      <c r="B1140">
        <v>6</v>
      </c>
      <c r="C1140" t="s">
        <v>80</v>
      </c>
      <c r="D1140" t="s">
        <v>22</v>
      </c>
      <c r="E1140" t="s">
        <v>87</v>
      </c>
      <c r="F1140" t="s">
        <v>28</v>
      </c>
      <c r="G1140" t="s">
        <v>25</v>
      </c>
      <c r="H1140" t="s">
        <v>25</v>
      </c>
      <c r="I1140" t="s">
        <v>25</v>
      </c>
      <c r="J1140">
        <v>216599</v>
      </c>
      <c r="K1140">
        <v>190</v>
      </c>
      <c r="L1140">
        <v>8739</v>
      </c>
      <c r="M1140">
        <v>8929</v>
      </c>
      <c r="N1140">
        <v>42648</v>
      </c>
      <c r="O1140">
        <v>24776</v>
      </c>
      <c r="P1140">
        <v>19910</v>
      </c>
      <c r="Q1140">
        <v>10605</v>
      </c>
      <c r="R1140">
        <v>6348</v>
      </c>
      <c r="S1140">
        <v>2140</v>
      </c>
      <c r="T1140">
        <v>420</v>
      </c>
      <c r="U1140">
        <v>208992</v>
      </c>
    </row>
    <row r="1141" spans="1:21" x14ac:dyDescent="0.25">
      <c r="A1141">
        <v>2025</v>
      </c>
      <c r="B1141">
        <v>6</v>
      </c>
      <c r="C1141" t="s">
        <v>80</v>
      </c>
      <c r="D1141" t="s">
        <v>22</v>
      </c>
      <c r="E1141" t="s">
        <v>87</v>
      </c>
      <c r="F1141" t="s">
        <v>24</v>
      </c>
      <c r="G1141" t="s">
        <v>25</v>
      </c>
      <c r="H1141" t="s">
        <v>25</v>
      </c>
      <c r="I1141" t="s">
        <v>25</v>
      </c>
      <c r="J1141">
        <v>5434</v>
      </c>
      <c r="K1141">
        <v>290</v>
      </c>
      <c r="L1141">
        <v>132</v>
      </c>
      <c r="M1141">
        <v>422</v>
      </c>
      <c r="N1141">
        <v>1191</v>
      </c>
      <c r="O1141">
        <v>745</v>
      </c>
      <c r="P1141">
        <v>623</v>
      </c>
      <c r="Q1141">
        <v>328</v>
      </c>
      <c r="R1141">
        <v>201</v>
      </c>
      <c r="S1141">
        <v>61</v>
      </c>
      <c r="T1141">
        <v>8</v>
      </c>
      <c r="U1141">
        <v>5026</v>
      </c>
    </row>
    <row r="1142" spans="1:21" x14ac:dyDescent="0.25">
      <c r="A1142">
        <v>2025</v>
      </c>
      <c r="B1142">
        <v>6</v>
      </c>
      <c r="C1142" t="s">
        <v>80</v>
      </c>
      <c r="D1142" t="s">
        <v>22</v>
      </c>
      <c r="E1142" t="s">
        <v>87</v>
      </c>
      <c r="F1142" t="s">
        <v>29</v>
      </c>
      <c r="G1142" t="s">
        <v>25</v>
      </c>
      <c r="H1142" t="s">
        <v>25</v>
      </c>
      <c r="I1142" t="s">
        <v>25</v>
      </c>
      <c r="J1142">
        <v>3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</row>
    <row r="1143" spans="1:21" x14ac:dyDescent="0.25">
      <c r="A1143">
        <v>2025</v>
      </c>
      <c r="B1143">
        <v>6</v>
      </c>
      <c r="C1143" t="s">
        <v>80</v>
      </c>
      <c r="D1143" t="s">
        <v>22</v>
      </c>
      <c r="E1143" t="s">
        <v>36</v>
      </c>
      <c r="F1143" t="s">
        <v>24</v>
      </c>
      <c r="G1143" t="s">
        <v>25</v>
      </c>
      <c r="H1143" t="s">
        <v>26</v>
      </c>
      <c r="I1143" t="s">
        <v>25</v>
      </c>
      <c r="J1143">
        <v>151</v>
      </c>
      <c r="K1143">
        <v>0</v>
      </c>
      <c r="L1143">
        <v>5</v>
      </c>
      <c r="M1143">
        <v>5</v>
      </c>
      <c r="N1143">
        <v>33</v>
      </c>
      <c r="O1143">
        <v>29</v>
      </c>
      <c r="P1143">
        <v>26</v>
      </c>
      <c r="Q1143">
        <v>21</v>
      </c>
      <c r="R1143">
        <v>17</v>
      </c>
      <c r="S1143">
        <v>15</v>
      </c>
      <c r="T1143">
        <v>5</v>
      </c>
      <c r="U1143">
        <v>148</v>
      </c>
    </row>
    <row r="1144" spans="1:21" x14ac:dyDescent="0.25">
      <c r="A1144">
        <v>2025</v>
      </c>
      <c r="B1144">
        <v>6</v>
      </c>
      <c r="C1144" t="s">
        <v>80</v>
      </c>
      <c r="D1144" t="s">
        <v>22</v>
      </c>
      <c r="E1144" t="s">
        <v>41</v>
      </c>
      <c r="F1144" t="s">
        <v>24</v>
      </c>
      <c r="G1144" t="s">
        <v>26</v>
      </c>
      <c r="H1144" t="s">
        <v>26</v>
      </c>
      <c r="I1144" t="s">
        <v>25</v>
      </c>
      <c r="J1144">
        <v>3</v>
      </c>
      <c r="K1144">
        <v>0</v>
      </c>
      <c r="L1144">
        <v>0</v>
      </c>
      <c r="M1144">
        <v>0</v>
      </c>
      <c r="N1144">
        <v>1</v>
      </c>
      <c r="O1144">
        <v>1</v>
      </c>
      <c r="P1144">
        <v>1</v>
      </c>
      <c r="Q1144">
        <v>1</v>
      </c>
      <c r="R1144">
        <v>0</v>
      </c>
      <c r="S1144">
        <v>0</v>
      </c>
      <c r="T1144">
        <v>0</v>
      </c>
      <c r="U1144">
        <v>3</v>
      </c>
    </row>
    <row r="1145" spans="1:21" x14ac:dyDescent="0.25">
      <c r="A1145">
        <v>2025</v>
      </c>
      <c r="B1145">
        <v>6</v>
      </c>
      <c r="C1145" t="s">
        <v>88</v>
      </c>
      <c r="D1145" t="s">
        <v>45</v>
      </c>
      <c r="E1145" t="s">
        <v>83</v>
      </c>
      <c r="F1145" t="s">
        <v>28</v>
      </c>
      <c r="G1145" t="s">
        <v>26</v>
      </c>
      <c r="H1145" t="s">
        <v>26</v>
      </c>
      <c r="I1145" t="s">
        <v>25</v>
      </c>
      <c r="J1145">
        <v>354</v>
      </c>
      <c r="K1145">
        <v>0</v>
      </c>
      <c r="L1145">
        <v>0</v>
      </c>
      <c r="M1145">
        <v>0</v>
      </c>
      <c r="N1145">
        <v>101</v>
      </c>
      <c r="O1145">
        <v>73</v>
      </c>
      <c r="P1145">
        <v>68</v>
      </c>
      <c r="Q1145">
        <v>43</v>
      </c>
      <c r="R1145">
        <v>34</v>
      </c>
      <c r="S1145">
        <v>9</v>
      </c>
      <c r="T1145">
        <v>5</v>
      </c>
      <c r="U1145">
        <v>354</v>
      </c>
    </row>
    <row r="1146" spans="1:21" x14ac:dyDescent="0.25">
      <c r="A1146">
        <v>2025</v>
      </c>
      <c r="B1146">
        <v>6</v>
      </c>
      <c r="C1146" t="s">
        <v>88</v>
      </c>
      <c r="D1146" t="s">
        <v>45</v>
      </c>
      <c r="E1146" t="s">
        <v>83</v>
      </c>
      <c r="F1146" t="s">
        <v>24</v>
      </c>
      <c r="G1146" t="s">
        <v>26</v>
      </c>
      <c r="H1146" t="s">
        <v>26</v>
      </c>
      <c r="I1146" t="s">
        <v>25</v>
      </c>
      <c r="J1146">
        <v>117</v>
      </c>
      <c r="K1146">
        <v>0</v>
      </c>
      <c r="L1146">
        <v>1</v>
      </c>
      <c r="M1146">
        <v>1</v>
      </c>
      <c r="N1146">
        <v>46</v>
      </c>
      <c r="O1146">
        <v>32</v>
      </c>
      <c r="P1146">
        <v>27</v>
      </c>
      <c r="Q1146">
        <v>20</v>
      </c>
      <c r="R1146">
        <v>14</v>
      </c>
      <c r="S1146">
        <v>7</v>
      </c>
      <c r="T1146">
        <v>1</v>
      </c>
      <c r="U1146">
        <v>117</v>
      </c>
    </row>
    <row r="1147" spans="1:21" x14ac:dyDescent="0.25">
      <c r="A1147">
        <v>2025</v>
      </c>
      <c r="B1147">
        <v>6</v>
      </c>
      <c r="C1147" t="s">
        <v>89</v>
      </c>
      <c r="D1147" t="s">
        <v>22</v>
      </c>
      <c r="E1147" t="s">
        <v>91</v>
      </c>
      <c r="F1147" t="s">
        <v>28</v>
      </c>
      <c r="G1147" t="s">
        <v>25</v>
      </c>
      <c r="H1147" t="s">
        <v>25</v>
      </c>
      <c r="I1147" t="s">
        <v>25</v>
      </c>
      <c r="J1147">
        <v>3775</v>
      </c>
      <c r="K1147">
        <v>1</v>
      </c>
      <c r="L1147">
        <v>0</v>
      </c>
      <c r="M1147">
        <v>1</v>
      </c>
      <c r="N1147">
        <v>23</v>
      </c>
      <c r="O1147">
        <v>22</v>
      </c>
      <c r="P1147">
        <v>21</v>
      </c>
      <c r="Q1147">
        <v>16</v>
      </c>
      <c r="R1147">
        <v>15</v>
      </c>
      <c r="S1147">
        <v>13</v>
      </c>
      <c r="T1147">
        <v>8</v>
      </c>
      <c r="U1147">
        <v>3774</v>
      </c>
    </row>
    <row r="1148" spans="1:21" x14ac:dyDescent="0.25">
      <c r="A1148">
        <v>2025</v>
      </c>
      <c r="B1148">
        <v>6</v>
      </c>
      <c r="C1148" t="s">
        <v>89</v>
      </c>
      <c r="D1148" t="s">
        <v>22</v>
      </c>
      <c r="E1148" t="s">
        <v>91</v>
      </c>
      <c r="F1148" t="s">
        <v>24</v>
      </c>
      <c r="G1148" t="s">
        <v>25</v>
      </c>
      <c r="H1148" t="s">
        <v>25</v>
      </c>
      <c r="I1148" t="s">
        <v>25</v>
      </c>
      <c r="J1148">
        <v>1272</v>
      </c>
      <c r="K1148">
        <v>0</v>
      </c>
      <c r="L1148">
        <v>0</v>
      </c>
      <c r="M1148">
        <v>0</v>
      </c>
      <c r="N1148">
        <v>6</v>
      </c>
      <c r="O1148">
        <v>5</v>
      </c>
      <c r="P1148">
        <v>5</v>
      </c>
      <c r="Q1148">
        <v>5</v>
      </c>
      <c r="R1148">
        <v>4</v>
      </c>
      <c r="S1148">
        <v>2</v>
      </c>
      <c r="T1148">
        <v>0</v>
      </c>
      <c r="U1148">
        <v>1272</v>
      </c>
    </row>
    <row r="1149" spans="1:21" x14ac:dyDescent="0.25">
      <c r="A1149">
        <v>2025</v>
      </c>
      <c r="B1149">
        <v>6</v>
      </c>
      <c r="C1149" t="s">
        <v>89</v>
      </c>
      <c r="D1149" t="s">
        <v>22</v>
      </c>
      <c r="E1149" t="s">
        <v>92</v>
      </c>
      <c r="F1149" t="s">
        <v>28</v>
      </c>
      <c r="G1149" t="s">
        <v>25</v>
      </c>
      <c r="H1149" t="s">
        <v>25</v>
      </c>
      <c r="I1149" t="s">
        <v>25</v>
      </c>
      <c r="J1149">
        <v>2160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2160</v>
      </c>
    </row>
    <row r="1150" spans="1:21" x14ac:dyDescent="0.25">
      <c r="A1150">
        <v>2025</v>
      </c>
      <c r="B1150">
        <v>6</v>
      </c>
      <c r="C1150" t="s">
        <v>89</v>
      </c>
      <c r="D1150" t="s">
        <v>22</v>
      </c>
      <c r="E1150" t="s">
        <v>31</v>
      </c>
      <c r="F1150" t="s">
        <v>24</v>
      </c>
      <c r="G1150" t="s">
        <v>25</v>
      </c>
      <c r="H1150" t="s">
        <v>25</v>
      </c>
      <c r="I1150" t="s">
        <v>25</v>
      </c>
      <c r="J1150">
        <v>265</v>
      </c>
      <c r="K1150">
        <v>0</v>
      </c>
      <c r="L1150">
        <v>0</v>
      </c>
      <c r="M1150">
        <v>0</v>
      </c>
      <c r="N1150">
        <v>59</v>
      </c>
      <c r="O1150">
        <v>50</v>
      </c>
      <c r="P1150">
        <v>47</v>
      </c>
      <c r="Q1150">
        <v>40</v>
      </c>
      <c r="R1150">
        <v>38</v>
      </c>
      <c r="S1150">
        <v>16</v>
      </c>
      <c r="T1150">
        <v>9</v>
      </c>
      <c r="U1150">
        <v>265</v>
      </c>
    </row>
    <row r="1151" spans="1:21" x14ac:dyDescent="0.25">
      <c r="A1151">
        <v>2025</v>
      </c>
      <c r="B1151">
        <v>6</v>
      </c>
      <c r="C1151" t="s">
        <v>89</v>
      </c>
      <c r="D1151" t="s">
        <v>22</v>
      </c>
      <c r="E1151" t="s">
        <v>105</v>
      </c>
      <c r="F1151" t="s">
        <v>28</v>
      </c>
      <c r="G1151" t="s">
        <v>25</v>
      </c>
      <c r="H1151" t="s">
        <v>25</v>
      </c>
      <c r="I1151" t="s">
        <v>25</v>
      </c>
      <c r="J1151">
        <v>2</v>
      </c>
      <c r="K1151">
        <v>0</v>
      </c>
      <c r="L1151">
        <v>0</v>
      </c>
      <c r="M1151">
        <v>0</v>
      </c>
      <c r="N1151">
        <v>1</v>
      </c>
      <c r="O1151">
        <v>1</v>
      </c>
      <c r="P1151">
        <v>1</v>
      </c>
      <c r="Q1151">
        <v>0</v>
      </c>
      <c r="R1151">
        <v>0</v>
      </c>
      <c r="S1151">
        <v>0</v>
      </c>
      <c r="T1151">
        <v>0</v>
      </c>
      <c r="U1151">
        <v>2</v>
      </c>
    </row>
    <row r="1152" spans="1:21" x14ac:dyDescent="0.25">
      <c r="A1152">
        <v>2025</v>
      </c>
      <c r="B1152">
        <v>6</v>
      </c>
      <c r="C1152" t="s">
        <v>89</v>
      </c>
      <c r="D1152" t="s">
        <v>22</v>
      </c>
      <c r="E1152" t="s">
        <v>93</v>
      </c>
      <c r="F1152" t="s">
        <v>28</v>
      </c>
      <c r="G1152" t="s">
        <v>25</v>
      </c>
      <c r="H1152" t="s">
        <v>25</v>
      </c>
      <c r="I1152" t="s">
        <v>25</v>
      </c>
      <c r="J1152">
        <v>1</v>
      </c>
      <c r="K1152">
        <v>0</v>
      </c>
      <c r="L1152">
        <v>0</v>
      </c>
      <c r="M1152">
        <v>0</v>
      </c>
      <c r="N1152">
        <v>1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1</v>
      </c>
    </row>
    <row r="1153" spans="1:21" x14ac:dyDescent="0.25">
      <c r="A1153">
        <v>2025</v>
      </c>
      <c r="B1153">
        <v>6</v>
      </c>
      <c r="C1153" t="s">
        <v>89</v>
      </c>
      <c r="D1153" t="s">
        <v>22</v>
      </c>
      <c r="E1153" t="s">
        <v>95</v>
      </c>
      <c r="F1153" t="s">
        <v>28</v>
      </c>
      <c r="G1153" t="s">
        <v>25</v>
      </c>
      <c r="H1153" t="s">
        <v>25</v>
      </c>
      <c r="I1153" t="s">
        <v>25</v>
      </c>
      <c r="J1153">
        <v>60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60</v>
      </c>
    </row>
    <row r="1154" spans="1:21" x14ac:dyDescent="0.25">
      <c r="A1154">
        <v>2025</v>
      </c>
      <c r="B1154">
        <v>6</v>
      </c>
      <c r="C1154" t="s">
        <v>89</v>
      </c>
      <c r="D1154" t="s">
        <v>22</v>
      </c>
      <c r="E1154" t="s">
        <v>95</v>
      </c>
      <c r="F1154" t="s">
        <v>24</v>
      </c>
      <c r="G1154" t="s">
        <v>25</v>
      </c>
      <c r="H1154" t="s">
        <v>25</v>
      </c>
      <c r="I1154" t="s">
        <v>25</v>
      </c>
      <c r="J1154">
        <v>90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90</v>
      </c>
    </row>
    <row r="1155" spans="1:21" x14ac:dyDescent="0.25">
      <c r="A1155">
        <v>2025</v>
      </c>
      <c r="B1155">
        <v>6</v>
      </c>
      <c r="C1155" t="s">
        <v>89</v>
      </c>
      <c r="D1155" t="s">
        <v>22</v>
      </c>
      <c r="E1155" t="s">
        <v>23</v>
      </c>
      <c r="F1155" t="s">
        <v>24</v>
      </c>
      <c r="G1155" t="s">
        <v>25</v>
      </c>
      <c r="H1155" t="s">
        <v>25</v>
      </c>
      <c r="I1155" t="s">
        <v>25</v>
      </c>
      <c r="J1155">
        <v>44</v>
      </c>
      <c r="K1155">
        <v>0</v>
      </c>
      <c r="L1155">
        <v>0</v>
      </c>
      <c r="M1155">
        <v>0</v>
      </c>
      <c r="N1155">
        <v>2</v>
      </c>
      <c r="O1155">
        <v>2</v>
      </c>
      <c r="P1155">
        <v>2</v>
      </c>
      <c r="Q1155">
        <v>1</v>
      </c>
      <c r="R1155">
        <v>1</v>
      </c>
      <c r="S1155">
        <v>0</v>
      </c>
      <c r="T1155">
        <v>0</v>
      </c>
      <c r="U1155">
        <v>44</v>
      </c>
    </row>
    <row r="1156" spans="1:21" x14ac:dyDescent="0.25">
      <c r="A1156">
        <v>2025</v>
      </c>
      <c r="B1156">
        <v>6</v>
      </c>
      <c r="C1156" t="s">
        <v>89</v>
      </c>
      <c r="D1156" t="s">
        <v>22</v>
      </c>
      <c r="E1156" t="s">
        <v>23</v>
      </c>
      <c r="F1156" t="s">
        <v>29</v>
      </c>
      <c r="G1156" t="s">
        <v>25</v>
      </c>
      <c r="H1156" t="s">
        <v>25</v>
      </c>
      <c r="I1156" t="s">
        <v>25</v>
      </c>
      <c r="J1156">
        <v>1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</row>
    <row r="1157" spans="1:21" x14ac:dyDescent="0.25">
      <c r="A1157">
        <v>2025</v>
      </c>
      <c r="B1157">
        <v>6</v>
      </c>
      <c r="C1157" t="s">
        <v>89</v>
      </c>
      <c r="D1157" t="s">
        <v>22</v>
      </c>
      <c r="E1157" t="s">
        <v>103</v>
      </c>
      <c r="F1157" t="s">
        <v>24</v>
      </c>
      <c r="G1157" t="s">
        <v>25</v>
      </c>
      <c r="H1157" t="s">
        <v>25</v>
      </c>
      <c r="I1157" t="s">
        <v>25</v>
      </c>
      <c r="J1157">
        <v>4</v>
      </c>
      <c r="K1157">
        <v>0</v>
      </c>
      <c r="L1157">
        <v>0</v>
      </c>
      <c r="M1157">
        <v>0</v>
      </c>
      <c r="N1157">
        <v>2</v>
      </c>
      <c r="O1157">
        <v>2</v>
      </c>
      <c r="P1157">
        <v>2</v>
      </c>
      <c r="Q1157">
        <v>2</v>
      </c>
      <c r="R1157">
        <v>2</v>
      </c>
      <c r="S1157">
        <v>1</v>
      </c>
      <c r="T1157">
        <v>0</v>
      </c>
      <c r="U1157">
        <v>4</v>
      </c>
    </row>
    <row r="1158" spans="1:21" x14ac:dyDescent="0.25">
      <c r="A1158">
        <v>2025</v>
      </c>
      <c r="B1158">
        <v>6</v>
      </c>
      <c r="C1158" t="s">
        <v>89</v>
      </c>
      <c r="D1158" t="s">
        <v>22</v>
      </c>
      <c r="E1158" t="s">
        <v>107</v>
      </c>
      <c r="F1158" t="s">
        <v>28</v>
      </c>
      <c r="G1158" t="s">
        <v>25</v>
      </c>
      <c r="H1158" t="s">
        <v>25</v>
      </c>
      <c r="I1158" t="s">
        <v>25</v>
      </c>
      <c r="J1158">
        <v>17</v>
      </c>
      <c r="K1158">
        <v>0</v>
      </c>
      <c r="L1158">
        <v>0</v>
      </c>
      <c r="M1158">
        <v>0</v>
      </c>
      <c r="N1158">
        <v>11</v>
      </c>
      <c r="O1158">
        <v>10</v>
      </c>
      <c r="P1158">
        <v>10</v>
      </c>
      <c r="Q1158">
        <v>7</v>
      </c>
      <c r="R1158">
        <v>7</v>
      </c>
      <c r="S1158">
        <v>4</v>
      </c>
      <c r="T1158">
        <v>1</v>
      </c>
      <c r="U1158">
        <v>17</v>
      </c>
    </row>
    <row r="1159" spans="1:21" x14ac:dyDescent="0.25">
      <c r="A1159">
        <v>2025</v>
      </c>
      <c r="B1159">
        <v>6</v>
      </c>
      <c r="C1159" t="s">
        <v>89</v>
      </c>
      <c r="D1159" t="s">
        <v>22</v>
      </c>
      <c r="E1159" t="s">
        <v>97</v>
      </c>
      <c r="F1159" t="s">
        <v>28</v>
      </c>
      <c r="G1159" t="s">
        <v>25</v>
      </c>
      <c r="H1159" t="s">
        <v>25</v>
      </c>
      <c r="I1159" t="s">
        <v>25</v>
      </c>
      <c r="J1159">
        <v>10</v>
      </c>
      <c r="K1159">
        <v>1</v>
      </c>
      <c r="L1159">
        <v>2</v>
      </c>
      <c r="M1159">
        <v>3</v>
      </c>
      <c r="N1159">
        <v>4</v>
      </c>
      <c r="O1159">
        <v>4</v>
      </c>
      <c r="P1159">
        <v>4</v>
      </c>
      <c r="Q1159">
        <v>3</v>
      </c>
      <c r="R1159">
        <v>2</v>
      </c>
      <c r="S1159">
        <v>1</v>
      </c>
      <c r="T1159">
        <v>0</v>
      </c>
      <c r="U1159">
        <v>9</v>
      </c>
    </row>
    <row r="1160" spans="1:21" x14ac:dyDescent="0.25">
      <c r="A1160">
        <v>2025</v>
      </c>
      <c r="B1160">
        <v>6</v>
      </c>
      <c r="C1160" t="s">
        <v>89</v>
      </c>
      <c r="D1160" t="s">
        <v>22</v>
      </c>
      <c r="E1160" t="s">
        <v>97</v>
      </c>
      <c r="F1160" t="s">
        <v>24</v>
      </c>
      <c r="G1160" t="s">
        <v>25</v>
      </c>
      <c r="H1160" t="s">
        <v>25</v>
      </c>
      <c r="I1160" t="s">
        <v>25</v>
      </c>
      <c r="J1160">
        <v>24</v>
      </c>
      <c r="K1160">
        <v>2</v>
      </c>
      <c r="L1160">
        <v>0</v>
      </c>
      <c r="M1160">
        <v>2</v>
      </c>
      <c r="N1160">
        <v>15</v>
      </c>
      <c r="O1160">
        <v>15</v>
      </c>
      <c r="P1160">
        <v>15</v>
      </c>
      <c r="Q1160">
        <v>15</v>
      </c>
      <c r="R1160">
        <v>14</v>
      </c>
      <c r="S1160">
        <v>10</v>
      </c>
      <c r="T1160">
        <v>4</v>
      </c>
      <c r="U1160">
        <v>22</v>
      </c>
    </row>
    <row r="1161" spans="1:21" x14ac:dyDescent="0.25">
      <c r="A1161">
        <v>2025</v>
      </c>
      <c r="B1161">
        <v>6</v>
      </c>
      <c r="C1161" t="s">
        <v>89</v>
      </c>
      <c r="D1161" t="s">
        <v>22</v>
      </c>
      <c r="F1161" t="s">
        <v>28</v>
      </c>
      <c r="G1161" t="s">
        <v>25</v>
      </c>
      <c r="H1161" t="s">
        <v>25</v>
      </c>
      <c r="I1161" t="s">
        <v>25</v>
      </c>
      <c r="J1161">
        <v>57</v>
      </c>
      <c r="K1161">
        <v>0</v>
      </c>
      <c r="L1161">
        <v>6</v>
      </c>
      <c r="M1161">
        <v>6</v>
      </c>
      <c r="N1161">
        <v>17</v>
      </c>
      <c r="O1161">
        <v>12</v>
      </c>
      <c r="P1161">
        <v>11</v>
      </c>
      <c r="Q1161">
        <v>8</v>
      </c>
      <c r="R1161">
        <v>5</v>
      </c>
      <c r="S1161">
        <v>4</v>
      </c>
      <c r="T1161">
        <v>3</v>
      </c>
      <c r="U1161">
        <v>51</v>
      </c>
    </row>
    <row r="1162" spans="1:21" x14ac:dyDescent="0.25">
      <c r="A1162">
        <v>2025</v>
      </c>
      <c r="B1162">
        <v>6</v>
      </c>
      <c r="C1162" t="s">
        <v>98</v>
      </c>
      <c r="D1162" t="s">
        <v>22</v>
      </c>
      <c r="E1162" t="s">
        <v>31</v>
      </c>
      <c r="F1162" t="s">
        <v>24</v>
      </c>
      <c r="G1162" t="s">
        <v>25</v>
      </c>
      <c r="H1162" t="s">
        <v>25</v>
      </c>
      <c r="I1162" t="s">
        <v>25</v>
      </c>
      <c r="J1162">
        <v>60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60</v>
      </c>
    </row>
    <row r="1163" spans="1:21" x14ac:dyDescent="0.25">
      <c r="A1163">
        <v>2025</v>
      </c>
      <c r="B1163">
        <v>6</v>
      </c>
      <c r="C1163" t="s">
        <v>98</v>
      </c>
      <c r="D1163" t="s">
        <v>22</v>
      </c>
      <c r="E1163" t="s">
        <v>32</v>
      </c>
      <c r="F1163" t="s">
        <v>24</v>
      </c>
      <c r="G1163" t="s">
        <v>25</v>
      </c>
      <c r="H1163" t="s">
        <v>25</v>
      </c>
      <c r="I1163" t="s">
        <v>25</v>
      </c>
      <c r="J1163">
        <v>6</v>
      </c>
      <c r="K1163">
        <v>1</v>
      </c>
      <c r="L1163">
        <v>0</v>
      </c>
      <c r="M1163">
        <v>1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5</v>
      </c>
    </row>
    <row r="1164" spans="1:21" x14ac:dyDescent="0.25">
      <c r="A1164">
        <v>2025</v>
      </c>
      <c r="B1164">
        <v>6</v>
      </c>
      <c r="C1164" t="s">
        <v>99</v>
      </c>
      <c r="D1164" t="s">
        <v>45</v>
      </c>
      <c r="E1164" t="s">
        <v>100</v>
      </c>
      <c r="F1164" t="s">
        <v>28</v>
      </c>
      <c r="G1164" t="s">
        <v>25</v>
      </c>
      <c r="H1164" t="s">
        <v>26</v>
      </c>
      <c r="I1164" t="s">
        <v>25</v>
      </c>
      <c r="J1164">
        <v>1400</v>
      </c>
      <c r="K1164">
        <v>0</v>
      </c>
      <c r="L1164">
        <v>0</v>
      </c>
      <c r="M1164">
        <v>0</v>
      </c>
      <c r="N1164">
        <v>36</v>
      </c>
      <c r="O1164">
        <v>26</v>
      </c>
      <c r="P1164">
        <v>25</v>
      </c>
      <c r="Q1164">
        <v>9</v>
      </c>
      <c r="R1164">
        <v>6</v>
      </c>
      <c r="S1164">
        <v>4</v>
      </c>
      <c r="T1164">
        <v>2</v>
      </c>
      <c r="U1164">
        <v>1400</v>
      </c>
    </row>
    <row r="1165" spans="1:21" x14ac:dyDescent="0.25">
      <c r="A1165">
        <v>2025</v>
      </c>
      <c r="B1165">
        <v>6</v>
      </c>
      <c r="C1165" t="s">
        <v>99</v>
      </c>
      <c r="D1165" t="s">
        <v>45</v>
      </c>
      <c r="E1165" t="s">
        <v>100</v>
      </c>
      <c r="F1165" t="s">
        <v>24</v>
      </c>
      <c r="G1165" t="s">
        <v>25</v>
      </c>
      <c r="H1165" t="s">
        <v>26</v>
      </c>
      <c r="I1165" t="s">
        <v>25</v>
      </c>
      <c r="J1165">
        <v>360</v>
      </c>
      <c r="K1165">
        <v>0</v>
      </c>
      <c r="L1165">
        <v>3</v>
      </c>
      <c r="M1165">
        <v>3</v>
      </c>
      <c r="N1165">
        <v>183</v>
      </c>
      <c r="O1165">
        <v>127</v>
      </c>
      <c r="P1165">
        <v>109</v>
      </c>
      <c r="Q1165">
        <v>75</v>
      </c>
      <c r="R1165">
        <v>43</v>
      </c>
      <c r="S1165">
        <v>17</v>
      </c>
      <c r="T1165">
        <v>9</v>
      </c>
      <c r="U1165">
        <v>359</v>
      </c>
    </row>
    <row r="1166" spans="1:21" x14ac:dyDescent="0.25">
      <c r="A1166">
        <v>2025</v>
      </c>
      <c r="B1166">
        <v>6</v>
      </c>
      <c r="C1166" t="s">
        <v>101</v>
      </c>
      <c r="D1166" t="s">
        <v>22</v>
      </c>
      <c r="E1166" t="s">
        <v>32</v>
      </c>
      <c r="F1166" t="s">
        <v>24</v>
      </c>
      <c r="G1166" t="s">
        <v>25</v>
      </c>
      <c r="H1166" t="s">
        <v>25</v>
      </c>
      <c r="I1166" t="s">
        <v>25</v>
      </c>
      <c r="J1166">
        <v>56</v>
      </c>
      <c r="K1166">
        <v>0</v>
      </c>
      <c r="L1166">
        <v>0</v>
      </c>
      <c r="M1166">
        <v>0</v>
      </c>
      <c r="N1166">
        <v>33</v>
      </c>
      <c r="O1166">
        <v>29</v>
      </c>
      <c r="P1166">
        <v>29</v>
      </c>
      <c r="Q1166">
        <v>25</v>
      </c>
      <c r="R1166">
        <v>19</v>
      </c>
      <c r="S1166">
        <v>13</v>
      </c>
      <c r="T1166">
        <v>3</v>
      </c>
      <c r="U1166">
        <v>56</v>
      </c>
    </row>
    <row r="1167" spans="1:21" x14ac:dyDescent="0.25">
      <c r="A1167">
        <v>2025</v>
      </c>
      <c r="B1167">
        <v>6</v>
      </c>
      <c r="C1167" t="s">
        <v>101</v>
      </c>
      <c r="D1167" t="s">
        <v>22</v>
      </c>
      <c r="E1167" t="s">
        <v>34</v>
      </c>
      <c r="F1167" t="s">
        <v>24</v>
      </c>
      <c r="G1167" t="s">
        <v>25</v>
      </c>
      <c r="H1167" t="s">
        <v>26</v>
      </c>
      <c r="I1167" t="s">
        <v>26</v>
      </c>
      <c r="J1167">
        <v>85</v>
      </c>
      <c r="K1167">
        <v>0</v>
      </c>
      <c r="L1167">
        <v>0</v>
      </c>
      <c r="M1167">
        <v>0</v>
      </c>
      <c r="N1167">
        <v>17</v>
      </c>
      <c r="O1167">
        <v>11</v>
      </c>
      <c r="P1167">
        <v>11</v>
      </c>
      <c r="Q1167">
        <v>7</v>
      </c>
      <c r="R1167">
        <v>5</v>
      </c>
      <c r="S1167">
        <v>3</v>
      </c>
      <c r="T1167">
        <v>0</v>
      </c>
      <c r="U1167">
        <v>85</v>
      </c>
    </row>
    <row r="1168" spans="1:21" x14ac:dyDescent="0.25">
      <c r="A1168">
        <v>2025</v>
      </c>
      <c r="B1168">
        <v>6</v>
      </c>
      <c r="C1168" t="s">
        <v>101</v>
      </c>
      <c r="D1168" t="s">
        <v>22</v>
      </c>
      <c r="E1168" t="s">
        <v>35</v>
      </c>
      <c r="F1168" t="s">
        <v>24</v>
      </c>
      <c r="G1168" t="s">
        <v>25</v>
      </c>
      <c r="H1168" t="s">
        <v>26</v>
      </c>
      <c r="I1168" t="s">
        <v>26</v>
      </c>
      <c r="J1168">
        <v>1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1</v>
      </c>
    </row>
    <row r="1169" spans="1:21" x14ac:dyDescent="0.25">
      <c r="A1169">
        <v>2025</v>
      </c>
      <c r="B1169">
        <v>6</v>
      </c>
      <c r="C1169" t="s">
        <v>101</v>
      </c>
      <c r="D1169" t="s">
        <v>22</v>
      </c>
      <c r="E1169" t="s">
        <v>41</v>
      </c>
      <c r="F1169" t="s">
        <v>24</v>
      </c>
      <c r="G1169" t="s">
        <v>26</v>
      </c>
      <c r="H1169" t="s">
        <v>26</v>
      </c>
      <c r="I1169" t="s">
        <v>25</v>
      </c>
      <c r="J1169">
        <v>60</v>
      </c>
      <c r="K1169">
        <v>0</v>
      </c>
      <c r="L1169">
        <v>0</v>
      </c>
      <c r="M1169">
        <v>0</v>
      </c>
      <c r="N1169">
        <v>4</v>
      </c>
      <c r="O1169">
        <v>2</v>
      </c>
      <c r="P1169">
        <v>2</v>
      </c>
      <c r="Q1169">
        <v>2</v>
      </c>
      <c r="R1169">
        <v>2</v>
      </c>
      <c r="S1169">
        <v>0</v>
      </c>
      <c r="T1169">
        <v>0</v>
      </c>
      <c r="U1169">
        <v>60</v>
      </c>
    </row>
    <row r="1170" spans="1:21" x14ac:dyDescent="0.25">
      <c r="A1170">
        <v>2025</v>
      </c>
      <c r="B1170">
        <v>7</v>
      </c>
      <c r="C1170" t="s">
        <v>21</v>
      </c>
      <c r="D1170" t="s">
        <v>22</v>
      </c>
      <c r="E1170" t="s">
        <v>23</v>
      </c>
      <c r="F1170" t="s">
        <v>24</v>
      </c>
      <c r="G1170" t="s">
        <v>25</v>
      </c>
      <c r="H1170" t="s">
        <v>26</v>
      </c>
      <c r="I1170" t="s">
        <v>25</v>
      </c>
      <c r="J1170">
        <v>1376</v>
      </c>
      <c r="K1170">
        <v>16</v>
      </c>
      <c r="L1170">
        <v>0</v>
      </c>
      <c r="M1170">
        <v>16</v>
      </c>
      <c r="N1170">
        <v>96</v>
      </c>
      <c r="O1170">
        <v>57</v>
      </c>
      <c r="P1170">
        <v>46</v>
      </c>
      <c r="Q1170">
        <v>28</v>
      </c>
      <c r="R1170">
        <v>20</v>
      </c>
      <c r="S1170">
        <v>8</v>
      </c>
      <c r="T1170">
        <v>1</v>
      </c>
      <c r="U1170">
        <v>1360</v>
      </c>
    </row>
    <row r="1171" spans="1:21" x14ac:dyDescent="0.25">
      <c r="A1171">
        <v>2025</v>
      </c>
      <c r="B1171">
        <v>7</v>
      </c>
      <c r="C1171" t="s">
        <v>21</v>
      </c>
      <c r="D1171" t="s">
        <v>22</v>
      </c>
      <c r="E1171" t="s">
        <v>27</v>
      </c>
      <c r="F1171" t="s">
        <v>24</v>
      </c>
      <c r="G1171" t="s">
        <v>26</v>
      </c>
      <c r="H1171" t="s">
        <v>26</v>
      </c>
      <c r="I1171" t="s">
        <v>25</v>
      </c>
      <c r="J1171">
        <v>41</v>
      </c>
      <c r="K1171">
        <v>0</v>
      </c>
      <c r="L1171">
        <v>0</v>
      </c>
      <c r="M1171">
        <v>0</v>
      </c>
      <c r="N1171">
        <v>19</v>
      </c>
      <c r="O1171">
        <v>7</v>
      </c>
      <c r="P1171">
        <v>7</v>
      </c>
      <c r="Q1171">
        <v>6</v>
      </c>
      <c r="R1171">
        <v>5</v>
      </c>
      <c r="S1171">
        <v>4</v>
      </c>
      <c r="T1171">
        <v>1</v>
      </c>
      <c r="U1171">
        <v>41</v>
      </c>
    </row>
    <row r="1172" spans="1:21" x14ac:dyDescent="0.25">
      <c r="A1172">
        <v>2025</v>
      </c>
      <c r="B1172">
        <v>7</v>
      </c>
      <c r="C1172" t="s">
        <v>30</v>
      </c>
      <c r="D1172" t="s">
        <v>22</v>
      </c>
      <c r="E1172" t="s">
        <v>31</v>
      </c>
      <c r="F1172" t="s">
        <v>24</v>
      </c>
      <c r="G1172" t="s">
        <v>25</v>
      </c>
      <c r="H1172" t="s">
        <v>25</v>
      </c>
      <c r="I1172" t="s">
        <v>25</v>
      </c>
      <c r="J1172">
        <v>62</v>
      </c>
      <c r="K1172">
        <v>0</v>
      </c>
      <c r="L1172">
        <v>0</v>
      </c>
      <c r="M1172">
        <v>0</v>
      </c>
      <c r="N1172">
        <v>4</v>
      </c>
      <c r="O1172">
        <v>2</v>
      </c>
      <c r="P1172">
        <v>1</v>
      </c>
      <c r="Q1172">
        <v>0</v>
      </c>
      <c r="R1172">
        <v>0</v>
      </c>
      <c r="S1172">
        <v>0</v>
      </c>
      <c r="T1172">
        <v>0</v>
      </c>
      <c r="U1172">
        <v>62</v>
      </c>
    </row>
    <row r="1173" spans="1:21" x14ac:dyDescent="0.25">
      <c r="A1173">
        <v>2025</v>
      </c>
      <c r="B1173">
        <v>7</v>
      </c>
      <c r="C1173" t="s">
        <v>33</v>
      </c>
      <c r="D1173" t="s">
        <v>22</v>
      </c>
      <c r="E1173" t="s">
        <v>32</v>
      </c>
      <c r="F1173" t="s">
        <v>24</v>
      </c>
      <c r="G1173" t="s">
        <v>25</v>
      </c>
      <c r="H1173" t="s">
        <v>25</v>
      </c>
      <c r="I1173" t="s">
        <v>25</v>
      </c>
      <c r="J1173">
        <v>1012</v>
      </c>
      <c r="K1173">
        <v>1</v>
      </c>
      <c r="L1173">
        <v>0</v>
      </c>
      <c r="M1173">
        <v>1</v>
      </c>
      <c r="N1173">
        <v>340</v>
      </c>
      <c r="O1173">
        <v>289</v>
      </c>
      <c r="P1173">
        <v>266</v>
      </c>
      <c r="Q1173">
        <v>204</v>
      </c>
      <c r="R1173">
        <v>148</v>
      </c>
      <c r="S1173">
        <v>73</v>
      </c>
      <c r="T1173">
        <v>32</v>
      </c>
      <c r="U1173">
        <v>1011</v>
      </c>
    </row>
    <row r="1174" spans="1:21" x14ac:dyDescent="0.25">
      <c r="A1174">
        <v>2025</v>
      </c>
      <c r="B1174">
        <v>7</v>
      </c>
      <c r="C1174" t="s">
        <v>33</v>
      </c>
      <c r="D1174" t="s">
        <v>22</v>
      </c>
      <c r="E1174" t="s">
        <v>34</v>
      </c>
      <c r="F1174" t="s">
        <v>24</v>
      </c>
      <c r="G1174" t="s">
        <v>25</v>
      </c>
      <c r="H1174" t="s">
        <v>26</v>
      </c>
      <c r="I1174" t="s">
        <v>26</v>
      </c>
      <c r="J1174">
        <v>217</v>
      </c>
      <c r="K1174">
        <v>1</v>
      </c>
      <c r="L1174">
        <v>1</v>
      </c>
      <c r="M1174">
        <v>2</v>
      </c>
      <c r="N1174">
        <v>113</v>
      </c>
      <c r="O1174">
        <v>107</v>
      </c>
      <c r="P1174">
        <v>102</v>
      </c>
      <c r="Q1174">
        <v>77</v>
      </c>
      <c r="R1174">
        <v>56</v>
      </c>
      <c r="S1174">
        <v>35</v>
      </c>
      <c r="T1174">
        <v>21</v>
      </c>
      <c r="U1174">
        <v>216</v>
      </c>
    </row>
    <row r="1175" spans="1:21" x14ac:dyDescent="0.25">
      <c r="A1175">
        <v>2025</v>
      </c>
      <c r="B1175">
        <v>7</v>
      </c>
      <c r="C1175" t="s">
        <v>33</v>
      </c>
      <c r="D1175" t="s">
        <v>22</v>
      </c>
      <c r="E1175" t="s">
        <v>23</v>
      </c>
      <c r="F1175" t="s">
        <v>24</v>
      </c>
      <c r="G1175" t="s">
        <v>25</v>
      </c>
      <c r="H1175" t="s">
        <v>25</v>
      </c>
      <c r="I1175" t="s">
        <v>25</v>
      </c>
      <c r="J1175">
        <v>248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248</v>
      </c>
    </row>
    <row r="1176" spans="1:21" x14ac:dyDescent="0.25">
      <c r="A1176">
        <v>2025</v>
      </c>
      <c r="B1176">
        <v>7</v>
      </c>
      <c r="C1176" t="s">
        <v>33</v>
      </c>
      <c r="D1176" t="s">
        <v>22</v>
      </c>
      <c r="E1176" t="s">
        <v>23</v>
      </c>
      <c r="F1176" t="s">
        <v>24</v>
      </c>
      <c r="G1176" t="s">
        <v>25</v>
      </c>
      <c r="H1176" t="s">
        <v>26</v>
      </c>
      <c r="I1176" t="s">
        <v>25</v>
      </c>
      <c r="J1176">
        <v>62</v>
      </c>
      <c r="K1176">
        <v>0</v>
      </c>
      <c r="L1176">
        <v>0</v>
      </c>
      <c r="M1176">
        <v>0</v>
      </c>
      <c r="N1176">
        <v>12</v>
      </c>
      <c r="O1176">
        <v>12</v>
      </c>
      <c r="P1176">
        <v>10</v>
      </c>
      <c r="Q1176">
        <v>9</v>
      </c>
      <c r="R1176">
        <v>6</v>
      </c>
      <c r="S1176">
        <v>3</v>
      </c>
      <c r="T1176">
        <v>2</v>
      </c>
      <c r="U1176">
        <v>62</v>
      </c>
    </row>
    <row r="1177" spans="1:21" x14ac:dyDescent="0.25">
      <c r="A1177">
        <v>2025</v>
      </c>
      <c r="B1177">
        <v>7</v>
      </c>
      <c r="C1177" t="s">
        <v>33</v>
      </c>
      <c r="D1177" t="s">
        <v>22</v>
      </c>
      <c r="E1177" t="s">
        <v>35</v>
      </c>
      <c r="F1177" t="s">
        <v>24</v>
      </c>
      <c r="G1177" t="s">
        <v>25</v>
      </c>
      <c r="H1177" t="s">
        <v>26</v>
      </c>
      <c r="I1177" t="s">
        <v>26</v>
      </c>
      <c r="J1177">
        <v>62</v>
      </c>
      <c r="K1177">
        <v>0</v>
      </c>
      <c r="L1177">
        <v>0</v>
      </c>
      <c r="M1177">
        <v>0</v>
      </c>
      <c r="N1177">
        <v>50</v>
      </c>
      <c r="O1177">
        <v>48</v>
      </c>
      <c r="P1177">
        <v>48</v>
      </c>
      <c r="Q1177">
        <v>33</v>
      </c>
      <c r="R1177">
        <v>28</v>
      </c>
      <c r="S1177">
        <v>15</v>
      </c>
      <c r="T1177">
        <v>8</v>
      </c>
      <c r="U1177">
        <v>62</v>
      </c>
    </row>
    <row r="1178" spans="1:21" x14ac:dyDescent="0.25">
      <c r="A1178">
        <v>2025</v>
      </c>
      <c r="B1178">
        <v>7</v>
      </c>
      <c r="C1178" t="s">
        <v>33</v>
      </c>
      <c r="D1178" t="s">
        <v>22</v>
      </c>
      <c r="E1178" t="s">
        <v>36</v>
      </c>
      <c r="F1178" t="s">
        <v>24</v>
      </c>
      <c r="G1178" t="s">
        <v>25</v>
      </c>
      <c r="H1178" t="s">
        <v>26</v>
      </c>
      <c r="I1178" t="s">
        <v>25</v>
      </c>
      <c r="J1178">
        <v>496</v>
      </c>
      <c r="K1178">
        <v>0</v>
      </c>
      <c r="L1178">
        <v>0</v>
      </c>
      <c r="M1178">
        <v>0</v>
      </c>
      <c r="N1178">
        <v>89</v>
      </c>
      <c r="O1178">
        <v>69</v>
      </c>
      <c r="P1178">
        <v>61</v>
      </c>
      <c r="Q1178">
        <v>38</v>
      </c>
      <c r="R1178">
        <v>32</v>
      </c>
      <c r="S1178">
        <v>12</v>
      </c>
      <c r="T1178">
        <v>3</v>
      </c>
      <c r="U1178">
        <v>496</v>
      </c>
    </row>
    <row r="1179" spans="1:21" x14ac:dyDescent="0.25">
      <c r="A1179">
        <v>2025</v>
      </c>
      <c r="B1179">
        <v>7</v>
      </c>
      <c r="C1179" t="s">
        <v>37</v>
      </c>
      <c r="D1179" t="s">
        <v>22</v>
      </c>
      <c r="E1179" t="s">
        <v>32</v>
      </c>
      <c r="F1179" t="s">
        <v>28</v>
      </c>
      <c r="G1179" t="s">
        <v>25</v>
      </c>
      <c r="H1179" t="s">
        <v>26</v>
      </c>
      <c r="I1179" t="s">
        <v>25</v>
      </c>
      <c r="J1179">
        <v>6</v>
      </c>
      <c r="K1179">
        <v>3</v>
      </c>
      <c r="L1179">
        <v>1</v>
      </c>
      <c r="M1179">
        <v>4</v>
      </c>
      <c r="N1179">
        <v>2</v>
      </c>
      <c r="O1179">
        <v>2</v>
      </c>
      <c r="P1179">
        <v>2</v>
      </c>
      <c r="Q1179">
        <v>2</v>
      </c>
      <c r="R1179">
        <v>2</v>
      </c>
      <c r="S1179">
        <v>1</v>
      </c>
      <c r="T1179">
        <v>1</v>
      </c>
      <c r="U1179">
        <v>3</v>
      </c>
    </row>
    <row r="1180" spans="1:21" x14ac:dyDescent="0.25">
      <c r="A1180">
        <v>2025</v>
      </c>
      <c r="B1180">
        <v>7</v>
      </c>
      <c r="C1180" t="s">
        <v>37</v>
      </c>
      <c r="D1180" t="s">
        <v>22</v>
      </c>
      <c r="E1180" t="s">
        <v>32</v>
      </c>
      <c r="F1180" t="s">
        <v>24</v>
      </c>
      <c r="G1180" t="s">
        <v>25</v>
      </c>
      <c r="H1180" t="s">
        <v>26</v>
      </c>
      <c r="I1180" t="s">
        <v>25</v>
      </c>
      <c r="J1180">
        <v>1990</v>
      </c>
      <c r="K1180">
        <v>41</v>
      </c>
      <c r="L1180">
        <v>84</v>
      </c>
      <c r="M1180">
        <v>125</v>
      </c>
      <c r="N1180">
        <v>1169</v>
      </c>
      <c r="O1180">
        <v>1004</v>
      </c>
      <c r="P1180">
        <v>943</v>
      </c>
      <c r="Q1180">
        <v>739</v>
      </c>
      <c r="R1180">
        <v>580</v>
      </c>
      <c r="S1180">
        <v>330</v>
      </c>
      <c r="T1180">
        <v>143</v>
      </c>
      <c r="U1180">
        <v>1916</v>
      </c>
    </row>
    <row r="1181" spans="1:21" x14ac:dyDescent="0.25">
      <c r="A1181">
        <v>2025</v>
      </c>
      <c r="B1181">
        <v>7</v>
      </c>
      <c r="C1181" t="s">
        <v>37</v>
      </c>
      <c r="D1181" t="s">
        <v>22</v>
      </c>
      <c r="E1181" t="s">
        <v>38</v>
      </c>
      <c r="F1181" t="s">
        <v>24</v>
      </c>
      <c r="G1181" t="s">
        <v>25</v>
      </c>
      <c r="H1181" t="s">
        <v>25</v>
      </c>
      <c r="I1181" t="s">
        <v>25</v>
      </c>
      <c r="J1181">
        <v>1</v>
      </c>
      <c r="K1181">
        <v>0</v>
      </c>
      <c r="L1181">
        <v>0</v>
      </c>
      <c r="M1181">
        <v>0</v>
      </c>
      <c r="N1181">
        <v>1</v>
      </c>
      <c r="O1181">
        <v>1</v>
      </c>
      <c r="P1181">
        <v>1</v>
      </c>
      <c r="Q1181">
        <v>1</v>
      </c>
      <c r="R1181">
        <v>1</v>
      </c>
      <c r="S1181">
        <v>1</v>
      </c>
      <c r="T1181">
        <v>1</v>
      </c>
      <c r="U1181">
        <v>1</v>
      </c>
    </row>
    <row r="1182" spans="1:21" x14ac:dyDescent="0.25">
      <c r="A1182">
        <v>2025</v>
      </c>
      <c r="B1182">
        <v>7</v>
      </c>
      <c r="C1182" t="s">
        <v>37</v>
      </c>
      <c r="D1182" t="s">
        <v>22</v>
      </c>
      <c r="E1182" t="s">
        <v>38</v>
      </c>
      <c r="F1182" t="s">
        <v>24</v>
      </c>
      <c r="G1182" t="s">
        <v>25</v>
      </c>
      <c r="H1182" t="s">
        <v>26</v>
      </c>
      <c r="I1182" t="s">
        <v>25</v>
      </c>
      <c r="J1182">
        <v>62</v>
      </c>
      <c r="K1182">
        <v>3</v>
      </c>
      <c r="L1182">
        <v>1</v>
      </c>
      <c r="M1182">
        <v>4</v>
      </c>
      <c r="N1182">
        <v>45</v>
      </c>
      <c r="O1182">
        <v>41</v>
      </c>
      <c r="P1182">
        <v>40</v>
      </c>
      <c r="Q1182">
        <v>33</v>
      </c>
      <c r="R1182">
        <v>19</v>
      </c>
      <c r="S1182">
        <v>8</v>
      </c>
      <c r="T1182">
        <v>2</v>
      </c>
      <c r="U1182">
        <v>58</v>
      </c>
    </row>
    <row r="1183" spans="1:21" x14ac:dyDescent="0.25">
      <c r="A1183">
        <v>2025</v>
      </c>
      <c r="B1183">
        <v>7</v>
      </c>
      <c r="C1183" t="s">
        <v>37</v>
      </c>
      <c r="D1183" t="s">
        <v>22</v>
      </c>
      <c r="E1183" t="s">
        <v>34</v>
      </c>
      <c r="F1183" t="s">
        <v>24</v>
      </c>
      <c r="G1183" t="s">
        <v>25</v>
      </c>
      <c r="H1183" t="s">
        <v>26</v>
      </c>
      <c r="I1183" t="s">
        <v>26</v>
      </c>
      <c r="J1183">
        <v>335</v>
      </c>
      <c r="K1183">
        <v>7</v>
      </c>
      <c r="L1183">
        <v>9</v>
      </c>
      <c r="M1183">
        <v>16</v>
      </c>
      <c r="N1183">
        <v>185</v>
      </c>
      <c r="O1183">
        <v>157</v>
      </c>
      <c r="P1183">
        <v>144</v>
      </c>
      <c r="Q1183">
        <v>123</v>
      </c>
      <c r="R1183">
        <v>100</v>
      </c>
      <c r="S1183">
        <v>66</v>
      </c>
      <c r="T1183">
        <v>45</v>
      </c>
      <c r="U1183">
        <v>328</v>
      </c>
    </row>
    <row r="1184" spans="1:21" x14ac:dyDescent="0.25">
      <c r="A1184">
        <v>2025</v>
      </c>
      <c r="B1184">
        <v>7</v>
      </c>
      <c r="C1184" t="s">
        <v>37</v>
      </c>
      <c r="D1184" t="s">
        <v>22</v>
      </c>
      <c r="E1184" t="s">
        <v>23</v>
      </c>
      <c r="F1184" t="s">
        <v>28</v>
      </c>
      <c r="G1184" t="s">
        <v>25</v>
      </c>
      <c r="H1184" t="s">
        <v>26</v>
      </c>
      <c r="I1184" t="s">
        <v>25</v>
      </c>
      <c r="J1184">
        <v>4567</v>
      </c>
      <c r="K1184">
        <v>263</v>
      </c>
      <c r="L1184">
        <v>603</v>
      </c>
      <c r="M1184">
        <v>866</v>
      </c>
      <c r="N1184">
        <v>2386</v>
      </c>
      <c r="O1184">
        <v>2050</v>
      </c>
      <c r="P1184">
        <v>1929</v>
      </c>
      <c r="Q1184">
        <v>1562</v>
      </c>
      <c r="R1184">
        <v>1238</v>
      </c>
      <c r="S1184">
        <v>647</v>
      </c>
      <c r="T1184">
        <v>214</v>
      </c>
      <c r="U1184">
        <v>4037</v>
      </c>
    </row>
    <row r="1185" spans="1:21" x14ac:dyDescent="0.25">
      <c r="A1185">
        <v>2025</v>
      </c>
      <c r="B1185">
        <v>7</v>
      </c>
      <c r="C1185" t="s">
        <v>37</v>
      </c>
      <c r="D1185" t="s">
        <v>22</v>
      </c>
      <c r="E1185" t="s">
        <v>23</v>
      </c>
      <c r="F1185" t="s">
        <v>24</v>
      </c>
      <c r="G1185" t="s">
        <v>25</v>
      </c>
      <c r="H1185" t="s">
        <v>26</v>
      </c>
      <c r="I1185" t="s">
        <v>25</v>
      </c>
      <c r="J1185">
        <v>1910</v>
      </c>
      <c r="K1185">
        <v>46</v>
      </c>
      <c r="L1185">
        <v>79</v>
      </c>
      <c r="M1185">
        <v>125</v>
      </c>
      <c r="N1185">
        <v>1002</v>
      </c>
      <c r="O1185">
        <v>859</v>
      </c>
      <c r="P1185">
        <v>801</v>
      </c>
      <c r="Q1185">
        <v>642</v>
      </c>
      <c r="R1185">
        <v>478</v>
      </c>
      <c r="S1185">
        <v>208</v>
      </c>
      <c r="T1185">
        <v>65</v>
      </c>
      <c r="U1185">
        <v>1836</v>
      </c>
    </row>
    <row r="1186" spans="1:21" x14ac:dyDescent="0.25">
      <c r="A1186">
        <v>2025</v>
      </c>
      <c r="B1186">
        <v>7</v>
      </c>
      <c r="C1186" t="s">
        <v>37</v>
      </c>
      <c r="D1186" t="s">
        <v>22</v>
      </c>
      <c r="E1186" t="s">
        <v>39</v>
      </c>
      <c r="F1186" t="s">
        <v>28</v>
      </c>
      <c r="G1186" t="s">
        <v>26</v>
      </c>
      <c r="H1186" t="s">
        <v>26</v>
      </c>
      <c r="I1186" t="s">
        <v>25</v>
      </c>
      <c r="J1186">
        <v>13857</v>
      </c>
      <c r="K1186">
        <v>1184</v>
      </c>
      <c r="L1186">
        <v>1796</v>
      </c>
      <c r="M1186">
        <v>2980</v>
      </c>
      <c r="N1186">
        <v>8137</v>
      </c>
      <c r="O1186">
        <v>7303</v>
      </c>
      <c r="P1186">
        <v>6965</v>
      </c>
      <c r="Q1186">
        <v>5855</v>
      </c>
      <c r="R1186">
        <v>4760</v>
      </c>
      <c r="S1186">
        <v>2809</v>
      </c>
      <c r="T1186">
        <v>1212</v>
      </c>
      <c r="U1186">
        <v>12006</v>
      </c>
    </row>
    <row r="1187" spans="1:21" x14ac:dyDescent="0.25">
      <c r="A1187">
        <v>2025</v>
      </c>
      <c r="B1187">
        <v>7</v>
      </c>
      <c r="C1187" t="s">
        <v>37</v>
      </c>
      <c r="D1187" t="s">
        <v>22</v>
      </c>
      <c r="E1187" t="s">
        <v>39</v>
      </c>
      <c r="F1187" t="s">
        <v>24</v>
      </c>
      <c r="G1187" t="s">
        <v>26</v>
      </c>
      <c r="H1187" t="s">
        <v>26</v>
      </c>
      <c r="I1187" t="s">
        <v>25</v>
      </c>
      <c r="J1187">
        <v>3744</v>
      </c>
      <c r="K1187">
        <v>56</v>
      </c>
      <c r="L1187">
        <v>396</v>
      </c>
      <c r="M1187">
        <v>452</v>
      </c>
      <c r="N1187">
        <v>2474</v>
      </c>
      <c r="O1187">
        <v>2177</v>
      </c>
      <c r="P1187">
        <v>2084</v>
      </c>
      <c r="Q1187">
        <v>1707</v>
      </c>
      <c r="R1187">
        <v>1392</v>
      </c>
      <c r="S1187">
        <v>804</v>
      </c>
      <c r="T1187">
        <v>284</v>
      </c>
      <c r="U1187">
        <v>3515</v>
      </c>
    </row>
    <row r="1188" spans="1:21" x14ac:dyDescent="0.25">
      <c r="A1188">
        <v>2025</v>
      </c>
      <c r="B1188">
        <v>7</v>
      </c>
      <c r="C1188" t="s">
        <v>37</v>
      </c>
      <c r="D1188" t="s">
        <v>22</v>
      </c>
      <c r="E1188" t="s">
        <v>39</v>
      </c>
      <c r="F1188" t="s">
        <v>29</v>
      </c>
      <c r="G1188" t="s">
        <v>26</v>
      </c>
      <c r="H1188" t="s">
        <v>26</v>
      </c>
      <c r="I1188" t="s">
        <v>25</v>
      </c>
      <c r="J1188">
        <v>4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</row>
    <row r="1189" spans="1:21" x14ac:dyDescent="0.25">
      <c r="A1189">
        <v>2025</v>
      </c>
      <c r="B1189">
        <v>7</v>
      </c>
      <c r="C1189" t="s">
        <v>37</v>
      </c>
      <c r="D1189" t="s">
        <v>22</v>
      </c>
      <c r="E1189" t="s">
        <v>40</v>
      </c>
      <c r="F1189" t="s">
        <v>24</v>
      </c>
      <c r="G1189" t="s">
        <v>25</v>
      </c>
      <c r="H1189" t="s">
        <v>26</v>
      </c>
      <c r="I1189" t="s">
        <v>25</v>
      </c>
      <c r="J1189">
        <v>504</v>
      </c>
      <c r="K1189">
        <v>7</v>
      </c>
      <c r="L1189">
        <v>0</v>
      </c>
      <c r="M1189">
        <v>7</v>
      </c>
      <c r="N1189">
        <v>24</v>
      </c>
      <c r="O1189">
        <v>13</v>
      </c>
      <c r="P1189">
        <v>8</v>
      </c>
      <c r="Q1189">
        <v>3</v>
      </c>
      <c r="R1189">
        <v>0</v>
      </c>
      <c r="S1189">
        <v>0</v>
      </c>
      <c r="T1189">
        <v>0</v>
      </c>
      <c r="U1189">
        <v>497</v>
      </c>
    </row>
    <row r="1190" spans="1:21" x14ac:dyDescent="0.25">
      <c r="A1190">
        <v>2025</v>
      </c>
      <c r="B1190">
        <v>7</v>
      </c>
      <c r="C1190" t="s">
        <v>37</v>
      </c>
      <c r="D1190" t="s">
        <v>22</v>
      </c>
      <c r="E1190" t="s">
        <v>35</v>
      </c>
      <c r="F1190" t="s">
        <v>28</v>
      </c>
      <c r="G1190" t="s">
        <v>25</v>
      </c>
      <c r="H1190" t="s">
        <v>26</v>
      </c>
      <c r="I1190" t="s">
        <v>26</v>
      </c>
      <c r="J1190">
        <v>28</v>
      </c>
      <c r="K1190">
        <v>0</v>
      </c>
      <c r="L1190">
        <v>5</v>
      </c>
      <c r="M1190">
        <v>5</v>
      </c>
      <c r="N1190">
        <v>13</v>
      </c>
      <c r="O1190">
        <v>13</v>
      </c>
      <c r="P1190">
        <v>12</v>
      </c>
      <c r="Q1190">
        <v>11</v>
      </c>
      <c r="R1190">
        <v>9</v>
      </c>
      <c r="S1190">
        <v>6</v>
      </c>
      <c r="T1190">
        <v>3</v>
      </c>
      <c r="U1190">
        <v>24</v>
      </c>
    </row>
    <row r="1191" spans="1:21" x14ac:dyDescent="0.25">
      <c r="A1191">
        <v>2025</v>
      </c>
      <c r="B1191">
        <v>7</v>
      </c>
      <c r="C1191" t="s">
        <v>37</v>
      </c>
      <c r="D1191" t="s">
        <v>22</v>
      </c>
      <c r="E1191" t="s">
        <v>35</v>
      </c>
      <c r="F1191" t="s">
        <v>24</v>
      </c>
      <c r="G1191" t="s">
        <v>25</v>
      </c>
      <c r="H1191" t="s">
        <v>26</v>
      </c>
      <c r="I1191" t="s">
        <v>26</v>
      </c>
      <c r="J1191">
        <v>705</v>
      </c>
      <c r="K1191">
        <v>8</v>
      </c>
      <c r="L1191">
        <v>31</v>
      </c>
      <c r="M1191">
        <v>39</v>
      </c>
      <c r="N1191">
        <v>412</v>
      </c>
      <c r="O1191">
        <v>374</v>
      </c>
      <c r="P1191">
        <v>359</v>
      </c>
      <c r="Q1191">
        <v>306</v>
      </c>
      <c r="R1191">
        <v>278</v>
      </c>
      <c r="S1191">
        <v>214</v>
      </c>
      <c r="T1191">
        <v>99</v>
      </c>
      <c r="U1191">
        <v>692</v>
      </c>
    </row>
    <row r="1192" spans="1:21" x14ac:dyDescent="0.25">
      <c r="A1192">
        <v>2025</v>
      </c>
      <c r="B1192">
        <v>7</v>
      </c>
      <c r="C1192" t="s">
        <v>37</v>
      </c>
      <c r="D1192" t="s">
        <v>22</v>
      </c>
      <c r="E1192" t="s">
        <v>36</v>
      </c>
      <c r="F1192" t="s">
        <v>24</v>
      </c>
      <c r="G1192" t="s">
        <v>25</v>
      </c>
      <c r="H1192" t="s">
        <v>26</v>
      </c>
      <c r="I1192" t="s">
        <v>25</v>
      </c>
      <c r="J1192">
        <v>525</v>
      </c>
      <c r="K1192">
        <v>6</v>
      </c>
      <c r="L1192">
        <v>26</v>
      </c>
      <c r="M1192">
        <v>32</v>
      </c>
      <c r="N1192">
        <v>244</v>
      </c>
      <c r="O1192">
        <v>199</v>
      </c>
      <c r="P1192">
        <v>177</v>
      </c>
      <c r="Q1192">
        <v>121</v>
      </c>
      <c r="R1192">
        <v>96</v>
      </c>
      <c r="S1192">
        <v>36</v>
      </c>
      <c r="T1192">
        <v>12</v>
      </c>
      <c r="U1192">
        <v>506</v>
      </c>
    </row>
    <row r="1193" spans="1:21" x14ac:dyDescent="0.25">
      <c r="A1193">
        <v>2025</v>
      </c>
      <c r="B1193">
        <v>7</v>
      </c>
      <c r="C1193" t="s">
        <v>37</v>
      </c>
      <c r="D1193" t="s">
        <v>22</v>
      </c>
      <c r="E1193" t="s">
        <v>41</v>
      </c>
      <c r="F1193" t="s">
        <v>24</v>
      </c>
      <c r="G1193" t="s">
        <v>26</v>
      </c>
      <c r="H1193" t="s">
        <v>26</v>
      </c>
      <c r="I1193" t="s">
        <v>25</v>
      </c>
      <c r="J1193">
        <v>392</v>
      </c>
      <c r="K1193">
        <v>7</v>
      </c>
      <c r="L1193">
        <v>18</v>
      </c>
      <c r="M1193">
        <v>25</v>
      </c>
      <c r="N1193">
        <v>256</v>
      </c>
      <c r="O1193">
        <v>212</v>
      </c>
      <c r="P1193">
        <v>193</v>
      </c>
      <c r="Q1193">
        <v>137</v>
      </c>
      <c r="R1193">
        <v>114</v>
      </c>
      <c r="S1193">
        <v>43</v>
      </c>
      <c r="T1193">
        <v>13</v>
      </c>
      <c r="U1193">
        <v>376</v>
      </c>
    </row>
    <row r="1194" spans="1:21" x14ac:dyDescent="0.25">
      <c r="A1194">
        <v>2025</v>
      </c>
      <c r="B1194">
        <v>7</v>
      </c>
      <c r="C1194" t="s">
        <v>37</v>
      </c>
      <c r="D1194" t="s">
        <v>22</v>
      </c>
      <c r="E1194" t="s">
        <v>42</v>
      </c>
      <c r="F1194" t="s">
        <v>24</v>
      </c>
      <c r="G1194" t="s">
        <v>26</v>
      </c>
      <c r="H1194" t="s">
        <v>26</v>
      </c>
      <c r="I1194" t="s">
        <v>25</v>
      </c>
      <c r="J1194">
        <v>196</v>
      </c>
      <c r="K1194">
        <v>1</v>
      </c>
      <c r="L1194">
        <v>4</v>
      </c>
      <c r="M1194">
        <v>5</v>
      </c>
      <c r="N1194">
        <v>126</v>
      </c>
      <c r="O1194">
        <v>106</v>
      </c>
      <c r="P1194">
        <v>100</v>
      </c>
      <c r="Q1194">
        <v>82</v>
      </c>
      <c r="R1194">
        <v>64</v>
      </c>
      <c r="S1194">
        <v>41</v>
      </c>
      <c r="T1194">
        <v>14</v>
      </c>
      <c r="U1194">
        <v>192</v>
      </c>
    </row>
    <row r="1195" spans="1:21" x14ac:dyDescent="0.25">
      <c r="A1195">
        <v>2025</v>
      </c>
      <c r="B1195">
        <v>7</v>
      </c>
      <c r="C1195" t="s">
        <v>37</v>
      </c>
      <c r="D1195" t="s">
        <v>22</v>
      </c>
      <c r="E1195" t="s">
        <v>27</v>
      </c>
      <c r="F1195" t="s">
        <v>24</v>
      </c>
      <c r="G1195" t="s">
        <v>26</v>
      </c>
      <c r="H1195" t="s">
        <v>26</v>
      </c>
      <c r="I1195" t="s">
        <v>25</v>
      </c>
      <c r="J1195">
        <v>3</v>
      </c>
      <c r="K1195">
        <v>3</v>
      </c>
      <c r="L1195">
        <v>0</v>
      </c>
      <c r="M1195">
        <v>3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</row>
    <row r="1196" spans="1:21" x14ac:dyDescent="0.25">
      <c r="A1196">
        <v>2025</v>
      </c>
      <c r="B1196">
        <v>7</v>
      </c>
      <c r="C1196" t="s">
        <v>43</v>
      </c>
      <c r="D1196" t="s">
        <v>22</v>
      </c>
      <c r="E1196" t="s">
        <v>32</v>
      </c>
      <c r="F1196" t="s">
        <v>24</v>
      </c>
      <c r="G1196" t="s">
        <v>25</v>
      </c>
      <c r="H1196" t="s">
        <v>25</v>
      </c>
      <c r="I1196" t="s">
        <v>25</v>
      </c>
      <c r="J1196">
        <v>471</v>
      </c>
      <c r="K1196">
        <v>9</v>
      </c>
      <c r="L1196">
        <v>0</v>
      </c>
      <c r="M1196">
        <v>9</v>
      </c>
      <c r="N1196">
        <v>125</v>
      </c>
      <c r="O1196">
        <v>105</v>
      </c>
      <c r="P1196">
        <v>101</v>
      </c>
      <c r="Q1196">
        <v>76</v>
      </c>
      <c r="R1196">
        <v>58</v>
      </c>
      <c r="S1196">
        <v>33</v>
      </c>
      <c r="T1196">
        <v>18</v>
      </c>
      <c r="U1196">
        <v>462</v>
      </c>
    </row>
    <row r="1197" spans="1:21" x14ac:dyDescent="0.25">
      <c r="A1197">
        <v>2025</v>
      </c>
      <c r="B1197">
        <v>7</v>
      </c>
      <c r="C1197" t="s">
        <v>43</v>
      </c>
      <c r="D1197" t="s">
        <v>22</v>
      </c>
      <c r="E1197" t="s">
        <v>34</v>
      </c>
      <c r="F1197" t="s">
        <v>24</v>
      </c>
      <c r="G1197" t="s">
        <v>25</v>
      </c>
      <c r="H1197" t="s">
        <v>26</v>
      </c>
      <c r="I1197" t="s">
        <v>26</v>
      </c>
      <c r="J1197">
        <v>43</v>
      </c>
      <c r="K1197">
        <v>3</v>
      </c>
      <c r="L1197">
        <v>0</v>
      </c>
      <c r="M1197">
        <v>3</v>
      </c>
      <c r="N1197">
        <v>26</v>
      </c>
      <c r="O1197">
        <v>25</v>
      </c>
      <c r="P1197">
        <v>24</v>
      </c>
      <c r="Q1197">
        <v>23</v>
      </c>
      <c r="R1197">
        <v>23</v>
      </c>
      <c r="S1197">
        <v>19</v>
      </c>
      <c r="T1197">
        <v>18</v>
      </c>
      <c r="U1197">
        <v>40</v>
      </c>
    </row>
    <row r="1198" spans="1:21" x14ac:dyDescent="0.25">
      <c r="A1198">
        <v>2025</v>
      </c>
      <c r="B1198">
        <v>7</v>
      </c>
      <c r="C1198" t="s">
        <v>43</v>
      </c>
      <c r="D1198" t="s">
        <v>22</v>
      </c>
      <c r="E1198" t="s">
        <v>23</v>
      </c>
      <c r="F1198" t="s">
        <v>24</v>
      </c>
      <c r="G1198" t="s">
        <v>25</v>
      </c>
      <c r="H1198" t="s">
        <v>26</v>
      </c>
      <c r="I1198" t="s">
        <v>25</v>
      </c>
      <c r="J1198">
        <v>539</v>
      </c>
      <c r="K1198">
        <v>4</v>
      </c>
      <c r="L1198">
        <v>1</v>
      </c>
      <c r="M1198">
        <v>5</v>
      </c>
      <c r="N1198">
        <v>127</v>
      </c>
      <c r="O1198">
        <v>81</v>
      </c>
      <c r="P1198">
        <v>73</v>
      </c>
      <c r="Q1198">
        <v>34</v>
      </c>
      <c r="R1198">
        <v>15</v>
      </c>
      <c r="S1198">
        <v>1</v>
      </c>
      <c r="T1198">
        <v>1</v>
      </c>
      <c r="U1198">
        <v>535</v>
      </c>
    </row>
    <row r="1199" spans="1:21" x14ac:dyDescent="0.25">
      <c r="A1199">
        <v>2025</v>
      </c>
      <c r="B1199">
        <v>7</v>
      </c>
      <c r="C1199" t="s">
        <v>44</v>
      </c>
      <c r="D1199" t="s">
        <v>45</v>
      </c>
      <c r="E1199" t="s">
        <v>46</v>
      </c>
      <c r="F1199" t="s">
        <v>24</v>
      </c>
      <c r="G1199" t="s">
        <v>25</v>
      </c>
      <c r="H1199" t="s">
        <v>26</v>
      </c>
      <c r="I1199" t="s">
        <v>26</v>
      </c>
      <c r="J1199">
        <v>26</v>
      </c>
      <c r="K1199">
        <v>0</v>
      </c>
      <c r="L1199">
        <v>2</v>
      </c>
      <c r="M1199">
        <v>2</v>
      </c>
      <c r="N1199">
        <v>16</v>
      </c>
      <c r="O1199">
        <v>16</v>
      </c>
      <c r="P1199">
        <v>15</v>
      </c>
      <c r="Q1199">
        <v>15</v>
      </c>
      <c r="R1199">
        <v>13</v>
      </c>
      <c r="S1199">
        <v>10</v>
      </c>
      <c r="T1199">
        <v>5</v>
      </c>
      <c r="U1199">
        <v>26</v>
      </c>
    </row>
    <row r="1200" spans="1:21" x14ac:dyDescent="0.25">
      <c r="A1200">
        <v>2025</v>
      </c>
      <c r="B1200">
        <v>7</v>
      </c>
      <c r="C1200" t="s">
        <v>44</v>
      </c>
      <c r="D1200" t="s">
        <v>45</v>
      </c>
      <c r="E1200" t="s">
        <v>46</v>
      </c>
      <c r="F1200" t="s">
        <v>29</v>
      </c>
      <c r="G1200" t="s">
        <v>25</v>
      </c>
      <c r="H1200" t="s">
        <v>26</v>
      </c>
      <c r="I1200" t="s">
        <v>26</v>
      </c>
      <c r="J1200">
        <v>1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</row>
    <row r="1201" spans="1:21" x14ac:dyDescent="0.25">
      <c r="A1201">
        <v>2025</v>
      </c>
      <c r="B1201">
        <v>7</v>
      </c>
      <c r="C1201" t="s">
        <v>47</v>
      </c>
      <c r="D1201" t="s">
        <v>45</v>
      </c>
      <c r="E1201" t="s">
        <v>48</v>
      </c>
      <c r="F1201" t="s">
        <v>24</v>
      </c>
      <c r="G1201" t="s">
        <v>26</v>
      </c>
      <c r="H1201" t="s">
        <v>26</v>
      </c>
      <c r="I1201" t="s">
        <v>25</v>
      </c>
      <c r="J1201">
        <v>3780</v>
      </c>
      <c r="K1201">
        <v>138</v>
      </c>
      <c r="L1201">
        <v>120</v>
      </c>
      <c r="M1201">
        <v>258</v>
      </c>
      <c r="N1201">
        <v>1033</v>
      </c>
      <c r="O1201">
        <v>1023</v>
      </c>
      <c r="P1201">
        <v>1020</v>
      </c>
      <c r="Q1201">
        <v>792</v>
      </c>
      <c r="R1201">
        <v>683</v>
      </c>
      <c r="S1201">
        <v>362</v>
      </c>
      <c r="T1201">
        <v>142</v>
      </c>
      <c r="U1201">
        <v>3624</v>
      </c>
    </row>
    <row r="1202" spans="1:21" x14ac:dyDescent="0.25">
      <c r="A1202">
        <v>2025</v>
      </c>
      <c r="B1202">
        <v>7</v>
      </c>
      <c r="C1202" t="s">
        <v>49</v>
      </c>
      <c r="D1202" t="s">
        <v>45</v>
      </c>
      <c r="E1202" t="s">
        <v>50</v>
      </c>
      <c r="F1202" t="s">
        <v>28</v>
      </c>
      <c r="G1202" t="s">
        <v>25</v>
      </c>
      <c r="H1202" t="s">
        <v>26</v>
      </c>
      <c r="I1202" t="s">
        <v>25</v>
      </c>
      <c r="J1202">
        <v>518</v>
      </c>
      <c r="K1202">
        <v>21</v>
      </c>
      <c r="L1202">
        <v>29</v>
      </c>
      <c r="M1202">
        <v>50</v>
      </c>
      <c r="N1202">
        <v>316</v>
      </c>
      <c r="O1202">
        <v>285</v>
      </c>
      <c r="P1202">
        <v>273</v>
      </c>
      <c r="Q1202">
        <v>221</v>
      </c>
      <c r="R1202">
        <v>181</v>
      </c>
      <c r="S1202">
        <v>109</v>
      </c>
      <c r="T1202">
        <v>47</v>
      </c>
      <c r="U1202">
        <v>495</v>
      </c>
    </row>
    <row r="1203" spans="1:21" x14ac:dyDescent="0.25">
      <c r="A1203">
        <v>2025</v>
      </c>
      <c r="B1203">
        <v>7</v>
      </c>
      <c r="C1203" t="s">
        <v>49</v>
      </c>
      <c r="D1203" t="s">
        <v>45</v>
      </c>
      <c r="E1203" t="s">
        <v>50</v>
      </c>
      <c r="F1203" t="s">
        <v>24</v>
      </c>
      <c r="G1203" t="s">
        <v>25</v>
      </c>
      <c r="H1203" t="s">
        <v>26</v>
      </c>
      <c r="I1203" t="s">
        <v>25</v>
      </c>
      <c r="J1203">
        <v>62</v>
      </c>
      <c r="K1203">
        <v>4</v>
      </c>
      <c r="L1203">
        <v>7</v>
      </c>
      <c r="M1203">
        <v>11</v>
      </c>
      <c r="N1203">
        <v>29</v>
      </c>
      <c r="O1203">
        <v>25</v>
      </c>
      <c r="P1203">
        <v>24</v>
      </c>
      <c r="Q1203">
        <v>19</v>
      </c>
      <c r="R1203">
        <v>17</v>
      </c>
      <c r="S1203">
        <v>12</v>
      </c>
      <c r="T1203">
        <v>7</v>
      </c>
      <c r="U1203">
        <v>56</v>
      </c>
    </row>
    <row r="1204" spans="1:21" x14ac:dyDescent="0.25">
      <c r="A1204">
        <v>2025</v>
      </c>
      <c r="B1204">
        <v>7</v>
      </c>
      <c r="C1204" t="s">
        <v>51</v>
      </c>
      <c r="D1204" t="s">
        <v>22</v>
      </c>
      <c r="E1204" t="s">
        <v>31</v>
      </c>
      <c r="F1204" t="s">
        <v>24</v>
      </c>
      <c r="G1204" t="s">
        <v>25</v>
      </c>
      <c r="H1204" t="s">
        <v>25</v>
      </c>
      <c r="I1204" t="s">
        <v>25</v>
      </c>
      <c r="J1204">
        <v>185</v>
      </c>
      <c r="K1204">
        <v>0</v>
      </c>
      <c r="L1204">
        <v>0</v>
      </c>
      <c r="M1204">
        <v>0</v>
      </c>
      <c r="N1204">
        <v>2</v>
      </c>
      <c r="O1204">
        <v>2</v>
      </c>
      <c r="P1204">
        <v>2</v>
      </c>
      <c r="Q1204">
        <v>1</v>
      </c>
      <c r="R1204">
        <v>1</v>
      </c>
      <c r="S1204">
        <v>1</v>
      </c>
      <c r="T1204">
        <v>1</v>
      </c>
      <c r="U1204">
        <v>185</v>
      </c>
    </row>
    <row r="1205" spans="1:21" x14ac:dyDescent="0.25">
      <c r="A1205">
        <v>2025</v>
      </c>
      <c r="B1205">
        <v>7</v>
      </c>
      <c r="C1205" t="s">
        <v>51</v>
      </c>
      <c r="D1205" t="s">
        <v>22</v>
      </c>
      <c r="E1205" t="s">
        <v>34</v>
      </c>
      <c r="F1205" t="s">
        <v>24</v>
      </c>
      <c r="G1205" t="s">
        <v>25</v>
      </c>
      <c r="H1205" t="s">
        <v>26</v>
      </c>
      <c r="I1205" t="s">
        <v>26</v>
      </c>
      <c r="J1205">
        <v>144</v>
      </c>
      <c r="K1205">
        <v>0</v>
      </c>
      <c r="L1205">
        <v>0</v>
      </c>
      <c r="M1205">
        <v>0</v>
      </c>
      <c r="N1205">
        <v>10</v>
      </c>
      <c r="O1205">
        <v>9</v>
      </c>
      <c r="P1205">
        <v>9</v>
      </c>
      <c r="Q1205">
        <v>7</v>
      </c>
      <c r="R1205">
        <v>5</v>
      </c>
      <c r="S1205">
        <v>4</v>
      </c>
      <c r="T1205">
        <v>2</v>
      </c>
      <c r="U1205">
        <v>144</v>
      </c>
    </row>
    <row r="1206" spans="1:21" x14ac:dyDescent="0.25">
      <c r="A1206">
        <v>2025</v>
      </c>
      <c r="B1206">
        <v>7</v>
      </c>
      <c r="C1206" t="s">
        <v>52</v>
      </c>
      <c r="D1206" t="s">
        <v>22</v>
      </c>
      <c r="E1206" t="s">
        <v>31</v>
      </c>
      <c r="F1206" t="s">
        <v>24</v>
      </c>
      <c r="G1206" t="s">
        <v>25</v>
      </c>
      <c r="H1206" t="s">
        <v>25</v>
      </c>
      <c r="I1206" t="s">
        <v>25</v>
      </c>
      <c r="J1206">
        <v>124</v>
      </c>
      <c r="K1206">
        <v>0</v>
      </c>
      <c r="L1206">
        <v>0</v>
      </c>
      <c r="M1206">
        <v>0</v>
      </c>
      <c r="N1206">
        <v>6</v>
      </c>
      <c r="O1206">
        <v>3</v>
      </c>
      <c r="P1206">
        <v>2</v>
      </c>
      <c r="Q1206">
        <v>1</v>
      </c>
      <c r="R1206">
        <v>1</v>
      </c>
      <c r="S1206">
        <v>0</v>
      </c>
      <c r="T1206">
        <v>0</v>
      </c>
      <c r="U1206">
        <v>124</v>
      </c>
    </row>
    <row r="1207" spans="1:21" x14ac:dyDescent="0.25">
      <c r="A1207">
        <v>2025</v>
      </c>
      <c r="B1207">
        <v>7</v>
      </c>
      <c r="C1207" t="s">
        <v>52</v>
      </c>
      <c r="D1207" t="s">
        <v>22</v>
      </c>
      <c r="E1207" t="s">
        <v>32</v>
      </c>
      <c r="F1207" t="s">
        <v>24</v>
      </c>
      <c r="G1207" t="s">
        <v>25</v>
      </c>
      <c r="H1207" t="s">
        <v>26</v>
      </c>
      <c r="I1207" t="s">
        <v>25</v>
      </c>
      <c r="J1207">
        <v>550</v>
      </c>
      <c r="K1207">
        <v>0</v>
      </c>
      <c r="L1207">
        <v>0</v>
      </c>
      <c r="M1207">
        <v>0</v>
      </c>
      <c r="N1207">
        <v>118</v>
      </c>
      <c r="O1207">
        <v>108</v>
      </c>
      <c r="P1207">
        <v>104</v>
      </c>
      <c r="Q1207">
        <v>89</v>
      </c>
      <c r="R1207">
        <v>74</v>
      </c>
      <c r="S1207">
        <v>41</v>
      </c>
      <c r="T1207">
        <v>11</v>
      </c>
      <c r="U1207">
        <v>550</v>
      </c>
    </row>
    <row r="1208" spans="1:21" x14ac:dyDescent="0.25">
      <c r="A1208">
        <v>2025</v>
      </c>
      <c r="B1208">
        <v>7</v>
      </c>
      <c r="C1208" t="s">
        <v>52</v>
      </c>
      <c r="D1208" t="s">
        <v>22</v>
      </c>
      <c r="E1208" t="s">
        <v>34</v>
      </c>
      <c r="F1208" t="s">
        <v>24</v>
      </c>
      <c r="G1208" t="s">
        <v>25</v>
      </c>
      <c r="H1208" t="s">
        <v>26</v>
      </c>
      <c r="I1208" t="s">
        <v>26</v>
      </c>
      <c r="J1208">
        <v>180</v>
      </c>
      <c r="K1208">
        <v>1</v>
      </c>
      <c r="L1208">
        <v>0</v>
      </c>
      <c r="M1208">
        <v>1</v>
      </c>
      <c r="N1208">
        <v>11</v>
      </c>
      <c r="O1208">
        <v>9</v>
      </c>
      <c r="P1208">
        <v>8</v>
      </c>
      <c r="Q1208">
        <v>7</v>
      </c>
      <c r="R1208">
        <v>6</v>
      </c>
      <c r="S1208">
        <v>4</v>
      </c>
      <c r="T1208">
        <v>3</v>
      </c>
      <c r="U1208">
        <v>179</v>
      </c>
    </row>
    <row r="1209" spans="1:21" x14ac:dyDescent="0.25">
      <c r="A1209">
        <v>2025</v>
      </c>
      <c r="B1209">
        <v>7</v>
      </c>
      <c r="C1209" t="s">
        <v>52</v>
      </c>
      <c r="D1209" t="s">
        <v>22</v>
      </c>
      <c r="E1209" t="s">
        <v>23</v>
      </c>
      <c r="F1209" t="s">
        <v>24</v>
      </c>
      <c r="G1209" t="s">
        <v>25</v>
      </c>
      <c r="H1209" t="s">
        <v>26</v>
      </c>
      <c r="I1209" t="s">
        <v>25</v>
      </c>
      <c r="J1209">
        <v>150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150</v>
      </c>
    </row>
    <row r="1210" spans="1:21" x14ac:dyDescent="0.25">
      <c r="A1210">
        <v>2025</v>
      </c>
      <c r="B1210">
        <v>7</v>
      </c>
      <c r="C1210" t="s">
        <v>52</v>
      </c>
      <c r="D1210" t="s">
        <v>22</v>
      </c>
      <c r="E1210" t="s">
        <v>41</v>
      </c>
      <c r="F1210" t="s">
        <v>24</v>
      </c>
      <c r="G1210" t="s">
        <v>26</v>
      </c>
      <c r="H1210" t="s">
        <v>26</v>
      </c>
      <c r="I1210" t="s">
        <v>25</v>
      </c>
      <c r="J1210">
        <v>496</v>
      </c>
      <c r="K1210">
        <v>0</v>
      </c>
      <c r="L1210">
        <v>0</v>
      </c>
      <c r="M1210">
        <v>0</v>
      </c>
      <c r="N1210">
        <v>248</v>
      </c>
      <c r="O1210">
        <v>221</v>
      </c>
      <c r="P1210">
        <v>202</v>
      </c>
      <c r="Q1210">
        <v>151</v>
      </c>
      <c r="R1210">
        <v>106</v>
      </c>
      <c r="S1210">
        <v>42</v>
      </c>
      <c r="T1210">
        <v>6</v>
      </c>
      <c r="U1210">
        <v>496</v>
      </c>
    </row>
    <row r="1211" spans="1:21" x14ac:dyDescent="0.25">
      <c r="A1211">
        <v>2025</v>
      </c>
      <c r="B1211">
        <v>7</v>
      </c>
      <c r="C1211" t="s">
        <v>53</v>
      </c>
      <c r="D1211" t="s">
        <v>22</v>
      </c>
      <c r="E1211" t="s">
        <v>54</v>
      </c>
      <c r="F1211" t="s">
        <v>24</v>
      </c>
      <c r="G1211" t="s">
        <v>25</v>
      </c>
      <c r="H1211" t="s">
        <v>26</v>
      </c>
      <c r="I1211" t="s">
        <v>25</v>
      </c>
      <c r="J1211">
        <v>846</v>
      </c>
      <c r="K1211">
        <v>13</v>
      </c>
      <c r="L1211">
        <v>2</v>
      </c>
      <c r="M1211">
        <v>15</v>
      </c>
      <c r="N1211">
        <v>45</v>
      </c>
      <c r="O1211">
        <v>30</v>
      </c>
      <c r="P1211">
        <v>25</v>
      </c>
      <c r="Q1211">
        <v>16</v>
      </c>
      <c r="R1211">
        <v>12</v>
      </c>
      <c r="S1211">
        <v>3</v>
      </c>
      <c r="T1211">
        <v>0</v>
      </c>
      <c r="U1211">
        <v>833</v>
      </c>
    </row>
    <row r="1212" spans="1:21" x14ac:dyDescent="0.25">
      <c r="A1212">
        <v>2025</v>
      </c>
      <c r="B1212">
        <v>7</v>
      </c>
      <c r="C1212" t="s">
        <v>53</v>
      </c>
      <c r="D1212" t="s">
        <v>22</v>
      </c>
      <c r="E1212" t="s">
        <v>55</v>
      </c>
      <c r="F1212" t="s">
        <v>28</v>
      </c>
      <c r="G1212" t="s">
        <v>25</v>
      </c>
      <c r="H1212" t="s">
        <v>26</v>
      </c>
      <c r="I1212" t="s">
        <v>25</v>
      </c>
      <c r="J1212">
        <v>13</v>
      </c>
      <c r="K1212">
        <v>0</v>
      </c>
      <c r="L1212">
        <v>2</v>
      </c>
      <c r="M1212">
        <v>2</v>
      </c>
      <c r="N1212">
        <v>1</v>
      </c>
      <c r="O1212">
        <v>1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11</v>
      </c>
    </row>
    <row r="1213" spans="1:21" x14ac:dyDescent="0.25">
      <c r="A1213">
        <v>2025</v>
      </c>
      <c r="B1213">
        <v>7</v>
      </c>
      <c r="C1213" t="s">
        <v>53</v>
      </c>
      <c r="D1213" t="s">
        <v>22</v>
      </c>
      <c r="E1213" t="s">
        <v>23</v>
      </c>
      <c r="F1213" t="s">
        <v>28</v>
      </c>
      <c r="G1213" t="s">
        <v>25</v>
      </c>
      <c r="H1213" t="s">
        <v>26</v>
      </c>
      <c r="I1213" t="s">
        <v>25</v>
      </c>
      <c r="J1213">
        <v>36144</v>
      </c>
      <c r="K1213">
        <v>0</v>
      </c>
      <c r="L1213">
        <v>3385</v>
      </c>
      <c r="M1213">
        <v>3385</v>
      </c>
      <c r="N1213">
        <v>3792</v>
      </c>
      <c r="O1213">
        <v>2245</v>
      </c>
      <c r="P1213">
        <v>1773</v>
      </c>
      <c r="Q1213">
        <v>916</v>
      </c>
      <c r="R1213">
        <v>435</v>
      </c>
      <c r="S1213">
        <v>67</v>
      </c>
      <c r="T1213">
        <v>2</v>
      </c>
      <c r="U1213">
        <v>33540</v>
      </c>
    </row>
    <row r="1214" spans="1:21" x14ac:dyDescent="0.25">
      <c r="A1214">
        <v>2025</v>
      </c>
      <c r="B1214">
        <v>7</v>
      </c>
      <c r="C1214" t="s">
        <v>53</v>
      </c>
      <c r="D1214" t="s">
        <v>22</v>
      </c>
      <c r="E1214" t="s">
        <v>23</v>
      </c>
      <c r="F1214" t="s">
        <v>24</v>
      </c>
      <c r="G1214" t="s">
        <v>25</v>
      </c>
      <c r="H1214" t="s">
        <v>26</v>
      </c>
      <c r="I1214" t="s">
        <v>25</v>
      </c>
      <c r="J1214">
        <v>499</v>
      </c>
      <c r="K1214">
        <v>19</v>
      </c>
      <c r="L1214">
        <v>5</v>
      </c>
      <c r="M1214">
        <v>24</v>
      </c>
      <c r="N1214">
        <v>207</v>
      </c>
      <c r="O1214">
        <v>183</v>
      </c>
      <c r="P1214">
        <v>178</v>
      </c>
      <c r="Q1214">
        <v>169</v>
      </c>
      <c r="R1214">
        <v>132</v>
      </c>
      <c r="S1214">
        <v>60</v>
      </c>
      <c r="T1214">
        <v>16</v>
      </c>
      <c r="U1214">
        <v>476</v>
      </c>
    </row>
    <row r="1215" spans="1:21" x14ac:dyDescent="0.25">
      <c r="A1215">
        <v>2025</v>
      </c>
      <c r="B1215">
        <v>7</v>
      </c>
      <c r="C1215" t="s">
        <v>53</v>
      </c>
      <c r="D1215" t="s">
        <v>22</v>
      </c>
      <c r="E1215" t="s">
        <v>56</v>
      </c>
      <c r="F1215" t="s">
        <v>28</v>
      </c>
      <c r="G1215" t="s">
        <v>25</v>
      </c>
      <c r="H1215" t="s">
        <v>26</v>
      </c>
      <c r="I1215" t="s">
        <v>25</v>
      </c>
      <c r="J1215">
        <v>3601</v>
      </c>
      <c r="K1215">
        <v>0</v>
      </c>
      <c r="L1215">
        <v>716</v>
      </c>
      <c r="M1215">
        <v>716</v>
      </c>
      <c r="N1215">
        <v>451</v>
      </c>
      <c r="O1215">
        <v>289</v>
      </c>
      <c r="P1215">
        <v>251</v>
      </c>
      <c r="Q1215">
        <v>160</v>
      </c>
      <c r="R1215">
        <v>86</v>
      </c>
      <c r="S1215">
        <v>8</v>
      </c>
      <c r="T1215">
        <v>0</v>
      </c>
      <c r="U1215">
        <v>3132</v>
      </c>
    </row>
    <row r="1216" spans="1:21" x14ac:dyDescent="0.25">
      <c r="A1216">
        <v>2025</v>
      </c>
      <c r="B1216">
        <v>7</v>
      </c>
      <c r="C1216" t="s">
        <v>53</v>
      </c>
      <c r="D1216" t="s">
        <v>22</v>
      </c>
      <c r="E1216" t="s">
        <v>39</v>
      </c>
      <c r="F1216" t="s">
        <v>24</v>
      </c>
      <c r="G1216" t="s">
        <v>26</v>
      </c>
      <c r="H1216" t="s">
        <v>26</v>
      </c>
      <c r="I1216" t="s">
        <v>25</v>
      </c>
      <c r="J1216">
        <v>466</v>
      </c>
      <c r="K1216">
        <v>5</v>
      </c>
      <c r="L1216">
        <v>4</v>
      </c>
      <c r="M1216">
        <v>9</v>
      </c>
      <c r="N1216">
        <v>184</v>
      </c>
      <c r="O1216">
        <v>166</v>
      </c>
      <c r="P1216">
        <v>159</v>
      </c>
      <c r="Q1216">
        <v>131</v>
      </c>
      <c r="R1216">
        <v>103</v>
      </c>
      <c r="S1216">
        <v>55</v>
      </c>
      <c r="T1216">
        <v>14</v>
      </c>
      <c r="U1216">
        <v>459</v>
      </c>
    </row>
    <row r="1217" spans="1:21" x14ac:dyDescent="0.25">
      <c r="A1217">
        <v>2025</v>
      </c>
      <c r="B1217">
        <v>7</v>
      </c>
      <c r="C1217" t="s">
        <v>53</v>
      </c>
      <c r="D1217" t="s">
        <v>22</v>
      </c>
      <c r="E1217" t="s">
        <v>35</v>
      </c>
      <c r="F1217" t="s">
        <v>24</v>
      </c>
      <c r="G1217" t="s">
        <v>25</v>
      </c>
      <c r="H1217" t="s">
        <v>26</v>
      </c>
      <c r="I1217" t="s">
        <v>26</v>
      </c>
      <c r="J1217">
        <v>186</v>
      </c>
      <c r="K1217">
        <v>6</v>
      </c>
      <c r="L1217">
        <v>0</v>
      </c>
      <c r="M1217">
        <v>6</v>
      </c>
      <c r="N1217">
        <v>116</v>
      </c>
      <c r="O1217">
        <v>102</v>
      </c>
      <c r="P1217">
        <v>93</v>
      </c>
      <c r="Q1217">
        <v>85</v>
      </c>
      <c r="R1217">
        <v>73</v>
      </c>
      <c r="S1217">
        <v>60</v>
      </c>
      <c r="T1217">
        <v>29</v>
      </c>
      <c r="U1217">
        <v>180</v>
      </c>
    </row>
    <row r="1218" spans="1:21" x14ac:dyDescent="0.25">
      <c r="A1218">
        <v>2025</v>
      </c>
      <c r="B1218">
        <v>7</v>
      </c>
      <c r="C1218" t="s">
        <v>53</v>
      </c>
      <c r="D1218" t="s">
        <v>22</v>
      </c>
      <c r="E1218" t="s">
        <v>57</v>
      </c>
      <c r="F1218" t="s">
        <v>28</v>
      </c>
      <c r="G1218" t="s">
        <v>25</v>
      </c>
      <c r="H1218" t="s">
        <v>26</v>
      </c>
      <c r="I1218" t="s">
        <v>26</v>
      </c>
      <c r="J1218">
        <v>15</v>
      </c>
      <c r="K1218">
        <v>0</v>
      </c>
      <c r="L1218">
        <v>2</v>
      </c>
      <c r="M1218">
        <v>2</v>
      </c>
      <c r="N1218">
        <v>6</v>
      </c>
      <c r="O1218">
        <v>2</v>
      </c>
      <c r="P1218">
        <v>1</v>
      </c>
      <c r="Q1218">
        <v>0</v>
      </c>
      <c r="R1218">
        <v>0</v>
      </c>
      <c r="S1218">
        <v>0</v>
      </c>
      <c r="T1218">
        <v>0</v>
      </c>
      <c r="U1218">
        <v>14</v>
      </c>
    </row>
    <row r="1219" spans="1:21" x14ac:dyDescent="0.25">
      <c r="A1219">
        <v>2025</v>
      </c>
      <c r="B1219">
        <v>7</v>
      </c>
      <c r="C1219" t="s">
        <v>53</v>
      </c>
      <c r="D1219" t="s">
        <v>22</v>
      </c>
      <c r="E1219" t="s">
        <v>58</v>
      </c>
      <c r="F1219" t="s">
        <v>28</v>
      </c>
      <c r="G1219" t="s">
        <v>25</v>
      </c>
      <c r="H1219" t="s">
        <v>25</v>
      </c>
      <c r="I1219" t="s">
        <v>25</v>
      </c>
      <c r="J1219">
        <v>3732</v>
      </c>
      <c r="K1219">
        <v>0</v>
      </c>
      <c r="L1219">
        <v>94</v>
      </c>
      <c r="M1219">
        <v>94</v>
      </c>
      <c r="N1219">
        <v>269</v>
      </c>
      <c r="O1219">
        <v>114</v>
      </c>
      <c r="P1219">
        <v>84</v>
      </c>
      <c r="Q1219">
        <v>30</v>
      </c>
      <c r="R1219">
        <v>13</v>
      </c>
      <c r="S1219">
        <v>1</v>
      </c>
      <c r="T1219">
        <v>0</v>
      </c>
      <c r="U1219">
        <v>3660</v>
      </c>
    </row>
    <row r="1220" spans="1:21" x14ac:dyDescent="0.25">
      <c r="A1220">
        <v>2025</v>
      </c>
      <c r="B1220">
        <v>7</v>
      </c>
      <c r="C1220" t="s">
        <v>53</v>
      </c>
      <c r="D1220" t="s">
        <v>22</v>
      </c>
      <c r="E1220" t="s">
        <v>59</v>
      </c>
      <c r="F1220" t="s">
        <v>28</v>
      </c>
      <c r="G1220" t="s">
        <v>25</v>
      </c>
      <c r="H1220" t="s">
        <v>25</v>
      </c>
      <c r="I1220" t="s">
        <v>25</v>
      </c>
      <c r="J1220">
        <v>78112</v>
      </c>
      <c r="K1220">
        <v>0</v>
      </c>
      <c r="L1220">
        <v>3262</v>
      </c>
      <c r="M1220">
        <v>3262</v>
      </c>
      <c r="N1220">
        <v>4510</v>
      </c>
      <c r="O1220">
        <v>2075</v>
      </c>
      <c r="P1220">
        <v>1501</v>
      </c>
      <c r="Q1220">
        <v>584</v>
      </c>
      <c r="R1220">
        <v>228</v>
      </c>
      <c r="S1220">
        <v>36</v>
      </c>
      <c r="T1220">
        <v>2</v>
      </c>
      <c r="U1220">
        <v>75593</v>
      </c>
    </row>
    <row r="1221" spans="1:21" x14ac:dyDescent="0.25">
      <c r="A1221">
        <v>2025</v>
      </c>
      <c r="B1221">
        <v>7</v>
      </c>
      <c r="C1221" t="s">
        <v>53</v>
      </c>
      <c r="D1221" t="s">
        <v>22</v>
      </c>
      <c r="E1221" t="s">
        <v>60</v>
      </c>
      <c r="F1221" t="s">
        <v>28</v>
      </c>
      <c r="G1221" t="s">
        <v>25</v>
      </c>
      <c r="H1221" t="s">
        <v>25</v>
      </c>
      <c r="I1221" t="s">
        <v>25</v>
      </c>
      <c r="J1221">
        <v>36189</v>
      </c>
      <c r="K1221">
        <v>0</v>
      </c>
      <c r="L1221">
        <v>1186</v>
      </c>
      <c r="M1221">
        <v>1186</v>
      </c>
      <c r="N1221">
        <v>1788</v>
      </c>
      <c r="O1221">
        <v>739</v>
      </c>
      <c r="P1221">
        <v>524</v>
      </c>
      <c r="Q1221">
        <v>184</v>
      </c>
      <c r="R1221">
        <v>74</v>
      </c>
      <c r="S1221">
        <v>10</v>
      </c>
      <c r="T1221">
        <v>0</v>
      </c>
      <c r="U1221">
        <v>35245</v>
      </c>
    </row>
    <row r="1222" spans="1:21" x14ac:dyDescent="0.25">
      <c r="A1222">
        <v>2025</v>
      </c>
      <c r="B1222">
        <v>7</v>
      </c>
      <c r="C1222" t="s">
        <v>61</v>
      </c>
      <c r="D1222" t="s">
        <v>22</v>
      </c>
      <c r="E1222" t="s">
        <v>31</v>
      </c>
      <c r="F1222" t="s">
        <v>28</v>
      </c>
      <c r="G1222" t="s">
        <v>25</v>
      </c>
      <c r="H1222" t="s">
        <v>26</v>
      </c>
      <c r="I1222" t="s">
        <v>25</v>
      </c>
      <c r="J1222">
        <v>542</v>
      </c>
      <c r="K1222">
        <v>1</v>
      </c>
      <c r="L1222">
        <v>4</v>
      </c>
      <c r="M1222">
        <v>5</v>
      </c>
      <c r="N1222">
        <v>108</v>
      </c>
      <c r="O1222">
        <v>74</v>
      </c>
      <c r="P1222">
        <v>64</v>
      </c>
      <c r="Q1222">
        <v>40</v>
      </c>
      <c r="R1222">
        <v>26</v>
      </c>
      <c r="S1222">
        <v>12</v>
      </c>
      <c r="T1222">
        <v>3</v>
      </c>
      <c r="U1222">
        <v>539</v>
      </c>
    </row>
    <row r="1223" spans="1:21" x14ac:dyDescent="0.25">
      <c r="A1223">
        <v>2025</v>
      </c>
      <c r="B1223">
        <v>7</v>
      </c>
      <c r="C1223" t="s">
        <v>61</v>
      </c>
      <c r="D1223" t="s">
        <v>22</v>
      </c>
      <c r="E1223" t="s">
        <v>31</v>
      </c>
      <c r="F1223" t="s">
        <v>24</v>
      </c>
      <c r="G1223" t="s">
        <v>25</v>
      </c>
      <c r="H1223" t="s">
        <v>26</v>
      </c>
      <c r="I1223" t="s">
        <v>25</v>
      </c>
      <c r="J1223">
        <v>946</v>
      </c>
      <c r="K1223">
        <v>0</v>
      </c>
      <c r="L1223">
        <v>2</v>
      </c>
      <c r="M1223">
        <v>2</v>
      </c>
      <c r="N1223">
        <v>222</v>
      </c>
      <c r="O1223">
        <v>157</v>
      </c>
      <c r="P1223">
        <v>137</v>
      </c>
      <c r="Q1223">
        <v>88</v>
      </c>
      <c r="R1223">
        <v>57</v>
      </c>
      <c r="S1223">
        <v>21</v>
      </c>
      <c r="T1223">
        <v>7</v>
      </c>
      <c r="U1223">
        <v>946</v>
      </c>
    </row>
    <row r="1224" spans="1:21" x14ac:dyDescent="0.25">
      <c r="A1224">
        <v>2025</v>
      </c>
      <c r="B1224">
        <v>7</v>
      </c>
      <c r="C1224" t="s">
        <v>61</v>
      </c>
      <c r="D1224" t="s">
        <v>22</v>
      </c>
      <c r="E1224" t="s">
        <v>32</v>
      </c>
      <c r="F1224" t="s">
        <v>24</v>
      </c>
      <c r="G1224" t="s">
        <v>25</v>
      </c>
      <c r="H1224" t="s">
        <v>26</v>
      </c>
      <c r="I1224" t="s">
        <v>25</v>
      </c>
      <c r="J1224">
        <v>1607</v>
      </c>
      <c r="K1224">
        <v>9</v>
      </c>
      <c r="L1224">
        <v>1</v>
      </c>
      <c r="M1224">
        <v>10</v>
      </c>
      <c r="N1224">
        <v>747</v>
      </c>
      <c r="O1224">
        <v>616</v>
      </c>
      <c r="P1224">
        <v>572</v>
      </c>
      <c r="Q1224">
        <v>442</v>
      </c>
      <c r="R1224">
        <v>325</v>
      </c>
      <c r="S1224">
        <v>125</v>
      </c>
      <c r="T1224">
        <v>54</v>
      </c>
      <c r="U1224">
        <v>1597</v>
      </c>
    </row>
    <row r="1225" spans="1:21" x14ac:dyDescent="0.25">
      <c r="A1225">
        <v>2025</v>
      </c>
      <c r="B1225">
        <v>7</v>
      </c>
      <c r="C1225" t="s">
        <v>61</v>
      </c>
      <c r="D1225" t="s">
        <v>22</v>
      </c>
      <c r="E1225" t="s">
        <v>34</v>
      </c>
      <c r="F1225" t="s">
        <v>28</v>
      </c>
      <c r="G1225" t="s">
        <v>25</v>
      </c>
      <c r="H1225" t="s">
        <v>26</v>
      </c>
      <c r="I1225" t="s">
        <v>26</v>
      </c>
      <c r="J1225">
        <v>17</v>
      </c>
      <c r="K1225">
        <v>0</v>
      </c>
      <c r="L1225">
        <v>0</v>
      </c>
      <c r="M1225">
        <v>0</v>
      </c>
      <c r="N1225">
        <v>1</v>
      </c>
      <c r="O1225">
        <v>1</v>
      </c>
      <c r="P1225">
        <v>1</v>
      </c>
      <c r="Q1225">
        <v>1</v>
      </c>
      <c r="R1225">
        <v>1</v>
      </c>
      <c r="S1225">
        <v>1</v>
      </c>
      <c r="T1225">
        <v>0</v>
      </c>
      <c r="U1225">
        <v>17</v>
      </c>
    </row>
    <row r="1226" spans="1:21" x14ac:dyDescent="0.25">
      <c r="A1226">
        <v>2025</v>
      </c>
      <c r="B1226">
        <v>7</v>
      </c>
      <c r="C1226" t="s">
        <v>61</v>
      </c>
      <c r="D1226" t="s">
        <v>22</v>
      </c>
      <c r="E1226" t="s">
        <v>34</v>
      </c>
      <c r="F1226" t="s">
        <v>24</v>
      </c>
      <c r="G1226" t="s">
        <v>25</v>
      </c>
      <c r="H1226" t="s">
        <v>26</v>
      </c>
      <c r="I1226" t="s">
        <v>26</v>
      </c>
      <c r="J1226">
        <v>361</v>
      </c>
      <c r="K1226">
        <v>0</v>
      </c>
      <c r="L1226">
        <v>0</v>
      </c>
      <c r="M1226">
        <v>0</v>
      </c>
      <c r="N1226">
        <v>102</v>
      </c>
      <c r="O1226">
        <v>88</v>
      </c>
      <c r="P1226">
        <v>82</v>
      </c>
      <c r="Q1226">
        <v>67</v>
      </c>
      <c r="R1226">
        <v>54</v>
      </c>
      <c r="S1226">
        <v>39</v>
      </c>
      <c r="T1226">
        <v>26</v>
      </c>
      <c r="U1226">
        <v>361</v>
      </c>
    </row>
    <row r="1227" spans="1:21" x14ac:dyDescent="0.25">
      <c r="A1227">
        <v>2025</v>
      </c>
      <c r="B1227">
        <v>7</v>
      </c>
      <c r="C1227" t="s">
        <v>61</v>
      </c>
      <c r="D1227" t="s">
        <v>22</v>
      </c>
      <c r="E1227" t="s">
        <v>23</v>
      </c>
      <c r="F1227" t="s">
        <v>28</v>
      </c>
      <c r="G1227" t="s">
        <v>25</v>
      </c>
      <c r="H1227" t="s">
        <v>26</v>
      </c>
      <c r="I1227" t="s">
        <v>25</v>
      </c>
      <c r="J1227">
        <v>1570</v>
      </c>
      <c r="K1227">
        <v>5</v>
      </c>
      <c r="L1227">
        <v>110</v>
      </c>
      <c r="M1227">
        <v>115</v>
      </c>
      <c r="N1227">
        <v>255</v>
      </c>
      <c r="O1227">
        <v>172</v>
      </c>
      <c r="P1227">
        <v>152</v>
      </c>
      <c r="Q1227">
        <v>107</v>
      </c>
      <c r="R1227">
        <v>75</v>
      </c>
      <c r="S1227">
        <v>34</v>
      </c>
      <c r="T1227">
        <v>16</v>
      </c>
      <c r="U1227">
        <v>1503</v>
      </c>
    </row>
    <row r="1228" spans="1:21" x14ac:dyDescent="0.25">
      <c r="A1228">
        <v>2025</v>
      </c>
      <c r="B1228">
        <v>7</v>
      </c>
      <c r="C1228" t="s">
        <v>61</v>
      </c>
      <c r="D1228" t="s">
        <v>22</v>
      </c>
      <c r="E1228" t="s">
        <v>23</v>
      </c>
      <c r="F1228" t="s">
        <v>24</v>
      </c>
      <c r="G1228" t="s">
        <v>25</v>
      </c>
      <c r="H1228" t="s">
        <v>26</v>
      </c>
      <c r="I1228" t="s">
        <v>25</v>
      </c>
      <c r="J1228">
        <v>474</v>
      </c>
      <c r="K1228">
        <v>4</v>
      </c>
      <c r="L1228">
        <v>1</v>
      </c>
      <c r="M1228">
        <v>5</v>
      </c>
      <c r="N1228">
        <v>50</v>
      </c>
      <c r="O1228">
        <v>41</v>
      </c>
      <c r="P1228">
        <v>39</v>
      </c>
      <c r="Q1228">
        <v>33</v>
      </c>
      <c r="R1228">
        <v>27</v>
      </c>
      <c r="S1228">
        <v>11</v>
      </c>
      <c r="T1228">
        <v>7</v>
      </c>
      <c r="U1228">
        <v>470</v>
      </c>
    </row>
    <row r="1229" spans="1:21" x14ac:dyDescent="0.25">
      <c r="A1229">
        <v>2025</v>
      </c>
      <c r="B1229">
        <v>7</v>
      </c>
      <c r="C1229" t="s">
        <v>61</v>
      </c>
      <c r="D1229" t="s">
        <v>22</v>
      </c>
      <c r="E1229" t="s">
        <v>39</v>
      </c>
      <c r="F1229" t="s">
        <v>28</v>
      </c>
      <c r="G1229" t="s">
        <v>26</v>
      </c>
      <c r="H1229" t="s">
        <v>26</v>
      </c>
      <c r="I1229" t="s">
        <v>25</v>
      </c>
      <c r="J1229">
        <v>31</v>
      </c>
      <c r="K1229">
        <v>0</v>
      </c>
      <c r="L1229">
        <v>0</v>
      </c>
      <c r="M1229">
        <v>0</v>
      </c>
      <c r="N1229">
        <v>7</v>
      </c>
      <c r="O1229">
        <v>2</v>
      </c>
      <c r="P1229">
        <v>2</v>
      </c>
      <c r="Q1229">
        <v>2</v>
      </c>
      <c r="R1229">
        <v>2</v>
      </c>
      <c r="S1229">
        <v>2</v>
      </c>
      <c r="T1229">
        <v>0</v>
      </c>
      <c r="U1229">
        <v>31</v>
      </c>
    </row>
    <row r="1230" spans="1:21" x14ac:dyDescent="0.25">
      <c r="A1230">
        <v>2025</v>
      </c>
      <c r="B1230">
        <v>7</v>
      </c>
      <c r="C1230" t="s">
        <v>61</v>
      </c>
      <c r="D1230" t="s">
        <v>22</v>
      </c>
      <c r="E1230" t="s">
        <v>39</v>
      </c>
      <c r="F1230" t="s">
        <v>24</v>
      </c>
      <c r="G1230" t="s">
        <v>26</v>
      </c>
      <c r="H1230" t="s">
        <v>26</v>
      </c>
      <c r="I1230" t="s">
        <v>25</v>
      </c>
      <c r="J1230">
        <v>762</v>
      </c>
      <c r="K1230">
        <v>30</v>
      </c>
      <c r="L1230">
        <v>1</v>
      </c>
      <c r="M1230">
        <v>31</v>
      </c>
      <c r="N1230">
        <v>298</v>
      </c>
      <c r="O1230">
        <v>262</v>
      </c>
      <c r="P1230">
        <v>236</v>
      </c>
      <c r="Q1230">
        <v>199</v>
      </c>
      <c r="R1230">
        <v>161</v>
      </c>
      <c r="S1230">
        <v>91</v>
      </c>
      <c r="T1230">
        <v>42</v>
      </c>
      <c r="U1230">
        <v>731</v>
      </c>
    </row>
    <row r="1231" spans="1:21" x14ac:dyDescent="0.25">
      <c r="A1231">
        <v>2025</v>
      </c>
      <c r="B1231">
        <v>7</v>
      </c>
      <c r="C1231" t="s">
        <v>61</v>
      </c>
      <c r="D1231" t="s">
        <v>22</v>
      </c>
      <c r="E1231" t="s">
        <v>35</v>
      </c>
      <c r="F1231" t="s">
        <v>28</v>
      </c>
      <c r="G1231" t="s">
        <v>25</v>
      </c>
      <c r="H1231" t="s">
        <v>26</v>
      </c>
      <c r="I1231" t="s">
        <v>26</v>
      </c>
      <c r="J1231">
        <v>62</v>
      </c>
      <c r="K1231">
        <v>0</v>
      </c>
      <c r="L1231">
        <v>1</v>
      </c>
      <c r="M1231">
        <v>1</v>
      </c>
      <c r="N1231">
        <v>12</v>
      </c>
      <c r="O1231">
        <v>9</v>
      </c>
      <c r="P1231">
        <v>9</v>
      </c>
      <c r="Q1231">
        <v>7</v>
      </c>
      <c r="R1231">
        <v>5</v>
      </c>
      <c r="S1231">
        <v>3</v>
      </c>
      <c r="T1231">
        <v>1</v>
      </c>
      <c r="U1231">
        <v>62</v>
      </c>
    </row>
    <row r="1232" spans="1:21" x14ac:dyDescent="0.25">
      <c r="A1232">
        <v>2025</v>
      </c>
      <c r="B1232">
        <v>7</v>
      </c>
      <c r="C1232" t="s">
        <v>61</v>
      </c>
      <c r="D1232" t="s">
        <v>22</v>
      </c>
      <c r="E1232" t="s">
        <v>35</v>
      </c>
      <c r="F1232" t="s">
        <v>24</v>
      </c>
      <c r="G1232" t="s">
        <v>25</v>
      </c>
      <c r="H1232" t="s">
        <v>26</v>
      </c>
      <c r="I1232" t="s">
        <v>26</v>
      </c>
      <c r="J1232">
        <v>788</v>
      </c>
      <c r="K1232">
        <v>5</v>
      </c>
      <c r="L1232">
        <v>2</v>
      </c>
      <c r="M1232">
        <v>7</v>
      </c>
      <c r="N1232">
        <v>328</v>
      </c>
      <c r="O1232">
        <v>280</v>
      </c>
      <c r="P1232">
        <v>262</v>
      </c>
      <c r="Q1232">
        <v>231</v>
      </c>
      <c r="R1232">
        <v>197</v>
      </c>
      <c r="S1232">
        <v>149</v>
      </c>
      <c r="T1232">
        <v>101</v>
      </c>
      <c r="U1232">
        <v>781</v>
      </c>
    </row>
    <row r="1233" spans="1:21" x14ac:dyDescent="0.25">
      <c r="A1233">
        <v>2025</v>
      </c>
      <c r="B1233">
        <v>7</v>
      </c>
      <c r="C1233" t="s">
        <v>61</v>
      </c>
      <c r="D1233" t="s">
        <v>22</v>
      </c>
      <c r="E1233" t="s">
        <v>36</v>
      </c>
      <c r="F1233" t="s">
        <v>28</v>
      </c>
      <c r="G1233" t="s">
        <v>25</v>
      </c>
      <c r="H1233" t="s">
        <v>26</v>
      </c>
      <c r="I1233" t="s">
        <v>25</v>
      </c>
      <c r="J1233">
        <v>2062</v>
      </c>
      <c r="K1233">
        <v>1</v>
      </c>
      <c r="L1233">
        <v>32</v>
      </c>
      <c r="M1233">
        <v>33</v>
      </c>
      <c r="N1233">
        <v>416</v>
      </c>
      <c r="O1233">
        <v>280</v>
      </c>
      <c r="P1233">
        <v>223</v>
      </c>
      <c r="Q1233">
        <v>121</v>
      </c>
      <c r="R1233">
        <v>74</v>
      </c>
      <c r="S1233">
        <v>23</v>
      </c>
      <c r="T1233">
        <v>6</v>
      </c>
      <c r="U1233">
        <v>2044</v>
      </c>
    </row>
    <row r="1234" spans="1:21" x14ac:dyDescent="0.25">
      <c r="A1234">
        <v>2025</v>
      </c>
      <c r="B1234">
        <v>7</v>
      </c>
      <c r="C1234" t="s">
        <v>61</v>
      </c>
      <c r="D1234" t="s">
        <v>22</v>
      </c>
      <c r="E1234" t="s">
        <v>36</v>
      </c>
      <c r="F1234" t="s">
        <v>24</v>
      </c>
      <c r="G1234" t="s">
        <v>25</v>
      </c>
      <c r="H1234" t="s">
        <v>26</v>
      </c>
      <c r="I1234" t="s">
        <v>25</v>
      </c>
      <c r="J1234">
        <v>1087</v>
      </c>
      <c r="K1234">
        <v>6</v>
      </c>
      <c r="L1234">
        <v>3</v>
      </c>
      <c r="M1234">
        <v>9</v>
      </c>
      <c r="N1234">
        <v>471</v>
      </c>
      <c r="O1234">
        <v>392</v>
      </c>
      <c r="P1234">
        <v>360</v>
      </c>
      <c r="Q1234">
        <v>266</v>
      </c>
      <c r="R1234">
        <v>200</v>
      </c>
      <c r="S1234">
        <v>103</v>
      </c>
      <c r="T1234">
        <v>41</v>
      </c>
      <c r="U1234">
        <v>1081</v>
      </c>
    </row>
    <row r="1235" spans="1:21" x14ac:dyDescent="0.25">
      <c r="A1235">
        <v>2025</v>
      </c>
      <c r="B1235">
        <v>7</v>
      </c>
      <c r="C1235" t="s">
        <v>61</v>
      </c>
      <c r="D1235" t="s">
        <v>22</v>
      </c>
      <c r="E1235" t="s">
        <v>41</v>
      </c>
      <c r="F1235" t="s">
        <v>28</v>
      </c>
      <c r="G1235" t="s">
        <v>26</v>
      </c>
      <c r="H1235" t="s">
        <v>26</v>
      </c>
      <c r="I1235" t="s">
        <v>25</v>
      </c>
      <c r="J1235">
        <v>923</v>
      </c>
      <c r="K1235">
        <v>1</v>
      </c>
      <c r="L1235">
        <v>15</v>
      </c>
      <c r="M1235">
        <v>16</v>
      </c>
      <c r="N1235">
        <v>345</v>
      </c>
      <c r="O1235">
        <v>285</v>
      </c>
      <c r="P1235">
        <v>262</v>
      </c>
      <c r="Q1235">
        <v>204</v>
      </c>
      <c r="R1235">
        <v>169</v>
      </c>
      <c r="S1235">
        <v>73</v>
      </c>
      <c r="T1235">
        <v>9</v>
      </c>
      <c r="U1235">
        <v>916</v>
      </c>
    </row>
    <row r="1236" spans="1:21" x14ac:dyDescent="0.25">
      <c r="A1236">
        <v>2025</v>
      </c>
      <c r="B1236">
        <v>7</v>
      </c>
      <c r="C1236" t="s">
        <v>61</v>
      </c>
      <c r="D1236" t="s">
        <v>22</v>
      </c>
      <c r="E1236" t="s">
        <v>41</v>
      </c>
      <c r="F1236" t="s">
        <v>24</v>
      </c>
      <c r="G1236" t="s">
        <v>26</v>
      </c>
      <c r="H1236" t="s">
        <v>26</v>
      </c>
      <c r="I1236" t="s">
        <v>25</v>
      </c>
      <c r="J1236">
        <v>1052</v>
      </c>
      <c r="K1236">
        <v>2</v>
      </c>
      <c r="L1236">
        <v>9</v>
      </c>
      <c r="M1236">
        <v>11</v>
      </c>
      <c r="N1236">
        <v>487</v>
      </c>
      <c r="O1236">
        <v>409</v>
      </c>
      <c r="P1236">
        <v>366</v>
      </c>
      <c r="Q1236">
        <v>278</v>
      </c>
      <c r="R1236">
        <v>218</v>
      </c>
      <c r="S1236">
        <v>104</v>
      </c>
      <c r="T1236">
        <v>15</v>
      </c>
      <c r="U1236">
        <v>1047</v>
      </c>
    </row>
    <row r="1237" spans="1:21" x14ac:dyDescent="0.25">
      <c r="A1237">
        <v>2025</v>
      </c>
      <c r="B1237">
        <v>7</v>
      </c>
      <c r="C1237" t="s">
        <v>62</v>
      </c>
      <c r="D1237" t="s">
        <v>22</v>
      </c>
      <c r="E1237" t="s">
        <v>40</v>
      </c>
      <c r="F1237" t="s">
        <v>28</v>
      </c>
      <c r="G1237" t="s">
        <v>25</v>
      </c>
      <c r="H1237" t="s">
        <v>25</v>
      </c>
      <c r="I1237" t="s">
        <v>25</v>
      </c>
      <c r="J1237">
        <v>11351</v>
      </c>
      <c r="K1237">
        <v>17</v>
      </c>
      <c r="L1237">
        <v>234</v>
      </c>
      <c r="M1237">
        <v>251</v>
      </c>
      <c r="N1237">
        <v>13</v>
      </c>
      <c r="O1237">
        <v>8</v>
      </c>
      <c r="P1237">
        <v>7</v>
      </c>
      <c r="Q1237">
        <v>6</v>
      </c>
      <c r="R1237">
        <v>4</v>
      </c>
      <c r="S1237">
        <v>1</v>
      </c>
      <c r="T1237">
        <v>0</v>
      </c>
      <c r="U1237">
        <v>11121</v>
      </c>
    </row>
    <row r="1238" spans="1:21" x14ac:dyDescent="0.25">
      <c r="A1238">
        <v>2025</v>
      </c>
      <c r="B1238">
        <v>7</v>
      </c>
      <c r="C1238" t="s">
        <v>62</v>
      </c>
      <c r="D1238" t="s">
        <v>22</v>
      </c>
      <c r="E1238" t="s">
        <v>40</v>
      </c>
      <c r="F1238" t="s">
        <v>24</v>
      </c>
      <c r="G1238" t="s">
        <v>25</v>
      </c>
      <c r="H1238" t="s">
        <v>25</v>
      </c>
      <c r="I1238" t="s">
        <v>25</v>
      </c>
      <c r="J1238">
        <v>23</v>
      </c>
      <c r="K1238">
        <v>2</v>
      </c>
      <c r="L1238">
        <v>0</v>
      </c>
      <c r="M1238">
        <v>2</v>
      </c>
      <c r="N1238">
        <v>1</v>
      </c>
      <c r="O1238">
        <v>1</v>
      </c>
      <c r="P1238">
        <v>1</v>
      </c>
      <c r="Q1238">
        <v>1</v>
      </c>
      <c r="R1238">
        <v>0</v>
      </c>
      <c r="S1238">
        <v>0</v>
      </c>
      <c r="T1238">
        <v>0</v>
      </c>
      <c r="U1238">
        <v>21</v>
      </c>
    </row>
    <row r="1239" spans="1:21" x14ac:dyDescent="0.25">
      <c r="A1239">
        <v>2025</v>
      </c>
      <c r="B1239">
        <v>7</v>
      </c>
      <c r="C1239" t="s">
        <v>63</v>
      </c>
      <c r="D1239" t="s">
        <v>45</v>
      </c>
      <c r="E1239" t="s">
        <v>64</v>
      </c>
      <c r="F1239" t="s">
        <v>24</v>
      </c>
      <c r="G1239" t="s">
        <v>25</v>
      </c>
      <c r="H1239" t="s">
        <v>25</v>
      </c>
      <c r="I1239" t="s">
        <v>25</v>
      </c>
      <c r="J1239">
        <v>121</v>
      </c>
      <c r="K1239">
        <v>0</v>
      </c>
      <c r="L1239">
        <v>0</v>
      </c>
      <c r="M1239">
        <v>0</v>
      </c>
      <c r="N1239">
        <v>18</v>
      </c>
      <c r="O1239">
        <v>12</v>
      </c>
      <c r="P1239">
        <v>11</v>
      </c>
      <c r="Q1239">
        <v>9</v>
      </c>
      <c r="R1239">
        <v>7</v>
      </c>
      <c r="S1239">
        <v>2</v>
      </c>
      <c r="T1239">
        <v>0</v>
      </c>
      <c r="U1239">
        <v>121</v>
      </c>
    </row>
    <row r="1240" spans="1:21" x14ac:dyDescent="0.25">
      <c r="A1240">
        <v>2025</v>
      </c>
      <c r="B1240">
        <v>7</v>
      </c>
      <c r="C1240" t="s">
        <v>63</v>
      </c>
      <c r="D1240" t="s">
        <v>45</v>
      </c>
      <c r="E1240" t="s">
        <v>65</v>
      </c>
      <c r="F1240" t="s">
        <v>28</v>
      </c>
      <c r="G1240" t="s">
        <v>26</v>
      </c>
      <c r="H1240" t="s">
        <v>26</v>
      </c>
      <c r="I1240" t="s">
        <v>25</v>
      </c>
      <c r="J1240">
        <v>1642</v>
      </c>
      <c r="K1240">
        <v>22</v>
      </c>
      <c r="L1240">
        <v>34</v>
      </c>
      <c r="M1240">
        <v>56</v>
      </c>
      <c r="N1240">
        <v>367</v>
      </c>
      <c r="O1240">
        <v>334</v>
      </c>
      <c r="P1240">
        <v>334</v>
      </c>
      <c r="Q1240">
        <v>244</v>
      </c>
      <c r="R1240">
        <v>201</v>
      </c>
      <c r="S1240">
        <v>119</v>
      </c>
      <c r="T1240">
        <v>54</v>
      </c>
      <c r="U1240">
        <v>1607</v>
      </c>
    </row>
    <row r="1241" spans="1:21" x14ac:dyDescent="0.25">
      <c r="A1241">
        <v>2025</v>
      </c>
      <c r="B1241">
        <v>7</v>
      </c>
      <c r="C1241" t="s">
        <v>63</v>
      </c>
      <c r="D1241" t="s">
        <v>45</v>
      </c>
      <c r="E1241" t="s">
        <v>65</v>
      </c>
      <c r="F1241" t="s">
        <v>29</v>
      </c>
      <c r="G1241" t="s">
        <v>26</v>
      </c>
      <c r="H1241" t="s">
        <v>26</v>
      </c>
      <c r="I1241" t="s">
        <v>25</v>
      </c>
      <c r="J1241">
        <v>42</v>
      </c>
      <c r="K1241">
        <v>1</v>
      </c>
      <c r="L1241">
        <v>0</v>
      </c>
      <c r="M1241">
        <v>1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</row>
    <row r="1242" spans="1:21" x14ac:dyDescent="0.25">
      <c r="A1242">
        <v>2025</v>
      </c>
      <c r="B1242">
        <v>7</v>
      </c>
      <c r="C1242" t="s">
        <v>66</v>
      </c>
      <c r="D1242" t="s">
        <v>22</v>
      </c>
      <c r="E1242" t="s">
        <v>32</v>
      </c>
      <c r="F1242" t="s">
        <v>24</v>
      </c>
      <c r="G1242" t="s">
        <v>25</v>
      </c>
      <c r="H1242" t="s">
        <v>25</v>
      </c>
      <c r="I1242" t="s">
        <v>25</v>
      </c>
      <c r="J1242">
        <v>914</v>
      </c>
      <c r="K1242">
        <v>3</v>
      </c>
      <c r="L1242">
        <v>1</v>
      </c>
      <c r="M1242">
        <v>4</v>
      </c>
      <c r="N1242">
        <v>409</v>
      </c>
      <c r="O1242">
        <v>332</v>
      </c>
      <c r="P1242">
        <v>300</v>
      </c>
      <c r="Q1242">
        <v>200</v>
      </c>
      <c r="R1242">
        <v>151</v>
      </c>
      <c r="S1242">
        <v>71</v>
      </c>
      <c r="T1242">
        <v>22</v>
      </c>
      <c r="U1242">
        <v>910</v>
      </c>
    </row>
    <row r="1243" spans="1:21" x14ac:dyDescent="0.25">
      <c r="A1243">
        <v>2025</v>
      </c>
      <c r="B1243">
        <v>7</v>
      </c>
      <c r="C1243" t="s">
        <v>66</v>
      </c>
      <c r="D1243" t="s">
        <v>22</v>
      </c>
      <c r="E1243" t="s">
        <v>34</v>
      </c>
      <c r="F1243" t="s">
        <v>24</v>
      </c>
      <c r="G1243" t="s">
        <v>25</v>
      </c>
      <c r="H1243" t="s">
        <v>26</v>
      </c>
      <c r="I1243" t="s">
        <v>26</v>
      </c>
      <c r="J1243">
        <v>92</v>
      </c>
      <c r="K1243">
        <v>0</v>
      </c>
      <c r="L1243">
        <v>0</v>
      </c>
      <c r="M1243">
        <v>0</v>
      </c>
      <c r="N1243">
        <v>22</v>
      </c>
      <c r="O1243">
        <v>18</v>
      </c>
      <c r="P1243">
        <v>16</v>
      </c>
      <c r="Q1243">
        <v>15</v>
      </c>
      <c r="R1243">
        <v>9</v>
      </c>
      <c r="S1243">
        <v>5</v>
      </c>
      <c r="T1243">
        <v>1</v>
      </c>
      <c r="U1243">
        <v>92</v>
      </c>
    </row>
    <row r="1244" spans="1:21" x14ac:dyDescent="0.25">
      <c r="A1244">
        <v>2025</v>
      </c>
      <c r="B1244">
        <v>7</v>
      </c>
      <c r="C1244" t="s">
        <v>66</v>
      </c>
      <c r="D1244" t="s">
        <v>22</v>
      </c>
      <c r="E1244" t="s">
        <v>23</v>
      </c>
      <c r="F1244" t="s">
        <v>24</v>
      </c>
      <c r="G1244" t="s">
        <v>25</v>
      </c>
      <c r="H1244" t="s">
        <v>26</v>
      </c>
      <c r="I1244" t="s">
        <v>25</v>
      </c>
      <c r="J1244">
        <v>62</v>
      </c>
      <c r="K1244">
        <v>0</v>
      </c>
      <c r="L1244">
        <v>0</v>
      </c>
      <c r="M1244">
        <v>0</v>
      </c>
      <c r="N1244">
        <v>18</v>
      </c>
      <c r="O1244">
        <v>14</v>
      </c>
      <c r="P1244">
        <v>12</v>
      </c>
      <c r="Q1244">
        <v>11</v>
      </c>
      <c r="R1244">
        <v>6</v>
      </c>
      <c r="S1244">
        <v>3</v>
      </c>
      <c r="T1244">
        <v>1</v>
      </c>
      <c r="U1244">
        <v>62</v>
      </c>
    </row>
    <row r="1245" spans="1:21" x14ac:dyDescent="0.25">
      <c r="A1245">
        <v>2025</v>
      </c>
      <c r="B1245">
        <v>7</v>
      </c>
      <c r="C1245" t="s">
        <v>67</v>
      </c>
      <c r="D1245" t="s">
        <v>22</v>
      </c>
      <c r="E1245" t="s">
        <v>68</v>
      </c>
      <c r="F1245" t="s">
        <v>28</v>
      </c>
      <c r="G1245" t="s">
        <v>25</v>
      </c>
      <c r="H1245" t="s">
        <v>25</v>
      </c>
      <c r="I1245" t="s">
        <v>25</v>
      </c>
      <c r="J1245">
        <v>1609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1609</v>
      </c>
    </row>
    <row r="1246" spans="1:21" x14ac:dyDescent="0.25">
      <c r="A1246">
        <v>2025</v>
      </c>
      <c r="B1246">
        <v>7</v>
      </c>
      <c r="C1246" t="s">
        <v>67</v>
      </c>
      <c r="D1246" t="s">
        <v>22</v>
      </c>
      <c r="E1246" t="s">
        <v>68</v>
      </c>
      <c r="F1246" t="s">
        <v>24</v>
      </c>
      <c r="G1246" t="s">
        <v>25</v>
      </c>
      <c r="H1246" t="s">
        <v>25</v>
      </c>
      <c r="I1246" t="s">
        <v>25</v>
      </c>
      <c r="J1246">
        <v>186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186</v>
      </c>
    </row>
    <row r="1247" spans="1:21" x14ac:dyDescent="0.25">
      <c r="A1247">
        <v>2025</v>
      </c>
      <c r="B1247">
        <v>7</v>
      </c>
      <c r="C1247" t="s">
        <v>69</v>
      </c>
      <c r="D1247" t="s">
        <v>22</v>
      </c>
      <c r="E1247" t="s">
        <v>32</v>
      </c>
      <c r="F1247" t="s">
        <v>28</v>
      </c>
      <c r="G1247" t="s">
        <v>25</v>
      </c>
      <c r="H1247" t="s">
        <v>26</v>
      </c>
      <c r="I1247" t="s">
        <v>25</v>
      </c>
      <c r="J1247">
        <v>143</v>
      </c>
      <c r="K1247">
        <v>0</v>
      </c>
      <c r="L1247">
        <v>2</v>
      </c>
      <c r="M1247">
        <v>2</v>
      </c>
      <c r="N1247">
        <v>6</v>
      </c>
      <c r="O1247">
        <v>5</v>
      </c>
      <c r="P1247">
        <v>5</v>
      </c>
      <c r="Q1247">
        <v>3</v>
      </c>
      <c r="R1247">
        <v>2</v>
      </c>
      <c r="S1247">
        <v>1</v>
      </c>
      <c r="T1247">
        <v>0</v>
      </c>
      <c r="U1247">
        <v>143</v>
      </c>
    </row>
    <row r="1248" spans="1:21" x14ac:dyDescent="0.25">
      <c r="A1248">
        <v>2025</v>
      </c>
      <c r="B1248">
        <v>7</v>
      </c>
      <c r="C1248" t="s">
        <v>69</v>
      </c>
      <c r="D1248" t="s">
        <v>22</v>
      </c>
      <c r="E1248" t="s">
        <v>32</v>
      </c>
      <c r="F1248" t="s">
        <v>24</v>
      </c>
      <c r="G1248" t="s">
        <v>25</v>
      </c>
      <c r="H1248" t="s">
        <v>26</v>
      </c>
      <c r="I1248" t="s">
        <v>25</v>
      </c>
      <c r="J1248">
        <v>1711</v>
      </c>
      <c r="K1248">
        <v>24</v>
      </c>
      <c r="L1248">
        <v>59</v>
      </c>
      <c r="M1248">
        <v>83</v>
      </c>
      <c r="N1248">
        <v>384</v>
      </c>
      <c r="O1248">
        <v>329</v>
      </c>
      <c r="P1248">
        <v>310</v>
      </c>
      <c r="Q1248">
        <v>255</v>
      </c>
      <c r="R1248">
        <v>206</v>
      </c>
      <c r="S1248">
        <v>137</v>
      </c>
      <c r="T1248">
        <v>31</v>
      </c>
      <c r="U1248">
        <v>1660</v>
      </c>
    </row>
    <row r="1249" spans="1:21" x14ac:dyDescent="0.25">
      <c r="A1249">
        <v>2025</v>
      </c>
      <c r="B1249">
        <v>7</v>
      </c>
      <c r="C1249" t="s">
        <v>69</v>
      </c>
      <c r="D1249" t="s">
        <v>22</v>
      </c>
      <c r="E1249" t="s">
        <v>38</v>
      </c>
      <c r="F1249" t="s">
        <v>24</v>
      </c>
      <c r="G1249" t="s">
        <v>25</v>
      </c>
      <c r="H1249" t="s">
        <v>25</v>
      </c>
      <c r="I1249" t="s">
        <v>25</v>
      </c>
      <c r="J1249">
        <v>283</v>
      </c>
      <c r="K1249">
        <v>8</v>
      </c>
      <c r="L1249">
        <v>8</v>
      </c>
      <c r="M1249">
        <v>16</v>
      </c>
      <c r="N1249">
        <v>214</v>
      </c>
      <c r="O1249">
        <v>184</v>
      </c>
      <c r="P1249">
        <v>174</v>
      </c>
      <c r="Q1249">
        <v>116</v>
      </c>
      <c r="R1249">
        <v>46</v>
      </c>
      <c r="S1249">
        <v>10</v>
      </c>
      <c r="T1249">
        <v>6</v>
      </c>
      <c r="U1249">
        <v>273</v>
      </c>
    </row>
    <row r="1250" spans="1:21" x14ac:dyDescent="0.25">
      <c r="A1250">
        <v>2025</v>
      </c>
      <c r="B1250">
        <v>7</v>
      </c>
      <c r="C1250" t="s">
        <v>69</v>
      </c>
      <c r="D1250" t="s">
        <v>22</v>
      </c>
      <c r="E1250" t="s">
        <v>34</v>
      </c>
      <c r="F1250" t="s">
        <v>24</v>
      </c>
      <c r="G1250" t="s">
        <v>25</v>
      </c>
      <c r="H1250" t="s">
        <v>26</v>
      </c>
      <c r="I1250" t="s">
        <v>26</v>
      </c>
      <c r="J1250">
        <v>183</v>
      </c>
      <c r="K1250">
        <v>0</v>
      </c>
      <c r="L1250">
        <v>0</v>
      </c>
      <c r="M1250">
        <v>0</v>
      </c>
      <c r="N1250">
        <v>33</v>
      </c>
      <c r="O1250">
        <v>27</v>
      </c>
      <c r="P1250">
        <v>25</v>
      </c>
      <c r="Q1250">
        <v>21</v>
      </c>
      <c r="R1250">
        <v>20</v>
      </c>
      <c r="S1250">
        <v>17</v>
      </c>
      <c r="T1250">
        <v>3</v>
      </c>
      <c r="U1250">
        <v>183</v>
      </c>
    </row>
    <row r="1251" spans="1:21" x14ac:dyDescent="0.25">
      <c r="A1251">
        <v>2025</v>
      </c>
      <c r="B1251">
        <v>7</v>
      </c>
      <c r="C1251" t="s">
        <v>69</v>
      </c>
      <c r="D1251" t="s">
        <v>22</v>
      </c>
      <c r="E1251" t="s">
        <v>23</v>
      </c>
      <c r="F1251" t="s">
        <v>28</v>
      </c>
      <c r="G1251" t="s">
        <v>25</v>
      </c>
      <c r="H1251" t="s">
        <v>26</v>
      </c>
      <c r="I1251" t="s">
        <v>25</v>
      </c>
      <c r="J1251">
        <v>11659</v>
      </c>
      <c r="K1251">
        <v>47</v>
      </c>
      <c r="L1251">
        <v>267</v>
      </c>
      <c r="M1251">
        <v>314</v>
      </c>
      <c r="N1251">
        <v>30</v>
      </c>
      <c r="O1251">
        <v>24</v>
      </c>
      <c r="P1251">
        <v>22</v>
      </c>
      <c r="Q1251">
        <v>16</v>
      </c>
      <c r="R1251">
        <v>13</v>
      </c>
      <c r="S1251">
        <v>5</v>
      </c>
      <c r="T1251">
        <v>1</v>
      </c>
      <c r="U1251">
        <v>11402</v>
      </c>
    </row>
    <row r="1252" spans="1:21" x14ac:dyDescent="0.25">
      <c r="A1252">
        <v>2025</v>
      </c>
      <c r="B1252">
        <v>7</v>
      </c>
      <c r="C1252" t="s">
        <v>69</v>
      </c>
      <c r="D1252" t="s">
        <v>22</v>
      </c>
      <c r="E1252" t="s">
        <v>23</v>
      </c>
      <c r="F1252" t="s">
        <v>24</v>
      </c>
      <c r="G1252" t="s">
        <v>25</v>
      </c>
      <c r="H1252" t="s">
        <v>26</v>
      </c>
      <c r="I1252" t="s">
        <v>25</v>
      </c>
      <c r="J1252">
        <v>1235</v>
      </c>
      <c r="K1252">
        <v>61</v>
      </c>
      <c r="L1252">
        <v>35</v>
      </c>
      <c r="M1252">
        <v>96</v>
      </c>
      <c r="N1252">
        <v>256</v>
      </c>
      <c r="O1252">
        <v>210</v>
      </c>
      <c r="P1252">
        <v>195</v>
      </c>
      <c r="Q1252">
        <v>153</v>
      </c>
      <c r="R1252">
        <v>111</v>
      </c>
      <c r="S1252">
        <v>28</v>
      </c>
      <c r="T1252">
        <v>5</v>
      </c>
      <c r="U1252">
        <v>1157</v>
      </c>
    </row>
    <row r="1253" spans="1:21" x14ac:dyDescent="0.25">
      <c r="A1253">
        <v>2025</v>
      </c>
      <c r="B1253">
        <v>7</v>
      </c>
      <c r="C1253" t="s">
        <v>69</v>
      </c>
      <c r="D1253" t="s">
        <v>22</v>
      </c>
      <c r="E1253" t="s">
        <v>23</v>
      </c>
      <c r="F1253" t="s">
        <v>29</v>
      </c>
      <c r="G1253" t="s">
        <v>25</v>
      </c>
      <c r="H1253" t="s">
        <v>26</v>
      </c>
      <c r="I1253" t="s">
        <v>25</v>
      </c>
      <c r="J1253">
        <v>1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</row>
    <row r="1254" spans="1:21" x14ac:dyDescent="0.25">
      <c r="A1254">
        <v>2025</v>
      </c>
      <c r="B1254">
        <v>7</v>
      </c>
      <c r="C1254" t="s">
        <v>69</v>
      </c>
      <c r="D1254" t="s">
        <v>22</v>
      </c>
      <c r="E1254" t="s">
        <v>39</v>
      </c>
      <c r="F1254" t="s">
        <v>28</v>
      </c>
      <c r="G1254" t="s">
        <v>26</v>
      </c>
      <c r="H1254" t="s">
        <v>26</v>
      </c>
      <c r="I1254" t="s">
        <v>25</v>
      </c>
      <c r="J1254">
        <v>66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66</v>
      </c>
    </row>
    <row r="1255" spans="1:21" x14ac:dyDescent="0.25">
      <c r="A1255">
        <v>2025</v>
      </c>
      <c r="B1255">
        <v>7</v>
      </c>
      <c r="C1255" t="s">
        <v>69</v>
      </c>
      <c r="D1255" t="s">
        <v>22</v>
      </c>
      <c r="E1255" t="s">
        <v>39</v>
      </c>
      <c r="F1255" t="s">
        <v>24</v>
      </c>
      <c r="G1255" t="s">
        <v>26</v>
      </c>
      <c r="H1255" t="s">
        <v>26</v>
      </c>
      <c r="I1255" t="s">
        <v>25</v>
      </c>
      <c r="J1255">
        <v>1349</v>
      </c>
      <c r="K1255">
        <v>89</v>
      </c>
      <c r="L1255">
        <v>233</v>
      </c>
      <c r="M1255">
        <v>322</v>
      </c>
      <c r="N1255">
        <v>316</v>
      </c>
      <c r="O1255">
        <v>243</v>
      </c>
      <c r="P1255">
        <v>219</v>
      </c>
      <c r="Q1255">
        <v>138</v>
      </c>
      <c r="R1255">
        <v>109</v>
      </c>
      <c r="S1255">
        <v>40</v>
      </c>
      <c r="T1255">
        <v>9</v>
      </c>
      <c r="U1255">
        <v>1122</v>
      </c>
    </row>
    <row r="1256" spans="1:21" x14ac:dyDescent="0.25">
      <c r="A1256">
        <v>2025</v>
      </c>
      <c r="B1256">
        <v>7</v>
      </c>
      <c r="C1256" t="s">
        <v>69</v>
      </c>
      <c r="D1256" t="s">
        <v>22</v>
      </c>
      <c r="E1256" t="s">
        <v>40</v>
      </c>
      <c r="F1256" t="s">
        <v>28</v>
      </c>
      <c r="G1256" t="s">
        <v>25</v>
      </c>
      <c r="H1256" t="s">
        <v>26</v>
      </c>
      <c r="I1256" t="s">
        <v>25</v>
      </c>
      <c r="J1256">
        <v>13224</v>
      </c>
      <c r="K1256">
        <v>53</v>
      </c>
      <c r="L1256">
        <v>176</v>
      </c>
      <c r="M1256">
        <v>229</v>
      </c>
      <c r="N1256">
        <v>17</v>
      </c>
      <c r="O1256">
        <v>9</v>
      </c>
      <c r="P1256">
        <v>6</v>
      </c>
      <c r="Q1256">
        <v>6</v>
      </c>
      <c r="R1256">
        <v>5</v>
      </c>
      <c r="S1256">
        <v>3</v>
      </c>
      <c r="T1256">
        <v>1</v>
      </c>
      <c r="U1256">
        <v>13054</v>
      </c>
    </row>
    <row r="1257" spans="1:21" x14ac:dyDescent="0.25">
      <c r="A1257">
        <v>2025</v>
      </c>
      <c r="B1257">
        <v>7</v>
      </c>
      <c r="C1257" t="s">
        <v>69</v>
      </c>
      <c r="D1257" t="s">
        <v>22</v>
      </c>
      <c r="E1257" t="s">
        <v>40</v>
      </c>
      <c r="F1257" t="s">
        <v>24</v>
      </c>
      <c r="G1257" t="s">
        <v>25</v>
      </c>
      <c r="H1257" t="s">
        <v>26</v>
      </c>
      <c r="I1257" t="s">
        <v>25</v>
      </c>
      <c r="J1257">
        <v>1081</v>
      </c>
      <c r="K1257">
        <v>2</v>
      </c>
      <c r="L1257">
        <v>26</v>
      </c>
      <c r="M1257">
        <v>28</v>
      </c>
      <c r="N1257">
        <v>32</v>
      </c>
      <c r="O1257">
        <v>15</v>
      </c>
      <c r="P1257">
        <v>14</v>
      </c>
      <c r="Q1257">
        <v>7</v>
      </c>
      <c r="R1257">
        <v>0</v>
      </c>
      <c r="S1257">
        <v>0</v>
      </c>
      <c r="T1257">
        <v>0</v>
      </c>
      <c r="U1257">
        <v>1057</v>
      </c>
    </row>
    <row r="1258" spans="1:21" x14ac:dyDescent="0.25">
      <c r="A1258">
        <v>2025</v>
      </c>
      <c r="B1258">
        <v>7</v>
      </c>
      <c r="C1258" t="s">
        <v>69</v>
      </c>
      <c r="D1258" t="s">
        <v>22</v>
      </c>
      <c r="E1258" t="s">
        <v>70</v>
      </c>
      <c r="F1258" t="s">
        <v>28</v>
      </c>
      <c r="G1258" t="s">
        <v>26</v>
      </c>
      <c r="H1258" t="s">
        <v>26</v>
      </c>
      <c r="I1258" t="s">
        <v>25</v>
      </c>
      <c r="J1258">
        <v>12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12</v>
      </c>
    </row>
    <row r="1259" spans="1:21" x14ac:dyDescent="0.25">
      <c r="A1259">
        <v>2025</v>
      </c>
      <c r="B1259">
        <v>7</v>
      </c>
      <c r="C1259" t="s">
        <v>69</v>
      </c>
      <c r="D1259" t="s">
        <v>22</v>
      </c>
      <c r="E1259" t="s">
        <v>70</v>
      </c>
      <c r="F1259" t="s">
        <v>24</v>
      </c>
      <c r="G1259" t="s">
        <v>26</v>
      </c>
      <c r="H1259" t="s">
        <v>26</v>
      </c>
      <c r="I1259" t="s">
        <v>25</v>
      </c>
      <c r="J1259">
        <v>869</v>
      </c>
      <c r="K1259">
        <v>4</v>
      </c>
      <c r="L1259">
        <v>5</v>
      </c>
      <c r="M1259">
        <v>9</v>
      </c>
      <c r="N1259">
        <v>163</v>
      </c>
      <c r="O1259">
        <v>133</v>
      </c>
      <c r="P1259">
        <v>123</v>
      </c>
      <c r="Q1259">
        <v>106</v>
      </c>
      <c r="R1259">
        <v>86</v>
      </c>
      <c r="S1259">
        <v>43</v>
      </c>
      <c r="T1259">
        <v>18</v>
      </c>
      <c r="U1259">
        <v>863</v>
      </c>
    </row>
    <row r="1260" spans="1:21" x14ac:dyDescent="0.25">
      <c r="A1260">
        <v>2025</v>
      </c>
      <c r="B1260">
        <v>7</v>
      </c>
      <c r="C1260" t="s">
        <v>69</v>
      </c>
      <c r="D1260" t="s">
        <v>22</v>
      </c>
      <c r="E1260" t="s">
        <v>70</v>
      </c>
      <c r="F1260" t="s">
        <v>29</v>
      </c>
      <c r="G1260" t="s">
        <v>26</v>
      </c>
      <c r="H1260" t="s">
        <v>26</v>
      </c>
      <c r="I1260" t="s">
        <v>25</v>
      </c>
      <c r="J1260">
        <v>3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</row>
    <row r="1261" spans="1:21" x14ac:dyDescent="0.25">
      <c r="A1261">
        <v>2025</v>
      </c>
      <c r="B1261">
        <v>7</v>
      </c>
      <c r="C1261" t="s">
        <v>69</v>
      </c>
      <c r="D1261" t="s">
        <v>22</v>
      </c>
      <c r="E1261" t="s">
        <v>35</v>
      </c>
      <c r="F1261" t="s">
        <v>24</v>
      </c>
      <c r="G1261" t="s">
        <v>25</v>
      </c>
      <c r="H1261" t="s">
        <v>26</v>
      </c>
      <c r="I1261" t="s">
        <v>26</v>
      </c>
      <c r="J1261">
        <v>310</v>
      </c>
      <c r="K1261">
        <v>2</v>
      </c>
      <c r="L1261">
        <v>0</v>
      </c>
      <c r="M1261">
        <v>2</v>
      </c>
      <c r="N1261">
        <v>102</v>
      </c>
      <c r="O1261">
        <v>85</v>
      </c>
      <c r="P1261">
        <v>77</v>
      </c>
      <c r="Q1261">
        <v>59</v>
      </c>
      <c r="R1261">
        <v>51</v>
      </c>
      <c r="S1261">
        <v>37</v>
      </c>
      <c r="T1261">
        <v>17</v>
      </c>
      <c r="U1261">
        <v>308</v>
      </c>
    </row>
    <row r="1262" spans="1:21" x14ac:dyDescent="0.25">
      <c r="A1262">
        <v>2025</v>
      </c>
      <c r="B1262">
        <v>7</v>
      </c>
      <c r="C1262" t="s">
        <v>69</v>
      </c>
      <c r="D1262" t="s">
        <v>22</v>
      </c>
      <c r="E1262" t="s">
        <v>41</v>
      </c>
      <c r="F1262" t="s">
        <v>24</v>
      </c>
      <c r="G1262" t="s">
        <v>26</v>
      </c>
      <c r="H1262" t="s">
        <v>26</v>
      </c>
      <c r="I1262" t="s">
        <v>25</v>
      </c>
      <c r="J1262">
        <v>372</v>
      </c>
      <c r="K1262">
        <v>0</v>
      </c>
      <c r="L1262">
        <v>4</v>
      </c>
      <c r="M1262">
        <v>4</v>
      </c>
      <c r="N1262">
        <v>70</v>
      </c>
      <c r="O1262">
        <v>51</v>
      </c>
      <c r="P1262">
        <v>48</v>
      </c>
      <c r="Q1262">
        <v>43</v>
      </c>
      <c r="R1262">
        <v>42</v>
      </c>
      <c r="S1262">
        <v>24</v>
      </c>
      <c r="T1262">
        <v>6</v>
      </c>
      <c r="U1262">
        <v>370</v>
      </c>
    </row>
    <row r="1263" spans="1:21" x14ac:dyDescent="0.25">
      <c r="A1263">
        <v>2025</v>
      </c>
      <c r="B1263">
        <v>7</v>
      </c>
      <c r="C1263" t="s">
        <v>71</v>
      </c>
      <c r="D1263" t="s">
        <v>22</v>
      </c>
      <c r="E1263" t="s">
        <v>34</v>
      </c>
      <c r="F1263" t="s">
        <v>24</v>
      </c>
      <c r="G1263" t="s">
        <v>25</v>
      </c>
      <c r="H1263" t="s">
        <v>26</v>
      </c>
      <c r="I1263" t="s">
        <v>26</v>
      </c>
      <c r="J1263">
        <v>43</v>
      </c>
      <c r="K1263">
        <v>2</v>
      </c>
      <c r="L1263">
        <v>1</v>
      </c>
      <c r="M1263">
        <v>3</v>
      </c>
      <c r="N1263">
        <v>25</v>
      </c>
      <c r="O1263">
        <v>24</v>
      </c>
      <c r="P1263">
        <v>23</v>
      </c>
      <c r="Q1263">
        <v>22</v>
      </c>
      <c r="R1263">
        <v>22</v>
      </c>
      <c r="S1263">
        <v>18</v>
      </c>
      <c r="T1263">
        <v>17</v>
      </c>
      <c r="U1263">
        <v>41</v>
      </c>
    </row>
    <row r="1264" spans="1:21" x14ac:dyDescent="0.25">
      <c r="A1264">
        <v>2025</v>
      </c>
      <c r="B1264">
        <v>7</v>
      </c>
      <c r="C1264" t="s">
        <v>72</v>
      </c>
      <c r="D1264" t="s">
        <v>22</v>
      </c>
      <c r="E1264" t="s">
        <v>54</v>
      </c>
      <c r="F1264" t="s">
        <v>24</v>
      </c>
      <c r="G1264" t="s">
        <v>25</v>
      </c>
      <c r="H1264" t="s">
        <v>25</v>
      </c>
      <c r="I1264" t="s">
        <v>25</v>
      </c>
      <c r="J1264">
        <v>876</v>
      </c>
      <c r="K1264">
        <v>10</v>
      </c>
      <c r="L1264">
        <v>20</v>
      </c>
      <c r="M1264">
        <v>30</v>
      </c>
      <c r="N1264">
        <v>201</v>
      </c>
      <c r="O1264">
        <v>127</v>
      </c>
      <c r="P1264">
        <v>108</v>
      </c>
      <c r="Q1264">
        <v>60</v>
      </c>
      <c r="R1264">
        <v>40</v>
      </c>
      <c r="S1264">
        <v>14</v>
      </c>
      <c r="T1264">
        <v>1</v>
      </c>
      <c r="U1264">
        <v>856</v>
      </c>
    </row>
    <row r="1265" spans="1:21" x14ac:dyDescent="0.25">
      <c r="A1265">
        <v>2025</v>
      </c>
      <c r="B1265">
        <v>7</v>
      </c>
      <c r="C1265" t="s">
        <v>72</v>
      </c>
      <c r="D1265" t="s">
        <v>22</v>
      </c>
      <c r="E1265" t="s">
        <v>23</v>
      </c>
      <c r="F1265" t="s">
        <v>28</v>
      </c>
      <c r="G1265" t="s">
        <v>25</v>
      </c>
      <c r="H1265" t="s">
        <v>26</v>
      </c>
      <c r="I1265" t="s">
        <v>25</v>
      </c>
      <c r="J1265">
        <v>28881</v>
      </c>
      <c r="K1265">
        <v>73</v>
      </c>
      <c r="L1265">
        <v>466</v>
      </c>
      <c r="M1265">
        <v>539</v>
      </c>
      <c r="N1265">
        <v>4673</v>
      </c>
      <c r="O1265">
        <v>2846</v>
      </c>
      <c r="P1265">
        <v>2355</v>
      </c>
      <c r="Q1265">
        <v>1237</v>
      </c>
      <c r="R1265">
        <v>683</v>
      </c>
      <c r="S1265">
        <v>155</v>
      </c>
      <c r="T1265">
        <v>10</v>
      </c>
      <c r="U1265">
        <v>28525</v>
      </c>
    </row>
    <row r="1266" spans="1:21" x14ac:dyDescent="0.25">
      <c r="A1266">
        <v>2025</v>
      </c>
      <c r="B1266">
        <v>7</v>
      </c>
      <c r="C1266" t="s">
        <v>72</v>
      </c>
      <c r="D1266" t="s">
        <v>22</v>
      </c>
      <c r="E1266" t="s">
        <v>23</v>
      </c>
      <c r="F1266" t="s">
        <v>24</v>
      </c>
      <c r="G1266" t="s">
        <v>25</v>
      </c>
      <c r="H1266" t="s">
        <v>26</v>
      </c>
      <c r="I1266" t="s">
        <v>25</v>
      </c>
      <c r="J1266">
        <v>3813</v>
      </c>
      <c r="K1266">
        <v>16</v>
      </c>
      <c r="L1266">
        <v>60</v>
      </c>
      <c r="M1266">
        <v>76</v>
      </c>
      <c r="N1266">
        <v>546</v>
      </c>
      <c r="O1266">
        <v>313</v>
      </c>
      <c r="P1266">
        <v>253</v>
      </c>
      <c r="Q1266">
        <v>115</v>
      </c>
      <c r="R1266">
        <v>63</v>
      </c>
      <c r="S1266">
        <v>14</v>
      </c>
      <c r="T1266">
        <v>1</v>
      </c>
      <c r="U1266">
        <v>3758</v>
      </c>
    </row>
    <row r="1267" spans="1:21" x14ac:dyDescent="0.25">
      <c r="A1267">
        <v>2025</v>
      </c>
      <c r="B1267">
        <v>7</v>
      </c>
      <c r="C1267" t="s">
        <v>72</v>
      </c>
      <c r="D1267" t="s">
        <v>22</v>
      </c>
      <c r="E1267" t="s">
        <v>23</v>
      </c>
      <c r="F1267" t="s">
        <v>29</v>
      </c>
      <c r="G1267" t="s">
        <v>25</v>
      </c>
      <c r="H1267" t="s">
        <v>26</v>
      </c>
      <c r="I1267" t="s">
        <v>25</v>
      </c>
      <c r="J1267">
        <v>3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</row>
    <row r="1268" spans="1:21" x14ac:dyDescent="0.25">
      <c r="A1268">
        <v>2025</v>
      </c>
      <c r="B1268">
        <v>7</v>
      </c>
      <c r="C1268" t="s">
        <v>72</v>
      </c>
      <c r="D1268" t="s">
        <v>22</v>
      </c>
      <c r="E1268" t="s">
        <v>39</v>
      </c>
      <c r="F1268" t="s">
        <v>24</v>
      </c>
      <c r="G1268" t="s">
        <v>26</v>
      </c>
      <c r="H1268" t="s">
        <v>26</v>
      </c>
      <c r="I1268" t="s">
        <v>25</v>
      </c>
      <c r="J1268">
        <v>487</v>
      </c>
      <c r="K1268">
        <v>15</v>
      </c>
      <c r="L1268">
        <v>19</v>
      </c>
      <c r="M1268">
        <v>34</v>
      </c>
      <c r="N1268">
        <v>184</v>
      </c>
      <c r="O1268">
        <v>139</v>
      </c>
      <c r="P1268">
        <v>121</v>
      </c>
      <c r="Q1268">
        <v>83</v>
      </c>
      <c r="R1268">
        <v>63</v>
      </c>
      <c r="S1268">
        <v>34</v>
      </c>
      <c r="T1268">
        <v>6</v>
      </c>
      <c r="U1268">
        <v>463</v>
      </c>
    </row>
    <row r="1269" spans="1:21" x14ac:dyDescent="0.25">
      <c r="A1269">
        <v>2025</v>
      </c>
      <c r="B1269">
        <v>7</v>
      </c>
      <c r="C1269" t="s">
        <v>72</v>
      </c>
      <c r="D1269" t="s">
        <v>22</v>
      </c>
      <c r="E1269" t="s">
        <v>73</v>
      </c>
      <c r="F1269" t="s">
        <v>28</v>
      </c>
      <c r="G1269" t="s">
        <v>25</v>
      </c>
      <c r="H1269" t="s">
        <v>25</v>
      </c>
      <c r="I1269" t="s">
        <v>25</v>
      </c>
      <c r="J1269">
        <v>18325</v>
      </c>
      <c r="K1269">
        <v>30</v>
      </c>
      <c r="L1269">
        <v>93</v>
      </c>
      <c r="M1269">
        <v>123</v>
      </c>
      <c r="N1269">
        <v>2027</v>
      </c>
      <c r="O1269">
        <v>1063</v>
      </c>
      <c r="P1269">
        <v>844</v>
      </c>
      <c r="Q1269">
        <v>367</v>
      </c>
      <c r="R1269">
        <v>189</v>
      </c>
      <c r="S1269">
        <v>26</v>
      </c>
      <c r="T1269">
        <v>2</v>
      </c>
      <c r="U1269">
        <v>18232</v>
      </c>
    </row>
    <row r="1270" spans="1:21" x14ac:dyDescent="0.25">
      <c r="A1270">
        <v>2025</v>
      </c>
      <c r="B1270">
        <v>7</v>
      </c>
      <c r="C1270" t="s">
        <v>72</v>
      </c>
      <c r="D1270" t="s">
        <v>22</v>
      </c>
      <c r="E1270" t="s">
        <v>73</v>
      </c>
      <c r="F1270" t="s">
        <v>24</v>
      </c>
      <c r="G1270" t="s">
        <v>25</v>
      </c>
      <c r="H1270" t="s">
        <v>25</v>
      </c>
      <c r="I1270" t="s">
        <v>25</v>
      </c>
      <c r="J1270">
        <v>5434</v>
      </c>
      <c r="K1270">
        <v>31</v>
      </c>
      <c r="L1270">
        <v>0</v>
      </c>
      <c r="M1270">
        <v>31</v>
      </c>
      <c r="N1270">
        <v>180</v>
      </c>
      <c r="O1270">
        <v>93</v>
      </c>
      <c r="P1270">
        <v>72</v>
      </c>
      <c r="Q1270">
        <v>31</v>
      </c>
      <c r="R1270">
        <v>12</v>
      </c>
      <c r="S1270">
        <v>0</v>
      </c>
      <c r="T1270">
        <v>0</v>
      </c>
      <c r="U1270">
        <v>5403</v>
      </c>
    </row>
    <row r="1271" spans="1:21" x14ac:dyDescent="0.25">
      <c r="A1271">
        <v>2025</v>
      </c>
      <c r="B1271">
        <v>7</v>
      </c>
      <c r="C1271" t="s">
        <v>72</v>
      </c>
      <c r="D1271" t="s">
        <v>22</v>
      </c>
      <c r="E1271" t="s">
        <v>73</v>
      </c>
      <c r="F1271" t="s">
        <v>29</v>
      </c>
      <c r="G1271" t="s">
        <v>25</v>
      </c>
      <c r="H1271" t="s">
        <v>25</v>
      </c>
      <c r="I1271" t="s">
        <v>25</v>
      </c>
      <c r="J1271">
        <v>11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</row>
    <row r="1272" spans="1:21" x14ac:dyDescent="0.25">
      <c r="A1272">
        <v>2025</v>
      </c>
      <c r="B1272">
        <v>7</v>
      </c>
      <c r="C1272" t="s">
        <v>72</v>
      </c>
      <c r="D1272" t="s">
        <v>22</v>
      </c>
      <c r="E1272" t="s">
        <v>35</v>
      </c>
      <c r="F1272" t="s">
        <v>24</v>
      </c>
      <c r="G1272" t="s">
        <v>25</v>
      </c>
      <c r="H1272" t="s">
        <v>26</v>
      </c>
      <c r="I1272" t="s">
        <v>26</v>
      </c>
      <c r="J1272">
        <v>46</v>
      </c>
      <c r="K1272">
        <v>2</v>
      </c>
      <c r="L1272">
        <v>2</v>
      </c>
      <c r="M1272">
        <v>4</v>
      </c>
      <c r="N1272">
        <v>18</v>
      </c>
      <c r="O1272">
        <v>14</v>
      </c>
      <c r="P1272">
        <v>10</v>
      </c>
      <c r="Q1272">
        <v>8</v>
      </c>
      <c r="R1272">
        <v>6</v>
      </c>
      <c r="S1272">
        <v>3</v>
      </c>
      <c r="T1272">
        <v>2</v>
      </c>
      <c r="U1272">
        <v>44</v>
      </c>
    </row>
    <row r="1273" spans="1:21" x14ac:dyDescent="0.25">
      <c r="A1273">
        <v>2025</v>
      </c>
      <c r="B1273">
        <v>7</v>
      </c>
      <c r="C1273" t="s">
        <v>72</v>
      </c>
      <c r="D1273" t="s">
        <v>22</v>
      </c>
      <c r="E1273" t="s">
        <v>74</v>
      </c>
      <c r="F1273" t="s">
        <v>28</v>
      </c>
      <c r="G1273" t="s">
        <v>25</v>
      </c>
      <c r="H1273" t="s">
        <v>25</v>
      </c>
      <c r="I1273" t="s">
        <v>25</v>
      </c>
      <c r="J1273">
        <v>2785</v>
      </c>
      <c r="K1273">
        <v>22</v>
      </c>
      <c r="L1273">
        <v>10</v>
      </c>
      <c r="M1273">
        <v>32</v>
      </c>
      <c r="N1273">
        <v>385</v>
      </c>
      <c r="O1273">
        <v>214</v>
      </c>
      <c r="P1273">
        <v>166</v>
      </c>
      <c r="Q1273">
        <v>80</v>
      </c>
      <c r="R1273">
        <v>38</v>
      </c>
      <c r="S1273">
        <v>12</v>
      </c>
      <c r="T1273">
        <v>2</v>
      </c>
      <c r="U1273">
        <v>2755</v>
      </c>
    </row>
    <row r="1274" spans="1:21" x14ac:dyDescent="0.25">
      <c r="A1274">
        <v>2025</v>
      </c>
      <c r="B1274">
        <v>7</v>
      </c>
      <c r="C1274" t="s">
        <v>72</v>
      </c>
      <c r="D1274" t="s">
        <v>22</v>
      </c>
      <c r="E1274" t="s">
        <v>74</v>
      </c>
      <c r="F1274" t="s">
        <v>24</v>
      </c>
      <c r="G1274" t="s">
        <v>25</v>
      </c>
      <c r="H1274" t="s">
        <v>25</v>
      </c>
      <c r="I1274" t="s">
        <v>25</v>
      </c>
      <c r="J1274">
        <v>238</v>
      </c>
      <c r="K1274">
        <v>0</v>
      </c>
      <c r="L1274">
        <v>0</v>
      </c>
      <c r="M1274">
        <v>0</v>
      </c>
      <c r="N1274">
        <v>7</v>
      </c>
      <c r="O1274">
        <v>5</v>
      </c>
      <c r="P1274">
        <v>5</v>
      </c>
      <c r="Q1274">
        <v>3</v>
      </c>
      <c r="R1274">
        <v>3</v>
      </c>
      <c r="S1274">
        <v>0</v>
      </c>
      <c r="T1274">
        <v>0</v>
      </c>
      <c r="U1274">
        <v>238</v>
      </c>
    </row>
    <row r="1275" spans="1:21" x14ac:dyDescent="0.25">
      <c r="A1275">
        <v>2025</v>
      </c>
      <c r="B1275">
        <v>7</v>
      </c>
      <c r="C1275" t="s">
        <v>72</v>
      </c>
      <c r="D1275" t="s">
        <v>22</v>
      </c>
      <c r="E1275" t="s">
        <v>58</v>
      </c>
      <c r="F1275" t="s">
        <v>28</v>
      </c>
      <c r="G1275" t="s">
        <v>25</v>
      </c>
      <c r="H1275" t="s">
        <v>25</v>
      </c>
      <c r="I1275" t="s">
        <v>25</v>
      </c>
      <c r="J1275">
        <v>26259</v>
      </c>
      <c r="K1275">
        <v>54</v>
      </c>
      <c r="L1275">
        <v>148</v>
      </c>
      <c r="M1275">
        <v>202</v>
      </c>
      <c r="N1275">
        <v>2634</v>
      </c>
      <c r="O1275">
        <v>1431</v>
      </c>
      <c r="P1275">
        <v>1146</v>
      </c>
      <c r="Q1275">
        <v>542</v>
      </c>
      <c r="R1275">
        <v>305</v>
      </c>
      <c r="S1275">
        <v>59</v>
      </c>
      <c r="T1275">
        <v>6</v>
      </c>
      <c r="U1275">
        <v>26113</v>
      </c>
    </row>
    <row r="1276" spans="1:21" x14ac:dyDescent="0.25">
      <c r="A1276">
        <v>2025</v>
      </c>
      <c r="B1276">
        <v>7</v>
      </c>
      <c r="C1276" t="s">
        <v>72</v>
      </c>
      <c r="D1276" t="s">
        <v>22</v>
      </c>
      <c r="E1276" t="s">
        <v>58</v>
      </c>
      <c r="F1276" t="s">
        <v>24</v>
      </c>
      <c r="G1276" t="s">
        <v>25</v>
      </c>
      <c r="H1276" t="s">
        <v>25</v>
      </c>
      <c r="I1276" t="s">
        <v>25</v>
      </c>
      <c r="J1276">
        <v>3569</v>
      </c>
      <c r="K1276">
        <v>27</v>
      </c>
      <c r="L1276">
        <v>54</v>
      </c>
      <c r="M1276">
        <v>81</v>
      </c>
      <c r="N1276">
        <v>644</v>
      </c>
      <c r="O1276">
        <v>424</v>
      </c>
      <c r="P1276">
        <v>340</v>
      </c>
      <c r="Q1276">
        <v>172</v>
      </c>
      <c r="R1276">
        <v>84</v>
      </c>
      <c r="S1276">
        <v>17</v>
      </c>
      <c r="T1276">
        <v>2</v>
      </c>
      <c r="U1276">
        <v>3509</v>
      </c>
    </row>
    <row r="1277" spans="1:21" x14ac:dyDescent="0.25">
      <c r="A1277">
        <v>2025</v>
      </c>
      <c r="B1277">
        <v>7</v>
      </c>
      <c r="C1277" t="s">
        <v>72</v>
      </c>
      <c r="D1277" t="s">
        <v>22</v>
      </c>
      <c r="E1277" t="s">
        <v>27</v>
      </c>
      <c r="F1277" t="s">
        <v>24</v>
      </c>
      <c r="G1277" t="s">
        <v>26</v>
      </c>
      <c r="H1277" t="s">
        <v>26</v>
      </c>
      <c r="I1277" t="s">
        <v>25</v>
      </c>
      <c r="J1277">
        <v>109</v>
      </c>
      <c r="K1277">
        <v>3</v>
      </c>
      <c r="L1277">
        <v>0</v>
      </c>
      <c r="M1277">
        <v>3</v>
      </c>
      <c r="N1277">
        <v>79</v>
      </c>
      <c r="O1277">
        <v>40</v>
      </c>
      <c r="P1277">
        <v>40</v>
      </c>
      <c r="Q1277">
        <v>38</v>
      </c>
      <c r="R1277">
        <v>20</v>
      </c>
      <c r="S1277">
        <v>13</v>
      </c>
      <c r="T1277">
        <v>0</v>
      </c>
      <c r="U1277">
        <v>106</v>
      </c>
    </row>
    <row r="1278" spans="1:21" x14ac:dyDescent="0.25">
      <c r="A1278">
        <v>2025</v>
      </c>
      <c r="B1278">
        <v>7</v>
      </c>
      <c r="C1278" t="s">
        <v>75</v>
      </c>
      <c r="D1278" t="s">
        <v>22</v>
      </c>
      <c r="E1278" t="s">
        <v>76</v>
      </c>
      <c r="F1278" t="s">
        <v>24</v>
      </c>
      <c r="G1278" t="s">
        <v>25</v>
      </c>
      <c r="H1278" t="s">
        <v>26</v>
      </c>
      <c r="I1278" t="s">
        <v>25</v>
      </c>
      <c r="J1278">
        <v>1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1</v>
      </c>
    </row>
    <row r="1279" spans="1:21" x14ac:dyDescent="0.25">
      <c r="A1279">
        <v>2025</v>
      </c>
      <c r="B1279">
        <v>7</v>
      </c>
      <c r="C1279" t="s">
        <v>75</v>
      </c>
      <c r="D1279" t="s">
        <v>22</v>
      </c>
      <c r="E1279" t="s">
        <v>23</v>
      </c>
      <c r="F1279" t="s">
        <v>24</v>
      </c>
      <c r="G1279" t="s">
        <v>25</v>
      </c>
      <c r="H1279" t="s">
        <v>26</v>
      </c>
      <c r="I1279" t="s">
        <v>25</v>
      </c>
      <c r="J1279">
        <v>2179</v>
      </c>
      <c r="K1279">
        <v>27</v>
      </c>
      <c r="L1279">
        <v>0</v>
      </c>
      <c r="M1279">
        <v>27</v>
      </c>
      <c r="N1279">
        <v>8</v>
      </c>
      <c r="O1279">
        <v>7</v>
      </c>
      <c r="P1279">
        <v>6</v>
      </c>
      <c r="Q1279">
        <v>2</v>
      </c>
      <c r="R1279">
        <v>0</v>
      </c>
      <c r="S1279">
        <v>0</v>
      </c>
      <c r="T1279">
        <v>0</v>
      </c>
      <c r="U1279">
        <v>2152</v>
      </c>
    </row>
    <row r="1280" spans="1:21" x14ac:dyDescent="0.25">
      <c r="A1280">
        <v>2025</v>
      </c>
      <c r="B1280">
        <v>7</v>
      </c>
      <c r="C1280" t="s">
        <v>75</v>
      </c>
      <c r="D1280" t="s">
        <v>22</v>
      </c>
      <c r="E1280" t="s">
        <v>39</v>
      </c>
      <c r="F1280" t="s">
        <v>24</v>
      </c>
      <c r="G1280" t="s">
        <v>26</v>
      </c>
      <c r="H1280" t="s">
        <v>26</v>
      </c>
      <c r="I1280" t="s">
        <v>25</v>
      </c>
      <c r="J1280">
        <v>660</v>
      </c>
      <c r="K1280">
        <v>9</v>
      </c>
      <c r="L1280">
        <v>2</v>
      </c>
      <c r="M1280">
        <v>11</v>
      </c>
      <c r="N1280">
        <v>276</v>
      </c>
      <c r="O1280">
        <v>192</v>
      </c>
      <c r="P1280">
        <v>186</v>
      </c>
      <c r="Q1280">
        <v>138</v>
      </c>
      <c r="R1280">
        <v>112</v>
      </c>
      <c r="S1280">
        <v>49</v>
      </c>
      <c r="T1280">
        <v>18</v>
      </c>
      <c r="U1280">
        <v>649</v>
      </c>
    </row>
    <row r="1281" spans="1:21" x14ac:dyDescent="0.25">
      <c r="A1281">
        <v>2025</v>
      </c>
      <c r="B1281">
        <v>7</v>
      </c>
      <c r="C1281" t="s">
        <v>75</v>
      </c>
      <c r="D1281" t="s">
        <v>22</v>
      </c>
      <c r="E1281" t="s">
        <v>39</v>
      </c>
      <c r="F1281" t="s">
        <v>29</v>
      </c>
      <c r="G1281" t="s">
        <v>26</v>
      </c>
      <c r="H1281" t="s">
        <v>26</v>
      </c>
      <c r="I1281" t="s">
        <v>25</v>
      </c>
      <c r="J1281">
        <v>3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</row>
    <row r="1282" spans="1:21" x14ac:dyDescent="0.25">
      <c r="A1282">
        <v>2025</v>
      </c>
      <c r="B1282">
        <v>7</v>
      </c>
      <c r="C1282" t="s">
        <v>75</v>
      </c>
      <c r="D1282" t="s">
        <v>22</v>
      </c>
      <c r="E1282" t="s">
        <v>77</v>
      </c>
      <c r="F1282" t="s">
        <v>28</v>
      </c>
      <c r="G1282" t="s">
        <v>25</v>
      </c>
      <c r="H1282" t="s">
        <v>26</v>
      </c>
      <c r="I1282" t="s">
        <v>25</v>
      </c>
      <c r="J1282">
        <v>1885</v>
      </c>
      <c r="K1282">
        <v>29</v>
      </c>
      <c r="L1282">
        <v>10</v>
      </c>
      <c r="M1282">
        <v>39</v>
      </c>
      <c r="N1282">
        <v>602</v>
      </c>
      <c r="O1282">
        <v>409</v>
      </c>
      <c r="P1282">
        <v>409</v>
      </c>
      <c r="Q1282">
        <v>309</v>
      </c>
      <c r="R1282">
        <v>251</v>
      </c>
      <c r="S1282">
        <v>155</v>
      </c>
      <c r="T1282">
        <v>55</v>
      </c>
      <c r="U1282">
        <v>1851</v>
      </c>
    </row>
    <row r="1283" spans="1:21" x14ac:dyDescent="0.25">
      <c r="A1283">
        <v>2025</v>
      </c>
      <c r="B1283">
        <v>7</v>
      </c>
      <c r="C1283" t="s">
        <v>75</v>
      </c>
      <c r="D1283" t="s">
        <v>22</v>
      </c>
      <c r="E1283" t="s">
        <v>77</v>
      </c>
      <c r="F1283" t="s">
        <v>29</v>
      </c>
      <c r="G1283" t="s">
        <v>25</v>
      </c>
      <c r="H1283" t="s">
        <v>26</v>
      </c>
      <c r="I1283" t="s">
        <v>25</v>
      </c>
      <c r="J1283">
        <v>12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</row>
    <row r="1284" spans="1:21" x14ac:dyDescent="0.25">
      <c r="A1284">
        <v>2025</v>
      </c>
      <c r="B1284">
        <v>7</v>
      </c>
      <c r="C1284" t="s">
        <v>75</v>
      </c>
      <c r="D1284" t="s">
        <v>22</v>
      </c>
      <c r="E1284" t="s">
        <v>78</v>
      </c>
      <c r="F1284" t="s">
        <v>28</v>
      </c>
      <c r="G1284" t="s">
        <v>25</v>
      </c>
      <c r="H1284" t="s">
        <v>26</v>
      </c>
      <c r="I1284" t="s">
        <v>26</v>
      </c>
      <c r="J1284">
        <v>168</v>
      </c>
      <c r="K1284">
        <v>6</v>
      </c>
      <c r="L1284">
        <v>2</v>
      </c>
      <c r="M1284">
        <v>8</v>
      </c>
      <c r="N1284">
        <v>48</v>
      </c>
      <c r="O1284">
        <v>33</v>
      </c>
      <c r="P1284">
        <v>33</v>
      </c>
      <c r="Q1284">
        <v>24</v>
      </c>
      <c r="R1284">
        <v>19</v>
      </c>
      <c r="S1284">
        <v>11</v>
      </c>
      <c r="T1284">
        <v>3</v>
      </c>
      <c r="U1284">
        <v>161</v>
      </c>
    </row>
    <row r="1285" spans="1:21" x14ac:dyDescent="0.25">
      <c r="A1285">
        <v>2025</v>
      </c>
      <c r="B1285">
        <v>7</v>
      </c>
      <c r="C1285" t="s">
        <v>75</v>
      </c>
      <c r="D1285" t="s">
        <v>22</v>
      </c>
      <c r="E1285" t="s">
        <v>78</v>
      </c>
      <c r="F1285" t="s">
        <v>29</v>
      </c>
      <c r="G1285" t="s">
        <v>25</v>
      </c>
      <c r="H1285" t="s">
        <v>26</v>
      </c>
      <c r="I1285" t="s">
        <v>26</v>
      </c>
      <c r="J1285">
        <v>104</v>
      </c>
      <c r="K1285">
        <v>3</v>
      </c>
      <c r="L1285">
        <v>0</v>
      </c>
      <c r="M1285">
        <v>3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</row>
    <row r="1286" spans="1:21" x14ac:dyDescent="0.25">
      <c r="A1286">
        <v>2025</v>
      </c>
      <c r="B1286">
        <v>7</v>
      </c>
      <c r="C1286" t="s">
        <v>75</v>
      </c>
      <c r="D1286" t="s">
        <v>22</v>
      </c>
      <c r="E1286" t="s">
        <v>70</v>
      </c>
      <c r="F1286" t="s">
        <v>24</v>
      </c>
      <c r="G1286" t="s">
        <v>26</v>
      </c>
      <c r="H1286" t="s">
        <v>26</v>
      </c>
      <c r="I1286" t="s">
        <v>25</v>
      </c>
      <c r="J1286">
        <v>1106</v>
      </c>
      <c r="K1286">
        <v>0</v>
      </c>
      <c r="L1286">
        <v>4</v>
      </c>
      <c r="M1286">
        <v>4</v>
      </c>
      <c r="N1286">
        <v>210</v>
      </c>
      <c r="O1286">
        <v>137</v>
      </c>
      <c r="P1286">
        <v>137</v>
      </c>
      <c r="Q1286">
        <v>109</v>
      </c>
      <c r="R1286">
        <v>86</v>
      </c>
      <c r="S1286">
        <v>40</v>
      </c>
      <c r="T1286">
        <v>19</v>
      </c>
      <c r="U1286">
        <v>1106</v>
      </c>
    </row>
    <row r="1287" spans="1:21" x14ac:dyDescent="0.25">
      <c r="A1287">
        <v>2025</v>
      </c>
      <c r="B1287">
        <v>7</v>
      </c>
      <c r="C1287" t="s">
        <v>75</v>
      </c>
      <c r="D1287" t="s">
        <v>22</v>
      </c>
      <c r="E1287" t="s">
        <v>70</v>
      </c>
      <c r="F1287" t="s">
        <v>29</v>
      </c>
      <c r="G1287" t="s">
        <v>26</v>
      </c>
      <c r="H1287" t="s">
        <v>26</v>
      </c>
      <c r="I1287" t="s">
        <v>25</v>
      </c>
      <c r="J1287">
        <v>7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</row>
    <row r="1288" spans="1:21" x14ac:dyDescent="0.25">
      <c r="A1288">
        <v>2025</v>
      </c>
      <c r="B1288">
        <v>7</v>
      </c>
      <c r="C1288" t="s">
        <v>75</v>
      </c>
      <c r="D1288" t="s">
        <v>22</v>
      </c>
      <c r="E1288" t="s">
        <v>35</v>
      </c>
      <c r="F1288" t="s">
        <v>24</v>
      </c>
      <c r="G1288" t="s">
        <v>25</v>
      </c>
      <c r="H1288" t="s">
        <v>26</v>
      </c>
      <c r="I1288" t="s">
        <v>26</v>
      </c>
      <c r="J1288">
        <v>52</v>
      </c>
      <c r="K1288">
        <v>2</v>
      </c>
      <c r="L1288">
        <v>0</v>
      </c>
      <c r="M1288">
        <v>2</v>
      </c>
      <c r="N1288">
        <v>5</v>
      </c>
      <c r="O1288">
        <v>5</v>
      </c>
      <c r="P1288">
        <v>5</v>
      </c>
      <c r="Q1288">
        <v>5</v>
      </c>
      <c r="R1288">
        <v>5</v>
      </c>
      <c r="S1288">
        <v>1</v>
      </c>
      <c r="T1288">
        <v>0</v>
      </c>
      <c r="U1288">
        <v>50</v>
      </c>
    </row>
    <row r="1289" spans="1:21" x14ac:dyDescent="0.25">
      <c r="A1289">
        <v>2025</v>
      </c>
      <c r="B1289">
        <v>7</v>
      </c>
      <c r="C1289" t="s">
        <v>75</v>
      </c>
      <c r="D1289" t="s">
        <v>22</v>
      </c>
      <c r="E1289" t="s">
        <v>42</v>
      </c>
      <c r="F1289" t="s">
        <v>24</v>
      </c>
      <c r="G1289" t="s">
        <v>26</v>
      </c>
      <c r="H1289" t="s">
        <v>26</v>
      </c>
      <c r="I1289" t="s">
        <v>25</v>
      </c>
      <c r="J1289">
        <v>89</v>
      </c>
      <c r="K1289">
        <v>0</v>
      </c>
      <c r="L1289">
        <v>0</v>
      </c>
      <c r="M1289">
        <v>0</v>
      </c>
      <c r="N1289">
        <v>31</v>
      </c>
      <c r="O1289">
        <v>26</v>
      </c>
      <c r="P1289">
        <v>26</v>
      </c>
      <c r="Q1289">
        <v>20</v>
      </c>
      <c r="R1289">
        <v>14</v>
      </c>
      <c r="S1289">
        <v>8</v>
      </c>
      <c r="T1289">
        <v>5</v>
      </c>
      <c r="U1289">
        <v>89</v>
      </c>
    </row>
    <row r="1290" spans="1:21" x14ac:dyDescent="0.25">
      <c r="A1290">
        <v>2025</v>
      </c>
      <c r="B1290">
        <v>7</v>
      </c>
      <c r="C1290" t="s">
        <v>75</v>
      </c>
      <c r="D1290" t="s">
        <v>22</v>
      </c>
      <c r="E1290" t="s">
        <v>27</v>
      </c>
      <c r="F1290" t="s">
        <v>28</v>
      </c>
      <c r="G1290" t="s">
        <v>26</v>
      </c>
      <c r="H1290" t="s">
        <v>26</v>
      </c>
      <c r="I1290" t="s">
        <v>25</v>
      </c>
      <c r="J1290">
        <v>12249</v>
      </c>
      <c r="K1290">
        <v>36</v>
      </c>
      <c r="L1290">
        <v>133</v>
      </c>
      <c r="M1290">
        <v>169</v>
      </c>
      <c r="N1290">
        <v>3508</v>
      </c>
      <c r="O1290">
        <v>2185</v>
      </c>
      <c r="P1290">
        <v>2182</v>
      </c>
      <c r="Q1290">
        <v>1606</v>
      </c>
      <c r="R1290">
        <v>1238</v>
      </c>
      <c r="S1290">
        <v>660</v>
      </c>
      <c r="T1290">
        <v>273</v>
      </c>
      <c r="U1290">
        <v>12173</v>
      </c>
    </row>
    <row r="1291" spans="1:21" x14ac:dyDescent="0.25">
      <c r="A1291">
        <v>2025</v>
      </c>
      <c r="B1291">
        <v>7</v>
      </c>
      <c r="C1291" t="s">
        <v>75</v>
      </c>
      <c r="D1291" t="s">
        <v>22</v>
      </c>
      <c r="E1291" t="s">
        <v>27</v>
      </c>
      <c r="F1291" t="s">
        <v>24</v>
      </c>
      <c r="G1291" t="s">
        <v>26</v>
      </c>
      <c r="H1291" t="s">
        <v>26</v>
      </c>
      <c r="I1291" t="s">
        <v>25</v>
      </c>
      <c r="J1291">
        <v>862</v>
      </c>
      <c r="K1291">
        <v>20</v>
      </c>
      <c r="L1291">
        <v>12</v>
      </c>
      <c r="M1291">
        <v>32</v>
      </c>
      <c r="N1291">
        <v>388</v>
      </c>
      <c r="O1291">
        <v>255</v>
      </c>
      <c r="P1291">
        <v>255</v>
      </c>
      <c r="Q1291">
        <v>196</v>
      </c>
      <c r="R1291">
        <v>136</v>
      </c>
      <c r="S1291">
        <v>61</v>
      </c>
      <c r="T1291">
        <v>25</v>
      </c>
      <c r="U1291">
        <v>836</v>
      </c>
    </row>
    <row r="1292" spans="1:21" x14ac:dyDescent="0.25">
      <c r="A1292">
        <v>2025</v>
      </c>
      <c r="B1292">
        <v>7</v>
      </c>
      <c r="C1292" t="s">
        <v>75</v>
      </c>
      <c r="D1292" t="s">
        <v>22</v>
      </c>
      <c r="E1292" t="s">
        <v>27</v>
      </c>
      <c r="F1292" t="s">
        <v>29</v>
      </c>
      <c r="G1292" t="s">
        <v>26</v>
      </c>
      <c r="H1292" t="s">
        <v>26</v>
      </c>
      <c r="I1292" t="s">
        <v>25</v>
      </c>
      <c r="J1292">
        <v>812</v>
      </c>
      <c r="K1292">
        <v>4</v>
      </c>
      <c r="L1292">
        <v>0</v>
      </c>
      <c r="M1292">
        <v>4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</row>
    <row r="1293" spans="1:21" x14ac:dyDescent="0.25">
      <c r="A1293">
        <v>2025</v>
      </c>
      <c r="B1293">
        <v>7</v>
      </c>
      <c r="C1293" t="s">
        <v>79</v>
      </c>
      <c r="D1293" t="s">
        <v>22</v>
      </c>
      <c r="E1293" t="s">
        <v>31</v>
      </c>
      <c r="F1293" t="s">
        <v>24</v>
      </c>
      <c r="G1293" t="s">
        <v>25</v>
      </c>
      <c r="H1293" t="s">
        <v>25</v>
      </c>
      <c r="I1293" t="s">
        <v>25</v>
      </c>
      <c r="J1293">
        <v>675</v>
      </c>
      <c r="K1293">
        <v>0</v>
      </c>
      <c r="L1293">
        <v>0</v>
      </c>
      <c r="M1293">
        <v>0</v>
      </c>
      <c r="N1293">
        <v>22</v>
      </c>
      <c r="O1293">
        <v>20</v>
      </c>
      <c r="P1293">
        <v>19</v>
      </c>
      <c r="Q1293">
        <v>13</v>
      </c>
      <c r="R1293">
        <v>10</v>
      </c>
      <c r="S1293">
        <v>5</v>
      </c>
      <c r="T1293">
        <v>2</v>
      </c>
      <c r="U1293">
        <v>675</v>
      </c>
    </row>
    <row r="1294" spans="1:21" x14ac:dyDescent="0.25">
      <c r="A1294">
        <v>2025</v>
      </c>
      <c r="B1294">
        <v>7</v>
      </c>
      <c r="C1294" t="s">
        <v>79</v>
      </c>
      <c r="D1294" t="s">
        <v>22</v>
      </c>
      <c r="E1294" t="s">
        <v>34</v>
      </c>
      <c r="F1294" t="s">
        <v>24</v>
      </c>
      <c r="G1294" t="s">
        <v>25</v>
      </c>
      <c r="H1294" t="s">
        <v>26</v>
      </c>
      <c r="I1294" t="s">
        <v>26</v>
      </c>
      <c r="J1294">
        <v>162</v>
      </c>
      <c r="K1294">
        <v>0</v>
      </c>
      <c r="L1294">
        <v>0</v>
      </c>
      <c r="M1294">
        <v>0</v>
      </c>
      <c r="N1294">
        <v>10</v>
      </c>
      <c r="O1294">
        <v>9</v>
      </c>
      <c r="P1294">
        <v>9</v>
      </c>
      <c r="Q1294">
        <v>7</v>
      </c>
      <c r="R1294">
        <v>5</v>
      </c>
      <c r="S1294">
        <v>4</v>
      </c>
      <c r="T1294">
        <v>2</v>
      </c>
      <c r="U1294">
        <v>162</v>
      </c>
    </row>
    <row r="1295" spans="1:21" x14ac:dyDescent="0.25">
      <c r="A1295">
        <v>2025</v>
      </c>
      <c r="B1295">
        <v>7</v>
      </c>
      <c r="C1295" t="s">
        <v>79</v>
      </c>
      <c r="D1295" t="s">
        <v>22</v>
      </c>
      <c r="E1295" t="s">
        <v>23</v>
      </c>
      <c r="F1295" t="s">
        <v>24</v>
      </c>
      <c r="G1295" t="s">
        <v>25</v>
      </c>
      <c r="H1295" t="s">
        <v>25</v>
      </c>
      <c r="I1295" t="s">
        <v>25</v>
      </c>
      <c r="J1295">
        <v>62</v>
      </c>
      <c r="K1295">
        <v>0</v>
      </c>
      <c r="L1295">
        <v>0</v>
      </c>
      <c r="M1295">
        <v>0</v>
      </c>
      <c r="N1295">
        <v>3</v>
      </c>
      <c r="O1295">
        <v>3</v>
      </c>
      <c r="P1295">
        <v>3</v>
      </c>
      <c r="Q1295">
        <v>2</v>
      </c>
      <c r="R1295">
        <v>2</v>
      </c>
      <c r="S1295">
        <v>2</v>
      </c>
      <c r="T1295">
        <v>1</v>
      </c>
      <c r="U1295">
        <v>62</v>
      </c>
    </row>
    <row r="1296" spans="1:21" x14ac:dyDescent="0.25">
      <c r="A1296">
        <v>2025</v>
      </c>
      <c r="B1296">
        <v>7</v>
      </c>
      <c r="C1296" t="s">
        <v>80</v>
      </c>
      <c r="D1296" t="s">
        <v>22</v>
      </c>
      <c r="E1296" t="s">
        <v>31</v>
      </c>
      <c r="F1296" t="s">
        <v>24</v>
      </c>
      <c r="G1296" t="s">
        <v>25</v>
      </c>
      <c r="H1296" t="s">
        <v>25</v>
      </c>
      <c r="I1296" t="s">
        <v>25</v>
      </c>
      <c r="J1296">
        <v>124</v>
      </c>
      <c r="K1296">
        <v>0</v>
      </c>
      <c r="L1296">
        <v>0</v>
      </c>
      <c r="M1296">
        <v>0</v>
      </c>
      <c r="N1296">
        <v>18</v>
      </c>
      <c r="O1296">
        <v>18</v>
      </c>
      <c r="P1296">
        <v>16</v>
      </c>
      <c r="Q1296">
        <v>11</v>
      </c>
      <c r="R1296">
        <v>7</v>
      </c>
      <c r="S1296">
        <v>2</v>
      </c>
      <c r="T1296">
        <v>1</v>
      </c>
      <c r="U1296">
        <v>124</v>
      </c>
    </row>
    <row r="1297" spans="1:21" x14ac:dyDescent="0.25">
      <c r="A1297">
        <v>2025</v>
      </c>
      <c r="B1297">
        <v>7</v>
      </c>
      <c r="C1297" t="s">
        <v>80</v>
      </c>
      <c r="D1297" t="s">
        <v>22</v>
      </c>
      <c r="E1297" t="s">
        <v>102</v>
      </c>
      <c r="F1297" t="s">
        <v>28</v>
      </c>
      <c r="G1297" t="s">
        <v>25</v>
      </c>
      <c r="H1297" t="s">
        <v>25</v>
      </c>
      <c r="I1297" t="s">
        <v>25</v>
      </c>
      <c r="J1297">
        <v>1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1</v>
      </c>
    </row>
    <row r="1298" spans="1:21" x14ac:dyDescent="0.25">
      <c r="A1298">
        <v>2025</v>
      </c>
      <c r="B1298">
        <v>7</v>
      </c>
      <c r="C1298" t="s">
        <v>80</v>
      </c>
      <c r="D1298" t="s">
        <v>22</v>
      </c>
      <c r="E1298" t="s">
        <v>32</v>
      </c>
      <c r="F1298" t="s">
        <v>28</v>
      </c>
      <c r="G1298" t="s">
        <v>25</v>
      </c>
      <c r="H1298" t="s">
        <v>25</v>
      </c>
      <c r="I1298" t="s">
        <v>25</v>
      </c>
      <c r="J1298">
        <v>52</v>
      </c>
      <c r="K1298">
        <v>0</v>
      </c>
      <c r="L1298">
        <v>0</v>
      </c>
      <c r="M1298">
        <v>0</v>
      </c>
      <c r="N1298">
        <v>38</v>
      </c>
      <c r="O1298">
        <v>35</v>
      </c>
      <c r="P1298">
        <v>28</v>
      </c>
      <c r="Q1298">
        <v>20</v>
      </c>
      <c r="R1298">
        <v>13</v>
      </c>
      <c r="S1298">
        <v>8</v>
      </c>
      <c r="T1298">
        <v>1</v>
      </c>
      <c r="U1298">
        <v>52</v>
      </c>
    </row>
    <row r="1299" spans="1:21" x14ac:dyDescent="0.25">
      <c r="A1299">
        <v>2025</v>
      </c>
      <c r="B1299">
        <v>7</v>
      </c>
      <c r="C1299" t="s">
        <v>80</v>
      </c>
      <c r="D1299" t="s">
        <v>22</v>
      </c>
      <c r="E1299" t="s">
        <v>32</v>
      </c>
      <c r="F1299" t="s">
        <v>24</v>
      </c>
      <c r="G1299" t="s">
        <v>25</v>
      </c>
      <c r="H1299" t="s">
        <v>25</v>
      </c>
      <c r="I1299" t="s">
        <v>25</v>
      </c>
      <c r="J1299">
        <v>1271</v>
      </c>
      <c r="K1299">
        <v>9</v>
      </c>
      <c r="L1299">
        <v>19</v>
      </c>
      <c r="M1299">
        <v>28</v>
      </c>
      <c r="N1299">
        <v>499</v>
      </c>
      <c r="O1299">
        <v>418</v>
      </c>
      <c r="P1299">
        <v>377</v>
      </c>
      <c r="Q1299">
        <v>284</v>
      </c>
      <c r="R1299">
        <v>201</v>
      </c>
      <c r="S1299">
        <v>96</v>
      </c>
      <c r="T1299">
        <v>18</v>
      </c>
      <c r="U1299">
        <v>1243</v>
      </c>
    </row>
    <row r="1300" spans="1:21" x14ac:dyDescent="0.25">
      <c r="A1300">
        <v>2025</v>
      </c>
      <c r="B1300">
        <v>7</v>
      </c>
      <c r="C1300" t="s">
        <v>80</v>
      </c>
      <c r="D1300" t="s">
        <v>22</v>
      </c>
      <c r="E1300" t="s">
        <v>38</v>
      </c>
      <c r="F1300" t="s">
        <v>24</v>
      </c>
      <c r="G1300" t="s">
        <v>25</v>
      </c>
      <c r="H1300" t="s">
        <v>26</v>
      </c>
      <c r="I1300" t="s">
        <v>25</v>
      </c>
      <c r="J1300">
        <v>4</v>
      </c>
      <c r="K1300">
        <v>0</v>
      </c>
      <c r="L1300">
        <v>0</v>
      </c>
      <c r="M1300">
        <v>0</v>
      </c>
      <c r="N1300">
        <v>1</v>
      </c>
      <c r="O1300">
        <v>1</v>
      </c>
      <c r="P1300">
        <v>1</v>
      </c>
      <c r="Q1300">
        <v>1</v>
      </c>
      <c r="R1300">
        <v>1</v>
      </c>
      <c r="S1300">
        <v>1</v>
      </c>
      <c r="T1300">
        <v>0</v>
      </c>
      <c r="U1300">
        <v>4</v>
      </c>
    </row>
    <row r="1301" spans="1:21" x14ac:dyDescent="0.25">
      <c r="A1301">
        <v>2025</v>
      </c>
      <c r="B1301">
        <v>7</v>
      </c>
      <c r="C1301" t="s">
        <v>80</v>
      </c>
      <c r="D1301" t="s">
        <v>22</v>
      </c>
      <c r="E1301" t="s">
        <v>34</v>
      </c>
      <c r="F1301" t="s">
        <v>28</v>
      </c>
      <c r="G1301" t="s">
        <v>25</v>
      </c>
      <c r="H1301" t="s">
        <v>26</v>
      </c>
      <c r="I1301" t="s">
        <v>26</v>
      </c>
      <c r="J1301">
        <v>4</v>
      </c>
      <c r="K1301">
        <v>0</v>
      </c>
      <c r="L1301">
        <v>0</v>
      </c>
      <c r="M1301">
        <v>0</v>
      </c>
      <c r="N1301">
        <v>2</v>
      </c>
      <c r="O1301">
        <v>2</v>
      </c>
      <c r="P1301">
        <v>2</v>
      </c>
      <c r="Q1301">
        <v>1</v>
      </c>
      <c r="R1301">
        <v>1</v>
      </c>
      <c r="S1301">
        <v>0</v>
      </c>
      <c r="T1301">
        <v>0</v>
      </c>
      <c r="U1301">
        <v>4</v>
      </c>
    </row>
    <row r="1302" spans="1:21" x14ac:dyDescent="0.25">
      <c r="A1302">
        <v>2025</v>
      </c>
      <c r="B1302">
        <v>7</v>
      </c>
      <c r="C1302" t="s">
        <v>80</v>
      </c>
      <c r="D1302" t="s">
        <v>22</v>
      </c>
      <c r="E1302" t="s">
        <v>34</v>
      </c>
      <c r="F1302" t="s">
        <v>24</v>
      </c>
      <c r="G1302" t="s">
        <v>25</v>
      </c>
      <c r="H1302" t="s">
        <v>26</v>
      </c>
      <c r="I1302" t="s">
        <v>26</v>
      </c>
      <c r="J1302">
        <v>30</v>
      </c>
      <c r="K1302">
        <v>0</v>
      </c>
      <c r="L1302">
        <v>0</v>
      </c>
      <c r="M1302">
        <v>0</v>
      </c>
      <c r="N1302">
        <v>3</v>
      </c>
      <c r="O1302">
        <v>3</v>
      </c>
      <c r="P1302">
        <v>3</v>
      </c>
      <c r="Q1302">
        <v>3</v>
      </c>
      <c r="R1302">
        <v>3</v>
      </c>
      <c r="S1302">
        <v>3</v>
      </c>
      <c r="T1302">
        <v>3</v>
      </c>
      <c r="U1302">
        <v>30</v>
      </c>
    </row>
    <row r="1303" spans="1:21" x14ac:dyDescent="0.25">
      <c r="A1303">
        <v>2025</v>
      </c>
      <c r="B1303">
        <v>7</v>
      </c>
      <c r="C1303" t="s">
        <v>80</v>
      </c>
      <c r="D1303" t="s">
        <v>22</v>
      </c>
      <c r="E1303" t="s">
        <v>76</v>
      </c>
      <c r="F1303" t="s">
        <v>28</v>
      </c>
      <c r="G1303" t="s">
        <v>25</v>
      </c>
      <c r="H1303" t="s">
        <v>26</v>
      </c>
      <c r="I1303" t="s">
        <v>25</v>
      </c>
      <c r="J1303">
        <v>48</v>
      </c>
      <c r="K1303">
        <v>0</v>
      </c>
      <c r="L1303">
        <v>2</v>
      </c>
      <c r="M1303">
        <v>2</v>
      </c>
      <c r="N1303">
        <v>19</v>
      </c>
      <c r="O1303">
        <v>17</v>
      </c>
      <c r="P1303">
        <v>17</v>
      </c>
      <c r="Q1303">
        <v>14</v>
      </c>
      <c r="R1303">
        <v>10</v>
      </c>
      <c r="S1303">
        <v>8</v>
      </c>
      <c r="T1303">
        <v>3</v>
      </c>
      <c r="U1303">
        <v>47</v>
      </c>
    </row>
    <row r="1304" spans="1:21" x14ac:dyDescent="0.25">
      <c r="A1304">
        <v>2025</v>
      </c>
      <c r="B1304">
        <v>7</v>
      </c>
      <c r="C1304" t="s">
        <v>80</v>
      </c>
      <c r="D1304" t="s">
        <v>22</v>
      </c>
      <c r="E1304" t="s">
        <v>76</v>
      </c>
      <c r="F1304" t="s">
        <v>24</v>
      </c>
      <c r="G1304" t="s">
        <v>25</v>
      </c>
      <c r="H1304" t="s">
        <v>26</v>
      </c>
      <c r="I1304" t="s">
        <v>25</v>
      </c>
      <c r="J1304">
        <v>1</v>
      </c>
      <c r="K1304">
        <v>0</v>
      </c>
      <c r="L1304">
        <v>0</v>
      </c>
      <c r="M1304">
        <v>0</v>
      </c>
      <c r="N1304">
        <v>1</v>
      </c>
      <c r="O1304">
        <v>1</v>
      </c>
      <c r="P1304">
        <v>1</v>
      </c>
      <c r="Q1304">
        <v>1</v>
      </c>
      <c r="R1304">
        <v>1</v>
      </c>
      <c r="S1304">
        <v>0</v>
      </c>
      <c r="T1304">
        <v>0</v>
      </c>
      <c r="U1304">
        <v>1</v>
      </c>
    </row>
    <row r="1305" spans="1:21" x14ac:dyDescent="0.25">
      <c r="A1305">
        <v>2025</v>
      </c>
      <c r="B1305">
        <v>7</v>
      </c>
      <c r="C1305" t="s">
        <v>80</v>
      </c>
      <c r="D1305" t="s">
        <v>22</v>
      </c>
      <c r="E1305" t="s">
        <v>76</v>
      </c>
      <c r="F1305" t="s">
        <v>29</v>
      </c>
      <c r="G1305" t="s">
        <v>25</v>
      </c>
      <c r="H1305" t="s">
        <v>26</v>
      </c>
      <c r="I1305" t="s">
        <v>25</v>
      </c>
      <c r="J1305">
        <v>1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</row>
    <row r="1306" spans="1:21" x14ac:dyDescent="0.25">
      <c r="A1306">
        <v>2025</v>
      </c>
      <c r="B1306">
        <v>7</v>
      </c>
      <c r="C1306" t="s">
        <v>80</v>
      </c>
      <c r="D1306" t="s">
        <v>22</v>
      </c>
      <c r="E1306" t="s">
        <v>81</v>
      </c>
      <c r="F1306" t="s">
        <v>28</v>
      </c>
      <c r="G1306" t="s">
        <v>25</v>
      </c>
      <c r="H1306" t="s">
        <v>26</v>
      </c>
      <c r="I1306" t="s">
        <v>25</v>
      </c>
      <c r="J1306">
        <v>567</v>
      </c>
      <c r="K1306">
        <v>0</v>
      </c>
      <c r="L1306">
        <v>13</v>
      </c>
      <c r="M1306">
        <v>13</v>
      </c>
      <c r="N1306">
        <v>339</v>
      </c>
      <c r="O1306">
        <v>292</v>
      </c>
      <c r="P1306">
        <v>266</v>
      </c>
      <c r="Q1306">
        <v>208</v>
      </c>
      <c r="R1306">
        <v>166</v>
      </c>
      <c r="S1306">
        <v>96</v>
      </c>
      <c r="T1306">
        <v>37</v>
      </c>
      <c r="U1306">
        <v>555</v>
      </c>
    </row>
    <row r="1307" spans="1:21" x14ac:dyDescent="0.25">
      <c r="A1307">
        <v>2025</v>
      </c>
      <c r="B1307">
        <v>7</v>
      </c>
      <c r="C1307" t="s">
        <v>80</v>
      </c>
      <c r="D1307" t="s">
        <v>22</v>
      </c>
      <c r="E1307" t="s">
        <v>82</v>
      </c>
      <c r="F1307" t="s">
        <v>28</v>
      </c>
      <c r="G1307" t="s">
        <v>25</v>
      </c>
      <c r="H1307" t="s">
        <v>26</v>
      </c>
      <c r="I1307" t="s">
        <v>25</v>
      </c>
      <c r="J1307">
        <v>298</v>
      </c>
      <c r="K1307">
        <v>0</v>
      </c>
      <c r="L1307">
        <v>6</v>
      </c>
      <c r="M1307">
        <v>6</v>
      </c>
      <c r="N1307">
        <v>171</v>
      </c>
      <c r="O1307">
        <v>141</v>
      </c>
      <c r="P1307">
        <v>132</v>
      </c>
      <c r="Q1307">
        <v>88</v>
      </c>
      <c r="R1307">
        <v>67</v>
      </c>
      <c r="S1307">
        <v>27</v>
      </c>
      <c r="T1307">
        <v>8</v>
      </c>
      <c r="U1307">
        <v>292</v>
      </c>
    </row>
    <row r="1308" spans="1:21" x14ac:dyDescent="0.25">
      <c r="A1308">
        <v>2025</v>
      </c>
      <c r="B1308">
        <v>7</v>
      </c>
      <c r="C1308" t="s">
        <v>80</v>
      </c>
      <c r="D1308" t="s">
        <v>22</v>
      </c>
      <c r="E1308" t="s">
        <v>83</v>
      </c>
      <c r="F1308" t="s">
        <v>28</v>
      </c>
      <c r="G1308" t="s">
        <v>26</v>
      </c>
      <c r="H1308" t="s">
        <v>26</v>
      </c>
      <c r="I1308" t="s">
        <v>25</v>
      </c>
      <c r="J1308">
        <v>6805</v>
      </c>
      <c r="K1308">
        <v>0</v>
      </c>
      <c r="L1308">
        <v>169</v>
      </c>
      <c r="M1308">
        <v>169</v>
      </c>
      <c r="N1308">
        <v>3438</v>
      </c>
      <c r="O1308">
        <v>2834</v>
      </c>
      <c r="P1308">
        <v>2614</v>
      </c>
      <c r="Q1308">
        <v>1912</v>
      </c>
      <c r="R1308">
        <v>1431</v>
      </c>
      <c r="S1308">
        <v>789</v>
      </c>
      <c r="T1308">
        <v>293</v>
      </c>
      <c r="U1308">
        <v>6660</v>
      </c>
    </row>
    <row r="1309" spans="1:21" x14ac:dyDescent="0.25">
      <c r="A1309">
        <v>2025</v>
      </c>
      <c r="B1309">
        <v>7</v>
      </c>
      <c r="C1309" t="s">
        <v>80</v>
      </c>
      <c r="D1309" t="s">
        <v>22</v>
      </c>
      <c r="E1309" t="s">
        <v>23</v>
      </c>
      <c r="F1309" t="s">
        <v>28</v>
      </c>
      <c r="G1309" t="s">
        <v>25</v>
      </c>
      <c r="H1309" t="s">
        <v>26</v>
      </c>
      <c r="I1309" t="s">
        <v>25</v>
      </c>
      <c r="J1309">
        <v>3056</v>
      </c>
      <c r="K1309">
        <v>0</v>
      </c>
      <c r="L1309">
        <v>125</v>
      </c>
      <c r="M1309">
        <v>125</v>
      </c>
      <c r="N1309">
        <v>1509</v>
      </c>
      <c r="O1309">
        <v>1303</v>
      </c>
      <c r="P1309">
        <v>1220</v>
      </c>
      <c r="Q1309">
        <v>935</v>
      </c>
      <c r="R1309">
        <v>717</v>
      </c>
      <c r="S1309">
        <v>387</v>
      </c>
      <c r="T1309">
        <v>147</v>
      </c>
      <c r="U1309">
        <v>2956</v>
      </c>
    </row>
    <row r="1310" spans="1:21" x14ac:dyDescent="0.25">
      <c r="A1310">
        <v>2025</v>
      </c>
      <c r="B1310">
        <v>7</v>
      </c>
      <c r="C1310" t="s">
        <v>80</v>
      </c>
      <c r="D1310" t="s">
        <v>22</v>
      </c>
      <c r="E1310" t="s">
        <v>23</v>
      </c>
      <c r="F1310" t="s">
        <v>24</v>
      </c>
      <c r="G1310" t="s">
        <v>25</v>
      </c>
      <c r="H1310" t="s">
        <v>26</v>
      </c>
      <c r="I1310" t="s">
        <v>25</v>
      </c>
      <c r="J1310">
        <v>3</v>
      </c>
      <c r="K1310">
        <v>0</v>
      </c>
      <c r="L1310">
        <v>0</v>
      </c>
      <c r="M1310">
        <v>0</v>
      </c>
      <c r="N1310">
        <v>2</v>
      </c>
      <c r="O1310">
        <v>2</v>
      </c>
      <c r="P1310">
        <v>2</v>
      </c>
      <c r="Q1310">
        <v>0</v>
      </c>
      <c r="R1310">
        <v>0</v>
      </c>
      <c r="S1310">
        <v>0</v>
      </c>
      <c r="T1310">
        <v>0</v>
      </c>
      <c r="U1310">
        <v>3</v>
      </c>
    </row>
    <row r="1311" spans="1:21" x14ac:dyDescent="0.25">
      <c r="A1311">
        <v>2025</v>
      </c>
      <c r="B1311">
        <v>7</v>
      </c>
      <c r="C1311" t="s">
        <v>80</v>
      </c>
      <c r="D1311" t="s">
        <v>22</v>
      </c>
      <c r="E1311" t="s">
        <v>84</v>
      </c>
      <c r="F1311" t="s">
        <v>28</v>
      </c>
      <c r="G1311" t="s">
        <v>25</v>
      </c>
      <c r="H1311" t="s">
        <v>26</v>
      </c>
      <c r="I1311" t="s">
        <v>26</v>
      </c>
      <c r="J1311">
        <v>582</v>
      </c>
      <c r="K1311">
        <v>0</v>
      </c>
      <c r="L1311">
        <v>0</v>
      </c>
      <c r="M1311">
        <v>0</v>
      </c>
      <c r="N1311">
        <v>198</v>
      </c>
      <c r="O1311">
        <v>166</v>
      </c>
      <c r="P1311">
        <v>154</v>
      </c>
      <c r="Q1311">
        <v>115</v>
      </c>
      <c r="R1311">
        <v>90</v>
      </c>
      <c r="S1311">
        <v>58</v>
      </c>
      <c r="T1311">
        <v>24</v>
      </c>
      <c r="U1311">
        <v>582</v>
      </c>
    </row>
    <row r="1312" spans="1:21" x14ac:dyDescent="0.25">
      <c r="A1312">
        <v>2025</v>
      </c>
      <c r="B1312">
        <v>7</v>
      </c>
      <c r="C1312" t="s">
        <v>80</v>
      </c>
      <c r="D1312" t="s">
        <v>22</v>
      </c>
      <c r="E1312" t="s">
        <v>40</v>
      </c>
      <c r="F1312" t="s">
        <v>28</v>
      </c>
      <c r="G1312" t="s">
        <v>25</v>
      </c>
      <c r="H1312" t="s">
        <v>26</v>
      </c>
      <c r="I1312" t="s">
        <v>25</v>
      </c>
      <c r="J1312">
        <v>11</v>
      </c>
      <c r="K1312">
        <v>0</v>
      </c>
      <c r="L1312">
        <v>2</v>
      </c>
      <c r="M1312">
        <v>2</v>
      </c>
      <c r="N1312">
        <v>6</v>
      </c>
      <c r="O1312">
        <v>6</v>
      </c>
      <c r="P1312">
        <v>6</v>
      </c>
      <c r="Q1312">
        <v>4</v>
      </c>
      <c r="R1312">
        <v>4</v>
      </c>
      <c r="S1312">
        <v>4</v>
      </c>
      <c r="T1312">
        <v>1</v>
      </c>
      <c r="U1312">
        <v>10</v>
      </c>
    </row>
    <row r="1313" spans="1:21" x14ac:dyDescent="0.25">
      <c r="A1313">
        <v>2025</v>
      </c>
      <c r="B1313">
        <v>7</v>
      </c>
      <c r="C1313" t="s">
        <v>80</v>
      </c>
      <c r="D1313" t="s">
        <v>22</v>
      </c>
      <c r="E1313" t="s">
        <v>40</v>
      </c>
      <c r="F1313" t="s">
        <v>24</v>
      </c>
      <c r="G1313" t="s">
        <v>25</v>
      </c>
      <c r="H1313" t="s">
        <v>26</v>
      </c>
      <c r="I1313" t="s">
        <v>25</v>
      </c>
      <c r="J1313">
        <v>53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53</v>
      </c>
    </row>
    <row r="1314" spans="1:21" x14ac:dyDescent="0.25">
      <c r="A1314">
        <v>2025</v>
      </c>
      <c r="B1314">
        <v>7</v>
      </c>
      <c r="C1314" t="s">
        <v>80</v>
      </c>
      <c r="D1314" t="s">
        <v>22</v>
      </c>
      <c r="E1314" t="s">
        <v>85</v>
      </c>
      <c r="F1314" t="s">
        <v>28</v>
      </c>
      <c r="G1314" t="s">
        <v>25</v>
      </c>
      <c r="H1314" t="s">
        <v>25</v>
      </c>
      <c r="I1314" t="s">
        <v>25</v>
      </c>
      <c r="J1314">
        <v>6572</v>
      </c>
      <c r="K1314">
        <v>0</v>
      </c>
      <c r="L1314">
        <v>536</v>
      </c>
      <c r="M1314">
        <v>536</v>
      </c>
      <c r="N1314">
        <v>504</v>
      </c>
      <c r="O1314">
        <v>253</v>
      </c>
      <c r="P1314">
        <v>217</v>
      </c>
      <c r="Q1314">
        <v>138</v>
      </c>
      <c r="R1314">
        <v>71</v>
      </c>
      <c r="S1314">
        <v>19</v>
      </c>
      <c r="T1314">
        <v>6</v>
      </c>
      <c r="U1314">
        <v>6177</v>
      </c>
    </row>
    <row r="1315" spans="1:21" x14ac:dyDescent="0.25">
      <c r="A1315">
        <v>2025</v>
      </c>
      <c r="B1315">
        <v>7</v>
      </c>
      <c r="C1315" t="s">
        <v>80</v>
      </c>
      <c r="D1315" t="s">
        <v>22</v>
      </c>
      <c r="E1315" t="s">
        <v>86</v>
      </c>
      <c r="F1315" t="s">
        <v>28</v>
      </c>
      <c r="G1315" t="s">
        <v>25</v>
      </c>
      <c r="H1315" t="s">
        <v>25</v>
      </c>
      <c r="I1315" t="s">
        <v>25</v>
      </c>
      <c r="J1315">
        <v>7</v>
      </c>
      <c r="K1315">
        <v>0</v>
      </c>
      <c r="L1315">
        <v>3</v>
      </c>
      <c r="M1315">
        <v>3</v>
      </c>
      <c r="N1315">
        <v>4</v>
      </c>
      <c r="O1315">
        <v>3</v>
      </c>
      <c r="P1315">
        <v>3</v>
      </c>
      <c r="Q1315">
        <v>3</v>
      </c>
      <c r="R1315">
        <v>1</v>
      </c>
      <c r="S1315">
        <v>1</v>
      </c>
      <c r="T1315">
        <v>1</v>
      </c>
      <c r="U1315">
        <v>5</v>
      </c>
    </row>
    <row r="1316" spans="1:21" x14ac:dyDescent="0.25">
      <c r="A1316">
        <v>2025</v>
      </c>
      <c r="B1316">
        <v>7</v>
      </c>
      <c r="C1316" t="s">
        <v>80</v>
      </c>
      <c r="D1316" t="s">
        <v>22</v>
      </c>
      <c r="E1316" t="s">
        <v>86</v>
      </c>
      <c r="F1316" t="s">
        <v>29</v>
      </c>
      <c r="G1316" t="s">
        <v>25</v>
      </c>
      <c r="H1316" t="s">
        <v>25</v>
      </c>
      <c r="I1316" t="s">
        <v>25</v>
      </c>
      <c r="J1316">
        <v>6</v>
      </c>
      <c r="K1316">
        <v>1</v>
      </c>
      <c r="L1316">
        <v>0</v>
      </c>
      <c r="M1316">
        <v>1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</row>
    <row r="1317" spans="1:21" x14ac:dyDescent="0.25">
      <c r="A1317">
        <v>2025</v>
      </c>
      <c r="B1317">
        <v>7</v>
      </c>
      <c r="C1317" t="s">
        <v>80</v>
      </c>
      <c r="D1317" t="s">
        <v>22</v>
      </c>
      <c r="E1317" t="s">
        <v>35</v>
      </c>
      <c r="F1317" t="s">
        <v>28</v>
      </c>
      <c r="G1317" t="s">
        <v>25</v>
      </c>
      <c r="H1317" t="s">
        <v>26</v>
      </c>
      <c r="I1317" t="s">
        <v>26</v>
      </c>
      <c r="J1317">
        <v>3</v>
      </c>
      <c r="K1317">
        <v>0</v>
      </c>
      <c r="L1317">
        <v>0</v>
      </c>
      <c r="M1317">
        <v>0</v>
      </c>
      <c r="N1317">
        <v>3</v>
      </c>
      <c r="O1317">
        <v>3</v>
      </c>
      <c r="P1317">
        <v>3</v>
      </c>
      <c r="Q1317">
        <v>2</v>
      </c>
      <c r="R1317">
        <v>1</v>
      </c>
      <c r="S1317">
        <v>1</v>
      </c>
      <c r="T1317">
        <v>0</v>
      </c>
      <c r="U1317">
        <v>3</v>
      </c>
    </row>
    <row r="1318" spans="1:21" x14ac:dyDescent="0.25">
      <c r="A1318">
        <v>2025</v>
      </c>
      <c r="B1318">
        <v>7</v>
      </c>
      <c r="C1318" t="s">
        <v>80</v>
      </c>
      <c r="D1318" t="s">
        <v>22</v>
      </c>
      <c r="E1318" t="s">
        <v>35</v>
      </c>
      <c r="F1318" t="s">
        <v>24</v>
      </c>
      <c r="G1318" t="s">
        <v>25</v>
      </c>
      <c r="H1318" t="s">
        <v>26</v>
      </c>
      <c r="I1318" t="s">
        <v>26</v>
      </c>
      <c r="J1318">
        <v>286</v>
      </c>
      <c r="K1318">
        <v>0</v>
      </c>
      <c r="L1318">
        <v>1</v>
      </c>
      <c r="M1318">
        <v>1</v>
      </c>
      <c r="N1318">
        <v>104</v>
      </c>
      <c r="O1318">
        <v>94</v>
      </c>
      <c r="P1318">
        <v>87</v>
      </c>
      <c r="Q1318">
        <v>67</v>
      </c>
      <c r="R1318">
        <v>62</v>
      </c>
      <c r="S1318">
        <v>48</v>
      </c>
      <c r="T1318">
        <v>19</v>
      </c>
      <c r="U1318">
        <v>285</v>
      </c>
    </row>
    <row r="1319" spans="1:21" x14ac:dyDescent="0.25">
      <c r="A1319">
        <v>2025</v>
      </c>
      <c r="B1319">
        <v>7</v>
      </c>
      <c r="C1319" t="s">
        <v>80</v>
      </c>
      <c r="D1319" t="s">
        <v>22</v>
      </c>
      <c r="E1319" t="s">
        <v>87</v>
      </c>
      <c r="F1319" t="s">
        <v>28</v>
      </c>
      <c r="G1319" t="s">
        <v>25</v>
      </c>
      <c r="H1319" t="s">
        <v>25</v>
      </c>
      <c r="I1319" t="s">
        <v>25</v>
      </c>
      <c r="J1319">
        <v>218878</v>
      </c>
      <c r="K1319">
        <v>226</v>
      </c>
      <c r="L1319">
        <v>8275</v>
      </c>
      <c r="M1319">
        <v>8501</v>
      </c>
      <c r="N1319">
        <v>40618</v>
      </c>
      <c r="O1319">
        <v>23528</v>
      </c>
      <c r="P1319">
        <v>18835</v>
      </c>
      <c r="Q1319">
        <v>9907</v>
      </c>
      <c r="R1319">
        <v>5933</v>
      </c>
      <c r="S1319">
        <v>2082</v>
      </c>
      <c r="T1319">
        <v>479</v>
      </c>
      <c r="U1319">
        <v>211615</v>
      </c>
    </row>
    <row r="1320" spans="1:21" x14ac:dyDescent="0.25">
      <c r="A1320">
        <v>2025</v>
      </c>
      <c r="B1320">
        <v>7</v>
      </c>
      <c r="C1320" t="s">
        <v>80</v>
      </c>
      <c r="D1320" t="s">
        <v>22</v>
      </c>
      <c r="E1320" t="s">
        <v>87</v>
      </c>
      <c r="F1320" t="s">
        <v>24</v>
      </c>
      <c r="G1320" t="s">
        <v>25</v>
      </c>
      <c r="H1320" t="s">
        <v>25</v>
      </c>
      <c r="I1320" t="s">
        <v>25</v>
      </c>
      <c r="J1320">
        <v>5464</v>
      </c>
      <c r="K1320">
        <v>233</v>
      </c>
      <c r="L1320">
        <v>136</v>
      </c>
      <c r="M1320">
        <v>369</v>
      </c>
      <c r="N1320">
        <v>1221</v>
      </c>
      <c r="O1320">
        <v>744</v>
      </c>
      <c r="P1320">
        <v>614</v>
      </c>
      <c r="Q1320">
        <v>302</v>
      </c>
      <c r="R1320">
        <v>173</v>
      </c>
      <c r="S1320">
        <v>40</v>
      </c>
      <c r="T1320">
        <v>3</v>
      </c>
      <c r="U1320">
        <v>5119</v>
      </c>
    </row>
    <row r="1321" spans="1:21" x14ac:dyDescent="0.25">
      <c r="A1321">
        <v>2025</v>
      </c>
      <c r="B1321">
        <v>7</v>
      </c>
      <c r="C1321" t="s">
        <v>80</v>
      </c>
      <c r="D1321" t="s">
        <v>22</v>
      </c>
      <c r="E1321" t="s">
        <v>87</v>
      </c>
      <c r="F1321" t="s">
        <v>29</v>
      </c>
      <c r="G1321" t="s">
        <v>25</v>
      </c>
      <c r="H1321" t="s">
        <v>25</v>
      </c>
      <c r="I1321" t="s">
        <v>25</v>
      </c>
      <c r="J1321">
        <v>7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</row>
    <row r="1322" spans="1:21" x14ac:dyDescent="0.25">
      <c r="A1322">
        <v>2025</v>
      </c>
      <c r="B1322">
        <v>7</v>
      </c>
      <c r="C1322" t="s">
        <v>80</v>
      </c>
      <c r="D1322" t="s">
        <v>22</v>
      </c>
      <c r="E1322" t="s">
        <v>36</v>
      </c>
      <c r="F1322" t="s">
        <v>24</v>
      </c>
      <c r="G1322" t="s">
        <v>25</v>
      </c>
      <c r="H1322" t="s">
        <v>26</v>
      </c>
      <c r="I1322" t="s">
        <v>25</v>
      </c>
      <c r="J1322">
        <v>142</v>
      </c>
      <c r="K1322">
        <v>2</v>
      </c>
      <c r="L1322">
        <v>0</v>
      </c>
      <c r="M1322">
        <v>2</v>
      </c>
      <c r="N1322">
        <v>29</v>
      </c>
      <c r="O1322">
        <v>26</v>
      </c>
      <c r="P1322">
        <v>25</v>
      </c>
      <c r="Q1322">
        <v>24</v>
      </c>
      <c r="R1322">
        <v>20</v>
      </c>
      <c r="S1322">
        <v>12</v>
      </c>
      <c r="T1322">
        <v>6</v>
      </c>
      <c r="U1322">
        <v>140</v>
      </c>
    </row>
    <row r="1323" spans="1:21" x14ac:dyDescent="0.25">
      <c r="A1323">
        <v>2025</v>
      </c>
      <c r="B1323">
        <v>7</v>
      </c>
      <c r="C1323" t="s">
        <v>80</v>
      </c>
      <c r="D1323" t="s">
        <v>22</v>
      </c>
      <c r="E1323" t="s">
        <v>41</v>
      </c>
      <c r="F1323" t="s">
        <v>24</v>
      </c>
      <c r="G1323" t="s">
        <v>26</v>
      </c>
      <c r="H1323" t="s">
        <v>26</v>
      </c>
      <c r="I1323" t="s">
        <v>25</v>
      </c>
      <c r="J1323">
        <v>5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5</v>
      </c>
    </row>
    <row r="1324" spans="1:21" x14ac:dyDescent="0.25">
      <c r="A1324">
        <v>2025</v>
      </c>
      <c r="B1324">
        <v>7</v>
      </c>
      <c r="C1324" t="s">
        <v>88</v>
      </c>
      <c r="D1324" t="s">
        <v>45</v>
      </c>
      <c r="E1324" t="s">
        <v>83</v>
      </c>
      <c r="F1324" t="s">
        <v>28</v>
      </c>
      <c r="G1324" t="s">
        <v>26</v>
      </c>
      <c r="H1324" t="s">
        <v>26</v>
      </c>
      <c r="I1324" t="s">
        <v>25</v>
      </c>
      <c r="J1324">
        <v>517</v>
      </c>
      <c r="K1324">
        <v>0</v>
      </c>
      <c r="L1324">
        <v>0</v>
      </c>
      <c r="M1324">
        <v>0</v>
      </c>
      <c r="N1324">
        <v>122</v>
      </c>
      <c r="O1324">
        <v>95</v>
      </c>
      <c r="P1324">
        <v>85</v>
      </c>
      <c r="Q1324">
        <v>64</v>
      </c>
      <c r="R1324">
        <v>49</v>
      </c>
      <c r="S1324">
        <v>28</v>
      </c>
      <c r="T1324">
        <v>14</v>
      </c>
      <c r="U1324">
        <v>517</v>
      </c>
    </row>
    <row r="1325" spans="1:21" x14ac:dyDescent="0.25">
      <c r="A1325">
        <v>2025</v>
      </c>
      <c r="B1325">
        <v>7</v>
      </c>
      <c r="C1325" t="s">
        <v>88</v>
      </c>
      <c r="D1325" t="s">
        <v>45</v>
      </c>
      <c r="E1325" t="s">
        <v>83</v>
      </c>
      <c r="F1325" t="s">
        <v>24</v>
      </c>
      <c r="G1325" t="s">
        <v>26</v>
      </c>
      <c r="H1325" t="s">
        <v>26</v>
      </c>
      <c r="I1325" t="s">
        <v>25</v>
      </c>
      <c r="J1325">
        <v>121</v>
      </c>
      <c r="K1325">
        <v>0</v>
      </c>
      <c r="L1325">
        <v>20</v>
      </c>
      <c r="M1325">
        <v>20</v>
      </c>
      <c r="N1325">
        <v>66</v>
      </c>
      <c r="O1325">
        <v>53</v>
      </c>
      <c r="P1325">
        <v>48</v>
      </c>
      <c r="Q1325">
        <v>33</v>
      </c>
      <c r="R1325">
        <v>21</v>
      </c>
      <c r="S1325">
        <v>12</v>
      </c>
      <c r="T1325">
        <v>7</v>
      </c>
      <c r="U1325">
        <v>116</v>
      </c>
    </row>
    <row r="1326" spans="1:21" x14ac:dyDescent="0.25">
      <c r="A1326">
        <v>2025</v>
      </c>
      <c r="B1326">
        <v>7</v>
      </c>
      <c r="C1326" t="s">
        <v>89</v>
      </c>
      <c r="D1326" t="s">
        <v>22</v>
      </c>
      <c r="E1326" t="s">
        <v>108</v>
      </c>
      <c r="F1326" t="s">
        <v>28</v>
      </c>
      <c r="G1326" t="s">
        <v>25</v>
      </c>
      <c r="H1326" t="s">
        <v>25</v>
      </c>
      <c r="I1326" t="s">
        <v>25</v>
      </c>
      <c r="J1326">
        <v>1</v>
      </c>
      <c r="K1326">
        <v>0</v>
      </c>
      <c r="L1326">
        <v>0</v>
      </c>
      <c r="M1326">
        <v>0</v>
      </c>
      <c r="N1326">
        <v>1</v>
      </c>
      <c r="O1326">
        <v>1</v>
      </c>
      <c r="P1326">
        <v>1</v>
      </c>
      <c r="Q1326">
        <v>1</v>
      </c>
      <c r="R1326">
        <v>1</v>
      </c>
      <c r="S1326">
        <v>0</v>
      </c>
      <c r="T1326">
        <v>0</v>
      </c>
      <c r="U1326">
        <v>1</v>
      </c>
    </row>
    <row r="1327" spans="1:21" x14ac:dyDescent="0.25">
      <c r="A1327">
        <v>2025</v>
      </c>
      <c r="B1327">
        <v>7</v>
      </c>
      <c r="C1327" t="s">
        <v>89</v>
      </c>
      <c r="D1327" t="s">
        <v>22</v>
      </c>
      <c r="E1327" t="s">
        <v>91</v>
      </c>
      <c r="F1327" t="s">
        <v>28</v>
      </c>
      <c r="G1327" t="s">
        <v>25</v>
      </c>
      <c r="H1327" t="s">
        <v>25</v>
      </c>
      <c r="I1327" t="s">
        <v>25</v>
      </c>
      <c r="J1327">
        <v>4384</v>
      </c>
      <c r="K1327">
        <v>3</v>
      </c>
      <c r="L1327">
        <v>0</v>
      </c>
      <c r="M1327">
        <v>3</v>
      </c>
      <c r="N1327">
        <v>59</v>
      </c>
      <c r="O1327">
        <v>56</v>
      </c>
      <c r="P1327">
        <v>54</v>
      </c>
      <c r="Q1327">
        <v>50</v>
      </c>
      <c r="R1327">
        <v>40</v>
      </c>
      <c r="S1327">
        <v>16</v>
      </c>
      <c r="T1327">
        <v>5</v>
      </c>
      <c r="U1327">
        <v>4381</v>
      </c>
    </row>
    <row r="1328" spans="1:21" x14ac:dyDescent="0.25">
      <c r="A1328">
        <v>2025</v>
      </c>
      <c r="B1328">
        <v>7</v>
      </c>
      <c r="C1328" t="s">
        <v>89</v>
      </c>
      <c r="D1328" t="s">
        <v>22</v>
      </c>
      <c r="E1328" t="s">
        <v>91</v>
      </c>
      <c r="F1328" t="s">
        <v>24</v>
      </c>
      <c r="G1328" t="s">
        <v>25</v>
      </c>
      <c r="H1328" t="s">
        <v>25</v>
      </c>
      <c r="I1328" t="s">
        <v>25</v>
      </c>
      <c r="J1328">
        <v>1448</v>
      </c>
      <c r="K1328">
        <v>0</v>
      </c>
      <c r="L1328">
        <v>0</v>
      </c>
      <c r="M1328">
        <v>0</v>
      </c>
      <c r="N1328">
        <v>16</v>
      </c>
      <c r="O1328">
        <v>11</v>
      </c>
      <c r="P1328">
        <v>11</v>
      </c>
      <c r="Q1328">
        <v>8</v>
      </c>
      <c r="R1328">
        <v>6</v>
      </c>
      <c r="S1328">
        <v>4</v>
      </c>
      <c r="T1328">
        <v>2</v>
      </c>
      <c r="U1328">
        <v>1448</v>
      </c>
    </row>
    <row r="1329" spans="1:21" x14ac:dyDescent="0.25">
      <c r="A1329">
        <v>2025</v>
      </c>
      <c r="B1329">
        <v>7</v>
      </c>
      <c r="C1329" t="s">
        <v>89</v>
      </c>
      <c r="D1329" t="s">
        <v>22</v>
      </c>
      <c r="E1329" t="s">
        <v>92</v>
      </c>
      <c r="F1329" t="s">
        <v>28</v>
      </c>
      <c r="G1329" t="s">
        <v>25</v>
      </c>
      <c r="H1329" t="s">
        <v>25</v>
      </c>
      <c r="I1329" t="s">
        <v>25</v>
      </c>
      <c r="J1329">
        <v>2232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2232</v>
      </c>
    </row>
    <row r="1330" spans="1:21" x14ac:dyDescent="0.25">
      <c r="A1330">
        <v>2025</v>
      </c>
      <c r="B1330">
        <v>7</v>
      </c>
      <c r="C1330" t="s">
        <v>89</v>
      </c>
      <c r="D1330" t="s">
        <v>22</v>
      </c>
      <c r="E1330" t="s">
        <v>31</v>
      </c>
      <c r="F1330" t="s">
        <v>24</v>
      </c>
      <c r="G1330" t="s">
        <v>25</v>
      </c>
      <c r="H1330" t="s">
        <v>25</v>
      </c>
      <c r="I1330" t="s">
        <v>25</v>
      </c>
      <c r="J1330">
        <v>143</v>
      </c>
      <c r="K1330">
        <v>0</v>
      </c>
      <c r="L1330">
        <v>0</v>
      </c>
      <c r="M1330">
        <v>0</v>
      </c>
      <c r="N1330">
        <v>71</v>
      </c>
      <c r="O1330">
        <v>70</v>
      </c>
      <c r="P1330">
        <v>69</v>
      </c>
      <c r="Q1330">
        <v>61</v>
      </c>
      <c r="R1330">
        <v>59</v>
      </c>
      <c r="S1330">
        <v>27</v>
      </c>
      <c r="T1330">
        <v>10</v>
      </c>
      <c r="U1330">
        <v>143</v>
      </c>
    </row>
    <row r="1331" spans="1:21" x14ac:dyDescent="0.25">
      <c r="A1331">
        <v>2025</v>
      </c>
      <c r="B1331">
        <v>7</v>
      </c>
      <c r="C1331" t="s">
        <v>89</v>
      </c>
      <c r="D1331" t="s">
        <v>22</v>
      </c>
      <c r="E1331" t="s">
        <v>105</v>
      </c>
      <c r="F1331" t="s">
        <v>28</v>
      </c>
      <c r="G1331" t="s">
        <v>25</v>
      </c>
      <c r="H1331" t="s">
        <v>25</v>
      </c>
      <c r="I1331" t="s">
        <v>25</v>
      </c>
      <c r="J1331">
        <v>2</v>
      </c>
      <c r="K1331">
        <v>0</v>
      </c>
      <c r="L1331">
        <v>0</v>
      </c>
      <c r="M1331">
        <v>0</v>
      </c>
      <c r="N1331">
        <v>2</v>
      </c>
      <c r="O1331">
        <v>2</v>
      </c>
      <c r="P1331">
        <v>2</v>
      </c>
      <c r="Q1331">
        <v>2</v>
      </c>
      <c r="R1331">
        <v>2</v>
      </c>
      <c r="S1331">
        <v>1</v>
      </c>
      <c r="T1331">
        <v>1</v>
      </c>
      <c r="U1331">
        <v>2</v>
      </c>
    </row>
    <row r="1332" spans="1:21" x14ac:dyDescent="0.25">
      <c r="A1332">
        <v>2025</v>
      </c>
      <c r="B1332">
        <v>7</v>
      </c>
      <c r="C1332" t="s">
        <v>89</v>
      </c>
      <c r="D1332" t="s">
        <v>22</v>
      </c>
      <c r="E1332" t="s">
        <v>93</v>
      </c>
      <c r="F1332" t="s">
        <v>24</v>
      </c>
      <c r="G1332" t="s">
        <v>25</v>
      </c>
      <c r="H1332" t="s">
        <v>25</v>
      </c>
      <c r="I1332" t="s">
        <v>25</v>
      </c>
      <c r="J1332">
        <v>1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1</v>
      </c>
    </row>
    <row r="1333" spans="1:21" x14ac:dyDescent="0.25">
      <c r="A1333">
        <v>2025</v>
      </c>
      <c r="B1333">
        <v>7</v>
      </c>
      <c r="C1333" t="s">
        <v>89</v>
      </c>
      <c r="D1333" t="s">
        <v>22</v>
      </c>
      <c r="E1333" t="s">
        <v>38</v>
      </c>
      <c r="F1333" t="s">
        <v>24</v>
      </c>
      <c r="G1333" t="s">
        <v>25</v>
      </c>
      <c r="H1333" t="s">
        <v>25</v>
      </c>
      <c r="I1333" t="s">
        <v>25</v>
      </c>
      <c r="J1333">
        <v>4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4</v>
      </c>
    </row>
    <row r="1334" spans="1:21" x14ac:dyDescent="0.25">
      <c r="A1334">
        <v>2025</v>
      </c>
      <c r="B1334">
        <v>7</v>
      </c>
      <c r="C1334" t="s">
        <v>89</v>
      </c>
      <c r="D1334" t="s">
        <v>22</v>
      </c>
      <c r="E1334" t="s">
        <v>95</v>
      </c>
      <c r="F1334" t="s">
        <v>28</v>
      </c>
      <c r="G1334" t="s">
        <v>25</v>
      </c>
      <c r="H1334" t="s">
        <v>25</v>
      </c>
      <c r="I1334" t="s">
        <v>25</v>
      </c>
      <c r="J1334">
        <v>62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62</v>
      </c>
    </row>
    <row r="1335" spans="1:21" x14ac:dyDescent="0.25">
      <c r="A1335">
        <v>2025</v>
      </c>
      <c r="B1335">
        <v>7</v>
      </c>
      <c r="C1335" t="s">
        <v>89</v>
      </c>
      <c r="D1335" t="s">
        <v>22</v>
      </c>
      <c r="E1335" t="s">
        <v>95</v>
      </c>
      <c r="F1335" t="s">
        <v>24</v>
      </c>
      <c r="G1335" t="s">
        <v>25</v>
      </c>
      <c r="H1335" t="s">
        <v>25</v>
      </c>
      <c r="I1335" t="s">
        <v>25</v>
      </c>
      <c r="J1335">
        <v>93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93</v>
      </c>
    </row>
    <row r="1336" spans="1:21" x14ac:dyDescent="0.25">
      <c r="A1336">
        <v>2025</v>
      </c>
      <c r="B1336">
        <v>7</v>
      </c>
      <c r="C1336" t="s">
        <v>89</v>
      </c>
      <c r="D1336" t="s">
        <v>22</v>
      </c>
      <c r="E1336" t="s">
        <v>23</v>
      </c>
      <c r="F1336" t="s">
        <v>24</v>
      </c>
      <c r="G1336" t="s">
        <v>25</v>
      </c>
      <c r="H1336" t="s">
        <v>25</v>
      </c>
      <c r="I1336" t="s">
        <v>25</v>
      </c>
      <c r="J1336">
        <v>44</v>
      </c>
      <c r="K1336">
        <v>0</v>
      </c>
      <c r="L1336">
        <v>0</v>
      </c>
      <c r="M1336">
        <v>0</v>
      </c>
      <c r="N1336">
        <v>1</v>
      </c>
      <c r="O1336">
        <v>1</v>
      </c>
      <c r="P1336">
        <v>1</v>
      </c>
      <c r="Q1336">
        <v>0</v>
      </c>
      <c r="R1336">
        <v>0</v>
      </c>
      <c r="S1336">
        <v>0</v>
      </c>
      <c r="T1336">
        <v>0</v>
      </c>
      <c r="U1336">
        <v>44</v>
      </c>
    </row>
    <row r="1337" spans="1:21" x14ac:dyDescent="0.25">
      <c r="A1337">
        <v>2025</v>
      </c>
      <c r="B1337">
        <v>7</v>
      </c>
      <c r="C1337" t="s">
        <v>89</v>
      </c>
      <c r="D1337" t="s">
        <v>22</v>
      </c>
      <c r="E1337" t="s">
        <v>107</v>
      </c>
      <c r="F1337" t="s">
        <v>28</v>
      </c>
      <c r="G1337" t="s">
        <v>25</v>
      </c>
      <c r="H1337" t="s">
        <v>25</v>
      </c>
      <c r="I1337" t="s">
        <v>25</v>
      </c>
      <c r="J1337">
        <v>24</v>
      </c>
      <c r="K1337">
        <v>0</v>
      </c>
      <c r="L1337">
        <v>0</v>
      </c>
      <c r="M1337">
        <v>0</v>
      </c>
      <c r="N1337">
        <v>16</v>
      </c>
      <c r="O1337">
        <v>15</v>
      </c>
      <c r="P1337">
        <v>13</v>
      </c>
      <c r="Q1337">
        <v>12</v>
      </c>
      <c r="R1337">
        <v>12</v>
      </c>
      <c r="S1337">
        <v>11</v>
      </c>
      <c r="T1337">
        <v>6</v>
      </c>
      <c r="U1337">
        <v>24</v>
      </c>
    </row>
    <row r="1338" spans="1:21" x14ac:dyDescent="0.25">
      <c r="A1338">
        <v>2025</v>
      </c>
      <c r="B1338">
        <v>7</v>
      </c>
      <c r="C1338" t="s">
        <v>89</v>
      </c>
      <c r="D1338" t="s">
        <v>22</v>
      </c>
      <c r="E1338" t="s">
        <v>97</v>
      </c>
      <c r="F1338" t="s">
        <v>28</v>
      </c>
      <c r="G1338" t="s">
        <v>25</v>
      </c>
      <c r="H1338" t="s">
        <v>25</v>
      </c>
      <c r="I1338" t="s">
        <v>25</v>
      </c>
      <c r="J1338">
        <v>16</v>
      </c>
      <c r="K1338">
        <v>1</v>
      </c>
      <c r="L1338">
        <v>3</v>
      </c>
      <c r="M1338">
        <v>4</v>
      </c>
      <c r="N1338">
        <v>9</v>
      </c>
      <c r="O1338">
        <v>6</v>
      </c>
      <c r="P1338">
        <v>6</v>
      </c>
      <c r="Q1338">
        <v>6</v>
      </c>
      <c r="R1338">
        <v>6</v>
      </c>
      <c r="S1338">
        <v>3</v>
      </c>
      <c r="T1338">
        <v>0</v>
      </c>
      <c r="U1338">
        <v>15</v>
      </c>
    </row>
    <row r="1339" spans="1:21" x14ac:dyDescent="0.25">
      <c r="A1339">
        <v>2025</v>
      </c>
      <c r="B1339">
        <v>7</v>
      </c>
      <c r="C1339" t="s">
        <v>89</v>
      </c>
      <c r="D1339" t="s">
        <v>22</v>
      </c>
      <c r="E1339" t="s">
        <v>97</v>
      </c>
      <c r="F1339" t="s">
        <v>24</v>
      </c>
      <c r="G1339" t="s">
        <v>25</v>
      </c>
      <c r="H1339" t="s">
        <v>25</v>
      </c>
      <c r="I1339" t="s">
        <v>25</v>
      </c>
      <c r="J1339">
        <v>34</v>
      </c>
      <c r="K1339">
        <v>0</v>
      </c>
      <c r="L1339">
        <v>1</v>
      </c>
      <c r="M1339">
        <v>1</v>
      </c>
      <c r="N1339">
        <v>17</v>
      </c>
      <c r="O1339">
        <v>17</v>
      </c>
      <c r="P1339">
        <v>17</v>
      </c>
      <c r="Q1339">
        <v>16</v>
      </c>
      <c r="R1339">
        <v>15</v>
      </c>
      <c r="S1339">
        <v>10</v>
      </c>
      <c r="T1339">
        <v>4</v>
      </c>
      <c r="U1339">
        <v>34</v>
      </c>
    </row>
    <row r="1340" spans="1:21" x14ac:dyDescent="0.25">
      <c r="A1340">
        <v>2025</v>
      </c>
      <c r="B1340">
        <v>7</v>
      </c>
      <c r="C1340" t="s">
        <v>89</v>
      </c>
      <c r="D1340" t="s">
        <v>22</v>
      </c>
      <c r="F1340" t="s">
        <v>28</v>
      </c>
      <c r="G1340" t="s">
        <v>25</v>
      </c>
      <c r="H1340" t="s">
        <v>25</v>
      </c>
      <c r="I1340" t="s">
        <v>25</v>
      </c>
      <c r="J1340">
        <v>26</v>
      </c>
      <c r="K1340">
        <v>0</v>
      </c>
      <c r="L1340">
        <v>3</v>
      </c>
      <c r="M1340">
        <v>3</v>
      </c>
      <c r="N1340">
        <v>12</v>
      </c>
      <c r="O1340">
        <v>10</v>
      </c>
      <c r="P1340">
        <v>8</v>
      </c>
      <c r="Q1340">
        <v>5</v>
      </c>
      <c r="R1340">
        <v>5</v>
      </c>
      <c r="S1340">
        <v>3</v>
      </c>
      <c r="T1340">
        <v>3</v>
      </c>
      <c r="U1340">
        <v>23</v>
      </c>
    </row>
    <row r="1341" spans="1:21" x14ac:dyDescent="0.25">
      <c r="A1341">
        <v>2025</v>
      </c>
      <c r="B1341">
        <v>7</v>
      </c>
      <c r="C1341" t="s">
        <v>98</v>
      </c>
      <c r="D1341" t="s">
        <v>22</v>
      </c>
      <c r="E1341" t="s">
        <v>31</v>
      </c>
      <c r="F1341" t="s">
        <v>24</v>
      </c>
      <c r="G1341" t="s">
        <v>25</v>
      </c>
      <c r="H1341" t="s">
        <v>25</v>
      </c>
      <c r="I1341" t="s">
        <v>25</v>
      </c>
      <c r="J1341">
        <v>62</v>
      </c>
      <c r="K1341">
        <v>0</v>
      </c>
      <c r="L1341">
        <v>0</v>
      </c>
      <c r="M1341">
        <v>0</v>
      </c>
      <c r="N1341">
        <v>1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62</v>
      </c>
    </row>
    <row r="1342" spans="1:21" x14ac:dyDescent="0.25">
      <c r="A1342">
        <v>2025</v>
      </c>
      <c r="B1342">
        <v>7</v>
      </c>
      <c r="C1342" t="s">
        <v>98</v>
      </c>
      <c r="D1342" t="s">
        <v>22</v>
      </c>
      <c r="E1342" t="s">
        <v>32</v>
      </c>
      <c r="F1342" t="s">
        <v>24</v>
      </c>
      <c r="G1342" t="s">
        <v>25</v>
      </c>
      <c r="H1342" t="s">
        <v>25</v>
      </c>
      <c r="I1342" t="s">
        <v>25</v>
      </c>
      <c r="J1342">
        <v>15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15</v>
      </c>
    </row>
    <row r="1343" spans="1:21" x14ac:dyDescent="0.25">
      <c r="A1343">
        <v>2025</v>
      </c>
      <c r="B1343">
        <v>7</v>
      </c>
      <c r="C1343" t="s">
        <v>99</v>
      </c>
      <c r="D1343" t="s">
        <v>45</v>
      </c>
      <c r="E1343" t="s">
        <v>100</v>
      </c>
      <c r="F1343" t="s">
        <v>28</v>
      </c>
      <c r="G1343" t="s">
        <v>25</v>
      </c>
      <c r="H1343" t="s">
        <v>26</v>
      </c>
      <c r="I1343" t="s">
        <v>25</v>
      </c>
      <c r="J1343">
        <v>1488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1488</v>
      </c>
    </row>
    <row r="1344" spans="1:21" x14ac:dyDescent="0.25">
      <c r="A1344">
        <v>2025</v>
      </c>
      <c r="B1344">
        <v>7</v>
      </c>
      <c r="C1344" t="s">
        <v>99</v>
      </c>
      <c r="D1344" t="s">
        <v>45</v>
      </c>
      <c r="E1344" t="s">
        <v>100</v>
      </c>
      <c r="F1344" t="s">
        <v>24</v>
      </c>
      <c r="G1344" t="s">
        <v>25</v>
      </c>
      <c r="H1344" t="s">
        <v>26</v>
      </c>
      <c r="I1344" t="s">
        <v>25</v>
      </c>
      <c r="J1344">
        <v>372</v>
      </c>
      <c r="K1344">
        <v>0</v>
      </c>
      <c r="L1344">
        <v>0</v>
      </c>
      <c r="M1344">
        <v>0</v>
      </c>
      <c r="N1344">
        <v>191</v>
      </c>
      <c r="O1344">
        <v>136</v>
      </c>
      <c r="P1344">
        <v>116</v>
      </c>
      <c r="Q1344">
        <v>70</v>
      </c>
      <c r="R1344">
        <v>32</v>
      </c>
      <c r="S1344">
        <v>9</v>
      </c>
      <c r="T1344">
        <v>1</v>
      </c>
      <c r="U1344">
        <v>372</v>
      </c>
    </row>
    <row r="1345" spans="1:21" x14ac:dyDescent="0.25">
      <c r="A1345">
        <v>2025</v>
      </c>
      <c r="B1345">
        <v>7</v>
      </c>
      <c r="C1345" t="s">
        <v>101</v>
      </c>
      <c r="D1345" t="s">
        <v>22</v>
      </c>
      <c r="E1345" t="s">
        <v>32</v>
      </c>
      <c r="F1345" t="s">
        <v>24</v>
      </c>
      <c r="G1345" t="s">
        <v>25</v>
      </c>
      <c r="H1345" t="s">
        <v>25</v>
      </c>
      <c r="I1345" t="s">
        <v>25</v>
      </c>
      <c r="J1345">
        <v>52</v>
      </c>
      <c r="K1345">
        <v>0</v>
      </c>
      <c r="L1345">
        <v>0</v>
      </c>
      <c r="M1345">
        <v>0</v>
      </c>
      <c r="N1345">
        <v>36</v>
      </c>
      <c r="O1345">
        <v>33</v>
      </c>
      <c r="P1345">
        <v>32</v>
      </c>
      <c r="Q1345">
        <v>27</v>
      </c>
      <c r="R1345">
        <v>21</v>
      </c>
      <c r="S1345">
        <v>11</v>
      </c>
      <c r="T1345">
        <v>1</v>
      </c>
      <c r="U1345">
        <v>52</v>
      </c>
    </row>
    <row r="1346" spans="1:21" x14ac:dyDescent="0.25">
      <c r="A1346">
        <v>2025</v>
      </c>
      <c r="B1346">
        <v>7</v>
      </c>
      <c r="C1346" t="s">
        <v>101</v>
      </c>
      <c r="D1346" t="s">
        <v>22</v>
      </c>
      <c r="E1346" t="s">
        <v>34</v>
      </c>
      <c r="F1346" t="s">
        <v>24</v>
      </c>
      <c r="G1346" t="s">
        <v>25</v>
      </c>
      <c r="H1346" t="s">
        <v>26</v>
      </c>
      <c r="I1346" t="s">
        <v>26</v>
      </c>
      <c r="J1346">
        <v>88</v>
      </c>
      <c r="K1346">
        <v>1</v>
      </c>
      <c r="L1346">
        <v>0</v>
      </c>
      <c r="M1346">
        <v>1</v>
      </c>
      <c r="N1346">
        <v>10</v>
      </c>
      <c r="O1346">
        <v>8</v>
      </c>
      <c r="P1346">
        <v>7</v>
      </c>
      <c r="Q1346">
        <v>6</v>
      </c>
      <c r="R1346">
        <v>6</v>
      </c>
      <c r="S1346">
        <v>4</v>
      </c>
      <c r="T1346">
        <v>3</v>
      </c>
      <c r="U1346">
        <v>87</v>
      </c>
    </row>
    <row r="1347" spans="1:21" x14ac:dyDescent="0.25">
      <c r="A1347">
        <v>2025</v>
      </c>
      <c r="B1347">
        <v>7</v>
      </c>
      <c r="C1347" t="s">
        <v>101</v>
      </c>
      <c r="D1347" t="s">
        <v>22</v>
      </c>
      <c r="E1347" t="s">
        <v>41</v>
      </c>
      <c r="F1347" t="s">
        <v>24</v>
      </c>
      <c r="G1347" t="s">
        <v>26</v>
      </c>
      <c r="H1347" t="s">
        <v>26</v>
      </c>
      <c r="I1347" t="s">
        <v>25</v>
      </c>
      <c r="J1347">
        <v>62</v>
      </c>
      <c r="K1347">
        <v>0</v>
      </c>
      <c r="L1347">
        <v>0</v>
      </c>
      <c r="M1347">
        <v>0</v>
      </c>
      <c r="N1347">
        <v>2</v>
      </c>
      <c r="O1347">
        <v>2</v>
      </c>
      <c r="P1347">
        <v>1</v>
      </c>
      <c r="Q1347">
        <v>1</v>
      </c>
      <c r="R1347">
        <v>1</v>
      </c>
      <c r="S1347">
        <v>1</v>
      </c>
      <c r="T1347">
        <v>0</v>
      </c>
      <c r="U1347">
        <v>62</v>
      </c>
    </row>
    <row r="1348" spans="1:21" x14ac:dyDescent="0.25">
      <c r="A1348">
        <v>2025</v>
      </c>
      <c r="B1348">
        <v>8</v>
      </c>
      <c r="C1348" t="s">
        <v>21</v>
      </c>
      <c r="D1348" t="s">
        <v>22</v>
      </c>
      <c r="E1348" t="s">
        <v>23</v>
      </c>
      <c r="F1348" t="s">
        <v>24</v>
      </c>
      <c r="G1348" t="s">
        <v>25</v>
      </c>
      <c r="H1348" t="s">
        <v>26</v>
      </c>
      <c r="I1348" t="s">
        <v>25</v>
      </c>
      <c r="J1348">
        <v>1416</v>
      </c>
      <c r="K1348">
        <v>22</v>
      </c>
      <c r="L1348">
        <v>0</v>
      </c>
      <c r="M1348">
        <v>22</v>
      </c>
      <c r="N1348">
        <v>18</v>
      </c>
      <c r="O1348">
        <v>14</v>
      </c>
      <c r="P1348">
        <v>12</v>
      </c>
      <c r="Q1348">
        <v>8</v>
      </c>
      <c r="R1348">
        <v>7</v>
      </c>
      <c r="S1348">
        <v>2</v>
      </c>
      <c r="T1348">
        <v>2</v>
      </c>
      <c r="U1348">
        <v>1394</v>
      </c>
    </row>
    <row r="1349" spans="1:21" x14ac:dyDescent="0.25">
      <c r="A1349">
        <v>2025</v>
      </c>
      <c r="B1349">
        <v>8</v>
      </c>
      <c r="C1349" t="s">
        <v>21</v>
      </c>
      <c r="D1349" t="s">
        <v>22</v>
      </c>
      <c r="E1349" t="s">
        <v>27</v>
      </c>
      <c r="F1349" t="s">
        <v>24</v>
      </c>
      <c r="G1349" t="s">
        <v>26</v>
      </c>
      <c r="H1349" t="s">
        <v>26</v>
      </c>
      <c r="I1349" t="s">
        <v>25</v>
      </c>
      <c r="J1349">
        <v>37</v>
      </c>
      <c r="K1349">
        <v>1</v>
      </c>
      <c r="L1349">
        <v>0</v>
      </c>
      <c r="M1349">
        <v>1</v>
      </c>
      <c r="N1349">
        <v>9</v>
      </c>
      <c r="O1349">
        <v>4</v>
      </c>
      <c r="P1349">
        <v>4</v>
      </c>
      <c r="Q1349">
        <v>3</v>
      </c>
      <c r="R1349">
        <v>3</v>
      </c>
      <c r="S1349">
        <v>3</v>
      </c>
      <c r="T1349">
        <v>1</v>
      </c>
      <c r="U1349">
        <v>36</v>
      </c>
    </row>
    <row r="1350" spans="1:21" x14ac:dyDescent="0.25">
      <c r="A1350">
        <v>2025</v>
      </c>
      <c r="B1350">
        <v>8</v>
      </c>
      <c r="C1350" t="s">
        <v>21</v>
      </c>
      <c r="D1350" t="s">
        <v>22</v>
      </c>
      <c r="E1350" t="s">
        <v>27</v>
      </c>
      <c r="F1350" t="s">
        <v>29</v>
      </c>
      <c r="G1350" t="s">
        <v>26</v>
      </c>
      <c r="H1350" t="s">
        <v>26</v>
      </c>
      <c r="I1350" t="s">
        <v>25</v>
      </c>
      <c r="J1350">
        <v>2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</row>
    <row r="1351" spans="1:21" x14ac:dyDescent="0.25">
      <c r="A1351">
        <v>2025</v>
      </c>
      <c r="B1351">
        <v>8</v>
      </c>
      <c r="C1351" t="s">
        <v>30</v>
      </c>
      <c r="D1351" t="s">
        <v>22</v>
      </c>
      <c r="E1351" t="s">
        <v>31</v>
      </c>
      <c r="F1351" t="s">
        <v>24</v>
      </c>
      <c r="G1351" t="s">
        <v>25</v>
      </c>
      <c r="H1351" t="s">
        <v>25</v>
      </c>
      <c r="I1351" t="s">
        <v>25</v>
      </c>
      <c r="J1351">
        <v>62</v>
      </c>
      <c r="K1351">
        <v>0</v>
      </c>
      <c r="L1351">
        <v>0</v>
      </c>
      <c r="M1351">
        <v>0</v>
      </c>
      <c r="N1351">
        <v>9</v>
      </c>
      <c r="O1351">
        <v>5</v>
      </c>
      <c r="P1351">
        <v>4</v>
      </c>
      <c r="Q1351">
        <v>2</v>
      </c>
      <c r="R1351">
        <v>1</v>
      </c>
      <c r="S1351">
        <v>1</v>
      </c>
      <c r="T1351">
        <v>0</v>
      </c>
      <c r="U1351">
        <v>62</v>
      </c>
    </row>
    <row r="1352" spans="1:21" x14ac:dyDescent="0.25">
      <c r="A1352">
        <v>2025</v>
      </c>
      <c r="B1352">
        <v>8</v>
      </c>
      <c r="C1352" t="s">
        <v>33</v>
      </c>
      <c r="D1352" t="s">
        <v>22</v>
      </c>
      <c r="E1352" t="s">
        <v>32</v>
      </c>
      <c r="F1352" t="s">
        <v>24</v>
      </c>
      <c r="G1352" t="s">
        <v>25</v>
      </c>
      <c r="H1352" t="s">
        <v>25</v>
      </c>
      <c r="I1352" t="s">
        <v>25</v>
      </c>
      <c r="J1352">
        <v>1053</v>
      </c>
      <c r="K1352">
        <v>1</v>
      </c>
      <c r="L1352">
        <v>1</v>
      </c>
      <c r="M1352">
        <v>2</v>
      </c>
      <c r="N1352">
        <v>384</v>
      </c>
      <c r="O1352">
        <v>324</v>
      </c>
      <c r="P1352">
        <v>300</v>
      </c>
      <c r="Q1352">
        <v>208</v>
      </c>
      <c r="R1352">
        <v>144</v>
      </c>
      <c r="S1352">
        <v>65</v>
      </c>
      <c r="T1352">
        <v>21</v>
      </c>
      <c r="U1352">
        <v>1051</v>
      </c>
    </row>
    <row r="1353" spans="1:21" x14ac:dyDescent="0.25">
      <c r="A1353">
        <v>2025</v>
      </c>
      <c r="B1353">
        <v>8</v>
      </c>
      <c r="C1353" t="s">
        <v>33</v>
      </c>
      <c r="D1353" t="s">
        <v>22</v>
      </c>
      <c r="E1353" t="s">
        <v>34</v>
      </c>
      <c r="F1353" t="s">
        <v>24</v>
      </c>
      <c r="G1353" t="s">
        <v>25</v>
      </c>
      <c r="H1353" t="s">
        <v>26</v>
      </c>
      <c r="I1353" t="s">
        <v>26</v>
      </c>
      <c r="J1353">
        <v>213</v>
      </c>
      <c r="K1353">
        <v>0</v>
      </c>
      <c r="L1353">
        <v>2</v>
      </c>
      <c r="M1353">
        <v>2</v>
      </c>
      <c r="N1353">
        <v>116</v>
      </c>
      <c r="O1353">
        <v>107</v>
      </c>
      <c r="P1353">
        <v>101</v>
      </c>
      <c r="Q1353">
        <v>81</v>
      </c>
      <c r="R1353">
        <v>60</v>
      </c>
      <c r="S1353">
        <v>32</v>
      </c>
      <c r="T1353">
        <v>10</v>
      </c>
      <c r="U1353">
        <v>212</v>
      </c>
    </row>
    <row r="1354" spans="1:21" x14ac:dyDescent="0.25">
      <c r="A1354">
        <v>2025</v>
      </c>
      <c r="B1354">
        <v>8</v>
      </c>
      <c r="C1354" t="s">
        <v>33</v>
      </c>
      <c r="D1354" t="s">
        <v>22</v>
      </c>
      <c r="E1354" t="s">
        <v>23</v>
      </c>
      <c r="F1354" t="s">
        <v>24</v>
      </c>
      <c r="G1354" t="s">
        <v>25</v>
      </c>
      <c r="H1354" t="s">
        <v>25</v>
      </c>
      <c r="I1354" t="s">
        <v>25</v>
      </c>
      <c r="J1354">
        <v>248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248</v>
      </c>
    </row>
    <row r="1355" spans="1:21" x14ac:dyDescent="0.25">
      <c r="A1355">
        <v>2025</v>
      </c>
      <c r="B1355">
        <v>8</v>
      </c>
      <c r="C1355" t="s">
        <v>33</v>
      </c>
      <c r="D1355" t="s">
        <v>22</v>
      </c>
      <c r="E1355" t="s">
        <v>23</v>
      </c>
      <c r="F1355" t="s">
        <v>24</v>
      </c>
      <c r="G1355" t="s">
        <v>25</v>
      </c>
      <c r="H1355" t="s">
        <v>26</v>
      </c>
      <c r="I1355" t="s">
        <v>25</v>
      </c>
      <c r="J1355">
        <v>62</v>
      </c>
      <c r="K1355">
        <v>0</v>
      </c>
      <c r="L1355">
        <v>0</v>
      </c>
      <c r="M1355">
        <v>0</v>
      </c>
      <c r="N1355">
        <v>18</v>
      </c>
      <c r="O1355">
        <v>14</v>
      </c>
      <c r="P1355">
        <v>11</v>
      </c>
      <c r="Q1355">
        <v>9</v>
      </c>
      <c r="R1355">
        <v>6</v>
      </c>
      <c r="S1355">
        <v>2</v>
      </c>
      <c r="T1355">
        <v>2</v>
      </c>
      <c r="U1355">
        <v>62</v>
      </c>
    </row>
    <row r="1356" spans="1:21" x14ac:dyDescent="0.25">
      <c r="A1356">
        <v>2025</v>
      </c>
      <c r="B1356">
        <v>8</v>
      </c>
      <c r="C1356" t="s">
        <v>33</v>
      </c>
      <c r="D1356" t="s">
        <v>22</v>
      </c>
      <c r="E1356" t="s">
        <v>35</v>
      </c>
      <c r="F1356" t="s">
        <v>24</v>
      </c>
      <c r="G1356" t="s">
        <v>25</v>
      </c>
      <c r="H1356" t="s">
        <v>26</v>
      </c>
      <c r="I1356" t="s">
        <v>26</v>
      </c>
      <c r="J1356">
        <v>62</v>
      </c>
      <c r="K1356">
        <v>0</v>
      </c>
      <c r="L1356">
        <v>0</v>
      </c>
      <c r="M1356">
        <v>0</v>
      </c>
      <c r="N1356">
        <v>52</v>
      </c>
      <c r="O1356">
        <v>51</v>
      </c>
      <c r="P1356">
        <v>50</v>
      </c>
      <c r="Q1356">
        <v>41</v>
      </c>
      <c r="R1356">
        <v>36</v>
      </c>
      <c r="S1356">
        <v>20</v>
      </c>
      <c r="T1356">
        <v>4</v>
      </c>
      <c r="U1356">
        <v>62</v>
      </c>
    </row>
    <row r="1357" spans="1:21" x14ac:dyDescent="0.25">
      <c r="A1357">
        <v>2025</v>
      </c>
      <c r="B1357">
        <v>8</v>
      </c>
      <c r="C1357" t="s">
        <v>33</v>
      </c>
      <c r="D1357" t="s">
        <v>22</v>
      </c>
      <c r="E1357" t="s">
        <v>36</v>
      </c>
      <c r="F1357" t="s">
        <v>24</v>
      </c>
      <c r="G1357" t="s">
        <v>25</v>
      </c>
      <c r="H1357" t="s">
        <v>26</v>
      </c>
      <c r="I1357" t="s">
        <v>25</v>
      </c>
      <c r="J1357">
        <v>496</v>
      </c>
      <c r="K1357">
        <v>0</v>
      </c>
      <c r="L1357">
        <v>0</v>
      </c>
      <c r="M1357">
        <v>0</v>
      </c>
      <c r="N1357">
        <v>114</v>
      </c>
      <c r="O1357">
        <v>85</v>
      </c>
      <c r="P1357">
        <v>74</v>
      </c>
      <c r="Q1357">
        <v>44</v>
      </c>
      <c r="R1357">
        <v>28</v>
      </c>
      <c r="S1357">
        <v>10</v>
      </c>
      <c r="T1357">
        <v>4</v>
      </c>
      <c r="U1357">
        <v>496</v>
      </c>
    </row>
    <row r="1358" spans="1:21" x14ac:dyDescent="0.25">
      <c r="A1358">
        <v>2025</v>
      </c>
      <c r="B1358">
        <v>8</v>
      </c>
      <c r="C1358" t="s">
        <v>37</v>
      </c>
      <c r="D1358" t="s">
        <v>22</v>
      </c>
      <c r="E1358" t="s">
        <v>32</v>
      </c>
      <c r="F1358" t="s">
        <v>28</v>
      </c>
      <c r="G1358" t="s">
        <v>25</v>
      </c>
      <c r="H1358" t="s">
        <v>26</v>
      </c>
      <c r="I1358" t="s">
        <v>25</v>
      </c>
      <c r="J1358">
        <v>2</v>
      </c>
      <c r="K1358">
        <v>0</v>
      </c>
      <c r="L1358">
        <v>1</v>
      </c>
      <c r="M1358">
        <v>1</v>
      </c>
      <c r="N1358">
        <v>2</v>
      </c>
      <c r="O1358">
        <v>2</v>
      </c>
      <c r="P1358">
        <v>2</v>
      </c>
      <c r="Q1358">
        <v>1</v>
      </c>
      <c r="R1358">
        <v>1</v>
      </c>
      <c r="S1358">
        <v>1</v>
      </c>
      <c r="T1358">
        <v>1</v>
      </c>
      <c r="U1358">
        <v>2</v>
      </c>
    </row>
    <row r="1359" spans="1:21" x14ac:dyDescent="0.25">
      <c r="A1359">
        <v>2025</v>
      </c>
      <c r="B1359">
        <v>8</v>
      </c>
      <c r="C1359" t="s">
        <v>37</v>
      </c>
      <c r="D1359" t="s">
        <v>22</v>
      </c>
      <c r="E1359" t="s">
        <v>32</v>
      </c>
      <c r="F1359" t="s">
        <v>24</v>
      </c>
      <c r="G1359" t="s">
        <v>25</v>
      </c>
      <c r="H1359" t="s">
        <v>26</v>
      </c>
      <c r="I1359" t="s">
        <v>25</v>
      </c>
      <c r="J1359">
        <v>2172</v>
      </c>
      <c r="K1359">
        <v>22</v>
      </c>
      <c r="L1359">
        <v>69</v>
      </c>
      <c r="M1359">
        <v>91</v>
      </c>
      <c r="N1359">
        <v>1135</v>
      </c>
      <c r="O1359">
        <v>989</v>
      </c>
      <c r="P1359">
        <v>899</v>
      </c>
      <c r="Q1359">
        <v>690</v>
      </c>
      <c r="R1359">
        <v>544</v>
      </c>
      <c r="S1359">
        <v>282</v>
      </c>
      <c r="T1359">
        <v>96</v>
      </c>
      <c r="U1359">
        <v>2115</v>
      </c>
    </row>
    <row r="1360" spans="1:21" x14ac:dyDescent="0.25">
      <c r="A1360">
        <v>2025</v>
      </c>
      <c r="B1360">
        <v>8</v>
      </c>
      <c r="C1360" t="s">
        <v>37</v>
      </c>
      <c r="D1360" t="s">
        <v>22</v>
      </c>
      <c r="E1360" t="s">
        <v>38</v>
      </c>
      <c r="F1360" t="s">
        <v>24</v>
      </c>
      <c r="G1360" t="s">
        <v>25</v>
      </c>
      <c r="H1360" t="s">
        <v>26</v>
      </c>
      <c r="I1360" t="s">
        <v>25</v>
      </c>
      <c r="J1360">
        <v>56</v>
      </c>
      <c r="K1360">
        <v>2</v>
      </c>
      <c r="L1360">
        <v>0</v>
      </c>
      <c r="M1360">
        <v>2</v>
      </c>
      <c r="N1360">
        <v>36</v>
      </c>
      <c r="O1360">
        <v>24</v>
      </c>
      <c r="P1360">
        <v>20</v>
      </c>
      <c r="Q1360">
        <v>9</v>
      </c>
      <c r="R1360">
        <v>5</v>
      </c>
      <c r="S1360">
        <v>2</v>
      </c>
      <c r="T1360">
        <v>0</v>
      </c>
      <c r="U1360">
        <v>54</v>
      </c>
    </row>
    <row r="1361" spans="1:21" x14ac:dyDescent="0.25">
      <c r="A1361">
        <v>2025</v>
      </c>
      <c r="B1361">
        <v>8</v>
      </c>
      <c r="C1361" t="s">
        <v>37</v>
      </c>
      <c r="D1361" t="s">
        <v>22</v>
      </c>
      <c r="E1361" t="s">
        <v>34</v>
      </c>
      <c r="F1361" t="s">
        <v>24</v>
      </c>
      <c r="G1361" t="s">
        <v>25</v>
      </c>
      <c r="H1361" t="s">
        <v>26</v>
      </c>
      <c r="I1361" t="s">
        <v>26</v>
      </c>
      <c r="J1361">
        <v>354</v>
      </c>
      <c r="K1361">
        <v>5</v>
      </c>
      <c r="L1361">
        <v>28</v>
      </c>
      <c r="M1361">
        <v>33</v>
      </c>
      <c r="N1361">
        <v>156</v>
      </c>
      <c r="O1361">
        <v>124</v>
      </c>
      <c r="P1361">
        <v>116</v>
      </c>
      <c r="Q1361">
        <v>99</v>
      </c>
      <c r="R1361">
        <v>86</v>
      </c>
      <c r="S1361">
        <v>54</v>
      </c>
      <c r="T1361">
        <v>25</v>
      </c>
      <c r="U1361">
        <v>345</v>
      </c>
    </row>
    <row r="1362" spans="1:21" x14ac:dyDescent="0.25">
      <c r="A1362">
        <v>2025</v>
      </c>
      <c r="B1362">
        <v>8</v>
      </c>
      <c r="C1362" t="s">
        <v>37</v>
      </c>
      <c r="D1362" t="s">
        <v>22</v>
      </c>
      <c r="E1362" t="s">
        <v>23</v>
      </c>
      <c r="F1362" t="s">
        <v>28</v>
      </c>
      <c r="G1362" t="s">
        <v>25</v>
      </c>
      <c r="H1362" t="s">
        <v>26</v>
      </c>
      <c r="I1362" t="s">
        <v>25</v>
      </c>
      <c r="J1362">
        <v>4399</v>
      </c>
      <c r="K1362">
        <v>191</v>
      </c>
      <c r="L1362">
        <v>534</v>
      </c>
      <c r="M1362">
        <v>725</v>
      </c>
      <c r="N1362">
        <v>2336</v>
      </c>
      <c r="O1362">
        <v>2009</v>
      </c>
      <c r="P1362">
        <v>1885</v>
      </c>
      <c r="Q1362">
        <v>1517</v>
      </c>
      <c r="R1362">
        <v>1181</v>
      </c>
      <c r="S1362">
        <v>595</v>
      </c>
      <c r="T1362">
        <v>171</v>
      </c>
      <c r="U1362">
        <v>4015</v>
      </c>
    </row>
    <row r="1363" spans="1:21" x14ac:dyDescent="0.25">
      <c r="A1363">
        <v>2025</v>
      </c>
      <c r="B1363">
        <v>8</v>
      </c>
      <c r="C1363" t="s">
        <v>37</v>
      </c>
      <c r="D1363" t="s">
        <v>22</v>
      </c>
      <c r="E1363" t="s">
        <v>23</v>
      </c>
      <c r="F1363" t="s">
        <v>24</v>
      </c>
      <c r="G1363" t="s">
        <v>25</v>
      </c>
      <c r="H1363" t="s">
        <v>26</v>
      </c>
      <c r="I1363" t="s">
        <v>25</v>
      </c>
      <c r="J1363">
        <v>2011</v>
      </c>
      <c r="K1363">
        <v>25</v>
      </c>
      <c r="L1363">
        <v>70</v>
      </c>
      <c r="M1363">
        <v>95</v>
      </c>
      <c r="N1363">
        <v>1118</v>
      </c>
      <c r="O1363">
        <v>895</v>
      </c>
      <c r="P1363">
        <v>806</v>
      </c>
      <c r="Q1363">
        <v>599</v>
      </c>
      <c r="R1363">
        <v>429</v>
      </c>
      <c r="S1363">
        <v>167</v>
      </c>
      <c r="T1363">
        <v>46</v>
      </c>
      <c r="U1363">
        <v>1958</v>
      </c>
    </row>
    <row r="1364" spans="1:21" x14ac:dyDescent="0.25">
      <c r="A1364">
        <v>2025</v>
      </c>
      <c r="B1364">
        <v>8</v>
      </c>
      <c r="C1364" t="s">
        <v>37</v>
      </c>
      <c r="D1364" t="s">
        <v>22</v>
      </c>
      <c r="E1364" t="s">
        <v>39</v>
      </c>
      <c r="F1364" t="s">
        <v>28</v>
      </c>
      <c r="G1364" t="s">
        <v>26</v>
      </c>
      <c r="H1364" t="s">
        <v>26</v>
      </c>
      <c r="I1364" t="s">
        <v>25</v>
      </c>
      <c r="J1364">
        <v>14240</v>
      </c>
      <c r="K1364">
        <v>450</v>
      </c>
      <c r="L1364">
        <v>1321</v>
      </c>
      <c r="M1364">
        <v>1771</v>
      </c>
      <c r="N1364">
        <v>8392</v>
      </c>
      <c r="O1364">
        <v>7372</v>
      </c>
      <c r="P1364">
        <v>6929</v>
      </c>
      <c r="Q1364">
        <v>5503</v>
      </c>
      <c r="R1364">
        <v>4291</v>
      </c>
      <c r="S1364">
        <v>2196</v>
      </c>
      <c r="T1364">
        <v>691</v>
      </c>
      <c r="U1364">
        <v>13251</v>
      </c>
    </row>
    <row r="1365" spans="1:21" x14ac:dyDescent="0.25">
      <c r="A1365">
        <v>2025</v>
      </c>
      <c r="B1365">
        <v>8</v>
      </c>
      <c r="C1365" t="s">
        <v>37</v>
      </c>
      <c r="D1365" t="s">
        <v>22</v>
      </c>
      <c r="E1365" t="s">
        <v>39</v>
      </c>
      <c r="F1365" t="s">
        <v>24</v>
      </c>
      <c r="G1365" t="s">
        <v>26</v>
      </c>
      <c r="H1365" t="s">
        <v>26</v>
      </c>
      <c r="I1365" t="s">
        <v>25</v>
      </c>
      <c r="J1365">
        <v>3897</v>
      </c>
      <c r="K1365">
        <v>42</v>
      </c>
      <c r="L1365">
        <v>217</v>
      </c>
      <c r="M1365">
        <v>259</v>
      </c>
      <c r="N1365">
        <v>2555</v>
      </c>
      <c r="O1365">
        <v>2204</v>
      </c>
      <c r="P1365">
        <v>2064</v>
      </c>
      <c r="Q1365">
        <v>1620</v>
      </c>
      <c r="R1365">
        <v>1192</v>
      </c>
      <c r="S1365">
        <v>575</v>
      </c>
      <c r="T1365">
        <v>175</v>
      </c>
      <c r="U1365">
        <v>3765</v>
      </c>
    </row>
    <row r="1366" spans="1:21" x14ac:dyDescent="0.25">
      <c r="A1366">
        <v>2025</v>
      </c>
      <c r="B1366">
        <v>8</v>
      </c>
      <c r="C1366" t="s">
        <v>37</v>
      </c>
      <c r="D1366" t="s">
        <v>22</v>
      </c>
      <c r="E1366" t="s">
        <v>39</v>
      </c>
      <c r="F1366" t="s">
        <v>29</v>
      </c>
      <c r="G1366" t="s">
        <v>26</v>
      </c>
      <c r="H1366" t="s">
        <v>26</v>
      </c>
      <c r="I1366" t="s">
        <v>25</v>
      </c>
      <c r="J1366">
        <v>2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</row>
    <row r="1367" spans="1:21" x14ac:dyDescent="0.25">
      <c r="A1367">
        <v>2025</v>
      </c>
      <c r="B1367">
        <v>8</v>
      </c>
      <c r="C1367" t="s">
        <v>37</v>
      </c>
      <c r="D1367" t="s">
        <v>22</v>
      </c>
      <c r="E1367" t="s">
        <v>40</v>
      </c>
      <c r="F1367" t="s">
        <v>24</v>
      </c>
      <c r="G1367" t="s">
        <v>25</v>
      </c>
      <c r="H1367" t="s">
        <v>26</v>
      </c>
      <c r="I1367" t="s">
        <v>25</v>
      </c>
      <c r="J1367">
        <v>506</v>
      </c>
      <c r="K1367">
        <v>8</v>
      </c>
      <c r="L1367">
        <v>0</v>
      </c>
      <c r="M1367">
        <v>8</v>
      </c>
      <c r="N1367">
        <v>29</v>
      </c>
      <c r="O1367">
        <v>19</v>
      </c>
      <c r="P1367">
        <v>14</v>
      </c>
      <c r="Q1367">
        <v>6</v>
      </c>
      <c r="R1367">
        <v>1</v>
      </c>
      <c r="S1367">
        <v>0</v>
      </c>
      <c r="T1367">
        <v>0</v>
      </c>
      <c r="U1367">
        <v>498</v>
      </c>
    </row>
    <row r="1368" spans="1:21" x14ac:dyDescent="0.25">
      <c r="A1368">
        <v>2025</v>
      </c>
      <c r="B1368">
        <v>8</v>
      </c>
      <c r="C1368" t="s">
        <v>37</v>
      </c>
      <c r="D1368" t="s">
        <v>22</v>
      </c>
      <c r="E1368" t="s">
        <v>35</v>
      </c>
      <c r="F1368" t="s">
        <v>28</v>
      </c>
      <c r="G1368" t="s">
        <v>25</v>
      </c>
      <c r="H1368" t="s">
        <v>26</v>
      </c>
      <c r="I1368" t="s">
        <v>26</v>
      </c>
      <c r="J1368">
        <v>26</v>
      </c>
      <c r="K1368">
        <v>0</v>
      </c>
      <c r="L1368">
        <v>4</v>
      </c>
      <c r="M1368">
        <v>4</v>
      </c>
      <c r="N1368">
        <v>8</v>
      </c>
      <c r="O1368">
        <v>7</v>
      </c>
      <c r="P1368">
        <v>7</v>
      </c>
      <c r="Q1368">
        <v>7</v>
      </c>
      <c r="R1368">
        <v>6</v>
      </c>
      <c r="S1368">
        <v>3</v>
      </c>
      <c r="T1368">
        <v>0</v>
      </c>
      <c r="U1368">
        <v>23</v>
      </c>
    </row>
    <row r="1369" spans="1:21" x14ac:dyDescent="0.25">
      <c r="A1369">
        <v>2025</v>
      </c>
      <c r="B1369">
        <v>8</v>
      </c>
      <c r="C1369" t="s">
        <v>37</v>
      </c>
      <c r="D1369" t="s">
        <v>22</v>
      </c>
      <c r="E1369" t="s">
        <v>35</v>
      </c>
      <c r="F1369" t="s">
        <v>24</v>
      </c>
      <c r="G1369" t="s">
        <v>25</v>
      </c>
      <c r="H1369" t="s">
        <v>26</v>
      </c>
      <c r="I1369" t="s">
        <v>26</v>
      </c>
      <c r="J1369">
        <v>800</v>
      </c>
      <c r="K1369">
        <v>10</v>
      </c>
      <c r="L1369">
        <v>30</v>
      </c>
      <c r="M1369">
        <v>40</v>
      </c>
      <c r="N1369">
        <v>408</v>
      </c>
      <c r="O1369">
        <v>350</v>
      </c>
      <c r="P1369">
        <v>326</v>
      </c>
      <c r="Q1369">
        <v>281</v>
      </c>
      <c r="R1369">
        <v>244</v>
      </c>
      <c r="S1369">
        <v>176</v>
      </c>
      <c r="T1369">
        <v>77</v>
      </c>
      <c r="U1369">
        <v>785</v>
      </c>
    </row>
    <row r="1370" spans="1:21" x14ac:dyDescent="0.25">
      <c r="A1370">
        <v>2025</v>
      </c>
      <c r="B1370">
        <v>8</v>
      </c>
      <c r="C1370" t="s">
        <v>37</v>
      </c>
      <c r="D1370" t="s">
        <v>22</v>
      </c>
      <c r="E1370" t="s">
        <v>36</v>
      </c>
      <c r="F1370" t="s">
        <v>28</v>
      </c>
      <c r="G1370" t="s">
        <v>25</v>
      </c>
      <c r="H1370" t="s">
        <v>26</v>
      </c>
      <c r="I1370" t="s">
        <v>25</v>
      </c>
      <c r="J1370">
        <v>59</v>
      </c>
      <c r="K1370">
        <v>0</v>
      </c>
      <c r="L1370">
        <v>0</v>
      </c>
      <c r="M1370">
        <v>0</v>
      </c>
      <c r="N1370">
        <v>19</v>
      </c>
      <c r="O1370">
        <v>16</v>
      </c>
      <c r="P1370">
        <v>15</v>
      </c>
      <c r="Q1370">
        <v>13</v>
      </c>
      <c r="R1370">
        <v>9</v>
      </c>
      <c r="S1370">
        <v>1</v>
      </c>
      <c r="T1370">
        <v>1</v>
      </c>
      <c r="U1370">
        <v>59</v>
      </c>
    </row>
    <row r="1371" spans="1:21" x14ac:dyDescent="0.25">
      <c r="A1371">
        <v>2025</v>
      </c>
      <c r="B1371">
        <v>8</v>
      </c>
      <c r="C1371" t="s">
        <v>37</v>
      </c>
      <c r="D1371" t="s">
        <v>22</v>
      </c>
      <c r="E1371" t="s">
        <v>36</v>
      </c>
      <c r="F1371" t="s">
        <v>24</v>
      </c>
      <c r="G1371" t="s">
        <v>25</v>
      </c>
      <c r="H1371" t="s">
        <v>26</v>
      </c>
      <c r="I1371" t="s">
        <v>25</v>
      </c>
      <c r="J1371">
        <v>390</v>
      </c>
      <c r="K1371">
        <v>7</v>
      </c>
      <c r="L1371">
        <v>15</v>
      </c>
      <c r="M1371">
        <v>22</v>
      </c>
      <c r="N1371">
        <v>200</v>
      </c>
      <c r="O1371">
        <v>154</v>
      </c>
      <c r="P1371">
        <v>142</v>
      </c>
      <c r="Q1371">
        <v>117</v>
      </c>
      <c r="R1371">
        <v>84</v>
      </c>
      <c r="S1371">
        <v>32</v>
      </c>
      <c r="T1371">
        <v>4</v>
      </c>
      <c r="U1371">
        <v>377</v>
      </c>
    </row>
    <row r="1372" spans="1:21" x14ac:dyDescent="0.25">
      <c r="A1372">
        <v>2025</v>
      </c>
      <c r="B1372">
        <v>8</v>
      </c>
      <c r="C1372" t="s">
        <v>37</v>
      </c>
      <c r="D1372" t="s">
        <v>22</v>
      </c>
      <c r="E1372" t="s">
        <v>41</v>
      </c>
      <c r="F1372" t="s">
        <v>24</v>
      </c>
      <c r="G1372" t="s">
        <v>26</v>
      </c>
      <c r="H1372" t="s">
        <v>26</v>
      </c>
      <c r="I1372" t="s">
        <v>25</v>
      </c>
      <c r="J1372">
        <v>418</v>
      </c>
      <c r="K1372">
        <v>9</v>
      </c>
      <c r="L1372">
        <v>22</v>
      </c>
      <c r="M1372">
        <v>31</v>
      </c>
      <c r="N1372">
        <v>269</v>
      </c>
      <c r="O1372">
        <v>240</v>
      </c>
      <c r="P1372">
        <v>228</v>
      </c>
      <c r="Q1372">
        <v>176</v>
      </c>
      <c r="R1372">
        <v>119</v>
      </c>
      <c r="S1372">
        <v>53</v>
      </c>
      <c r="T1372">
        <v>16</v>
      </c>
      <c r="U1372">
        <v>405</v>
      </c>
    </row>
    <row r="1373" spans="1:21" x14ac:dyDescent="0.25">
      <c r="A1373">
        <v>2025</v>
      </c>
      <c r="B1373">
        <v>8</v>
      </c>
      <c r="C1373" t="s">
        <v>37</v>
      </c>
      <c r="D1373" t="s">
        <v>22</v>
      </c>
      <c r="E1373" t="s">
        <v>42</v>
      </c>
      <c r="F1373" t="s">
        <v>28</v>
      </c>
      <c r="G1373" t="s">
        <v>26</v>
      </c>
      <c r="H1373" t="s">
        <v>26</v>
      </c>
      <c r="I1373" t="s">
        <v>25</v>
      </c>
      <c r="J1373">
        <v>2</v>
      </c>
      <c r="K1373">
        <v>0</v>
      </c>
      <c r="L1373">
        <v>0</v>
      </c>
      <c r="M1373">
        <v>0</v>
      </c>
      <c r="N1373">
        <v>2</v>
      </c>
      <c r="O1373">
        <v>2</v>
      </c>
      <c r="P1373">
        <v>1</v>
      </c>
      <c r="Q1373">
        <v>1</v>
      </c>
      <c r="R1373">
        <v>1</v>
      </c>
      <c r="S1373">
        <v>0</v>
      </c>
      <c r="T1373">
        <v>0</v>
      </c>
      <c r="U1373">
        <v>2</v>
      </c>
    </row>
    <row r="1374" spans="1:21" x14ac:dyDescent="0.25">
      <c r="A1374">
        <v>2025</v>
      </c>
      <c r="B1374">
        <v>8</v>
      </c>
      <c r="C1374" t="s">
        <v>37</v>
      </c>
      <c r="D1374" t="s">
        <v>22</v>
      </c>
      <c r="E1374" t="s">
        <v>42</v>
      </c>
      <c r="F1374" t="s">
        <v>24</v>
      </c>
      <c r="G1374" t="s">
        <v>26</v>
      </c>
      <c r="H1374" t="s">
        <v>26</v>
      </c>
      <c r="I1374" t="s">
        <v>25</v>
      </c>
      <c r="J1374">
        <v>147</v>
      </c>
      <c r="K1374">
        <v>0</v>
      </c>
      <c r="L1374">
        <v>3</v>
      </c>
      <c r="M1374">
        <v>3</v>
      </c>
      <c r="N1374">
        <v>79</v>
      </c>
      <c r="O1374">
        <v>64</v>
      </c>
      <c r="P1374">
        <v>59</v>
      </c>
      <c r="Q1374">
        <v>39</v>
      </c>
      <c r="R1374">
        <v>24</v>
      </c>
      <c r="S1374">
        <v>12</v>
      </c>
      <c r="T1374">
        <v>3</v>
      </c>
      <c r="U1374">
        <v>144</v>
      </c>
    </row>
    <row r="1375" spans="1:21" x14ac:dyDescent="0.25">
      <c r="A1375">
        <v>2025</v>
      </c>
      <c r="B1375">
        <v>8</v>
      </c>
      <c r="C1375" t="s">
        <v>37</v>
      </c>
      <c r="D1375" t="s">
        <v>22</v>
      </c>
      <c r="E1375" t="s">
        <v>27</v>
      </c>
      <c r="F1375" t="s">
        <v>24</v>
      </c>
      <c r="G1375" t="s">
        <v>26</v>
      </c>
      <c r="H1375" t="s">
        <v>26</v>
      </c>
      <c r="I1375" t="s">
        <v>25</v>
      </c>
      <c r="J1375">
        <v>2</v>
      </c>
      <c r="K1375">
        <v>1</v>
      </c>
      <c r="L1375">
        <v>0</v>
      </c>
      <c r="M1375">
        <v>1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1</v>
      </c>
    </row>
    <row r="1376" spans="1:21" x14ac:dyDescent="0.25">
      <c r="A1376">
        <v>2025</v>
      </c>
      <c r="B1376">
        <v>8</v>
      </c>
      <c r="C1376" t="s">
        <v>43</v>
      </c>
      <c r="D1376" t="s">
        <v>22</v>
      </c>
      <c r="E1376" t="s">
        <v>32</v>
      </c>
      <c r="F1376" t="s">
        <v>24</v>
      </c>
      <c r="G1376" t="s">
        <v>25</v>
      </c>
      <c r="H1376" t="s">
        <v>25</v>
      </c>
      <c r="I1376" t="s">
        <v>25</v>
      </c>
      <c r="J1376">
        <v>484</v>
      </c>
      <c r="K1376">
        <v>4</v>
      </c>
      <c r="L1376">
        <v>1</v>
      </c>
      <c r="M1376">
        <v>5</v>
      </c>
      <c r="N1376">
        <v>228</v>
      </c>
      <c r="O1376">
        <v>186</v>
      </c>
      <c r="P1376">
        <v>172</v>
      </c>
      <c r="Q1376">
        <v>111</v>
      </c>
      <c r="R1376">
        <v>83</v>
      </c>
      <c r="S1376">
        <v>28</v>
      </c>
      <c r="T1376">
        <v>10</v>
      </c>
      <c r="U1376">
        <v>479</v>
      </c>
    </row>
    <row r="1377" spans="1:21" x14ac:dyDescent="0.25">
      <c r="A1377">
        <v>2025</v>
      </c>
      <c r="B1377">
        <v>8</v>
      </c>
      <c r="C1377" t="s">
        <v>43</v>
      </c>
      <c r="D1377" t="s">
        <v>22</v>
      </c>
      <c r="E1377" t="s">
        <v>34</v>
      </c>
      <c r="F1377" t="s">
        <v>24</v>
      </c>
      <c r="G1377" t="s">
        <v>25</v>
      </c>
      <c r="H1377" t="s">
        <v>26</v>
      </c>
      <c r="I1377" t="s">
        <v>26</v>
      </c>
      <c r="J1377">
        <v>55</v>
      </c>
      <c r="K1377">
        <v>2</v>
      </c>
      <c r="L1377">
        <v>0</v>
      </c>
      <c r="M1377">
        <v>2</v>
      </c>
      <c r="N1377">
        <v>30</v>
      </c>
      <c r="O1377">
        <v>30</v>
      </c>
      <c r="P1377">
        <v>30</v>
      </c>
      <c r="Q1377">
        <v>29</v>
      </c>
      <c r="R1377">
        <v>28</v>
      </c>
      <c r="S1377">
        <v>25</v>
      </c>
      <c r="T1377">
        <v>17</v>
      </c>
      <c r="U1377">
        <v>53</v>
      </c>
    </row>
    <row r="1378" spans="1:21" x14ac:dyDescent="0.25">
      <c r="A1378">
        <v>2025</v>
      </c>
      <c r="B1378">
        <v>8</v>
      </c>
      <c r="C1378" t="s">
        <v>43</v>
      </c>
      <c r="D1378" t="s">
        <v>22</v>
      </c>
      <c r="E1378" t="s">
        <v>23</v>
      </c>
      <c r="F1378" t="s">
        <v>24</v>
      </c>
      <c r="G1378" t="s">
        <v>25</v>
      </c>
      <c r="H1378" t="s">
        <v>26</v>
      </c>
      <c r="I1378" t="s">
        <v>25</v>
      </c>
      <c r="J1378">
        <v>531</v>
      </c>
      <c r="K1378">
        <v>0</v>
      </c>
      <c r="L1378">
        <v>0</v>
      </c>
      <c r="M1378">
        <v>0</v>
      </c>
      <c r="N1378">
        <v>130</v>
      </c>
      <c r="O1378">
        <v>72</v>
      </c>
      <c r="P1378">
        <v>59</v>
      </c>
      <c r="Q1378">
        <v>40</v>
      </c>
      <c r="R1378">
        <v>26</v>
      </c>
      <c r="S1378">
        <v>5</v>
      </c>
      <c r="T1378">
        <v>1</v>
      </c>
      <c r="U1378">
        <v>531</v>
      </c>
    </row>
    <row r="1379" spans="1:21" x14ac:dyDescent="0.25">
      <c r="A1379">
        <v>2025</v>
      </c>
      <c r="B1379">
        <v>8</v>
      </c>
      <c r="C1379" t="s">
        <v>43</v>
      </c>
      <c r="D1379" t="s">
        <v>22</v>
      </c>
      <c r="E1379" t="s">
        <v>35</v>
      </c>
      <c r="F1379" t="s">
        <v>24</v>
      </c>
      <c r="G1379" t="s">
        <v>25</v>
      </c>
      <c r="H1379" t="s">
        <v>26</v>
      </c>
      <c r="I1379" t="s">
        <v>26</v>
      </c>
      <c r="J1379">
        <v>8</v>
      </c>
      <c r="K1379">
        <v>0</v>
      </c>
      <c r="L1379">
        <v>0</v>
      </c>
      <c r="M1379">
        <v>0</v>
      </c>
      <c r="N1379">
        <v>7</v>
      </c>
      <c r="O1379">
        <v>7</v>
      </c>
      <c r="P1379">
        <v>7</v>
      </c>
      <c r="Q1379">
        <v>7</v>
      </c>
      <c r="R1379">
        <v>7</v>
      </c>
      <c r="S1379">
        <v>7</v>
      </c>
      <c r="T1379">
        <v>5</v>
      </c>
      <c r="U1379">
        <v>8</v>
      </c>
    </row>
    <row r="1380" spans="1:21" x14ac:dyDescent="0.25">
      <c r="A1380">
        <v>2025</v>
      </c>
      <c r="B1380">
        <v>8</v>
      </c>
      <c r="C1380" t="s">
        <v>44</v>
      </c>
      <c r="D1380" t="s">
        <v>45</v>
      </c>
      <c r="E1380" t="s">
        <v>46</v>
      </c>
      <c r="F1380" t="s">
        <v>24</v>
      </c>
      <c r="G1380" t="s">
        <v>25</v>
      </c>
      <c r="H1380" t="s">
        <v>26</v>
      </c>
      <c r="I1380" t="s">
        <v>26</v>
      </c>
      <c r="J1380">
        <v>26</v>
      </c>
      <c r="K1380">
        <v>0</v>
      </c>
      <c r="L1380">
        <v>2</v>
      </c>
      <c r="M1380">
        <v>2</v>
      </c>
      <c r="N1380">
        <v>9</v>
      </c>
      <c r="O1380">
        <v>9</v>
      </c>
      <c r="P1380">
        <v>9</v>
      </c>
      <c r="Q1380">
        <v>8</v>
      </c>
      <c r="R1380">
        <v>7</v>
      </c>
      <c r="S1380">
        <v>5</v>
      </c>
      <c r="T1380">
        <v>4</v>
      </c>
      <c r="U1380">
        <v>25</v>
      </c>
    </row>
    <row r="1381" spans="1:21" x14ac:dyDescent="0.25">
      <c r="A1381">
        <v>2025</v>
      </c>
      <c r="B1381">
        <v>8</v>
      </c>
      <c r="C1381" t="s">
        <v>47</v>
      </c>
      <c r="D1381" t="s">
        <v>45</v>
      </c>
      <c r="E1381" t="s">
        <v>48</v>
      </c>
      <c r="F1381" t="s">
        <v>24</v>
      </c>
      <c r="G1381" t="s">
        <v>26</v>
      </c>
      <c r="H1381" t="s">
        <v>26</v>
      </c>
      <c r="I1381" t="s">
        <v>25</v>
      </c>
      <c r="J1381">
        <v>3775</v>
      </c>
      <c r="K1381">
        <v>367</v>
      </c>
      <c r="L1381">
        <v>205</v>
      </c>
      <c r="M1381">
        <v>572</v>
      </c>
      <c r="N1381">
        <v>878</v>
      </c>
      <c r="O1381">
        <v>867</v>
      </c>
      <c r="P1381">
        <v>864</v>
      </c>
      <c r="Q1381">
        <v>650</v>
      </c>
      <c r="R1381">
        <v>526</v>
      </c>
      <c r="S1381">
        <v>277</v>
      </c>
      <c r="T1381">
        <v>117</v>
      </c>
      <c r="U1381">
        <v>3349</v>
      </c>
    </row>
    <row r="1382" spans="1:21" x14ac:dyDescent="0.25">
      <c r="A1382">
        <v>2025</v>
      </c>
      <c r="B1382">
        <v>8</v>
      </c>
      <c r="C1382" t="s">
        <v>49</v>
      </c>
      <c r="D1382" t="s">
        <v>45</v>
      </c>
      <c r="E1382" t="s">
        <v>50</v>
      </c>
      <c r="F1382" t="s">
        <v>28</v>
      </c>
      <c r="G1382" t="s">
        <v>25</v>
      </c>
      <c r="H1382" t="s">
        <v>26</v>
      </c>
      <c r="I1382" t="s">
        <v>25</v>
      </c>
      <c r="J1382">
        <v>544</v>
      </c>
      <c r="K1382">
        <v>7</v>
      </c>
      <c r="L1382">
        <v>30</v>
      </c>
      <c r="M1382">
        <v>37</v>
      </c>
      <c r="N1382">
        <v>352</v>
      </c>
      <c r="O1382">
        <v>316</v>
      </c>
      <c r="P1382">
        <v>302</v>
      </c>
      <c r="Q1382">
        <v>245</v>
      </c>
      <c r="R1382">
        <v>195</v>
      </c>
      <c r="S1382">
        <v>101</v>
      </c>
      <c r="T1382">
        <v>31</v>
      </c>
      <c r="U1382">
        <v>533</v>
      </c>
    </row>
    <row r="1383" spans="1:21" x14ac:dyDescent="0.25">
      <c r="A1383">
        <v>2025</v>
      </c>
      <c r="B1383">
        <v>8</v>
      </c>
      <c r="C1383" t="s">
        <v>49</v>
      </c>
      <c r="D1383" t="s">
        <v>45</v>
      </c>
      <c r="E1383" t="s">
        <v>50</v>
      </c>
      <c r="F1383" t="s">
        <v>24</v>
      </c>
      <c r="G1383" t="s">
        <v>25</v>
      </c>
      <c r="H1383" t="s">
        <v>26</v>
      </c>
      <c r="I1383" t="s">
        <v>25</v>
      </c>
      <c r="J1383">
        <v>62</v>
      </c>
      <c r="K1383">
        <v>1</v>
      </c>
      <c r="L1383">
        <v>13</v>
      </c>
      <c r="M1383">
        <v>14</v>
      </c>
      <c r="N1383">
        <v>27</v>
      </c>
      <c r="O1383">
        <v>25</v>
      </c>
      <c r="P1383">
        <v>24</v>
      </c>
      <c r="Q1383">
        <v>21</v>
      </c>
      <c r="R1383">
        <v>16</v>
      </c>
      <c r="S1383">
        <v>11</v>
      </c>
      <c r="T1383">
        <v>5</v>
      </c>
      <c r="U1383">
        <v>55</v>
      </c>
    </row>
    <row r="1384" spans="1:21" x14ac:dyDescent="0.25">
      <c r="A1384">
        <v>2025</v>
      </c>
      <c r="B1384">
        <v>8</v>
      </c>
      <c r="C1384" t="s">
        <v>51</v>
      </c>
      <c r="D1384" t="s">
        <v>22</v>
      </c>
      <c r="E1384" t="s">
        <v>31</v>
      </c>
      <c r="F1384" t="s">
        <v>24</v>
      </c>
      <c r="G1384" t="s">
        <v>25</v>
      </c>
      <c r="H1384" t="s">
        <v>25</v>
      </c>
      <c r="I1384" t="s">
        <v>25</v>
      </c>
      <c r="J1384">
        <v>202</v>
      </c>
      <c r="K1384">
        <v>0</v>
      </c>
      <c r="L1384">
        <v>0</v>
      </c>
      <c r="M1384">
        <v>0</v>
      </c>
      <c r="N1384">
        <v>1</v>
      </c>
      <c r="O1384">
        <v>1</v>
      </c>
      <c r="P1384">
        <v>1</v>
      </c>
      <c r="Q1384">
        <v>1</v>
      </c>
      <c r="R1384">
        <v>1</v>
      </c>
      <c r="S1384">
        <v>0</v>
      </c>
      <c r="T1384">
        <v>0</v>
      </c>
      <c r="U1384">
        <v>202</v>
      </c>
    </row>
    <row r="1385" spans="1:21" x14ac:dyDescent="0.25">
      <c r="A1385">
        <v>2025</v>
      </c>
      <c r="B1385">
        <v>8</v>
      </c>
      <c r="C1385" t="s">
        <v>51</v>
      </c>
      <c r="D1385" t="s">
        <v>22</v>
      </c>
      <c r="E1385" t="s">
        <v>34</v>
      </c>
      <c r="F1385" t="s">
        <v>24</v>
      </c>
      <c r="G1385" t="s">
        <v>25</v>
      </c>
      <c r="H1385" t="s">
        <v>26</v>
      </c>
      <c r="I1385" t="s">
        <v>26</v>
      </c>
      <c r="J1385">
        <v>129</v>
      </c>
      <c r="K1385">
        <v>0</v>
      </c>
      <c r="L1385">
        <v>1</v>
      </c>
      <c r="M1385">
        <v>1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129</v>
      </c>
    </row>
    <row r="1386" spans="1:21" x14ac:dyDescent="0.25">
      <c r="A1386">
        <v>2025</v>
      </c>
      <c r="B1386">
        <v>8</v>
      </c>
      <c r="C1386" t="s">
        <v>52</v>
      </c>
      <c r="D1386" t="s">
        <v>22</v>
      </c>
      <c r="E1386" t="s">
        <v>31</v>
      </c>
      <c r="F1386" t="s">
        <v>24</v>
      </c>
      <c r="G1386" t="s">
        <v>25</v>
      </c>
      <c r="H1386" t="s">
        <v>25</v>
      </c>
      <c r="I1386" t="s">
        <v>25</v>
      </c>
      <c r="J1386">
        <v>125</v>
      </c>
      <c r="K1386">
        <v>0</v>
      </c>
      <c r="L1386">
        <v>0</v>
      </c>
      <c r="M1386">
        <v>0</v>
      </c>
      <c r="N1386">
        <v>9</v>
      </c>
      <c r="O1386">
        <v>6</v>
      </c>
      <c r="P1386">
        <v>5</v>
      </c>
      <c r="Q1386">
        <v>3</v>
      </c>
      <c r="R1386">
        <v>3</v>
      </c>
      <c r="S1386">
        <v>2</v>
      </c>
      <c r="T1386">
        <v>0</v>
      </c>
      <c r="U1386">
        <v>125</v>
      </c>
    </row>
    <row r="1387" spans="1:21" x14ac:dyDescent="0.25">
      <c r="A1387">
        <v>2025</v>
      </c>
      <c r="B1387">
        <v>8</v>
      </c>
      <c r="C1387" t="s">
        <v>52</v>
      </c>
      <c r="D1387" t="s">
        <v>22</v>
      </c>
      <c r="E1387" t="s">
        <v>32</v>
      </c>
      <c r="F1387" t="s">
        <v>24</v>
      </c>
      <c r="G1387" t="s">
        <v>25</v>
      </c>
      <c r="H1387" t="s">
        <v>26</v>
      </c>
      <c r="I1387" t="s">
        <v>25</v>
      </c>
      <c r="J1387">
        <v>557</v>
      </c>
      <c r="K1387">
        <v>1</v>
      </c>
      <c r="L1387">
        <v>0</v>
      </c>
      <c r="M1387">
        <v>1</v>
      </c>
      <c r="N1387">
        <v>103</v>
      </c>
      <c r="O1387">
        <v>90</v>
      </c>
      <c r="P1387">
        <v>84</v>
      </c>
      <c r="Q1387">
        <v>65</v>
      </c>
      <c r="R1387">
        <v>56</v>
      </c>
      <c r="S1387">
        <v>29</v>
      </c>
      <c r="T1387">
        <v>9</v>
      </c>
      <c r="U1387">
        <v>556</v>
      </c>
    </row>
    <row r="1388" spans="1:21" x14ac:dyDescent="0.25">
      <c r="A1388">
        <v>2025</v>
      </c>
      <c r="B1388">
        <v>8</v>
      </c>
      <c r="C1388" t="s">
        <v>52</v>
      </c>
      <c r="D1388" t="s">
        <v>22</v>
      </c>
      <c r="E1388" t="s">
        <v>34</v>
      </c>
      <c r="F1388" t="s">
        <v>24</v>
      </c>
      <c r="G1388" t="s">
        <v>25</v>
      </c>
      <c r="H1388" t="s">
        <v>26</v>
      </c>
      <c r="I1388" t="s">
        <v>26</v>
      </c>
      <c r="J1388">
        <v>184</v>
      </c>
      <c r="K1388">
        <v>0</v>
      </c>
      <c r="L1388">
        <v>0</v>
      </c>
      <c r="M1388">
        <v>0</v>
      </c>
      <c r="N1388">
        <v>19</v>
      </c>
      <c r="O1388">
        <v>18</v>
      </c>
      <c r="P1388">
        <v>18</v>
      </c>
      <c r="Q1388">
        <v>13</v>
      </c>
      <c r="R1388">
        <v>11</v>
      </c>
      <c r="S1388">
        <v>6</v>
      </c>
      <c r="T1388">
        <v>2</v>
      </c>
      <c r="U1388">
        <v>184</v>
      </c>
    </row>
    <row r="1389" spans="1:21" x14ac:dyDescent="0.25">
      <c r="A1389">
        <v>2025</v>
      </c>
      <c r="B1389">
        <v>8</v>
      </c>
      <c r="C1389" t="s">
        <v>52</v>
      </c>
      <c r="D1389" t="s">
        <v>22</v>
      </c>
      <c r="E1389" t="s">
        <v>23</v>
      </c>
      <c r="F1389" t="s">
        <v>24</v>
      </c>
      <c r="G1389" t="s">
        <v>25</v>
      </c>
      <c r="H1389" t="s">
        <v>26</v>
      </c>
      <c r="I1389" t="s">
        <v>25</v>
      </c>
      <c r="J1389">
        <v>124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124</v>
      </c>
    </row>
    <row r="1390" spans="1:21" x14ac:dyDescent="0.25">
      <c r="A1390">
        <v>2025</v>
      </c>
      <c r="B1390">
        <v>8</v>
      </c>
      <c r="C1390" t="s">
        <v>52</v>
      </c>
      <c r="D1390" t="s">
        <v>22</v>
      </c>
      <c r="E1390" t="s">
        <v>35</v>
      </c>
      <c r="F1390" t="s">
        <v>24</v>
      </c>
      <c r="G1390" t="s">
        <v>25</v>
      </c>
      <c r="H1390" t="s">
        <v>26</v>
      </c>
      <c r="I1390" t="s">
        <v>26</v>
      </c>
      <c r="J1390">
        <v>4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4</v>
      </c>
    </row>
    <row r="1391" spans="1:21" x14ac:dyDescent="0.25">
      <c r="A1391">
        <v>2025</v>
      </c>
      <c r="B1391">
        <v>8</v>
      </c>
      <c r="C1391" t="s">
        <v>52</v>
      </c>
      <c r="D1391" t="s">
        <v>22</v>
      </c>
      <c r="E1391" t="s">
        <v>41</v>
      </c>
      <c r="F1391" t="s">
        <v>24</v>
      </c>
      <c r="G1391" t="s">
        <v>26</v>
      </c>
      <c r="H1391" t="s">
        <v>26</v>
      </c>
      <c r="I1391" t="s">
        <v>25</v>
      </c>
      <c r="J1391">
        <v>496</v>
      </c>
      <c r="K1391">
        <v>1</v>
      </c>
      <c r="L1391">
        <v>0</v>
      </c>
      <c r="M1391">
        <v>1</v>
      </c>
      <c r="N1391">
        <v>228</v>
      </c>
      <c r="O1391">
        <v>194</v>
      </c>
      <c r="P1391">
        <v>179</v>
      </c>
      <c r="Q1391">
        <v>139</v>
      </c>
      <c r="R1391">
        <v>95</v>
      </c>
      <c r="S1391">
        <v>56</v>
      </c>
      <c r="T1391">
        <v>15</v>
      </c>
      <c r="U1391">
        <v>495</v>
      </c>
    </row>
    <row r="1392" spans="1:21" x14ac:dyDescent="0.25">
      <c r="A1392">
        <v>2025</v>
      </c>
      <c r="B1392">
        <v>8</v>
      </c>
      <c r="C1392" t="s">
        <v>53</v>
      </c>
      <c r="D1392" t="s">
        <v>22</v>
      </c>
      <c r="E1392" t="s">
        <v>54</v>
      </c>
      <c r="F1392" t="s">
        <v>24</v>
      </c>
      <c r="G1392" t="s">
        <v>25</v>
      </c>
      <c r="H1392" t="s">
        <v>26</v>
      </c>
      <c r="I1392" t="s">
        <v>25</v>
      </c>
      <c r="J1392">
        <v>852</v>
      </c>
      <c r="K1392">
        <v>16</v>
      </c>
      <c r="L1392">
        <v>0</v>
      </c>
      <c r="M1392">
        <v>16</v>
      </c>
      <c r="N1392">
        <v>2</v>
      </c>
      <c r="O1392">
        <v>2</v>
      </c>
      <c r="P1392">
        <v>2</v>
      </c>
      <c r="Q1392">
        <v>2</v>
      </c>
      <c r="R1392">
        <v>2</v>
      </c>
      <c r="S1392">
        <v>1</v>
      </c>
      <c r="T1392">
        <v>1</v>
      </c>
      <c r="U1392">
        <v>836</v>
      </c>
    </row>
    <row r="1393" spans="1:21" x14ac:dyDescent="0.25">
      <c r="A1393">
        <v>2025</v>
      </c>
      <c r="B1393">
        <v>8</v>
      </c>
      <c r="C1393" t="s">
        <v>53</v>
      </c>
      <c r="D1393" t="s">
        <v>22</v>
      </c>
      <c r="E1393" t="s">
        <v>23</v>
      </c>
      <c r="F1393" t="s">
        <v>28</v>
      </c>
      <c r="G1393" t="s">
        <v>25</v>
      </c>
      <c r="H1393" t="s">
        <v>26</v>
      </c>
      <c r="I1393" t="s">
        <v>25</v>
      </c>
      <c r="J1393">
        <v>37280</v>
      </c>
      <c r="K1393">
        <v>0</v>
      </c>
      <c r="L1393">
        <v>3360</v>
      </c>
      <c r="M1393">
        <v>3360</v>
      </c>
      <c r="N1393">
        <v>3845</v>
      </c>
      <c r="O1393">
        <v>2234</v>
      </c>
      <c r="P1393">
        <v>1805</v>
      </c>
      <c r="Q1393">
        <v>892</v>
      </c>
      <c r="R1393">
        <v>371</v>
      </c>
      <c r="S1393">
        <v>39</v>
      </c>
      <c r="T1393">
        <v>2</v>
      </c>
      <c r="U1393">
        <v>34632</v>
      </c>
    </row>
    <row r="1394" spans="1:21" x14ac:dyDescent="0.25">
      <c r="A1394">
        <v>2025</v>
      </c>
      <c r="B1394">
        <v>8</v>
      </c>
      <c r="C1394" t="s">
        <v>53</v>
      </c>
      <c r="D1394" t="s">
        <v>22</v>
      </c>
      <c r="E1394" t="s">
        <v>23</v>
      </c>
      <c r="F1394" t="s">
        <v>24</v>
      </c>
      <c r="G1394" t="s">
        <v>25</v>
      </c>
      <c r="H1394" t="s">
        <v>26</v>
      </c>
      <c r="I1394" t="s">
        <v>25</v>
      </c>
      <c r="J1394">
        <v>489</v>
      </c>
      <c r="K1394">
        <v>14</v>
      </c>
      <c r="L1394">
        <v>7</v>
      </c>
      <c r="M1394">
        <v>21</v>
      </c>
      <c r="N1394">
        <v>184</v>
      </c>
      <c r="O1394">
        <v>164</v>
      </c>
      <c r="P1394">
        <v>161</v>
      </c>
      <c r="Q1394">
        <v>148</v>
      </c>
      <c r="R1394">
        <v>106</v>
      </c>
      <c r="S1394">
        <v>49</v>
      </c>
      <c r="T1394">
        <v>17</v>
      </c>
      <c r="U1394">
        <v>471</v>
      </c>
    </row>
    <row r="1395" spans="1:21" x14ac:dyDescent="0.25">
      <c r="A1395">
        <v>2025</v>
      </c>
      <c r="B1395">
        <v>8</v>
      </c>
      <c r="C1395" t="s">
        <v>53</v>
      </c>
      <c r="D1395" t="s">
        <v>22</v>
      </c>
      <c r="E1395" t="s">
        <v>56</v>
      </c>
      <c r="F1395" t="s">
        <v>28</v>
      </c>
      <c r="G1395" t="s">
        <v>25</v>
      </c>
      <c r="H1395" t="s">
        <v>26</v>
      </c>
      <c r="I1395" t="s">
        <v>25</v>
      </c>
      <c r="J1395">
        <v>3373</v>
      </c>
      <c r="K1395">
        <v>0</v>
      </c>
      <c r="L1395">
        <v>375</v>
      </c>
      <c r="M1395">
        <v>375</v>
      </c>
      <c r="N1395">
        <v>425</v>
      </c>
      <c r="O1395">
        <v>255</v>
      </c>
      <c r="P1395">
        <v>219</v>
      </c>
      <c r="Q1395">
        <v>113</v>
      </c>
      <c r="R1395">
        <v>42</v>
      </c>
      <c r="S1395">
        <v>7</v>
      </c>
      <c r="T1395">
        <v>0</v>
      </c>
      <c r="U1395">
        <v>3109</v>
      </c>
    </row>
    <row r="1396" spans="1:21" x14ac:dyDescent="0.25">
      <c r="A1396">
        <v>2025</v>
      </c>
      <c r="B1396">
        <v>8</v>
      </c>
      <c r="C1396" t="s">
        <v>53</v>
      </c>
      <c r="D1396" t="s">
        <v>22</v>
      </c>
      <c r="E1396" t="s">
        <v>39</v>
      </c>
      <c r="F1396" t="s">
        <v>24</v>
      </c>
      <c r="G1396" t="s">
        <v>26</v>
      </c>
      <c r="H1396" t="s">
        <v>26</v>
      </c>
      <c r="I1396" t="s">
        <v>25</v>
      </c>
      <c r="J1396">
        <v>464</v>
      </c>
      <c r="K1396">
        <v>1</v>
      </c>
      <c r="L1396">
        <v>3</v>
      </c>
      <c r="M1396">
        <v>4</v>
      </c>
      <c r="N1396">
        <v>179</v>
      </c>
      <c r="O1396">
        <v>155</v>
      </c>
      <c r="P1396">
        <v>150</v>
      </c>
      <c r="Q1396">
        <v>114</v>
      </c>
      <c r="R1396">
        <v>88</v>
      </c>
      <c r="S1396">
        <v>28</v>
      </c>
      <c r="T1396">
        <v>10</v>
      </c>
      <c r="U1396">
        <v>462</v>
      </c>
    </row>
    <row r="1397" spans="1:21" x14ac:dyDescent="0.25">
      <c r="A1397">
        <v>2025</v>
      </c>
      <c r="B1397">
        <v>8</v>
      </c>
      <c r="C1397" t="s">
        <v>53</v>
      </c>
      <c r="D1397" t="s">
        <v>22</v>
      </c>
      <c r="E1397" t="s">
        <v>35</v>
      </c>
      <c r="F1397" t="s">
        <v>24</v>
      </c>
      <c r="G1397" t="s">
        <v>25</v>
      </c>
      <c r="H1397" t="s">
        <v>26</v>
      </c>
      <c r="I1397" t="s">
        <v>26</v>
      </c>
      <c r="J1397">
        <v>186</v>
      </c>
      <c r="K1397">
        <v>3</v>
      </c>
      <c r="L1397">
        <v>3</v>
      </c>
      <c r="M1397">
        <v>6</v>
      </c>
      <c r="N1397">
        <v>115</v>
      </c>
      <c r="O1397">
        <v>98</v>
      </c>
      <c r="P1397">
        <v>93</v>
      </c>
      <c r="Q1397">
        <v>77</v>
      </c>
      <c r="R1397">
        <v>68</v>
      </c>
      <c r="S1397">
        <v>48</v>
      </c>
      <c r="T1397">
        <v>19</v>
      </c>
      <c r="U1397">
        <v>182</v>
      </c>
    </row>
    <row r="1398" spans="1:21" x14ac:dyDescent="0.25">
      <c r="A1398">
        <v>2025</v>
      </c>
      <c r="B1398">
        <v>8</v>
      </c>
      <c r="C1398" t="s">
        <v>53</v>
      </c>
      <c r="D1398" t="s">
        <v>22</v>
      </c>
      <c r="E1398" t="s">
        <v>57</v>
      </c>
      <c r="F1398" t="s">
        <v>28</v>
      </c>
      <c r="G1398" t="s">
        <v>25</v>
      </c>
      <c r="H1398" t="s">
        <v>26</v>
      </c>
      <c r="I1398" t="s">
        <v>26</v>
      </c>
      <c r="J1398">
        <v>18</v>
      </c>
      <c r="K1398">
        <v>0</v>
      </c>
      <c r="L1398">
        <v>1</v>
      </c>
      <c r="M1398">
        <v>1</v>
      </c>
      <c r="N1398">
        <v>5</v>
      </c>
      <c r="O1398">
        <v>5</v>
      </c>
      <c r="P1398">
        <v>5</v>
      </c>
      <c r="Q1398">
        <v>3</v>
      </c>
      <c r="R1398">
        <v>2</v>
      </c>
      <c r="S1398">
        <v>0</v>
      </c>
      <c r="T1398">
        <v>0</v>
      </c>
      <c r="U1398">
        <v>17</v>
      </c>
    </row>
    <row r="1399" spans="1:21" x14ac:dyDescent="0.25">
      <c r="A1399">
        <v>2025</v>
      </c>
      <c r="B1399">
        <v>8</v>
      </c>
      <c r="C1399" t="s">
        <v>53</v>
      </c>
      <c r="D1399" t="s">
        <v>22</v>
      </c>
      <c r="E1399" t="s">
        <v>58</v>
      </c>
      <c r="F1399" t="s">
        <v>28</v>
      </c>
      <c r="G1399" t="s">
        <v>25</v>
      </c>
      <c r="H1399" t="s">
        <v>25</v>
      </c>
      <c r="I1399" t="s">
        <v>25</v>
      </c>
      <c r="J1399">
        <v>3628</v>
      </c>
      <c r="K1399">
        <v>0</v>
      </c>
      <c r="L1399">
        <v>211</v>
      </c>
      <c r="M1399">
        <v>211</v>
      </c>
      <c r="N1399">
        <v>224</v>
      </c>
      <c r="O1399">
        <v>101</v>
      </c>
      <c r="P1399">
        <v>78</v>
      </c>
      <c r="Q1399">
        <v>31</v>
      </c>
      <c r="R1399">
        <v>10</v>
      </c>
      <c r="S1399">
        <v>0</v>
      </c>
      <c r="T1399">
        <v>0</v>
      </c>
      <c r="U1399">
        <v>3475</v>
      </c>
    </row>
    <row r="1400" spans="1:21" x14ac:dyDescent="0.25">
      <c r="A1400">
        <v>2025</v>
      </c>
      <c r="B1400">
        <v>8</v>
      </c>
      <c r="C1400" t="s">
        <v>53</v>
      </c>
      <c r="D1400" t="s">
        <v>22</v>
      </c>
      <c r="E1400" t="s">
        <v>59</v>
      </c>
      <c r="F1400" t="s">
        <v>28</v>
      </c>
      <c r="G1400" t="s">
        <v>25</v>
      </c>
      <c r="H1400" t="s">
        <v>25</v>
      </c>
      <c r="I1400" t="s">
        <v>25</v>
      </c>
      <c r="J1400">
        <v>77195</v>
      </c>
      <c r="K1400">
        <v>12</v>
      </c>
      <c r="L1400">
        <v>4050</v>
      </c>
      <c r="M1400">
        <v>4062</v>
      </c>
      <c r="N1400">
        <v>4913</v>
      </c>
      <c r="O1400">
        <v>2302</v>
      </c>
      <c r="P1400">
        <v>1705</v>
      </c>
      <c r="Q1400">
        <v>672</v>
      </c>
      <c r="R1400">
        <v>242</v>
      </c>
      <c r="S1400">
        <v>24</v>
      </c>
      <c r="T1400">
        <v>2</v>
      </c>
      <c r="U1400">
        <v>74169</v>
      </c>
    </row>
    <row r="1401" spans="1:21" x14ac:dyDescent="0.25">
      <c r="A1401">
        <v>2025</v>
      </c>
      <c r="B1401">
        <v>8</v>
      </c>
      <c r="C1401" t="s">
        <v>53</v>
      </c>
      <c r="D1401" t="s">
        <v>22</v>
      </c>
      <c r="E1401" t="s">
        <v>59</v>
      </c>
      <c r="F1401" t="s">
        <v>29</v>
      </c>
      <c r="G1401" t="s">
        <v>25</v>
      </c>
      <c r="H1401" t="s">
        <v>25</v>
      </c>
      <c r="I1401" t="s">
        <v>25</v>
      </c>
      <c r="J1401">
        <v>1</v>
      </c>
      <c r="K1401">
        <v>1</v>
      </c>
      <c r="L1401">
        <v>0</v>
      </c>
      <c r="M1401">
        <v>1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</row>
    <row r="1402" spans="1:21" x14ac:dyDescent="0.25">
      <c r="A1402">
        <v>2025</v>
      </c>
      <c r="B1402">
        <v>8</v>
      </c>
      <c r="C1402" t="s">
        <v>53</v>
      </c>
      <c r="D1402" t="s">
        <v>22</v>
      </c>
      <c r="E1402" t="s">
        <v>60</v>
      </c>
      <c r="F1402" t="s">
        <v>28</v>
      </c>
      <c r="G1402" t="s">
        <v>25</v>
      </c>
      <c r="H1402" t="s">
        <v>25</v>
      </c>
      <c r="I1402" t="s">
        <v>25</v>
      </c>
      <c r="J1402">
        <v>35589</v>
      </c>
      <c r="K1402">
        <v>0</v>
      </c>
      <c r="L1402">
        <v>899</v>
      </c>
      <c r="M1402">
        <v>899</v>
      </c>
      <c r="N1402">
        <v>1374</v>
      </c>
      <c r="O1402">
        <v>550</v>
      </c>
      <c r="P1402">
        <v>375</v>
      </c>
      <c r="Q1402">
        <v>163</v>
      </c>
      <c r="R1402">
        <v>57</v>
      </c>
      <c r="S1402">
        <v>8</v>
      </c>
      <c r="T1402">
        <v>0</v>
      </c>
      <c r="U1402">
        <v>34896</v>
      </c>
    </row>
    <row r="1403" spans="1:21" x14ac:dyDescent="0.25">
      <c r="A1403">
        <v>2025</v>
      </c>
      <c r="B1403">
        <v>8</v>
      </c>
      <c r="C1403" t="s">
        <v>61</v>
      </c>
      <c r="D1403" t="s">
        <v>22</v>
      </c>
      <c r="E1403" t="s">
        <v>31</v>
      </c>
      <c r="F1403" t="s">
        <v>28</v>
      </c>
      <c r="G1403" t="s">
        <v>25</v>
      </c>
      <c r="H1403" t="s">
        <v>26</v>
      </c>
      <c r="I1403" t="s">
        <v>25</v>
      </c>
      <c r="J1403">
        <v>582</v>
      </c>
      <c r="K1403">
        <v>3</v>
      </c>
      <c r="L1403">
        <v>1</v>
      </c>
      <c r="M1403">
        <v>4</v>
      </c>
      <c r="N1403">
        <v>125</v>
      </c>
      <c r="O1403">
        <v>89</v>
      </c>
      <c r="P1403">
        <v>78</v>
      </c>
      <c r="Q1403">
        <v>45</v>
      </c>
      <c r="R1403">
        <v>28</v>
      </c>
      <c r="S1403">
        <v>13</v>
      </c>
      <c r="T1403">
        <v>4</v>
      </c>
      <c r="U1403">
        <v>578</v>
      </c>
    </row>
    <row r="1404" spans="1:21" x14ac:dyDescent="0.25">
      <c r="A1404">
        <v>2025</v>
      </c>
      <c r="B1404">
        <v>8</v>
      </c>
      <c r="C1404" t="s">
        <v>61</v>
      </c>
      <c r="D1404" t="s">
        <v>22</v>
      </c>
      <c r="E1404" t="s">
        <v>31</v>
      </c>
      <c r="F1404" t="s">
        <v>24</v>
      </c>
      <c r="G1404" t="s">
        <v>25</v>
      </c>
      <c r="H1404" t="s">
        <v>26</v>
      </c>
      <c r="I1404" t="s">
        <v>25</v>
      </c>
      <c r="J1404">
        <v>928</v>
      </c>
      <c r="K1404">
        <v>0</v>
      </c>
      <c r="L1404">
        <v>2</v>
      </c>
      <c r="M1404">
        <v>2</v>
      </c>
      <c r="N1404">
        <v>291</v>
      </c>
      <c r="O1404">
        <v>221</v>
      </c>
      <c r="P1404">
        <v>206</v>
      </c>
      <c r="Q1404">
        <v>150</v>
      </c>
      <c r="R1404">
        <v>102</v>
      </c>
      <c r="S1404">
        <v>41</v>
      </c>
      <c r="T1404">
        <v>3</v>
      </c>
      <c r="U1404">
        <v>927</v>
      </c>
    </row>
    <row r="1405" spans="1:21" x14ac:dyDescent="0.25">
      <c r="A1405">
        <v>2025</v>
      </c>
      <c r="B1405">
        <v>8</v>
      </c>
      <c r="C1405" t="s">
        <v>61</v>
      </c>
      <c r="D1405" t="s">
        <v>22</v>
      </c>
      <c r="E1405" t="s">
        <v>32</v>
      </c>
      <c r="F1405" t="s">
        <v>28</v>
      </c>
      <c r="G1405" t="s">
        <v>25</v>
      </c>
      <c r="H1405" t="s">
        <v>26</v>
      </c>
      <c r="I1405" t="s">
        <v>25</v>
      </c>
      <c r="J1405">
        <v>74</v>
      </c>
      <c r="K1405">
        <v>0</v>
      </c>
      <c r="L1405">
        <v>0</v>
      </c>
      <c r="M1405">
        <v>0</v>
      </c>
      <c r="N1405">
        <v>20</v>
      </c>
      <c r="O1405">
        <v>17</v>
      </c>
      <c r="P1405">
        <v>16</v>
      </c>
      <c r="Q1405">
        <v>10</v>
      </c>
      <c r="R1405">
        <v>8</v>
      </c>
      <c r="S1405">
        <v>2</v>
      </c>
      <c r="T1405">
        <v>0</v>
      </c>
      <c r="U1405">
        <v>74</v>
      </c>
    </row>
    <row r="1406" spans="1:21" x14ac:dyDescent="0.25">
      <c r="A1406">
        <v>2025</v>
      </c>
      <c r="B1406">
        <v>8</v>
      </c>
      <c r="C1406" t="s">
        <v>61</v>
      </c>
      <c r="D1406" t="s">
        <v>22</v>
      </c>
      <c r="E1406" t="s">
        <v>32</v>
      </c>
      <c r="F1406" t="s">
        <v>24</v>
      </c>
      <c r="G1406" t="s">
        <v>25</v>
      </c>
      <c r="H1406" t="s">
        <v>26</v>
      </c>
      <c r="I1406" t="s">
        <v>25</v>
      </c>
      <c r="J1406">
        <v>1541</v>
      </c>
      <c r="K1406">
        <v>10</v>
      </c>
      <c r="L1406">
        <v>0</v>
      </c>
      <c r="M1406">
        <v>10</v>
      </c>
      <c r="N1406">
        <v>566</v>
      </c>
      <c r="O1406">
        <v>435</v>
      </c>
      <c r="P1406">
        <v>400</v>
      </c>
      <c r="Q1406">
        <v>264</v>
      </c>
      <c r="R1406">
        <v>196</v>
      </c>
      <c r="S1406">
        <v>74</v>
      </c>
      <c r="T1406">
        <v>16</v>
      </c>
      <c r="U1406">
        <v>1531</v>
      </c>
    </row>
    <row r="1407" spans="1:21" x14ac:dyDescent="0.25">
      <c r="A1407">
        <v>2025</v>
      </c>
      <c r="B1407">
        <v>8</v>
      </c>
      <c r="C1407" t="s">
        <v>61</v>
      </c>
      <c r="D1407" t="s">
        <v>22</v>
      </c>
      <c r="E1407" t="s">
        <v>34</v>
      </c>
      <c r="F1407" t="s">
        <v>28</v>
      </c>
      <c r="G1407" t="s">
        <v>25</v>
      </c>
      <c r="H1407" t="s">
        <v>26</v>
      </c>
      <c r="I1407" t="s">
        <v>26</v>
      </c>
      <c r="J1407">
        <v>35</v>
      </c>
      <c r="K1407">
        <v>0</v>
      </c>
      <c r="L1407">
        <v>0</v>
      </c>
      <c r="M1407">
        <v>0</v>
      </c>
      <c r="N1407">
        <v>1</v>
      </c>
      <c r="O1407">
        <v>1</v>
      </c>
      <c r="P1407">
        <v>1</v>
      </c>
      <c r="Q1407">
        <v>1</v>
      </c>
      <c r="R1407">
        <v>1</v>
      </c>
      <c r="S1407">
        <v>1</v>
      </c>
      <c r="T1407">
        <v>0</v>
      </c>
      <c r="U1407">
        <v>35</v>
      </c>
    </row>
    <row r="1408" spans="1:21" x14ac:dyDescent="0.25">
      <c r="A1408">
        <v>2025</v>
      </c>
      <c r="B1408">
        <v>8</v>
      </c>
      <c r="C1408" t="s">
        <v>61</v>
      </c>
      <c r="D1408" t="s">
        <v>22</v>
      </c>
      <c r="E1408" t="s">
        <v>34</v>
      </c>
      <c r="F1408" t="s">
        <v>24</v>
      </c>
      <c r="G1408" t="s">
        <v>25</v>
      </c>
      <c r="H1408" t="s">
        <v>26</v>
      </c>
      <c r="I1408" t="s">
        <v>26</v>
      </c>
      <c r="J1408">
        <v>360</v>
      </c>
      <c r="K1408">
        <v>1</v>
      </c>
      <c r="L1408">
        <v>0</v>
      </c>
      <c r="M1408">
        <v>1</v>
      </c>
      <c r="N1408">
        <v>90</v>
      </c>
      <c r="O1408">
        <v>72</v>
      </c>
      <c r="P1408">
        <v>69</v>
      </c>
      <c r="Q1408">
        <v>55</v>
      </c>
      <c r="R1408">
        <v>46</v>
      </c>
      <c r="S1408">
        <v>23</v>
      </c>
      <c r="T1408">
        <v>7</v>
      </c>
      <c r="U1408">
        <v>359</v>
      </c>
    </row>
    <row r="1409" spans="1:21" x14ac:dyDescent="0.25">
      <c r="A1409">
        <v>2025</v>
      </c>
      <c r="B1409">
        <v>8</v>
      </c>
      <c r="C1409" t="s">
        <v>61</v>
      </c>
      <c r="D1409" t="s">
        <v>22</v>
      </c>
      <c r="E1409" t="s">
        <v>23</v>
      </c>
      <c r="F1409" t="s">
        <v>28</v>
      </c>
      <c r="G1409" t="s">
        <v>25</v>
      </c>
      <c r="H1409" t="s">
        <v>26</v>
      </c>
      <c r="I1409" t="s">
        <v>25</v>
      </c>
      <c r="J1409">
        <v>1383</v>
      </c>
      <c r="K1409">
        <v>2</v>
      </c>
      <c r="L1409">
        <v>176</v>
      </c>
      <c r="M1409">
        <v>178</v>
      </c>
      <c r="N1409">
        <v>357</v>
      </c>
      <c r="O1409">
        <v>251</v>
      </c>
      <c r="P1409">
        <v>214</v>
      </c>
      <c r="Q1409">
        <v>137</v>
      </c>
      <c r="R1409">
        <v>93</v>
      </c>
      <c r="S1409">
        <v>43</v>
      </c>
      <c r="T1409">
        <v>12</v>
      </c>
      <c r="U1409">
        <v>1292</v>
      </c>
    </row>
    <row r="1410" spans="1:21" x14ac:dyDescent="0.25">
      <c r="A1410">
        <v>2025</v>
      </c>
      <c r="B1410">
        <v>8</v>
      </c>
      <c r="C1410" t="s">
        <v>61</v>
      </c>
      <c r="D1410" t="s">
        <v>22</v>
      </c>
      <c r="E1410" t="s">
        <v>23</v>
      </c>
      <c r="F1410" t="s">
        <v>24</v>
      </c>
      <c r="G1410" t="s">
        <v>25</v>
      </c>
      <c r="H1410" t="s">
        <v>26</v>
      </c>
      <c r="I1410" t="s">
        <v>25</v>
      </c>
      <c r="J1410">
        <v>454</v>
      </c>
      <c r="K1410">
        <v>1</v>
      </c>
      <c r="L1410">
        <v>1</v>
      </c>
      <c r="M1410">
        <v>2</v>
      </c>
      <c r="N1410">
        <v>48</v>
      </c>
      <c r="O1410">
        <v>42</v>
      </c>
      <c r="P1410">
        <v>40</v>
      </c>
      <c r="Q1410">
        <v>29</v>
      </c>
      <c r="R1410">
        <v>24</v>
      </c>
      <c r="S1410">
        <v>9</v>
      </c>
      <c r="T1410">
        <v>2</v>
      </c>
      <c r="U1410">
        <v>453</v>
      </c>
    </row>
    <row r="1411" spans="1:21" x14ac:dyDescent="0.25">
      <c r="A1411">
        <v>2025</v>
      </c>
      <c r="B1411">
        <v>8</v>
      </c>
      <c r="C1411" t="s">
        <v>61</v>
      </c>
      <c r="D1411" t="s">
        <v>22</v>
      </c>
      <c r="E1411" t="s">
        <v>39</v>
      </c>
      <c r="F1411" t="s">
        <v>28</v>
      </c>
      <c r="G1411" t="s">
        <v>26</v>
      </c>
      <c r="H1411" t="s">
        <v>26</v>
      </c>
      <c r="I1411" t="s">
        <v>25</v>
      </c>
      <c r="J1411">
        <v>43</v>
      </c>
      <c r="K1411">
        <v>0</v>
      </c>
      <c r="L1411">
        <v>0</v>
      </c>
      <c r="M1411">
        <v>0</v>
      </c>
      <c r="N1411">
        <v>2</v>
      </c>
      <c r="O1411">
        <v>2</v>
      </c>
      <c r="P1411">
        <v>2</v>
      </c>
      <c r="Q1411">
        <v>1</v>
      </c>
      <c r="R1411">
        <v>1</v>
      </c>
      <c r="S1411">
        <v>1</v>
      </c>
      <c r="T1411">
        <v>1</v>
      </c>
      <c r="U1411">
        <v>43</v>
      </c>
    </row>
    <row r="1412" spans="1:21" x14ac:dyDescent="0.25">
      <c r="A1412">
        <v>2025</v>
      </c>
      <c r="B1412">
        <v>8</v>
      </c>
      <c r="C1412" t="s">
        <v>61</v>
      </c>
      <c r="D1412" t="s">
        <v>22</v>
      </c>
      <c r="E1412" t="s">
        <v>39</v>
      </c>
      <c r="F1412" t="s">
        <v>24</v>
      </c>
      <c r="G1412" t="s">
        <v>26</v>
      </c>
      <c r="H1412" t="s">
        <v>26</v>
      </c>
      <c r="I1412" t="s">
        <v>25</v>
      </c>
      <c r="J1412">
        <v>718</v>
      </c>
      <c r="K1412">
        <v>17</v>
      </c>
      <c r="L1412">
        <v>2</v>
      </c>
      <c r="M1412">
        <v>19</v>
      </c>
      <c r="N1412">
        <v>289</v>
      </c>
      <c r="O1412">
        <v>257</v>
      </c>
      <c r="P1412">
        <v>235</v>
      </c>
      <c r="Q1412">
        <v>200</v>
      </c>
      <c r="R1412">
        <v>178</v>
      </c>
      <c r="S1412">
        <v>92</v>
      </c>
      <c r="T1412">
        <v>30</v>
      </c>
      <c r="U1412">
        <v>699</v>
      </c>
    </row>
    <row r="1413" spans="1:21" x14ac:dyDescent="0.25">
      <c r="A1413">
        <v>2025</v>
      </c>
      <c r="B1413">
        <v>8</v>
      </c>
      <c r="C1413" t="s">
        <v>61</v>
      </c>
      <c r="D1413" t="s">
        <v>22</v>
      </c>
      <c r="E1413" t="s">
        <v>40</v>
      </c>
      <c r="F1413" t="s">
        <v>28</v>
      </c>
      <c r="G1413" t="s">
        <v>25</v>
      </c>
      <c r="H1413" t="s">
        <v>26</v>
      </c>
      <c r="I1413" t="s">
        <v>25</v>
      </c>
      <c r="J1413">
        <v>38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38</v>
      </c>
    </row>
    <row r="1414" spans="1:21" x14ac:dyDescent="0.25">
      <c r="A1414">
        <v>2025</v>
      </c>
      <c r="B1414">
        <v>8</v>
      </c>
      <c r="C1414" t="s">
        <v>61</v>
      </c>
      <c r="D1414" t="s">
        <v>22</v>
      </c>
      <c r="E1414" t="s">
        <v>35</v>
      </c>
      <c r="F1414" t="s">
        <v>28</v>
      </c>
      <c r="G1414" t="s">
        <v>25</v>
      </c>
      <c r="H1414" t="s">
        <v>26</v>
      </c>
      <c r="I1414" t="s">
        <v>26</v>
      </c>
      <c r="J1414">
        <v>62</v>
      </c>
      <c r="K1414">
        <v>0</v>
      </c>
      <c r="L1414">
        <v>0</v>
      </c>
      <c r="M1414">
        <v>0</v>
      </c>
      <c r="N1414">
        <v>10</v>
      </c>
      <c r="O1414">
        <v>5</v>
      </c>
      <c r="P1414">
        <v>4</v>
      </c>
      <c r="Q1414">
        <v>4</v>
      </c>
      <c r="R1414">
        <v>2</v>
      </c>
      <c r="S1414">
        <v>1</v>
      </c>
      <c r="T1414">
        <v>0</v>
      </c>
      <c r="U1414">
        <v>62</v>
      </c>
    </row>
    <row r="1415" spans="1:21" x14ac:dyDescent="0.25">
      <c r="A1415">
        <v>2025</v>
      </c>
      <c r="B1415">
        <v>8</v>
      </c>
      <c r="C1415" t="s">
        <v>61</v>
      </c>
      <c r="D1415" t="s">
        <v>22</v>
      </c>
      <c r="E1415" t="s">
        <v>35</v>
      </c>
      <c r="F1415" t="s">
        <v>24</v>
      </c>
      <c r="G1415" t="s">
        <v>25</v>
      </c>
      <c r="H1415" t="s">
        <v>26</v>
      </c>
      <c r="I1415" t="s">
        <v>26</v>
      </c>
      <c r="J1415">
        <v>864</v>
      </c>
      <c r="K1415">
        <v>2</v>
      </c>
      <c r="L1415">
        <v>0</v>
      </c>
      <c r="M1415">
        <v>2</v>
      </c>
      <c r="N1415">
        <v>349</v>
      </c>
      <c r="O1415">
        <v>272</v>
      </c>
      <c r="P1415">
        <v>249</v>
      </c>
      <c r="Q1415">
        <v>199</v>
      </c>
      <c r="R1415">
        <v>169</v>
      </c>
      <c r="S1415">
        <v>122</v>
      </c>
      <c r="T1415">
        <v>62</v>
      </c>
      <c r="U1415">
        <v>862</v>
      </c>
    </row>
    <row r="1416" spans="1:21" x14ac:dyDescent="0.25">
      <c r="A1416">
        <v>2025</v>
      </c>
      <c r="B1416">
        <v>8</v>
      </c>
      <c r="C1416" t="s">
        <v>61</v>
      </c>
      <c r="D1416" t="s">
        <v>22</v>
      </c>
      <c r="E1416" t="s">
        <v>36</v>
      </c>
      <c r="F1416" t="s">
        <v>28</v>
      </c>
      <c r="G1416" t="s">
        <v>25</v>
      </c>
      <c r="H1416" t="s">
        <v>26</v>
      </c>
      <c r="I1416" t="s">
        <v>25</v>
      </c>
      <c r="J1416">
        <v>2108</v>
      </c>
      <c r="K1416">
        <v>3</v>
      </c>
      <c r="L1416">
        <v>108</v>
      </c>
      <c r="M1416">
        <v>111</v>
      </c>
      <c r="N1416">
        <v>434</v>
      </c>
      <c r="O1416">
        <v>257</v>
      </c>
      <c r="P1416">
        <v>210</v>
      </c>
      <c r="Q1416">
        <v>116</v>
      </c>
      <c r="R1416">
        <v>78</v>
      </c>
      <c r="S1416">
        <v>27</v>
      </c>
      <c r="T1416">
        <v>10</v>
      </c>
      <c r="U1416">
        <v>2041</v>
      </c>
    </row>
    <row r="1417" spans="1:21" x14ac:dyDescent="0.25">
      <c r="A1417">
        <v>2025</v>
      </c>
      <c r="B1417">
        <v>8</v>
      </c>
      <c r="C1417" t="s">
        <v>61</v>
      </c>
      <c r="D1417" t="s">
        <v>22</v>
      </c>
      <c r="E1417" t="s">
        <v>36</v>
      </c>
      <c r="F1417" t="s">
        <v>24</v>
      </c>
      <c r="G1417" t="s">
        <v>25</v>
      </c>
      <c r="H1417" t="s">
        <v>26</v>
      </c>
      <c r="I1417" t="s">
        <v>25</v>
      </c>
      <c r="J1417">
        <v>966</v>
      </c>
      <c r="K1417">
        <v>2</v>
      </c>
      <c r="L1417">
        <v>5</v>
      </c>
      <c r="M1417">
        <v>7</v>
      </c>
      <c r="N1417">
        <v>403</v>
      </c>
      <c r="O1417">
        <v>311</v>
      </c>
      <c r="P1417">
        <v>284</v>
      </c>
      <c r="Q1417">
        <v>202</v>
      </c>
      <c r="R1417">
        <v>145</v>
      </c>
      <c r="S1417">
        <v>63</v>
      </c>
      <c r="T1417">
        <v>22</v>
      </c>
      <c r="U1417">
        <v>961</v>
      </c>
    </row>
    <row r="1418" spans="1:21" x14ac:dyDescent="0.25">
      <c r="A1418">
        <v>2025</v>
      </c>
      <c r="B1418">
        <v>8</v>
      </c>
      <c r="C1418" t="s">
        <v>61</v>
      </c>
      <c r="D1418" t="s">
        <v>22</v>
      </c>
      <c r="E1418" t="s">
        <v>41</v>
      </c>
      <c r="F1418" t="s">
        <v>28</v>
      </c>
      <c r="G1418" t="s">
        <v>26</v>
      </c>
      <c r="H1418" t="s">
        <v>26</v>
      </c>
      <c r="I1418" t="s">
        <v>25</v>
      </c>
      <c r="J1418">
        <v>919</v>
      </c>
      <c r="K1418">
        <v>2</v>
      </c>
      <c r="L1418">
        <v>16</v>
      </c>
      <c r="M1418">
        <v>18</v>
      </c>
      <c r="N1418">
        <v>332</v>
      </c>
      <c r="O1418">
        <v>278</v>
      </c>
      <c r="P1418">
        <v>255</v>
      </c>
      <c r="Q1418">
        <v>199</v>
      </c>
      <c r="R1418">
        <v>157</v>
      </c>
      <c r="S1418">
        <v>78</v>
      </c>
      <c r="T1418">
        <v>17</v>
      </c>
      <c r="U1418">
        <v>909</v>
      </c>
    </row>
    <row r="1419" spans="1:21" x14ac:dyDescent="0.25">
      <c r="A1419">
        <v>2025</v>
      </c>
      <c r="B1419">
        <v>8</v>
      </c>
      <c r="C1419" t="s">
        <v>61</v>
      </c>
      <c r="D1419" t="s">
        <v>22</v>
      </c>
      <c r="E1419" t="s">
        <v>41</v>
      </c>
      <c r="F1419" t="s">
        <v>24</v>
      </c>
      <c r="G1419" t="s">
        <v>26</v>
      </c>
      <c r="H1419" t="s">
        <v>26</v>
      </c>
      <c r="I1419" t="s">
        <v>25</v>
      </c>
      <c r="J1419">
        <v>1008</v>
      </c>
      <c r="K1419">
        <v>1</v>
      </c>
      <c r="L1419">
        <v>6</v>
      </c>
      <c r="M1419">
        <v>7</v>
      </c>
      <c r="N1419">
        <v>449</v>
      </c>
      <c r="O1419">
        <v>367</v>
      </c>
      <c r="P1419">
        <v>344</v>
      </c>
      <c r="Q1419">
        <v>271</v>
      </c>
      <c r="R1419">
        <v>212</v>
      </c>
      <c r="S1419">
        <v>120</v>
      </c>
      <c r="T1419">
        <v>26</v>
      </c>
      <c r="U1419">
        <v>1004</v>
      </c>
    </row>
    <row r="1420" spans="1:21" x14ac:dyDescent="0.25">
      <c r="A1420">
        <v>2025</v>
      </c>
      <c r="B1420">
        <v>8</v>
      </c>
      <c r="C1420" t="s">
        <v>62</v>
      </c>
      <c r="D1420" t="s">
        <v>22</v>
      </c>
      <c r="E1420" t="s">
        <v>40</v>
      </c>
      <c r="F1420" t="s">
        <v>28</v>
      </c>
      <c r="G1420" t="s">
        <v>25</v>
      </c>
      <c r="H1420" t="s">
        <v>25</v>
      </c>
      <c r="I1420" t="s">
        <v>25</v>
      </c>
      <c r="J1420">
        <v>11339</v>
      </c>
      <c r="K1420">
        <v>20</v>
      </c>
      <c r="L1420">
        <v>161</v>
      </c>
      <c r="M1420">
        <v>181</v>
      </c>
      <c r="N1420">
        <v>4</v>
      </c>
      <c r="O1420">
        <v>1</v>
      </c>
      <c r="P1420">
        <v>1</v>
      </c>
      <c r="Q1420">
        <v>1</v>
      </c>
      <c r="R1420">
        <v>0</v>
      </c>
      <c r="S1420">
        <v>0</v>
      </c>
      <c r="T1420">
        <v>0</v>
      </c>
      <c r="U1420">
        <v>11177</v>
      </c>
    </row>
    <row r="1421" spans="1:21" x14ac:dyDescent="0.25">
      <c r="A1421">
        <v>2025</v>
      </c>
      <c r="B1421">
        <v>8</v>
      </c>
      <c r="C1421" t="s">
        <v>62</v>
      </c>
      <c r="D1421" t="s">
        <v>22</v>
      </c>
      <c r="E1421" t="s">
        <v>40</v>
      </c>
      <c r="F1421" t="s">
        <v>24</v>
      </c>
      <c r="G1421" t="s">
        <v>25</v>
      </c>
      <c r="H1421" t="s">
        <v>25</v>
      </c>
      <c r="I1421" t="s">
        <v>25</v>
      </c>
      <c r="J1421">
        <v>35</v>
      </c>
      <c r="K1421">
        <v>0</v>
      </c>
      <c r="L1421">
        <v>1</v>
      </c>
      <c r="M1421">
        <v>1</v>
      </c>
      <c r="N1421">
        <v>2</v>
      </c>
      <c r="O1421">
        <v>1</v>
      </c>
      <c r="P1421">
        <v>1</v>
      </c>
      <c r="Q1421">
        <v>0</v>
      </c>
      <c r="R1421">
        <v>0</v>
      </c>
      <c r="S1421">
        <v>0</v>
      </c>
      <c r="T1421">
        <v>0</v>
      </c>
      <c r="U1421">
        <v>35</v>
      </c>
    </row>
    <row r="1422" spans="1:21" x14ac:dyDescent="0.25">
      <c r="A1422">
        <v>2025</v>
      </c>
      <c r="B1422">
        <v>8</v>
      </c>
      <c r="C1422" t="s">
        <v>63</v>
      </c>
      <c r="D1422" t="s">
        <v>45</v>
      </c>
      <c r="E1422" t="s">
        <v>64</v>
      </c>
      <c r="F1422" t="s">
        <v>24</v>
      </c>
      <c r="G1422" t="s">
        <v>25</v>
      </c>
      <c r="H1422" t="s">
        <v>25</v>
      </c>
      <c r="I1422" t="s">
        <v>25</v>
      </c>
      <c r="J1422">
        <v>138</v>
      </c>
      <c r="K1422">
        <v>0</v>
      </c>
      <c r="L1422">
        <v>0</v>
      </c>
      <c r="M1422">
        <v>0</v>
      </c>
      <c r="N1422">
        <v>11</v>
      </c>
      <c r="O1422">
        <v>8</v>
      </c>
      <c r="P1422">
        <v>7</v>
      </c>
      <c r="Q1422">
        <v>6</v>
      </c>
      <c r="R1422">
        <v>5</v>
      </c>
      <c r="S1422">
        <v>1</v>
      </c>
      <c r="T1422">
        <v>0</v>
      </c>
      <c r="U1422">
        <v>138</v>
      </c>
    </row>
    <row r="1423" spans="1:21" x14ac:dyDescent="0.25">
      <c r="A1423">
        <v>2025</v>
      </c>
      <c r="B1423">
        <v>8</v>
      </c>
      <c r="C1423" t="s">
        <v>63</v>
      </c>
      <c r="D1423" t="s">
        <v>45</v>
      </c>
      <c r="E1423" t="s">
        <v>65</v>
      </c>
      <c r="F1423" t="s">
        <v>28</v>
      </c>
      <c r="G1423" t="s">
        <v>26</v>
      </c>
      <c r="H1423" t="s">
        <v>26</v>
      </c>
      <c r="I1423" t="s">
        <v>25</v>
      </c>
      <c r="J1423">
        <v>1855</v>
      </c>
      <c r="K1423">
        <v>16</v>
      </c>
      <c r="L1423">
        <v>15</v>
      </c>
      <c r="M1423">
        <v>31</v>
      </c>
      <c r="N1423">
        <v>415</v>
      </c>
      <c r="O1423">
        <v>382</v>
      </c>
      <c r="P1423">
        <v>382</v>
      </c>
      <c r="Q1423">
        <v>295</v>
      </c>
      <c r="R1423">
        <v>240</v>
      </c>
      <c r="S1423">
        <v>146</v>
      </c>
      <c r="T1423">
        <v>70</v>
      </c>
      <c r="U1423">
        <v>1836</v>
      </c>
    </row>
    <row r="1424" spans="1:21" x14ac:dyDescent="0.25">
      <c r="A1424">
        <v>2025</v>
      </c>
      <c r="B1424">
        <v>8</v>
      </c>
      <c r="C1424" t="s">
        <v>63</v>
      </c>
      <c r="D1424" t="s">
        <v>45</v>
      </c>
      <c r="E1424" t="s">
        <v>65</v>
      </c>
      <c r="F1424" t="s">
        <v>29</v>
      </c>
      <c r="G1424" t="s">
        <v>26</v>
      </c>
      <c r="H1424" t="s">
        <v>26</v>
      </c>
      <c r="I1424" t="s">
        <v>25</v>
      </c>
      <c r="J1424">
        <v>53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</row>
    <row r="1425" spans="1:21" x14ac:dyDescent="0.25">
      <c r="A1425">
        <v>2025</v>
      </c>
      <c r="B1425">
        <v>8</v>
      </c>
      <c r="C1425" t="s">
        <v>66</v>
      </c>
      <c r="D1425" t="s">
        <v>22</v>
      </c>
      <c r="E1425" t="s">
        <v>32</v>
      </c>
      <c r="F1425" t="s">
        <v>24</v>
      </c>
      <c r="G1425" t="s">
        <v>25</v>
      </c>
      <c r="H1425" t="s">
        <v>25</v>
      </c>
      <c r="I1425" t="s">
        <v>25</v>
      </c>
      <c r="J1425">
        <v>910</v>
      </c>
      <c r="K1425">
        <v>0</v>
      </c>
      <c r="L1425">
        <v>0</v>
      </c>
      <c r="M1425">
        <v>0</v>
      </c>
      <c r="N1425">
        <v>352</v>
      </c>
      <c r="O1425">
        <v>281</v>
      </c>
      <c r="P1425">
        <v>250</v>
      </c>
      <c r="Q1425">
        <v>187</v>
      </c>
      <c r="R1425">
        <v>149</v>
      </c>
      <c r="S1425">
        <v>63</v>
      </c>
      <c r="T1425">
        <v>27</v>
      </c>
      <c r="U1425">
        <v>910</v>
      </c>
    </row>
    <row r="1426" spans="1:21" x14ac:dyDescent="0.25">
      <c r="A1426">
        <v>2025</v>
      </c>
      <c r="B1426">
        <v>8</v>
      </c>
      <c r="C1426" t="s">
        <v>66</v>
      </c>
      <c r="D1426" t="s">
        <v>22</v>
      </c>
      <c r="E1426" t="s">
        <v>34</v>
      </c>
      <c r="F1426" t="s">
        <v>24</v>
      </c>
      <c r="G1426" t="s">
        <v>25</v>
      </c>
      <c r="H1426" t="s">
        <v>26</v>
      </c>
      <c r="I1426" t="s">
        <v>26</v>
      </c>
      <c r="J1426">
        <v>89</v>
      </c>
      <c r="K1426">
        <v>0</v>
      </c>
      <c r="L1426">
        <v>0</v>
      </c>
      <c r="M1426">
        <v>0</v>
      </c>
      <c r="N1426">
        <v>12</v>
      </c>
      <c r="O1426">
        <v>11</v>
      </c>
      <c r="P1426">
        <v>10</v>
      </c>
      <c r="Q1426">
        <v>8</v>
      </c>
      <c r="R1426">
        <v>8</v>
      </c>
      <c r="S1426">
        <v>5</v>
      </c>
      <c r="T1426">
        <v>1</v>
      </c>
      <c r="U1426">
        <v>89</v>
      </c>
    </row>
    <row r="1427" spans="1:21" x14ac:dyDescent="0.25">
      <c r="A1427">
        <v>2025</v>
      </c>
      <c r="B1427">
        <v>8</v>
      </c>
      <c r="C1427" t="s">
        <v>66</v>
      </c>
      <c r="D1427" t="s">
        <v>22</v>
      </c>
      <c r="E1427" t="s">
        <v>23</v>
      </c>
      <c r="F1427" t="s">
        <v>24</v>
      </c>
      <c r="G1427" t="s">
        <v>25</v>
      </c>
      <c r="H1427" t="s">
        <v>26</v>
      </c>
      <c r="I1427" t="s">
        <v>25</v>
      </c>
      <c r="J1427">
        <v>62</v>
      </c>
      <c r="K1427">
        <v>0</v>
      </c>
      <c r="L1427">
        <v>0</v>
      </c>
      <c r="M1427">
        <v>0</v>
      </c>
      <c r="N1427">
        <v>10</v>
      </c>
      <c r="O1427">
        <v>9</v>
      </c>
      <c r="P1427">
        <v>8</v>
      </c>
      <c r="Q1427">
        <v>6</v>
      </c>
      <c r="R1427">
        <v>6</v>
      </c>
      <c r="S1427">
        <v>3</v>
      </c>
      <c r="T1427">
        <v>0</v>
      </c>
      <c r="U1427">
        <v>62</v>
      </c>
    </row>
    <row r="1428" spans="1:21" x14ac:dyDescent="0.25">
      <c r="A1428">
        <v>2025</v>
      </c>
      <c r="B1428">
        <v>8</v>
      </c>
      <c r="C1428" t="s">
        <v>67</v>
      </c>
      <c r="D1428" t="s">
        <v>22</v>
      </c>
      <c r="E1428" t="s">
        <v>68</v>
      </c>
      <c r="F1428" t="s">
        <v>28</v>
      </c>
      <c r="G1428" t="s">
        <v>25</v>
      </c>
      <c r="H1428" t="s">
        <v>25</v>
      </c>
      <c r="I1428" t="s">
        <v>25</v>
      </c>
      <c r="J1428">
        <v>1608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1608</v>
      </c>
    </row>
    <row r="1429" spans="1:21" x14ac:dyDescent="0.25">
      <c r="A1429">
        <v>2025</v>
      </c>
      <c r="B1429">
        <v>8</v>
      </c>
      <c r="C1429" t="s">
        <v>67</v>
      </c>
      <c r="D1429" t="s">
        <v>22</v>
      </c>
      <c r="E1429" t="s">
        <v>68</v>
      </c>
      <c r="F1429" t="s">
        <v>24</v>
      </c>
      <c r="G1429" t="s">
        <v>25</v>
      </c>
      <c r="H1429" t="s">
        <v>25</v>
      </c>
      <c r="I1429" t="s">
        <v>25</v>
      </c>
      <c r="J1429">
        <v>186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186</v>
      </c>
    </row>
    <row r="1430" spans="1:21" x14ac:dyDescent="0.25">
      <c r="A1430">
        <v>2025</v>
      </c>
      <c r="B1430">
        <v>8</v>
      </c>
      <c r="C1430" t="s">
        <v>69</v>
      </c>
      <c r="D1430" t="s">
        <v>22</v>
      </c>
      <c r="E1430" t="s">
        <v>32</v>
      </c>
      <c r="F1430" t="s">
        <v>28</v>
      </c>
      <c r="G1430" t="s">
        <v>25</v>
      </c>
      <c r="H1430" t="s">
        <v>26</v>
      </c>
      <c r="I1430" t="s">
        <v>25</v>
      </c>
      <c r="J1430">
        <v>109</v>
      </c>
      <c r="K1430">
        <v>0</v>
      </c>
      <c r="L1430">
        <v>1</v>
      </c>
      <c r="M1430">
        <v>1</v>
      </c>
      <c r="N1430">
        <v>2</v>
      </c>
      <c r="O1430">
        <v>1</v>
      </c>
      <c r="P1430">
        <v>1</v>
      </c>
      <c r="Q1430">
        <v>0</v>
      </c>
      <c r="R1430">
        <v>0</v>
      </c>
      <c r="S1430">
        <v>0</v>
      </c>
      <c r="T1430">
        <v>0</v>
      </c>
      <c r="U1430">
        <v>108</v>
      </c>
    </row>
    <row r="1431" spans="1:21" x14ac:dyDescent="0.25">
      <c r="A1431">
        <v>2025</v>
      </c>
      <c r="B1431">
        <v>8</v>
      </c>
      <c r="C1431" t="s">
        <v>69</v>
      </c>
      <c r="D1431" t="s">
        <v>22</v>
      </c>
      <c r="E1431" t="s">
        <v>32</v>
      </c>
      <c r="F1431" t="s">
        <v>24</v>
      </c>
      <c r="G1431" t="s">
        <v>25</v>
      </c>
      <c r="H1431" t="s">
        <v>26</v>
      </c>
      <c r="I1431" t="s">
        <v>25</v>
      </c>
      <c r="J1431">
        <v>1848</v>
      </c>
      <c r="K1431">
        <v>20</v>
      </c>
      <c r="L1431">
        <v>37</v>
      </c>
      <c r="M1431">
        <v>57</v>
      </c>
      <c r="N1431">
        <v>351</v>
      </c>
      <c r="O1431">
        <v>274</v>
      </c>
      <c r="P1431">
        <v>250</v>
      </c>
      <c r="Q1431">
        <v>199</v>
      </c>
      <c r="R1431">
        <v>150</v>
      </c>
      <c r="S1431">
        <v>97</v>
      </c>
      <c r="T1431">
        <v>21</v>
      </c>
      <c r="U1431">
        <v>1808</v>
      </c>
    </row>
    <row r="1432" spans="1:21" x14ac:dyDescent="0.25">
      <c r="A1432">
        <v>2025</v>
      </c>
      <c r="B1432">
        <v>8</v>
      </c>
      <c r="C1432" t="s">
        <v>69</v>
      </c>
      <c r="D1432" t="s">
        <v>22</v>
      </c>
      <c r="E1432" t="s">
        <v>38</v>
      </c>
      <c r="F1432" t="s">
        <v>24</v>
      </c>
      <c r="G1432" t="s">
        <v>25</v>
      </c>
      <c r="H1432" t="s">
        <v>25</v>
      </c>
      <c r="I1432" t="s">
        <v>25</v>
      </c>
      <c r="J1432">
        <v>276</v>
      </c>
      <c r="K1432">
        <v>2</v>
      </c>
      <c r="L1432">
        <v>0</v>
      </c>
      <c r="M1432">
        <v>2</v>
      </c>
      <c r="N1432">
        <v>145</v>
      </c>
      <c r="O1432">
        <v>102</v>
      </c>
      <c r="P1432">
        <v>91</v>
      </c>
      <c r="Q1432">
        <v>44</v>
      </c>
      <c r="R1432">
        <v>18</v>
      </c>
      <c r="S1432">
        <v>9</v>
      </c>
      <c r="T1432">
        <v>4</v>
      </c>
      <c r="U1432">
        <v>274</v>
      </c>
    </row>
    <row r="1433" spans="1:21" x14ac:dyDescent="0.25">
      <c r="A1433">
        <v>2025</v>
      </c>
      <c r="B1433">
        <v>8</v>
      </c>
      <c r="C1433" t="s">
        <v>69</v>
      </c>
      <c r="D1433" t="s">
        <v>22</v>
      </c>
      <c r="E1433" t="s">
        <v>34</v>
      </c>
      <c r="F1433" t="s">
        <v>24</v>
      </c>
      <c r="G1433" t="s">
        <v>25</v>
      </c>
      <c r="H1433" t="s">
        <v>26</v>
      </c>
      <c r="I1433" t="s">
        <v>26</v>
      </c>
      <c r="J1433">
        <v>181</v>
      </c>
      <c r="K1433">
        <v>1</v>
      </c>
      <c r="L1433">
        <v>0</v>
      </c>
      <c r="M1433">
        <v>1</v>
      </c>
      <c r="N1433">
        <v>26</v>
      </c>
      <c r="O1433">
        <v>20</v>
      </c>
      <c r="P1433">
        <v>17</v>
      </c>
      <c r="Q1433">
        <v>12</v>
      </c>
      <c r="R1433">
        <v>9</v>
      </c>
      <c r="S1433">
        <v>7</v>
      </c>
      <c r="T1433">
        <v>4</v>
      </c>
      <c r="U1433">
        <v>180</v>
      </c>
    </row>
    <row r="1434" spans="1:21" x14ac:dyDescent="0.25">
      <c r="A1434">
        <v>2025</v>
      </c>
      <c r="B1434">
        <v>8</v>
      </c>
      <c r="C1434" t="s">
        <v>69</v>
      </c>
      <c r="D1434" t="s">
        <v>22</v>
      </c>
      <c r="E1434" t="s">
        <v>23</v>
      </c>
      <c r="F1434" t="s">
        <v>28</v>
      </c>
      <c r="G1434" t="s">
        <v>25</v>
      </c>
      <c r="H1434" t="s">
        <v>26</v>
      </c>
      <c r="I1434" t="s">
        <v>25</v>
      </c>
      <c r="J1434">
        <v>11772</v>
      </c>
      <c r="K1434">
        <v>26</v>
      </c>
      <c r="L1434">
        <v>204</v>
      </c>
      <c r="M1434">
        <v>230</v>
      </c>
      <c r="N1434">
        <v>17</v>
      </c>
      <c r="O1434">
        <v>13</v>
      </c>
      <c r="P1434">
        <v>12</v>
      </c>
      <c r="Q1434">
        <v>6</v>
      </c>
      <c r="R1434">
        <v>3</v>
      </c>
      <c r="S1434">
        <v>2</v>
      </c>
      <c r="T1434">
        <v>1</v>
      </c>
      <c r="U1434">
        <v>11581</v>
      </c>
    </row>
    <row r="1435" spans="1:21" x14ac:dyDescent="0.25">
      <c r="A1435">
        <v>2025</v>
      </c>
      <c r="B1435">
        <v>8</v>
      </c>
      <c r="C1435" t="s">
        <v>69</v>
      </c>
      <c r="D1435" t="s">
        <v>22</v>
      </c>
      <c r="E1435" t="s">
        <v>23</v>
      </c>
      <c r="F1435" t="s">
        <v>24</v>
      </c>
      <c r="G1435" t="s">
        <v>25</v>
      </c>
      <c r="H1435" t="s">
        <v>26</v>
      </c>
      <c r="I1435" t="s">
        <v>25</v>
      </c>
      <c r="J1435">
        <v>1200</v>
      </c>
      <c r="K1435">
        <v>60</v>
      </c>
      <c r="L1435">
        <v>22</v>
      </c>
      <c r="M1435">
        <v>82</v>
      </c>
      <c r="N1435">
        <v>338</v>
      </c>
      <c r="O1435">
        <v>269</v>
      </c>
      <c r="P1435">
        <v>253</v>
      </c>
      <c r="Q1435">
        <v>194</v>
      </c>
      <c r="R1435">
        <v>136</v>
      </c>
      <c r="S1435">
        <v>21</v>
      </c>
      <c r="T1435">
        <v>7</v>
      </c>
      <c r="U1435">
        <v>1128</v>
      </c>
    </row>
    <row r="1436" spans="1:21" x14ac:dyDescent="0.25">
      <c r="A1436">
        <v>2025</v>
      </c>
      <c r="B1436">
        <v>8</v>
      </c>
      <c r="C1436" t="s">
        <v>69</v>
      </c>
      <c r="D1436" t="s">
        <v>22</v>
      </c>
      <c r="E1436" t="s">
        <v>39</v>
      </c>
      <c r="F1436" t="s">
        <v>28</v>
      </c>
      <c r="G1436" t="s">
        <v>26</v>
      </c>
      <c r="H1436" t="s">
        <v>26</v>
      </c>
      <c r="I1436" t="s">
        <v>25</v>
      </c>
      <c r="J1436">
        <v>44</v>
      </c>
      <c r="K1436">
        <v>1</v>
      </c>
      <c r="L1436">
        <v>0</v>
      </c>
      <c r="M1436">
        <v>1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43</v>
      </c>
    </row>
    <row r="1437" spans="1:21" x14ac:dyDescent="0.25">
      <c r="A1437">
        <v>2025</v>
      </c>
      <c r="B1437">
        <v>8</v>
      </c>
      <c r="C1437" t="s">
        <v>69</v>
      </c>
      <c r="D1437" t="s">
        <v>22</v>
      </c>
      <c r="E1437" t="s">
        <v>39</v>
      </c>
      <c r="F1437" t="s">
        <v>24</v>
      </c>
      <c r="G1437" t="s">
        <v>26</v>
      </c>
      <c r="H1437" t="s">
        <v>26</v>
      </c>
      <c r="I1437" t="s">
        <v>25</v>
      </c>
      <c r="J1437">
        <v>1468</v>
      </c>
      <c r="K1437">
        <v>99</v>
      </c>
      <c r="L1437">
        <v>193</v>
      </c>
      <c r="M1437">
        <v>292</v>
      </c>
      <c r="N1437">
        <v>331</v>
      </c>
      <c r="O1437">
        <v>263</v>
      </c>
      <c r="P1437">
        <v>235</v>
      </c>
      <c r="Q1437">
        <v>159</v>
      </c>
      <c r="R1437">
        <v>115</v>
      </c>
      <c r="S1437">
        <v>52</v>
      </c>
      <c r="T1437">
        <v>10</v>
      </c>
      <c r="U1437">
        <v>1262</v>
      </c>
    </row>
    <row r="1438" spans="1:21" x14ac:dyDescent="0.25">
      <c r="A1438">
        <v>2025</v>
      </c>
      <c r="B1438">
        <v>8</v>
      </c>
      <c r="C1438" t="s">
        <v>69</v>
      </c>
      <c r="D1438" t="s">
        <v>22</v>
      </c>
      <c r="E1438" t="s">
        <v>39</v>
      </c>
      <c r="F1438" t="s">
        <v>29</v>
      </c>
      <c r="G1438" t="s">
        <v>26</v>
      </c>
      <c r="H1438" t="s">
        <v>26</v>
      </c>
      <c r="I1438" t="s">
        <v>25</v>
      </c>
      <c r="J1438">
        <v>2</v>
      </c>
      <c r="K1438">
        <v>2</v>
      </c>
      <c r="L1438">
        <v>0</v>
      </c>
      <c r="M1438">
        <v>2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</row>
    <row r="1439" spans="1:21" x14ac:dyDescent="0.25">
      <c r="A1439">
        <v>2025</v>
      </c>
      <c r="B1439">
        <v>8</v>
      </c>
      <c r="C1439" t="s">
        <v>69</v>
      </c>
      <c r="D1439" t="s">
        <v>22</v>
      </c>
      <c r="E1439" t="s">
        <v>40</v>
      </c>
      <c r="F1439" t="s">
        <v>28</v>
      </c>
      <c r="G1439" t="s">
        <v>25</v>
      </c>
      <c r="H1439" t="s">
        <v>26</v>
      </c>
      <c r="I1439" t="s">
        <v>25</v>
      </c>
      <c r="J1439">
        <v>13118</v>
      </c>
      <c r="K1439">
        <v>47</v>
      </c>
      <c r="L1439">
        <v>186</v>
      </c>
      <c r="M1439">
        <v>233</v>
      </c>
      <c r="N1439">
        <v>21</v>
      </c>
      <c r="O1439">
        <v>10</v>
      </c>
      <c r="P1439">
        <v>8</v>
      </c>
      <c r="Q1439">
        <v>4</v>
      </c>
      <c r="R1439">
        <v>2</v>
      </c>
      <c r="S1439">
        <v>0</v>
      </c>
      <c r="T1439">
        <v>0</v>
      </c>
      <c r="U1439">
        <v>12955</v>
      </c>
    </row>
    <row r="1440" spans="1:21" x14ac:dyDescent="0.25">
      <c r="A1440">
        <v>2025</v>
      </c>
      <c r="B1440">
        <v>8</v>
      </c>
      <c r="C1440" t="s">
        <v>69</v>
      </c>
      <c r="D1440" t="s">
        <v>22</v>
      </c>
      <c r="E1440" t="s">
        <v>40</v>
      </c>
      <c r="F1440" t="s">
        <v>24</v>
      </c>
      <c r="G1440" t="s">
        <v>25</v>
      </c>
      <c r="H1440" t="s">
        <v>26</v>
      </c>
      <c r="I1440" t="s">
        <v>25</v>
      </c>
      <c r="J1440">
        <v>1082</v>
      </c>
      <c r="K1440">
        <v>1</v>
      </c>
      <c r="L1440">
        <v>16</v>
      </c>
      <c r="M1440">
        <v>17</v>
      </c>
      <c r="N1440">
        <v>50</v>
      </c>
      <c r="O1440">
        <v>22</v>
      </c>
      <c r="P1440">
        <v>18</v>
      </c>
      <c r="Q1440">
        <v>11</v>
      </c>
      <c r="R1440">
        <v>2</v>
      </c>
      <c r="S1440">
        <v>0</v>
      </c>
      <c r="T1440">
        <v>0</v>
      </c>
      <c r="U1440">
        <v>1067</v>
      </c>
    </row>
    <row r="1441" spans="1:21" x14ac:dyDescent="0.25">
      <c r="A1441">
        <v>2025</v>
      </c>
      <c r="B1441">
        <v>8</v>
      </c>
      <c r="C1441" t="s">
        <v>69</v>
      </c>
      <c r="D1441" t="s">
        <v>22</v>
      </c>
      <c r="E1441" t="s">
        <v>70</v>
      </c>
      <c r="F1441" t="s">
        <v>28</v>
      </c>
      <c r="G1441" t="s">
        <v>26</v>
      </c>
      <c r="H1441" t="s">
        <v>26</v>
      </c>
      <c r="I1441" t="s">
        <v>25</v>
      </c>
      <c r="J1441">
        <v>10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10</v>
      </c>
    </row>
    <row r="1442" spans="1:21" x14ac:dyDescent="0.25">
      <c r="A1442">
        <v>2025</v>
      </c>
      <c r="B1442">
        <v>8</v>
      </c>
      <c r="C1442" t="s">
        <v>69</v>
      </c>
      <c r="D1442" t="s">
        <v>22</v>
      </c>
      <c r="E1442" t="s">
        <v>70</v>
      </c>
      <c r="F1442" t="s">
        <v>24</v>
      </c>
      <c r="G1442" t="s">
        <v>26</v>
      </c>
      <c r="H1442" t="s">
        <v>26</v>
      </c>
      <c r="I1442" t="s">
        <v>25</v>
      </c>
      <c r="J1442">
        <v>806</v>
      </c>
      <c r="K1442">
        <v>1</v>
      </c>
      <c r="L1442">
        <v>12</v>
      </c>
      <c r="M1442">
        <v>13</v>
      </c>
      <c r="N1442">
        <v>114</v>
      </c>
      <c r="O1442">
        <v>85</v>
      </c>
      <c r="P1442">
        <v>78</v>
      </c>
      <c r="Q1442">
        <v>64</v>
      </c>
      <c r="R1442">
        <v>52</v>
      </c>
      <c r="S1442">
        <v>20</v>
      </c>
      <c r="T1442">
        <v>11</v>
      </c>
      <c r="U1442">
        <v>799</v>
      </c>
    </row>
    <row r="1443" spans="1:21" x14ac:dyDescent="0.25">
      <c r="A1443">
        <v>2025</v>
      </c>
      <c r="B1443">
        <v>8</v>
      </c>
      <c r="C1443" t="s">
        <v>69</v>
      </c>
      <c r="D1443" t="s">
        <v>22</v>
      </c>
      <c r="E1443" t="s">
        <v>70</v>
      </c>
      <c r="F1443" t="s">
        <v>29</v>
      </c>
      <c r="G1443" t="s">
        <v>26</v>
      </c>
      <c r="H1443" t="s">
        <v>26</v>
      </c>
      <c r="I1443" t="s">
        <v>25</v>
      </c>
      <c r="J1443">
        <v>5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</row>
    <row r="1444" spans="1:21" x14ac:dyDescent="0.25">
      <c r="A1444">
        <v>2025</v>
      </c>
      <c r="B1444">
        <v>8</v>
      </c>
      <c r="C1444" t="s">
        <v>69</v>
      </c>
      <c r="D1444" t="s">
        <v>22</v>
      </c>
      <c r="E1444" t="s">
        <v>35</v>
      </c>
      <c r="F1444" t="s">
        <v>28</v>
      </c>
      <c r="G1444" t="s">
        <v>25</v>
      </c>
      <c r="H1444" t="s">
        <v>26</v>
      </c>
      <c r="I1444" t="s">
        <v>26</v>
      </c>
      <c r="J1444">
        <v>1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1</v>
      </c>
    </row>
    <row r="1445" spans="1:21" x14ac:dyDescent="0.25">
      <c r="A1445">
        <v>2025</v>
      </c>
      <c r="B1445">
        <v>8</v>
      </c>
      <c r="C1445" t="s">
        <v>69</v>
      </c>
      <c r="D1445" t="s">
        <v>22</v>
      </c>
      <c r="E1445" t="s">
        <v>35</v>
      </c>
      <c r="F1445" t="s">
        <v>24</v>
      </c>
      <c r="G1445" t="s">
        <v>25</v>
      </c>
      <c r="H1445" t="s">
        <v>26</v>
      </c>
      <c r="I1445" t="s">
        <v>26</v>
      </c>
      <c r="J1445">
        <v>303</v>
      </c>
      <c r="K1445">
        <v>7</v>
      </c>
      <c r="L1445">
        <v>0</v>
      </c>
      <c r="M1445">
        <v>7</v>
      </c>
      <c r="N1445">
        <v>90</v>
      </c>
      <c r="O1445">
        <v>67</v>
      </c>
      <c r="P1445">
        <v>60</v>
      </c>
      <c r="Q1445">
        <v>44</v>
      </c>
      <c r="R1445">
        <v>35</v>
      </c>
      <c r="S1445">
        <v>19</v>
      </c>
      <c r="T1445">
        <v>9</v>
      </c>
      <c r="U1445">
        <v>296</v>
      </c>
    </row>
    <row r="1446" spans="1:21" x14ac:dyDescent="0.25">
      <c r="A1446">
        <v>2025</v>
      </c>
      <c r="B1446">
        <v>8</v>
      </c>
      <c r="C1446" t="s">
        <v>69</v>
      </c>
      <c r="D1446" t="s">
        <v>22</v>
      </c>
      <c r="E1446" t="s">
        <v>41</v>
      </c>
      <c r="F1446" t="s">
        <v>28</v>
      </c>
      <c r="G1446" t="s">
        <v>26</v>
      </c>
      <c r="H1446" t="s">
        <v>26</v>
      </c>
      <c r="I1446" t="s">
        <v>25</v>
      </c>
      <c r="J1446">
        <v>16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16</v>
      </c>
    </row>
    <row r="1447" spans="1:21" x14ac:dyDescent="0.25">
      <c r="A1447">
        <v>2025</v>
      </c>
      <c r="B1447">
        <v>8</v>
      </c>
      <c r="C1447" t="s">
        <v>69</v>
      </c>
      <c r="D1447" t="s">
        <v>22</v>
      </c>
      <c r="E1447" t="s">
        <v>41</v>
      </c>
      <c r="F1447" t="s">
        <v>24</v>
      </c>
      <c r="G1447" t="s">
        <v>26</v>
      </c>
      <c r="H1447" t="s">
        <v>26</v>
      </c>
      <c r="I1447" t="s">
        <v>25</v>
      </c>
      <c r="J1447">
        <v>324</v>
      </c>
      <c r="K1447">
        <v>0</v>
      </c>
      <c r="L1447">
        <v>7</v>
      </c>
      <c r="M1447">
        <v>7</v>
      </c>
      <c r="N1447">
        <v>63</v>
      </c>
      <c r="O1447">
        <v>51</v>
      </c>
      <c r="P1447">
        <v>49</v>
      </c>
      <c r="Q1447">
        <v>39</v>
      </c>
      <c r="R1447">
        <v>34</v>
      </c>
      <c r="S1447">
        <v>22</v>
      </c>
      <c r="T1447">
        <v>3</v>
      </c>
      <c r="U1447">
        <v>320</v>
      </c>
    </row>
    <row r="1448" spans="1:21" x14ac:dyDescent="0.25">
      <c r="A1448">
        <v>2025</v>
      </c>
      <c r="B1448">
        <v>8</v>
      </c>
      <c r="C1448" t="s">
        <v>71</v>
      </c>
      <c r="D1448" t="s">
        <v>22</v>
      </c>
      <c r="E1448" t="s">
        <v>34</v>
      </c>
      <c r="F1448" t="s">
        <v>24</v>
      </c>
      <c r="G1448" t="s">
        <v>25</v>
      </c>
      <c r="H1448" t="s">
        <v>26</v>
      </c>
      <c r="I1448" t="s">
        <v>26</v>
      </c>
      <c r="J1448">
        <v>54</v>
      </c>
      <c r="K1448">
        <v>1</v>
      </c>
      <c r="L1448">
        <v>1</v>
      </c>
      <c r="M1448">
        <v>2</v>
      </c>
      <c r="N1448">
        <v>30</v>
      </c>
      <c r="O1448">
        <v>30</v>
      </c>
      <c r="P1448">
        <v>30</v>
      </c>
      <c r="Q1448">
        <v>29</v>
      </c>
      <c r="R1448">
        <v>28</v>
      </c>
      <c r="S1448">
        <v>25</v>
      </c>
      <c r="T1448">
        <v>18</v>
      </c>
      <c r="U1448">
        <v>53</v>
      </c>
    </row>
    <row r="1449" spans="1:21" x14ac:dyDescent="0.25">
      <c r="A1449">
        <v>2025</v>
      </c>
      <c r="B1449">
        <v>8</v>
      </c>
      <c r="C1449" t="s">
        <v>71</v>
      </c>
      <c r="D1449" t="s">
        <v>22</v>
      </c>
      <c r="E1449" t="s">
        <v>35</v>
      </c>
      <c r="F1449" t="s">
        <v>24</v>
      </c>
      <c r="G1449" t="s">
        <v>25</v>
      </c>
      <c r="H1449" t="s">
        <v>26</v>
      </c>
      <c r="I1449" t="s">
        <v>26</v>
      </c>
      <c r="J1449">
        <v>8</v>
      </c>
      <c r="K1449">
        <v>0</v>
      </c>
      <c r="L1449">
        <v>0</v>
      </c>
      <c r="M1449">
        <v>0</v>
      </c>
      <c r="N1449">
        <v>7</v>
      </c>
      <c r="O1449">
        <v>7</v>
      </c>
      <c r="P1449">
        <v>7</v>
      </c>
      <c r="Q1449">
        <v>7</v>
      </c>
      <c r="R1449">
        <v>7</v>
      </c>
      <c r="S1449">
        <v>7</v>
      </c>
      <c r="T1449">
        <v>5</v>
      </c>
      <c r="U1449">
        <v>8</v>
      </c>
    </row>
    <row r="1450" spans="1:21" x14ac:dyDescent="0.25">
      <c r="A1450">
        <v>2025</v>
      </c>
      <c r="B1450">
        <v>8</v>
      </c>
      <c r="C1450" t="s">
        <v>72</v>
      </c>
      <c r="D1450" t="s">
        <v>22</v>
      </c>
      <c r="E1450" t="s">
        <v>54</v>
      </c>
      <c r="F1450" t="s">
        <v>24</v>
      </c>
      <c r="G1450" t="s">
        <v>25</v>
      </c>
      <c r="H1450" t="s">
        <v>25</v>
      </c>
      <c r="I1450" t="s">
        <v>25</v>
      </c>
      <c r="J1450">
        <v>852</v>
      </c>
      <c r="K1450">
        <v>7</v>
      </c>
      <c r="L1450">
        <v>16</v>
      </c>
      <c r="M1450">
        <v>23</v>
      </c>
      <c r="N1450">
        <v>184</v>
      </c>
      <c r="O1450">
        <v>110</v>
      </c>
      <c r="P1450">
        <v>93</v>
      </c>
      <c r="Q1450">
        <v>54</v>
      </c>
      <c r="R1450">
        <v>40</v>
      </c>
      <c r="S1450">
        <v>13</v>
      </c>
      <c r="T1450">
        <v>0</v>
      </c>
      <c r="U1450">
        <v>839</v>
      </c>
    </row>
    <row r="1451" spans="1:21" x14ac:dyDescent="0.25">
      <c r="A1451">
        <v>2025</v>
      </c>
      <c r="B1451">
        <v>8</v>
      </c>
      <c r="C1451" t="s">
        <v>72</v>
      </c>
      <c r="D1451" t="s">
        <v>22</v>
      </c>
      <c r="E1451" t="s">
        <v>23</v>
      </c>
      <c r="F1451" t="s">
        <v>28</v>
      </c>
      <c r="G1451" t="s">
        <v>25</v>
      </c>
      <c r="H1451" t="s">
        <v>26</v>
      </c>
      <c r="I1451" t="s">
        <v>25</v>
      </c>
      <c r="J1451">
        <v>28718</v>
      </c>
      <c r="K1451">
        <v>31</v>
      </c>
      <c r="L1451">
        <v>403</v>
      </c>
      <c r="M1451">
        <v>434</v>
      </c>
      <c r="N1451">
        <v>4431</v>
      </c>
      <c r="O1451">
        <v>2659</v>
      </c>
      <c r="P1451">
        <v>2200</v>
      </c>
      <c r="Q1451">
        <v>1163</v>
      </c>
      <c r="R1451">
        <v>636</v>
      </c>
      <c r="S1451">
        <v>151</v>
      </c>
      <c r="T1451">
        <v>25</v>
      </c>
      <c r="U1451">
        <v>28452</v>
      </c>
    </row>
    <row r="1452" spans="1:21" x14ac:dyDescent="0.25">
      <c r="A1452">
        <v>2025</v>
      </c>
      <c r="B1452">
        <v>8</v>
      </c>
      <c r="C1452" t="s">
        <v>72</v>
      </c>
      <c r="D1452" t="s">
        <v>22</v>
      </c>
      <c r="E1452" t="s">
        <v>23</v>
      </c>
      <c r="F1452" t="s">
        <v>24</v>
      </c>
      <c r="G1452" t="s">
        <v>25</v>
      </c>
      <c r="H1452" t="s">
        <v>26</v>
      </c>
      <c r="I1452" t="s">
        <v>25</v>
      </c>
      <c r="J1452">
        <v>3926</v>
      </c>
      <c r="K1452">
        <v>8</v>
      </c>
      <c r="L1452">
        <v>54</v>
      </c>
      <c r="M1452">
        <v>62</v>
      </c>
      <c r="N1452">
        <v>639</v>
      </c>
      <c r="O1452">
        <v>428</v>
      </c>
      <c r="P1452">
        <v>352</v>
      </c>
      <c r="Q1452">
        <v>184</v>
      </c>
      <c r="R1452">
        <v>69</v>
      </c>
      <c r="S1452">
        <v>15</v>
      </c>
      <c r="T1452">
        <v>1</v>
      </c>
      <c r="U1452">
        <v>3886</v>
      </c>
    </row>
    <row r="1453" spans="1:21" x14ac:dyDescent="0.25">
      <c r="A1453">
        <v>2025</v>
      </c>
      <c r="B1453">
        <v>8</v>
      </c>
      <c r="C1453" t="s">
        <v>72</v>
      </c>
      <c r="D1453" t="s">
        <v>22</v>
      </c>
      <c r="E1453" t="s">
        <v>23</v>
      </c>
      <c r="F1453" t="s">
        <v>29</v>
      </c>
      <c r="G1453" t="s">
        <v>25</v>
      </c>
      <c r="H1453" t="s">
        <v>26</v>
      </c>
      <c r="I1453" t="s">
        <v>25</v>
      </c>
      <c r="J1453">
        <v>3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</row>
    <row r="1454" spans="1:21" x14ac:dyDescent="0.25">
      <c r="A1454">
        <v>2025</v>
      </c>
      <c r="B1454">
        <v>8</v>
      </c>
      <c r="C1454" t="s">
        <v>72</v>
      </c>
      <c r="D1454" t="s">
        <v>22</v>
      </c>
      <c r="E1454" t="s">
        <v>39</v>
      </c>
      <c r="F1454" t="s">
        <v>24</v>
      </c>
      <c r="G1454" t="s">
        <v>26</v>
      </c>
      <c r="H1454" t="s">
        <v>26</v>
      </c>
      <c r="I1454" t="s">
        <v>25</v>
      </c>
      <c r="J1454">
        <v>484</v>
      </c>
      <c r="K1454">
        <v>4</v>
      </c>
      <c r="L1454">
        <v>3</v>
      </c>
      <c r="M1454">
        <v>7</v>
      </c>
      <c r="N1454">
        <v>287</v>
      </c>
      <c r="O1454">
        <v>258</v>
      </c>
      <c r="P1454">
        <v>241</v>
      </c>
      <c r="Q1454">
        <v>175</v>
      </c>
      <c r="R1454">
        <v>106</v>
      </c>
      <c r="S1454">
        <v>24</v>
      </c>
      <c r="T1454">
        <v>3</v>
      </c>
      <c r="U1454">
        <v>479</v>
      </c>
    </row>
    <row r="1455" spans="1:21" x14ac:dyDescent="0.25">
      <c r="A1455">
        <v>2025</v>
      </c>
      <c r="B1455">
        <v>8</v>
      </c>
      <c r="C1455" t="s">
        <v>72</v>
      </c>
      <c r="D1455" t="s">
        <v>22</v>
      </c>
      <c r="E1455" t="s">
        <v>73</v>
      </c>
      <c r="F1455" t="s">
        <v>28</v>
      </c>
      <c r="G1455" t="s">
        <v>25</v>
      </c>
      <c r="H1455" t="s">
        <v>25</v>
      </c>
      <c r="I1455" t="s">
        <v>25</v>
      </c>
      <c r="J1455">
        <v>17210</v>
      </c>
      <c r="K1455">
        <v>18</v>
      </c>
      <c r="L1455">
        <v>55</v>
      </c>
      <c r="M1455">
        <v>73</v>
      </c>
      <c r="N1455">
        <v>1709</v>
      </c>
      <c r="O1455">
        <v>869</v>
      </c>
      <c r="P1455">
        <v>670</v>
      </c>
      <c r="Q1455">
        <v>308</v>
      </c>
      <c r="R1455">
        <v>141</v>
      </c>
      <c r="S1455">
        <v>34</v>
      </c>
      <c r="T1455">
        <v>0</v>
      </c>
      <c r="U1455">
        <v>17151</v>
      </c>
    </row>
    <row r="1456" spans="1:21" x14ac:dyDescent="0.25">
      <c r="A1456">
        <v>2025</v>
      </c>
      <c r="B1456">
        <v>8</v>
      </c>
      <c r="C1456" t="s">
        <v>72</v>
      </c>
      <c r="D1456" t="s">
        <v>22</v>
      </c>
      <c r="E1456" t="s">
        <v>73</v>
      </c>
      <c r="F1456" t="s">
        <v>24</v>
      </c>
      <c r="G1456" t="s">
        <v>25</v>
      </c>
      <c r="H1456" t="s">
        <v>25</v>
      </c>
      <c r="I1456" t="s">
        <v>25</v>
      </c>
      <c r="J1456">
        <v>5199</v>
      </c>
      <c r="K1456">
        <v>13</v>
      </c>
      <c r="L1456">
        <v>1</v>
      </c>
      <c r="M1456">
        <v>14</v>
      </c>
      <c r="N1456">
        <v>156</v>
      </c>
      <c r="O1456">
        <v>85</v>
      </c>
      <c r="P1456">
        <v>73</v>
      </c>
      <c r="Q1456">
        <v>35</v>
      </c>
      <c r="R1456">
        <v>11</v>
      </c>
      <c r="S1456">
        <v>5</v>
      </c>
      <c r="T1456">
        <v>5</v>
      </c>
      <c r="U1456">
        <v>5185</v>
      </c>
    </row>
    <row r="1457" spans="1:21" x14ac:dyDescent="0.25">
      <c r="A1457">
        <v>2025</v>
      </c>
      <c r="B1457">
        <v>8</v>
      </c>
      <c r="C1457" t="s">
        <v>72</v>
      </c>
      <c r="D1457" t="s">
        <v>22</v>
      </c>
      <c r="E1457" t="s">
        <v>73</v>
      </c>
      <c r="F1457" t="s">
        <v>29</v>
      </c>
      <c r="G1457" t="s">
        <v>25</v>
      </c>
      <c r="H1457" t="s">
        <v>25</v>
      </c>
      <c r="I1457" t="s">
        <v>25</v>
      </c>
      <c r="J1457">
        <v>29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</row>
    <row r="1458" spans="1:21" x14ac:dyDescent="0.25">
      <c r="A1458">
        <v>2025</v>
      </c>
      <c r="B1458">
        <v>8</v>
      </c>
      <c r="C1458" t="s">
        <v>72</v>
      </c>
      <c r="D1458" t="s">
        <v>22</v>
      </c>
      <c r="E1458" t="s">
        <v>35</v>
      </c>
      <c r="F1458" t="s">
        <v>24</v>
      </c>
      <c r="G1458" t="s">
        <v>25</v>
      </c>
      <c r="H1458" t="s">
        <v>26</v>
      </c>
      <c r="I1458" t="s">
        <v>26</v>
      </c>
      <c r="J1458">
        <v>52</v>
      </c>
      <c r="K1458">
        <v>4</v>
      </c>
      <c r="L1458">
        <v>0</v>
      </c>
      <c r="M1458">
        <v>4</v>
      </c>
      <c r="N1458">
        <v>19</v>
      </c>
      <c r="O1458">
        <v>16</v>
      </c>
      <c r="P1458">
        <v>14</v>
      </c>
      <c r="Q1458">
        <v>11</v>
      </c>
      <c r="R1458">
        <v>9</v>
      </c>
      <c r="S1458">
        <v>4</v>
      </c>
      <c r="T1458">
        <v>0</v>
      </c>
      <c r="U1458">
        <v>48</v>
      </c>
    </row>
    <row r="1459" spans="1:21" x14ac:dyDescent="0.25">
      <c r="A1459">
        <v>2025</v>
      </c>
      <c r="B1459">
        <v>8</v>
      </c>
      <c r="C1459" t="s">
        <v>72</v>
      </c>
      <c r="D1459" t="s">
        <v>22</v>
      </c>
      <c r="E1459" t="s">
        <v>74</v>
      </c>
      <c r="F1459" t="s">
        <v>28</v>
      </c>
      <c r="G1459" t="s">
        <v>25</v>
      </c>
      <c r="H1459" t="s">
        <v>25</v>
      </c>
      <c r="I1459" t="s">
        <v>25</v>
      </c>
      <c r="J1459">
        <v>2596</v>
      </c>
      <c r="K1459">
        <v>14</v>
      </c>
      <c r="L1459">
        <v>14</v>
      </c>
      <c r="M1459">
        <v>28</v>
      </c>
      <c r="N1459">
        <v>325</v>
      </c>
      <c r="O1459">
        <v>165</v>
      </c>
      <c r="P1459">
        <v>139</v>
      </c>
      <c r="Q1459">
        <v>61</v>
      </c>
      <c r="R1459">
        <v>32</v>
      </c>
      <c r="S1459">
        <v>10</v>
      </c>
      <c r="T1459">
        <v>2</v>
      </c>
      <c r="U1459">
        <v>2574</v>
      </c>
    </row>
    <row r="1460" spans="1:21" x14ac:dyDescent="0.25">
      <c r="A1460">
        <v>2025</v>
      </c>
      <c r="B1460">
        <v>8</v>
      </c>
      <c r="C1460" t="s">
        <v>72</v>
      </c>
      <c r="D1460" t="s">
        <v>22</v>
      </c>
      <c r="E1460" t="s">
        <v>74</v>
      </c>
      <c r="F1460" t="s">
        <v>24</v>
      </c>
      <c r="G1460" t="s">
        <v>25</v>
      </c>
      <c r="H1460" t="s">
        <v>25</v>
      </c>
      <c r="I1460" t="s">
        <v>25</v>
      </c>
      <c r="J1460">
        <v>208</v>
      </c>
      <c r="K1460">
        <v>0</v>
      </c>
      <c r="L1460">
        <v>0</v>
      </c>
      <c r="M1460">
        <v>0</v>
      </c>
      <c r="N1460">
        <v>5</v>
      </c>
      <c r="O1460">
        <v>2</v>
      </c>
      <c r="P1460">
        <v>2</v>
      </c>
      <c r="Q1460">
        <v>2</v>
      </c>
      <c r="R1460">
        <v>2</v>
      </c>
      <c r="S1460">
        <v>0</v>
      </c>
      <c r="T1460">
        <v>0</v>
      </c>
      <c r="U1460">
        <v>208</v>
      </c>
    </row>
    <row r="1461" spans="1:21" x14ac:dyDescent="0.25">
      <c r="A1461">
        <v>2025</v>
      </c>
      <c r="B1461">
        <v>8</v>
      </c>
      <c r="C1461" t="s">
        <v>72</v>
      </c>
      <c r="D1461" t="s">
        <v>22</v>
      </c>
      <c r="E1461" t="s">
        <v>58</v>
      </c>
      <c r="F1461" t="s">
        <v>28</v>
      </c>
      <c r="G1461" t="s">
        <v>25</v>
      </c>
      <c r="H1461" t="s">
        <v>25</v>
      </c>
      <c r="I1461" t="s">
        <v>25</v>
      </c>
      <c r="J1461">
        <v>25783</v>
      </c>
      <c r="K1461">
        <v>32</v>
      </c>
      <c r="L1461">
        <v>138</v>
      </c>
      <c r="M1461">
        <v>170</v>
      </c>
      <c r="N1461">
        <v>2355</v>
      </c>
      <c r="O1461">
        <v>1237</v>
      </c>
      <c r="P1461">
        <v>965</v>
      </c>
      <c r="Q1461">
        <v>457</v>
      </c>
      <c r="R1461">
        <v>244</v>
      </c>
      <c r="S1461">
        <v>63</v>
      </c>
      <c r="T1461">
        <v>8</v>
      </c>
      <c r="U1461">
        <v>25688</v>
      </c>
    </row>
    <row r="1462" spans="1:21" x14ac:dyDescent="0.25">
      <c r="A1462">
        <v>2025</v>
      </c>
      <c r="B1462">
        <v>8</v>
      </c>
      <c r="C1462" t="s">
        <v>72</v>
      </c>
      <c r="D1462" t="s">
        <v>22</v>
      </c>
      <c r="E1462" t="s">
        <v>58</v>
      </c>
      <c r="F1462" t="s">
        <v>24</v>
      </c>
      <c r="G1462" t="s">
        <v>25</v>
      </c>
      <c r="H1462" t="s">
        <v>25</v>
      </c>
      <c r="I1462" t="s">
        <v>25</v>
      </c>
      <c r="J1462">
        <v>3702</v>
      </c>
      <c r="K1462">
        <v>13</v>
      </c>
      <c r="L1462">
        <v>29</v>
      </c>
      <c r="M1462">
        <v>42</v>
      </c>
      <c r="N1462">
        <v>480</v>
      </c>
      <c r="O1462">
        <v>307</v>
      </c>
      <c r="P1462">
        <v>251</v>
      </c>
      <c r="Q1462">
        <v>114</v>
      </c>
      <c r="R1462">
        <v>45</v>
      </c>
      <c r="S1462">
        <v>6</v>
      </c>
      <c r="T1462">
        <v>0</v>
      </c>
      <c r="U1462">
        <v>3670</v>
      </c>
    </row>
    <row r="1463" spans="1:21" x14ac:dyDescent="0.25">
      <c r="A1463">
        <v>2025</v>
      </c>
      <c r="B1463">
        <v>8</v>
      </c>
      <c r="C1463" t="s">
        <v>72</v>
      </c>
      <c r="D1463" t="s">
        <v>22</v>
      </c>
      <c r="E1463" t="s">
        <v>58</v>
      </c>
      <c r="F1463" t="s">
        <v>29</v>
      </c>
      <c r="G1463" t="s">
        <v>25</v>
      </c>
      <c r="H1463" t="s">
        <v>25</v>
      </c>
      <c r="I1463" t="s">
        <v>25</v>
      </c>
      <c r="J1463">
        <v>1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</row>
    <row r="1464" spans="1:21" x14ac:dyDescent="0.25">
      <c r="A1464">
        <v>2025</v>
      </c>
      <c r="B1464">
        <v>8</v>
      </c>
      <c r="C1464" t="s">
        <v>72</v>
      </c>
      <c r="D1464" t="s">
        <v>22</v>
      </c>
      <c r="E1464" t="s">
        <v>27</v>
      </c>
      <c r="F1464" t="s">
        <v>24</v>
      </c>
      <c r="G1464" t="s">
        <v>26</v>
      </c>
      <c r="H1464" t="s">
        <v>26</v>
      </c>
      <c r="I1464" t="s">
        <v>25</v>
      </c>
      <c r="J1464">
        <v>113</v>
      </c>
      <c r="K1464">
        <v>2</v>
      </c>
      <c r="L1464">
        <v>0</v>
      </c>
      <c r="M1464">
        <v>2</v>
      </c>
      <c r="N1464">
        <v>70</v>
      </c>
      <c r="O1464">
        <v>30</v>
      </c>
      <c r="P1464">
        <v>30</v>
      </c>
      <c r="Q1464">
        <v>28</v>
      </c>
      <c r="R1464">
        <v>21</v>
      </c>
      <c r="S1464">
        <v>11</v>
      </c>
      <c r="T1464">
        <v>2</v>
      </c>
      <c r="U1464">
        <v>111</v>
      </c>
    </row>
    <row r="1465" spans="1:21" x14ac:dyDescent="0.25">
      <c r="A1465">
        <v>2025</v>
      </c>
      <c r="B1465">
        <v>8</v>
      </c>
      <c r="C1465" t="s">
        <v>72</v>
      </c>
      <c r="D1465" t="s">
        <v>22</v>
      </c>
      <c r="E1465" t="s">
        <v>27</v>
      </c>
      <c r="F1465" t="s">
        <v>29</v>
      </c>
      <c r="G1465" t="s">
        <v>26</v>
      </c>
      <c r="H1465" t="s">
        <v>26</v>
      </c>
      <c r="I1465" t="s">
        <v>25</v>
      </c>
      <c r="J1465">
        <v>1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</row>
    <row r="1466" spans="1:21" x14ac:dyDescent="0.25">
      <c r="A1466">
        <v>2025</v>
      </c>
      <c r="B1466">
        <v>8</v>
      </c>
      <c r="C1466" t="s">
        <v>75</v>
      </c>
      <c r="D1466" t="s">
        <v>22</v>
      </c>
      <c r="E1466" t="s">
        <v>23</v>
      </c>
      <c r="F1466" t="s">
        <v>24</v>
      </c>
      <c r="G1466" t="s">
        <v>25</v>
      </c>
      <c r="H1466" t="s">
        <v>26</v>
      </c>
      <c r="I1466" t="s">
        <v>25</v>
      </c>
      <c r="J1466">
        <v>2199</v>
      </c>
      <c r="K1466">
        <v>10</v>
      </c>
      <c r="L1466">
        <v>0</v>
      </c>
      <c r="M1466">
        <v>10</v>
      </c>
      <c r="N1466">
        <v>9</v>
      </c>
      <c r="O1466">
        <v>9</v>
      </c>
      <c r="P1466">
        <v>7</v>
      </c>
      <c r="Q1466">
        <v>4</v>
      </c>
      <c r="R1466">
        <v>1</v>
      </c>
      <c r="S1466">
        <v>0</v>
      </c>
      <c r="T1466">
        <v>0</v>
      </c>
      <c r="U1466">
        <v>2189</v>
      </c>
    </row>
    <row r="1467" spans="1:21" x14ac:dyDescent="0.25">
      <c r="A1467">
        <v>2025</v>
      </c>
      <c r="B1467">
        <v>8</v>
      </c>
      <c r="C1467" t="s">
        <v>75</v>
      </c>
      <c r="D1467" t="s">
        <v>22</v>
      </c>
      <c r="E1467" t="s">
        <v>39</v>
      </c>
      <c r="F1467" t="s">
        <v>28</v>
      </c>
      <c r="G1467" t="s">
        <v>26</v>
      </c>
      <c r="H1467" t="s">
        <v>26</v>
      </c>
      <c r="I1467" t="s">
        <v>25</v>
      </c>
      <c r="J1467">
        <v>1</v>
      </c>
      <c r="K1467">
        <v>0</v>
      </c>
      <c r="L1467">
        <v>0</v>
      </c>
      <c r="M1467">
        <v>0</v>
      </c>
      <c r="N1467">
        <v>1</v>
      </c>
      <c r="O1467">
        <v>1</v>
      </c>
      <c r="P1467">
        <v>1</v>
      </c>
      <c r="Q1467">
        <v>1</v>
      </c>
      <c r="R1467">
        <v>1</v>
      </c>
      <c r="S1467">
        <v>1</v>
      </c>
      <c r="T1467">
        <v>1</v>
      </c>
      <c r="U1467">
        <v>1</v>
      </c>
    </row>
    <row r="1468" spans="1:21" x14ac:dyDescent="0.25">
      <c r="A1468">
        <v>2025</v>
      </c>
      <c r="B1468">
        <v>8</v>
      </c>
      <c r="C1468" t="s">
        <v>75</v>
      </c>
      <c r="D1468" t="s">
        <v>22</v>
      </c>
      <c r="E1468" t="s">
        <v>39</v>
      </c>
      <c r="F1468" t="s">
        <v>24</v>
      </c>
      <c r="G1468" t="s">
        <v>26</v>
      </c>
      <c r="H1468" t="s">
        <v>26</v>
      </c>
      <c r="I1468" t="s">
        <v>25</v>
      </c>
      <c r="J1468">
        <v>693</v>
      </c>
      <c r="K1468">
        <v>2</v>
      </c>
      <c r="L1468">
        <v>4</v>
      </c>
      <c r="M1468">
        <v>6</v>
      </c>
      <c r="N1468">
        <v>239</v>
      </c>
      <c r="O1468">
        <v>167</v>
      </c>
      <c r="P1468">
        <v>165</v>
      </c>
      <c r="Q1468">
        <v>115</v>
      </c>
      <c r="R1468">
        <v>72</v>
      </c>
      <c r="S1468">
        <v>34</v>
      </c>
      <c r="T1468">
        <v>12</v>
      </c>
      <c r="U1468">
        <v>688</v>
      </c>
    </row>
    <row r="1469" spans="1:21" x14ac:dyDescent="0.25">
      <c r="A1469">
        <v>2025</v>
      </c>
      <c r="B1469">
        <v>8</v>
      </c>
      <c r="C1469" t="s">
        <v>75</v>
      </c>
      <c r="D1469" t="s">
        <v>22</v>
      </c>
      <c r="E1469" t="s">
        <v>39</v>
      </c>
      <c r="F1469" t="s">
        <v>29</v>
      </c>
      <c r="G1469" t="s">
        <v>26</v>
      </c>
      <c r="H1469" t="s">
        <v>26</v>
      </c>
      <c r="I1469" t="s">
        <v>25</v>
      </c>
      <c r="J1469">
        <v>1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</row>
    <row r="1470" spans="1:21" x14ac:dyDescent="0.25">
      <c r="A1470">
        <v>2025</v>
      </c>
      <c r="B1470">
        <v>8</v>
      </c>
      <c r="C1470" t="s">
        <v>75</v>
      </c>
      <c r="D1470" t="s">
        <v>22</v>
      </c>
      <c r="E1470" t="s">
        <v>77</v>
      </c>
      <c r="F1470" t="s">
        <v>28</v>
      </c>
      <c r="G1470" t="s">
        <v>25</v>
      </c>
      <c r="H1470" t="s">
        <v>26</v>
      </c>
      <c r="I1470" t="s">
        <v>25</v>
      </c>
      <c r="J1470">
        <v>1956</v>
      </c>
      <c r="K1470">
        <v>18</v>
      </c>
      <c r="L1470">
        <v>19</v>
      </c>
      <c r="M1470">
        <v>37</v>
      </c>
      <c r="N1470">
        <v>674</v>
      </c>
      <c r="O1470">
        <v>471</v>
      </c>
      <c r="P1470">
        <v>470</v>
      </c>
      <c r="Q1470">
        <v>367</v>
      </c>
      <c r="R1470">
        <v>307</v>
      </c>
      <c r="S1470">
        <v>180</v>
      </c>
      <c r="T1470">
        <v>74</v>
      </c>
      <c r="U1470">
        <v>1930</v>
      </c>
    </row>
    <row r="1471" spans="1:21" x14ac:dyDescent="0.25">
      <c r="A1471">
        <v>2025</v>
      </c>
      <c r="B1471">
        <v>8</v>
      </c>
      <c r="C1471" t="s">
        <v>75</v>
      </c>
      <c r="D1471" t="s">
        <v>22</v>
      </c>
      <c r="E1471" t="s">
        <v>77</v>
      </c>
      <c r="F1471" t="s">
        <v>29</v>
      </c>
      <c r="G1471" t="s">
        <v>25</v>
      </c>
      <c r="H1471" t="s">
        <v>26</v>
      </c>
      <c r="I1471" t="s">
        <v>25</v>
      </c>
      <c r="J1471">
        <v>10</v>
      </c>
      <c r="K1471">
        <v>1</v>
      </c>
      <c r="L1471">
        <v>0</v>
      </c>
      <c r="M1471">
        <v>1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</row>
    <row r="1472" spans="1:21" x14ac:dyDescent="0.25">
      <c r="A1472">
        <v>2025</v>
      </c>
      <c r="B1472">
        <v>8</v>
      </c>
      <c r="C1472" t="s">
        <v>75</v>
      </c>
      <c r="D1472" t="s">
        <v>22</v>
      </c>
      <c r="E1472" t="s">
        <v>78</v>
      </c>
      <c r="F1472" t="s">
        <v>28</v>
      </c>
      <c r="G1472" t="s">
        <v>25</v>
      </c>
      <c r="H1472" t="s">
        <v>26</v>
      </c>
      <c r="I1472" t="s">
        <v>26</v>
      </c>
      <c r="J1472">
        <v>190</v>
      </c>
      <c r="K1472">
        <v>3</v>
      </c>
      <c r="L1472">
        <v>2</v>
      </c>
      <c r="M1472">
        <v>5</v>
      </c>
      <c r="N1472">
        <v>67</v>
      </c>
      <c r="O1472">
        <v>45</v>
      </c>
      <c r="P1472">
        <v>45</v>
      </c>
      <c r="Q1472">
        <v>30</v>
      </c>
      <c r="R1472">
        <v>24</v>
      </c>
      <c r="S1472">
        <v>14</v>
      </c>
      <c r="T1472">
        <v>3</v>
      </c>
      <c r="U1472">
        <v>187</v>
      </c>
    </row>
    <row r="1473" spans="1:21" x14ac:dyDescent="0.25">
      <c r="A1473">
        <v>2025</v>
      </c>
      <c r="B1473">
        <v>8</v>
      </c>
      <c r="C1473" t="s">
        <v>75</v>
      </c>
      <c r="D1473" t="s">
        <v>22</v>
      </c>
      <c r="E1473" t="s">
        <v>78</v>
      </c>
      <c r="F1473" t="s">
        <v>29</v>
      </c>
      <c r="G1473" t="s">
        <v>25</v>
      </c>
      <c r="H1473" t="s">
        <v>26</v>
      </c>
      <c r="I1473" t="s">
        <v>26</v>
      </c>
      <c r="J1473">
        <v>121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</row>
    <row r="1474" spans="1:21" x14ac:dyDescent="0.25">
      <c r="A1474">
        <v>2025</v>
      </c>
      <c r="B1474">
        <v>8</v>
      </c>
      <c r="C1474" t="s">
        <v>75</v>
      </c>
      <c r="D1474" t="s">
        <v>22</v>
      </c>
      <c r="E1474" t="s">
        <v>70</v>
      </c>
      <c r="F1474" t="s">
        <v>24</v>
      </c>
      <c r="G1474" t="s">
        <v>26</v>
      </c>
      <c r="H1474" t="s">
        <v>26</v>
      </c>
      <c r="I1474" t="s">
        <v>25</v>
      </c>
      <c r="J1474">
        <v>998</v>
      </c>
      <c r="K1474">
        <v>0</v>
      </c>
      <c r="L1474">
        <v>3</v>
      </c>
      <c r="M1474">
        <v>3</v>
      </c>
      <c r="N1474">
        <v>166</v>
      </c>
      <c r="O1474">
        <v>89</v>
      </c>
      <c r="P1474">
        <v>88</v>
      </c>
      <c r="Q1474">
        <v>70</v>
      </c>
      <c r="R1474">
        <v>46</v>
      </c>
      <c r="S1474">
        <v>23</v>
      </c>
      <c r="T1474">
        <v>9</v>
      </c>
      <c r="U1474">
        <v>998</v>
      </c>
    </row>
    <row r="1475" spans="1:21" x14ac:dyDescent="0.25">
      <c r="A1475">
        <v>2025</v>
      </c>
      <c r="B1475">
        <v>8</v>
      </c>
      <c r="C1475" t="s">
        <v>75</v>
      </c>
      <c r="D1475" t="s">
        <v>22</v>
      </c>
      <c r="E1475" t="s">
        <v>70</v>
      </c>
      <c r="F1475" t="s">
        <v>29</v>
      </c>
      <c r="G1475" t="s">
        <v>26</v>
      </c>
      <c r="H1475" t="s">
        <v>26</v>
      </c>
      <c r="I1475" t="s">
        <v>25</v>
      </c>
      <c r="J1475">
        <v>11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</row>
    <row r="1476" spans="1:21" x14ac:dyDescent="0.25">
      <c r="A1476">
        <v>2025</v>
      </c>
      <c r="B1476">
        <v>8</v>
      </c>
      <c r="C1476" t="s">
        <v>75</v>
      </c>
      <c r="D1476" t="s">
        <v>22</v>
      </c>
      <c r="E1476" t="s">
        <v>35</v>
      </c>
      <c r="F1476" t="s">
        <v>24</v>
      </c>
      <c r="G1476" t="s">
        <v>25</v>
      </c>
      <c r="H1476" t="s">
        <v>26</v>
      </c>
      <c r="I1476" t="s">
        <v>26</v>
      </c>
      <c r="J1476">
        <v>52</v>
      </c>
      <c r="K1476">
        <v>0</v>
      </c>
      <c r="L1476">
        <v>0</v>
      </c>
      <c r="M1476">
        <v>0</v>
      </c>
      <c r="N1476">
        <v>16</v>
      </c>
      <c r="O1476">
        <v>16</v>
      </c>
      <c r="P1476">
        <v>16</v>
      </c>
      <c r="Q1476">
        <v>16</v>
      </c>
      <c r="R1476">
        <v>16</v>
      </c>
      <c r="S1476">
        <v>10</v>
      </c>
      <c r="T1476">
        <v>10</v>
      </c>
      <c r="U1476">
        <v>52</v>
      </c>
    </row>
    <row r="1477" spans="1:21" x14ac:dyDescent="0.25">
      <c r="A1477">
        <v>2025</v>
      </c>
      <c r="B1477">
        <v>8</v>
      </c>
      <c r="C1477" t="s">
        <v>75</v>
      </c>
      <c r="D1477" t="s">
        <v>22</v>
      </c>
      <c r="E1477" t="s">
        <v>42</v>
      </c>
      <c r="F1477" t="s">
        <v>24</v>
      </c>
      <c r="G1477" t="s">
        <v>26</v>
      </c>
      <c r="H1477" t="s">
        <v>26</v>
      </c>
      <c r="I1477" t="s">
        <v>25</v>
      </c>
      <c r="J1477">
        <v>39</v>
      </c>
      <c r="K1477">
        <v>0</v>
      </c>
      <c r="L1477">
        <v>0</v>
      </c>
      <c r="M1477">
        <v>0</v>
      </c>
      <c r="N1477">
        <v>14</v>
      </c>
      <c r="O1477">
        <v>12</v>
      </c>
      <c r="P1477">
        <v>11</v>
      </c>
      <c r="Q1477">
        <v>7</v>
      </c>
      <c r="R1477">
        <v>5</v>
      </c>
      <c r="S1477">
        <v>0</v>
      </c>
      <c r="T1477">
        <v>0</v>
      </c>
      <c r="U1477">
        <v>39</v>
      </c>
    </row>
    <row r="1478" spans="1:21" x14ac:dyDescent="0.25">
      <c r="A1478">
        <v>2025</v>
      </c>
      <c r="B1478">
        <v>8</v>
      </c>
      <c r="C1478" t="s">
        <v>75</v>
      </c>
      <c r="D1478" t="s">
        <v>22</v>
      </c>
      <c r="E1478" t="s">
        <v>27</v>
      </c>
      <c r="F1478" t="s">
        <v>28</v>
      </c>
      <c r="G1478" t="s">
        <v>26</v>
      </c>
      <c r="H1478" t="s">
        <v>26</v>
      </c>
      <c r="I1478" t="s">
        <v>25</v>
      </c>
      <c r="J1478">
        <v>13670</v>
      </c>
      <c r="K1478">
        <v>35</v>
      </c>
      <c r="L1478">
        <v>122</v>
      </c>
      <c r="M1478">
        <v>157</v>
      </c>
      <c r="N1478">
        <v>3729</v>
      </c>
      <c r="O1478">
        <v>2322</v>
      </c>
      <c r="P1478">
        <v>2321</v>
      </c>
      <c r="Q1478">
        <v>1723</v>
      </c>
      <c r="R1478">
        <v>1344</v>
      </c>
      <c r="S1478">
        <v>712</v>
      </c>
      <c r="T1478">
        <v>296</v>
      </c>
      <c r="U1478">
        <v>13609</v>
      </c>
    </row>
    <row r="1479" spans="1:21" x14ac:dyDescent="0.25">
      <c r="A1479">
        <v>2025</v>
      </c>
      <c r="B1479">
        <v>8</v>
      </c>
      <c r="C1479" t="s">
        <v>75</v>
      </c>
      <c r="D1479" t="s">
        <v>22</v>
      </c>
      <c r="E1479" t="s">
        <v>27</v>
      </c>
      <c r="F1479" t="s">
        <v>24</v>
      </c>
      <c r="G1479" t="s">
        <v>26</v>
      </c>
      <c r="H1479" t="s">
        <v>26</v>
      </c>
      <c r="I1479" t="s">
        <v>25</v>
      </c>
      <c r="J1479">
        <v>933</v>
      </c>
      <c r="K1479">
        <v>4</v>
      </c>
      <c r="L1479">
        <v>9</v>
      </c>
      <c r="M1479">
        <v>13</v>
      </c>
      <c r="N1479">
        <v>407</v>
      </c>
      <c r="O1479">
        <v>244</v>
      </c>
      <c r="P1479">
        <v>243</v>
      </c>
      <c r="Q1479">
        <v>184</v>
      </c>
      <c r="R1479">
        <v>142</v>
      </c>
      <c r="S1479">
        <v>80</v>
      </c>
      <c r="T1479">
        <v>28</v>
      </c>
      <c r="U1479">
        <v>927</v>
      </c>
    </row>
    <row r="1480" spans="1:21" x14ac:dyDescent="0.25">
      <c r="A1480">
        <v>2025</v>
      </c>
      <c r="B1480">
        <v>8</v>
      </c>
      <c r="C1480" t="s">
        <v>75</v>
      </c>
      <c r="D1480" t="s">
        <v>22</v>
      </c>
      <c r="E1480" t="s">
        <v>27</v>
      </c>
      <c r="F1480" t="s">
        <v>29</v>
      </c>
      <c r="G1480" t="s">
        <v>26</v>
      </c>
      <c r="H1480" t="s">
        <v>26</v>
      </c>
      <c r="I1480" t="s">
        <v>25</v>
      </c>
      <c r="J1480">
        <v>726</v>
      </c>
      <c r="K1480">
        <v>3</v>
      </c>
      <c r="L1480">
        <v>0</v>
      </c>
      <c r="M1480">
        <v>3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</row>
    <row r="1481" spans="1:21" x14ac:dyDescent="0.25">
      <c r="A1481">
        <v>2025</v>
      </c>
      <c r="B1481">
        <v>8</v>
      </c>
      <c r="C1481" t="s">
        <v>79</v>
      </c>
      <c r="D1481" t="s">
        <v>22</v>
      </c>
      <c r="E1481" t="s">
        <v>31</v>
      </c>
      <c r="F1481" t="s">
        <v>24</v>
      </c>
      <c r="G1481" t="s">
        <v>25</v>
      </c>
      <c r="H1481" t="s">
        <v>25</v>
      </c>
      <c r="I1481" t="s">
        <v>25</v>
      </c>
      <c r="J1481">
        <v>665</v>
      </c>
      <c r="K1481">
        <v>0</v>
      </c>
      <c r="L1481">
        <v>0</v>
      </c>
      <c r="M1481">
        <v>0</v>
      </c>
      <c r="N1481">
        <v>22</v>
      </c>
      <c r="O1481">
        <v>17</v>
      </c>
      <c r="P1481">
        <v>13</v>
      </c>
      <c r="Q1481">
        <v>6</v>
      </c>
      <c r="R1481">
        <v>4</v>
      </c>
      <c r="S1481">
        <v>1</v>
      </c>
      <c r="T1481">
        <v>0</v>
      </c>
      <c r="U1481">
        <v>665</v>
      </c>
    </row>
    <row r="1482" spans="1:21" x14ac:dyDescent="0.25">
      <c r="A1482">
        <v>2025</v>
      </c>
      <c r="B1482">
        <v>8</v>
      </c>
      <c r="C1482" t="s">
        <v>79</v>
      </c>
      <c r="D1482" t="s">
        <v>22</v>
      </c>
      <c r="E1482" t="s">
        <v>34</v>
      </c>
      <c r="F1482" t="s">
        <v>24</v>
      </c>
      <c r="G1482" t="s">
        <v>25</v>
      </c>
      <c r="H1482" t="s">
        <v>26</v>
      </c>
      <c r="I1482" t="s">
        <v>26</v>
      </c>
      <c r="J1482">
        <v>143</v>
      </c>
      <c r="K1482">
        <v>1</v>
      </c>
      <c r="L1482">
        <v>0</v>
      </c>
      <c r="M1482">
        <v>1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142</v>
      </c>
    </row>
    <row r="1483" spans="1:21" x14ac:dyDescent="0.25">
      <c r="A1483">
        <v>2025</v>
      </c>
      <c r="B1483">
        <v>8</v>
      </c>
      <c r="C1483" t="s">
        <v>79</v>
      </c>
      <c r="D1483" t="s">
        <v>22</v>
      </c>
      <c r="E1483" t="s">
        <v>23</v>
      </c>
      <c r="F1483" t="s">
        <v>24</v>
      </c>
      <c r="G1483" t="s">
        <v>25</v>
      </c>
      <c r="H1483" t="s">
        <v>25</v>
      </c>
      <c r="I1483" t="s">
        <v>25</v>
      </c>
      <c r="J1483">
        <v>62</v>
      </c>
      <c r="K1483">
        <v>0</v>
      </c>
      <c r="L1483">
        <v>0</v>
      </c>
      <c r="M1483">
        <v>0</v>
      </c>
      <c r="N1483">
        <v>1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62</v>
      </c>
    </row>
    <row r="1484" spans="1:21" x14ac:dyDescent="0.25">
      <c r="A1484">
        <v>2025</v>
      </c>
      <c r="B1484">
        <v>8</v>
      </c>
      <c r="C1484" t="s">
        <v>80</v>
      </c>
      <c r="D1484" t="s">
        <v>22</v>
      </c>
      <c r="E1484" t="s">
        <v>31</v>
      </c>
      <c r="F1484" t="s">
        <v>24</v>
      </c>
      <c r="G1484" t="s">
        <v>25</v>
      </c>
      <c r="H1484" t="s">
        <v>25</v>
      </c>
      <c r="I1484" t="s">
        <v>25</v>
      </c>
      <c r="J1484">
        <v>124</v>
      </c>
      <c r="K1484">
        <v>0</v>
      </c>
      <c r="L1484">
        <v>0</v>
      </c>
      <c r="M1484">
        <v>0</v>
      </c>
      <c r="N1484">
        <v>16</v>
      </c>
      <c r="O1484">
        <v>15</v>
      </c>
      <c r="P1484">
        <v>14</v>
      </c>
      <c r="Q1484">
        <v>8</v>
      </c>
      <c r="R1484">
        <v>7</v>
      </c>
      <c r="S1484">
        <v>3</v>
      </c>
      <c r="T1484">
        <v>1</v>
      </c>
      <c r="U1484">
        <v>124</v>
      </c>
    </row>
    <row r="1485" spans="1:21" x14ac:dyDescent="0.25">
      <c r="A1485">
        <v>2025</v>
      </c>
      <c r="B1485">
        <v>8</v>
      </c>
      <c r="C1485" t="s">
        <v>80</v>
      </c>
      <c r="D1485" t="s">
        <v>22</v>
      </c>
      <c r="E1485" t="s">
        <v>32</v>
      </c>
      <c r="F1485" t="s">
        <v>28</v>
      </c>
      <c r="G1485" t="s">
        <v>25</v>
      </c>
      <c r="H1485" t="s">
        <v>25</v>
      </c>
      <c r="I1485" t="s">
        <v>25</v>
      </c>
      <c r="J1485">
        <v>78</v>
      </c>
      <c r="K1485">
        <v>0</v>
      </c>
      <c r="L1485">
        <v>6</v>
      </c>
      <c r="M1485">
        <v>6</v>
      </c>
      <c r="N1485">
        <v>37</v>
      </c>
      <c r="O1485">
        <v>33</v>
      </c>
      <c r="P1485">
        <v>32</v>
      </c>
      <c r="Q1485">
        <v>25</v>
      </c>
      <c r="R1485">
        <v>21</v>
      </c>
      <c r="S1485">
        <v>14</v>
      </c>
      <c r="T1485">
        <v>6</v>
      </c>
      <c r="U1485">
        <v>74</v>
      </c>
    </row>
    <row r="1486" spans="1:21" x14ac:dyDescent="0.25">
      <c r="A1486">
        <v>2025</v>
      </c>
      <c r="B1486">
        <v>8</v>
      </c>
      <c r="C1486" t="s">
        <v>80</v>
      </c>
      <c r="D1486" t="s">
        <v>22</v>
      </c>
      <c r="E1486" t="s">
        <v>32</v>
      </c>
      <c r="F1486" t="s">
        <v>24</v>
      </c>
      <c r="G1486" t="s">
        <v>25</v>
      </c>
      <c r="H1486" t="s">
        <v>25</v>
      </c>
      <c r="I1486" t="s">
        <v>25</v>
      </c>
      <c r="J1486">
        <v>1332</v>
      </c>
      <c r="K1486">
        <v>0</v>
      </c>
      <c r="L1486">
        <v>13</v>
      </c>
      <c r="M1486">
        <v>13</v>
      </c>
      <c r="N1486">
        <v>424</v>
      </c>
      <c r="O1486">
        <v>350</v>
      </c>
      <c r="P1486">
        <v>302</v>
      </c>
      <c r="Q1486">
        <v>171</v>
      </c>
      <c r="R1486">
        <v>98</v>
      </c>
      <c r="S1486">
        <v>31</v>
      </c>
      <c r="T1486">
        <v>9</v>
      </c>
      <c r="U1486">
        <v>1323</v>
      </c>
    </row>
    <row r="1487" spans="1:21" x14ac:dyDescent="0.25">
      <c r="A1487">
        <v>2025</v>
      </c>
      <c r="B1487">
        <v>8</v>
      </c>
      <c r="C1487" t="s">
        <v>80</v>
      </c>
      <c r="D1487" t="s">
        <v>22</v>
      </c>
      <c r="E1487" t="s">
        <v>34</v>
      </c>
      <c r="F1487" t="s">
        <v>28</v>
      </c>
      <c r="G1487" t="s">
        <v>25</v>
      </c>
      <c r="H1487" t="s">
        <v>26</v>
      </c>
      <c r="I1487" t="s">
        <v>26</v>
      </c>
      <c r="J1487">
        <v>2</v>
      </c>
      <c r="K1487">
        <v>0</v>
      </c>
      <c r="L1487">
        <v>0</v>
      </c>
      <c r="M1487">
        <v>0</v>
      </c>
      <c r="N1487">
        <v>2</v>
      </c>
      <c r="O1487">
        <v>2</v>
      </c>
      <c r="P1487">
        <v>2</v>
      </c>
      <c r="Q1487">
        <v>1</v>
      </c>
      <c r="R1487">
        <v>1</v>
      </c>
      <c r="S1487">
        <v>1</v>
      </c>
      <c r="T1487">
        <v>1</v>
      </c>
      <c r="U1487">
        <v>2</v>
      </c>
    </row>
    <row r="1488" spans="1:21" x14ac:dyDescent="0.25">
      <c r="A1488">
        <v>2025</v>
      </c>
      <c r="B1488">
        <v>8</v>
      </c>
      <c r="C1488" t="s">
        <v>80</v>
      </c>
      <c r="D1488" t="s">
        <v>22</v>
      </c>
      <c r="E1488" t="s">
        <v>34</v>
      </c>
      <c r="F1488" t="s">
        <v>24</v>
      </c>
      <c r="G1488" t="s">
        <v>25</v>
      </c>
      <c r="H1488" t="s">
        <v>26</v>
      </c>
      <c r="I1488" t="s">
        <v>26</v>
      </c>
      <c r="J1488">
        <v>29</v>
      </c>
      <c r="K1488">
        <v>0</v>
      </c>
      <c r="L1488">
        <v>0</v>
      </c>
      <c r="M1488">
        <v>0</v>
      </c>
      <c r="N1488">
        <v>4</v>
      </c>
      <c r="O1488">
        <v>4</v>
      </c>
      <c r="P1488">
        <v>4</v>
      </c>
      <c r="Q1488">
        <v>4</v>
      </c>
      <c r="R1488">
        <v>4</v>
      </c>
      <c r="S1488">
        <v>4</v>
      </c>
      <c r="T1488">
        <v>4</v>
      </c>
      <c r="U1488">
        <v>29</v>
      </c>
    </row>
    <row r="1489" spans="1:21" x14ac:dyDescent="0.25">
      <c r="A1489">
        <v>2025</v>
      </c>
      <c r="B1489">
        <v>8</v>
      </c>
      <c r="C1489" t="s">
        <v>80</v>
      </c>
      <c r="D1489" t="s">
        <v>22</v>
      </c>
      <c r="E1489" t="s">
        <v>76</v>
      </c>
      <c r="F1489" t="s">
        <v>28</v>
      </c>
      <c r="G1489" t="s">
        <v>25</v>
      </c>
      <c r="H1489" t="s">
        <v>26</v>
      </c>
      <c r="I1489" t="s">
        <v>25</v>
      </c>
      <c r="J1489">
        <v>49</v>
      </c>
      <c r="K1489">
        <v>0</v>
      </c>
      <c r="L1489">
        <v>6</v>
      </c>
      <c r="M1489">
        <v>6</v>
      </c>
      <c r="N1489">
        <v>22</v>
      </c>
      <c r="O1489">
        <v>20</v>
      </c>
      <c r="P1489">
        <v>18</v>
      </c>
      <c r="Q1489">
        <v>15</v>
      </c>
      <c r="R1489">
        <v>14</v>
      </c>
      <c r="S1489">
        <v>7</v>
      </c>
      <c r="T1489">
        <v>3</v>
      </c>
      <c r="U1489">
        <v>46</v>
      </c>
    </row>
    <row r="1490" spans="1:21" x14ac:dyDescent="0.25">
      <c r="A1490">
        <v>2025</v>
      </c>
      <c r="B1490">
        <v>8</v>
      </c>
      <c r="C1490" t="s">
        <v>80</v>
      </c>
      <c r="D1490" t="s">
        <v>22</v>
      </c>
      <c r="E1490" t="s">
        <v>81</v>
      </c>
      <c r="F1490" t="s">
        <v>28</v>
      </c>
      <c r="G1490" t="s">
        <v>25</v>
      </c>
      <c r="H1490" t="s">
        <v>26</v>
      </c>
      <c r="I1490" t="s">
        <v>25</v>
      </c>
      <c r="J1490">
        <v>538</v>
      </c>
      <c r="K1490">
        <v>0</v>
      </c>
      <c r="L1490">
        <v>4</v>
      </c>
      <c r="M1490">
        <v>4</v>
      </c>
      <c r="N1490">
        <v>223</v>
      </c>
      <c r="O1490">
        <v>177</v>
      </c>
      <c r="P1490">
        <v>158</v>
      </c>
      <c r="Q1490">
        <v>102</v>
      </c>
      <c r="R1490">
        <v>70</v>
      </c>
      <c r="S1490">
        <v>38</v>
      </c>
      <c r="T1490">
        <v>10</v>
      </c>
      <c r="U1490">
        <v>537</v>
      </c>
    </row>
    <row r="1491" spans="1:21" x14ac:dyDescent="0.25">
      <c r="A1491">
        <v>2025</v>
      </c>
      <c r="B1491">
        <v>8</v>
      </c>
      <c r="C1491" t="s">
        <v>80</v>
      </c>
      <c r="D1491" t="s">
        <v>22</v>
      </c>
      <c r="E1491" t="s">
        <v>82</v>
      </c>
      <c r="F1491" t="s">
        <v>28</v>
      </c>
      <c r="G1491" t="s">
        <v>25</v>
      </c>
      <c r="H1491" t="s">
        <v>26</v>
      </c>
      <c r="I1491" t="s">
        <v>25</v>
      </c>
      <c r="J1491">
        <v>292</v>
      </c>
      <c r="K1491">
        <v>0</v>
      </c>
      <c r="L1491">
        <v>3</v>
      </c>
      <c r="M1491">
        <v>3</v>
      </c>
      <c r="N1491">
        <v>206</v>
      </c>
      <c r="O1491">
        <v>184</v>
      </c>
      <c r="P1491">
        <v>165</v>
      </c>
      <c r="Q1491">
        <v>129</v>
      </c>
      <c r="R1491">
        <v>102</v>
      </c>
      <c r="S1491">
        <v>52</v>
      </c>
      <c r="T1491">
        <v>19</v>
      </c>
      <c r="U1491">
        <v>290</v>
      </c>
    </row>
    <row r="1492" spans="1:21" x14ac:dyDescent="0.25">
      <c r="A1492">
        <v>2025</v>
      </c>
      <c r="B1492">
        <v>8</v>
      </c>
      <c r="C1492" t="s">
        <v>80</v>
      </c>
      <c r="D1492" t="s">
        <v>22</v>
      </c>
      <c r="E1492" t="s">
        <v>83</v>
      </c>
      <c r="F1492" t="s">
        <v>28</v>
      </c>
      <c r="G1492" t="s">
        <v>26</v>
      </c>
      <c r="H1492" t="s">
        <v>26</v>
      </c>
      <c r="I1492" t="s">
        <v>25</v>
      </c>
      <c r="J1492">
        <v>5785</v>
      </c>
      <c r="K1492">
        <v>0</v>
      </c>
      <c r="L1492">
        <v>26</v>
      </c>
      <c r="M1492">
        <v>26</v>
      </c>
      <c r="N1492">
        <v>1897</v>
      </c>
      <c r="O1492">
        <v>1443</v>
      </c>
      <c r="P1492">
        <v>1287</v>
      </c>
      <c r="Q1492">
        <v>892</v>
      </c>
      <c r="R1492">
        <v>607</v>
      </c>
      <c r="S1492">
        <v>288</v>
      </c>
      <c r="T1492">
        <v>90</v>
      </c>
      <c r="U1492">
        <v>5769</v>
      </c>
    </row>
    <row r="1493" spans="1:21" x14ac:dyDescent="0.25">
      <c r="A1493">
        <v>2025</v>
      </c>
      <c r="B1493">
        <v>8</v>
      </c>
      <c r="C1493" t="s">
        <v>80</v>
      </c>
      <c r="D1493" t="s">
        <v>22</v>
      </c>
      <c r="E1493" t="s">
        <v>23</v>
      </c>
      <c r="F1493" t="s">
        <v>28</v>
      </c>
      <c r="G1493" t="s">
        <v>25</v>
      </c>
      <c r="H1493" t="s">
        <v>26</v>
      </c>
      <c r="I1493" t="s">
        <v>25</v>
      </c>
      <c r="J1493">
        <v>3039</v>
      </c>
      <c r="K1493">
        <v>0</v>
      </c>
      <c r="L1493">
        <v>47</v>
      </c>
      <c r="M1493">
        <v>47</v>
      </c>
      <c r="N1493">
        <v>1286</v>
      </c>
      <c r="O1493">
        <v>1054</v>
      </c>
      <c r="P1493">
        <v>988</v>
      </c>
      <c r="Q1493">
        <v>741</v>
      </c>
      <c r="R1493">
        <v>519</v>
      </c>
      <c r="S1493">
        <v>270</v>
      </c>
      <c r="T1493">
        <v>106</v>
      </c>
      <c r="U1493">
        <v>3006</v>
      </c>
    </row>
    <row r="1494" spans="1:21" x14ac:dyDescent="0.25">
      <c r="A1494">
        <v>2025</v>
      </c>
      <c r="B1494">
        <v>8</v>
      </c>
      <c r="C1494" t="s">
        <v>80</v>
      </c>
      <c r="D1494" t="s">
        <v>22</v>
      </c>
      <c r="E1494" t="s">
        <v>23</v>
      </c>
      <c r="F1494" t="s">
        <v>24</v>
      </c>
      <c r="G1494" t="s">
        <v>25</v>
      </c>
      <c r="H1494" t="s">
        <v>26</v>
      </c>
      <c r="I1494" t="s">
        <v>25</v>
      </c>
      <c r="J1494">
        <v>1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1</v>
      </c>
    </row>
    <row r="1495" spans="1:21" x14ac:dyDescent="0.25">
      <c r="A1495">
        <v>2025</v>
      </c>
      <c r="B1495">
        <v>8</v>
      </c>
      <c r="C1495" t="s">
        <v>80</v>
      </c>
      <c r="D1495" t="s">
        <v>22</v>
      </c>
      <c r="E1495" t="s">
        <v>84</v>
      </c>
      <c r="F1495" t="s">
        <v>28</v>
      </c>
      <c r="G1495" t="s">
        <v>25</v>
      </c>
      <c r="H1495" t="s">
        <v>26</v>
      </c>
      <c r="I1495" t="s">
        <v>26</v>
      </c>
      <c r="J1495">
        <v>652</v>
      </c>
      <c r="K1495">
        <v>0</v>
      </c>
      <c r="L1495">
        <v>0</v>
      </c>
      <c r="M1495">
        <v>0</v>
      </c>
      <c r="N1495">
        <v>165</v>
      </c>
      <c r="O1495">
        <v>126</v>
      </c>
      <c r="P1495">
        <v>113</v>
      </c>
      <c r="Q1495">
        <v>70</v>
      </c>
      <c r="R1495">
        <v>54</v>
      </c>
      <c r="S1495">
        <v>31</v>
      </c>
      <c r="T1495">
        <v>11</v>
      </c>
      <c r="U1495">
        <v>652</v>
      </c>
    </row>
    <row r="1496" spans="1:21" x14ac:dyDescent="0.25">
      <c r="A1496">
        <v>2025</v>
      </c>
      <c r="B1496">
        <v>8</v>
      </c>
      <c r="C1496" t="s">
        <v>80</v>
      </c>
      <c r="D1496" t="s">
        <v>22</v>
      </c>
      <c r="E1496" t="s">
        <v>40</v>
      </c>
      <c r="F1496" t="s">
        <v>28</v>
      </c>
      <c r="G1496" t="s">
        <v>25</v>
      </c>
      <c r="H1496" t="s">
        <v>26</v>
      </c>
      <c r="I1496" t="s">
        <v>25</v>
      </c>
      <c r="J1496">
        <v>1</v>
      </c>
      <c r="K1496">
        <v>0</v>
      </c>
      <c r="L1496">
        <v>1</v>
      </c>
      <c r="M1496">
        <v>1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1</v>
      </c>
    </row>
    <row r="1497" spans="1:21" x14ac:dyDescent="0.25">
      <c r="A1497">
        <v>2025</v>
      </c>
      <c r="B1497">
        <v>8</v>
      </c>
      <c r="C1497" t="s">
        <v>80</v>
      </c>
      <c r="D1497" t="s">
        <v>22</v>
      </c>
      <c r="E1497" t="s">
        <v>40</v>
      </c>
      <c r="F1497" t="s">
        <v>24</v>
      </c>
      <c r="G1497" t="s">
        <v>25</v>
      </c>
      <c r="H1497" t="s">
        <v>26</v>
      </c>
      <c r="I1497" t="s">
        <v>25</v>
      </c>
      <c r="J1497">
        <v>54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54</v>
      </c>
    </row>
    <row r="1498" spans="1:21" x14ac:dyDescent="0.25">
      <c r="A1498">
        <v>2025</v>
      </c>
      <c r="B1498">
        <v>8</v>
      </c>
      <c r="C1498" t="s">
        <v>80</v>
      </c>
      <c r="D1498" t="s">
        <v>22</v>
      </c>
      <c r="E1498" t="s">
        <v>85</v>
      </c>
      <c r="F1498" t="s">
        <v>28</v>
      </c>
      <c r="G1498" t="s">
        <v>25</v>
      </c>
      <c r="H1498" t="s">
        <v>25</v>
      </c>
      <c r="I1498" t="s">
        <v>25</v>
      </c>
      <c r="J1498">
        <v>6565</v>
      </c>
      <c r="K1498">
        <v>0</v>
      </c>
      <c r="L1498">
        <v>104</v>
      </c>
      <c r="M1498">
        <v>104</v>
      </c>
      <c r="N1498">
        <v>284</v>
      </c>
      <c r="O1498">
        <v>93</v>
      </c>
      <c r="P1498">
        <v>67</v>
      </c>
      <c r="Q1498">
        <v>35</v>
      </c>
      <c r="R1498">
        <v>20</v>
      </c>
      <c r="S1498">
        <v>2</v>
      </c>
      <c r="T1498">
        <v>0</v>
      </c>
      <c r="U1498">
        <v>6490</v>
      </c>
    </row>
    <row r="1499" spans="1:21" x14ac:dyDescent="0.25">
      <c r="A1499">
        <v>2025</v>
      </c>
      <c r="B1499">
        <v>8</v>
      </c>
      <c r="C1499" t="s">
        <v>80</v>
      </c>
      <c r="D1499" t="s">
        <v>22</v>
      </c>
      <c r="E1499" t="s">
        <v>86</v>
      </c>
      <c r="F1499" t="s">
        <v>28</v>
      </c>
      <c r="G1499" t="s">
        <v>25</v>
      </c>
      <c r="H1499" t="s">
        <v>25</v>
      </c>
      <c r="I1499" t="s">
        <v>25</v>
      </c>
      <c r="J1499">
        <v>22</v>
      </c>
      <c r="K1499">
        <v>0</v>
      </c>
      <c r="L1499">
        <v>1</v>
      </c>
      <c r="M1499">
        <v>1</v>
      </c>
      <c r="N1499">
        <v>16</v>
      </c>
      <c r="O1499">
        <v>15</v>
      </c>
      <c r="P1499">
        <v>13</v>
      </c>
      <c r="Q1499">
        <v>12</v>
      </c>
      <c r="R1499">
        <v>12</v>
      </c>
      <c r="S1499">
        <v>10</v>
      </c>
      <c r="T1499">
        <v>6</v>
      </c>
      <c r="U1499">
        <v>22</v>
      </c>
    </row>
    <row r="1500" spans="1:21" x14ac:dyDescent="0.25">
      <c r="A1500">
        <v>2025</v>
      </c>
      <c r="B1500">
        <v>8</v>
      </c>
      <c r="C1500" t="s">
        <v>80</v>
      </c>
      <c r="D1500" t="s">
        <v>22</v>
      </c>
      <c r="E1500" t="s">
        <v>86</v>
      </c>
      <c r="F1500" t="s">
        <v>24</v>
      </c>
      <c r="G1500" t="s">
        <v>25</v>
      </c>
      <c r="H1500" t="s">
        <v>25</v>
      </c>
      <c r="I1500" t="s">
        <v>25</v>
      </c>
      <c r="J1500">
        <v>1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1</v>
      </c>
    </row>
    <row r="1501" spans="1:21" x14ac:dyDescent="0.25">
      <c r="A1501">
        <v>2025</v>
      </c>
      <c r="B1501">
        <v>8</v>
      </c>
      <c r="C1501" t="s">
        <v>80</v>
      </c>
      <c r="D1501" t="s">
        <v>22</v>
      </c>
      <c r="E1501" t="s">
        <v>35</v>
      </c>
      <c r="F1501" t="s">
        <v>28</v>
      </c>
      <c r="G1501" t="s">
        <v>25</v>
      </c>
      <c r="H1501" t="s">
        <v>26</v>
      </c>
      <c r="I1501" t="s">
        <v>26</v>
      </c>
      <c r="J1501">
        <v>2</v>
      </c>
      <c r="K1501">
        <v>0</v>
      </c>
      <c r="L1501">
        <v>0</v>
      </c>
      <c r="M1501">
        <v>0</v>
      </c>
      <c r="N1501">
        <v>2</v>
      </c>
      <c r="O1501">
        <v>2</v>
      </c>
      <c r="P1501">
        <v>2</v>
      </c>
      <c r="Q1501">
        <v>2</v>
      </c>
      <c r="R1501">
        <v>2</v>
      </c>
      <c r="S1501">
        <v>1</v>
      </c>
      <c r="T1501">
        <v>0</v>
      </c>
      <c r="U1501">
        <v>2</v>
      </c>
    </row>
    <row r="1502" spans="1:21" x14ac:dyDescent="0.25">
      <c r="A1502">
        <v>2025</v>
      </c>
      <c r="B1502">
        <v>8</v>
      </c>
      <c r="C1502" t="s">
        <v>80</v>
      </c>
      <c r="D1502" t="s">
        <v>22</v>
      </c>
      <c r="E1502" t="s">
        <v>35</v>
      </c>
      <c r="F1502" t="s">
        <v>24</v>
      </c>
      <c r="G1502" t="s">
        <v>25</v>
      </c>
      <c r="H1502" t="s">
        <v>26</v>
      </c>
      <c r="I1502" t="s">
        <v>26</v>
      </c>
      <c r="J1502">
        <v>342</v>
      </c>
      <c r="K1502">
        <v>0</v>
      </c>
      <c r="L1502">
        <v>0</v>
      </c>
      <c r="M1502">
        <v>0</v>
      </c>
      <c r="N1502">
        <v>104</v>
      </c>
      <c r="O1502">
        <v>94</v>
      </c>
      <c r="P1502">
        <v>86</v>
      </c>
      <c r="Q1502">
        <v>74</v>
      </c>
      <c r="R1502">
        <v>59</v>
      </c>
      <c r="S1502">
        <v>33</v>
      </c>
      <c r="T1502">
        <v>12</v>
      </c>
      <c r="U1502">
        <v>342</v>
      </c>
    </row>
    <row r="1503" spans="1:21" x14ac:dyDescent="0.25">
      <c r="A1503">
        <v>2025</v>
      </c>
      <c r="B1503">
        <v>8</v>
      </c>
      <c r="C1503" t="s">
        <v>80</v>
      </c>
      <c r="D1503" t="s">
        <v>22</v>
      </c>
      <c r="E1503" t="s">
        <v>87</v>
      </c>
      <c r="F1503" t="s">
        <v>28</v>
      </c>
      <c r="G1503" t="s">
        <v>25</v>
      </c>
      <c r="H1503" t="s">
        <v>25</v>
      </c>
      <c r="I1503" t="s">
        <v>25</v>
      </c>
      <c r="J1503">
        <v>204400</v>
      </c>
      <c r="K1503">
        <v>23</v>
      </c>
      <c r="L1503">
        <v>3758</v>
      </c>
      <c r="M1503">
        <v>3781</v>
      </c>
      <c r="N1503">
        <v>31452</v>
      </c>
      <c r="O1503">
        <v>17130</v>
      </c>
      <c r="P1503">
        <v>13499</v>
      </c>
      <c r="Q1503">
        <v>7093</v>
      </c>
      <c r="R1503">
        <v>4313</v>
      </c>
      <c r="S1503">
        <v>1524</v>
      </c>
      <c r="T1503">
        <v>336</v>
      </c>
      <c r="U1503">
        <v>201345</v>
      </c>
    </row>
    <row r="1504" spans="1:21" x14ac:dyDescent="0.25">
      <c r="A1504">
        <v>2025</v>
      </c>
      <c r="B1504">
        <v>8</v>
      </c>
      <c r="C1504" t="s">
        <v>80</v>
      </c>
      <c r="D1504" t="s">
        <v>22</v>
      </c>
      <c r="E1504" t="s">
        <v>87</v>
      </c>
      <c r="F1504" t="s">
        <v>24</v>
      </c>
      <c r="G1504" t="s">
        <v>25</v>
      </c>
      <c r="H1504" t="s">
        <v>25</v>
      </c>
      <c r="I1504" t="s">
        <v>25</v>
      </c>
      <c r="J1504">
        <v>4437</v>
      </c>
      <c r="K1504">
        <v>186</v>
      </c>
      <c r="L1504">
        <v>62</v>
      </c>
      <c r="M1504">
        <v>248</v>
      </c>
      <c r="N1504">
        <v>798</v>
      </c>
      <c r="O1504">
        <v>428</v>
      </c>
      <c r="P1504">
        <v>333</v>
      </c>
      <c r="Q1504">
        <v>154</v>
      </c>
      <c r="R1504">
        <v>75</v>
      </c>
      <c r="S1504">
        <v>16</v>
      </c>
      <c r="T1504">
        <v>5</v>
      </c>
      <c r="U1504">
        <v>4205</v>
      </c>
    </row>
    <row r="1505" spans="1:21" x14ac:dyDescent="0.25">
      <c r="A1505">
        <v>2025</v>
      </c>
      <c r="B1505">
        <v>8</v>
      </c>
      <c r="C1505" t="s">
        <v>80</v>
      </c>
      <c r="D1505" t="s">
        <v>22</v>
      </c>
      <c r="E1505" t="s">
        <v>87</v>
      </c>
      <c r="F1505" t="s">
        <v>29</v>
      </c>
      <c r="G1505" t="s">
        <v>25</v>
      </c>
      <c r="H1505" t="s">
        <v>25</v>
      </c>
      <c r="I1505" t="s">
        <v>25</v>
      </c>
      <c r="J1505">
        <v>15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</row>
    <row r="1506" spans="1:21" x14ac:dyDescent="0.25">
      <c r="A1506">
        <v>2025</v>
      </c>
      <c r="B1506">
        <v>8</v>
      </c>
      <c r="C1506" t="s">
        <v>80</v>
      </c>
      <c r="D1506" t="s">
        <v>22</v>
      </c>
      <c r="E1506" t="s">
        <v>36</v>
      </c>
      <c r="F1506" t="s">
        <v>24</v>
      </c>
      <c r="G1506" t="s">
        <v>25</v>
      </c>
      <c r="H1506" t="s">
        <v>26</v>
      </c>
      <c r="I1506" t="s">
        <v>25</v>
      </c>
      <c r="J1506">
        <v>203</v>
      </c>
      <c r="K1506">
        <v>1</v>
      </c>
      <c r="L1506">
        <v>0</v>
      </c>
      <c r="M1506">
        <v>1</v>
      </c>
      <c r="N1506">
        <v>53</v>
      </c>
      <c r="O1506">
        <v>42</v>
      </c>
      <c r="P1506">
        <v>40</v>
      </c>
      <c r="Q1506">
        <v>32</v>
      </c>
      <c r="R1506">
        <v>31</v>
      </c>
      <c r="S1506">
        <v>17</v>
      </c>
      <c r="T1506">
        <v>7</v>
      </c>
      <c r="U1506">
        <v>202</v>
      </c>
    </row>
    <row r="1507" spans="1:21" x14ac:dyDescent="0.25">
      <c r="A1507">
        <v>2025</v>
      </c>
      <c r="B1507">
        <v>8</v>
      </c>
      <c r="C1507" t="s">
        <v>80</v>
      </c>
      <c r="D1507" t="s">
        <v>22</v>
      </c>
      <c r="E1507" t="s">
        <v>41</v>
      </c>
      <c r="F1507" t="s">
        <v>24</v>
      </c>
      <c r="G1507" t="s">
        <v>26</v>
      </c>
      <c r="H1507" t="s">
        <v>26</v>
      </c>
      <c r="I1507" t="s">
        <v>25</v>
      </c>
      <c r="J1507">
        <v>3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3</v>
      </c>
    </row>
    <row r="1508" spans="1:21" x14ac:dyDescent="0.25">
      <c r="A1508">
        <v>2025</v>
      </c>
      <c r="B1508">
        <v>8</v>
      </c>
      <c r="C1508" t="s">
        <v>88</v>
      </c>
      <c r="D1508" t="s">
        <v>45</v>
      </c>
      <c r="E1508" t="s">
        <v>83</v>
      </c>
      <c r="F1508" t="s">
        <v>28</v>
      </c>
      <c r="G1508" t="s">
        <v>26</v>
      </c>
      <c r="H1508" t="s">
        <v>26</v>
      </c>
      <c r="I1508" t="s">
        <v>25</v>
      </c>
      <c r="J1508">
        <v>497</v>
      </c>
      <c r="K1508">
        <v>0</v>
      </c>
      <c r="L1508">
        <v>0</v>
      </c>
      <c r="M1508">
        <v>0</v>
      </c>
      <c r="N1508">
        <v>104</v>
      </c>
      <c r="O1508">
        <v>75</v>
      </c>
      <c r="P1508">
        <v>68</v>
      </c>
      <c r="Q1508">
        <v>52</v>
      </c>
      <c r="R1508">
        <v>38</v>
      </c>
      <c r="S1508">
        <v>23</v>
      </c>
      <c r="T1508">
        <v>13</v>
      </c>
      <c r="U1508">
        <v>497</v>
      </c>
    </row>
    <row r="1509" spans="1:21" x14ac:dyDescent="0.25">
      <c r="A1509">
        <v>2025</v>
      </c>
      <c r="B1509">
        <v>8</v>
      </c>
      <c r="C1509" t="s">
        <v>88</v>
      </c>
      <c r="D1509" t="s">
        <v>45</v>
      </c>
      <c r="E1509" t="s">
        <v>83</v>
      </c>
      <c r="F1509" t="s">
        <v>24</v>
      </c>
      <c r="G1509" t="s">
        <v>26</v>
      </c>
      <c r="H1509" t="s">
        <v>26</v>
      </c>
      <c r="I1509" t="s">
        <v>25</v>
      </c>
      <c r="J1509">
        <v>122</v>
      </c>
      <c r="K1509">
        <v>0</v>
      </c>
      <c r="L1509">
        <v>0</v>
      </c>
      <c r="M1509">
        <v>0</v>
      </c>
      <c r="N1509">
        <v>50</v>
      </c>
      <c r="O1509">
        <v>41</v>
      </c>
      <c r="P1509">
        <v>31</v>
      </c>
      <c r="Q1509">
        <v>20</v>
      </c>
      <c r="R1509">
        <v>16</v>
      </c>
      <c r="S1509">
        <v>9</v>
      </c>
      <c r="T1509">
        <v>3</v>
      </c>
      <c r="U1509">
        <v>122</v>
      </c>
    </row>
    <row r="1510" spans="1:21" x14ac:dyDescent="0.25">
      <c r="A1510">
        <v>2025</v>
      </c>
      <c r="B1510">
        <v>8</v>
      </c>
      <c r="C1510" t="s">
        <v>89</v>
      </c>
      <c r="D1510" t="s">
        <v>22</v>
      </c>
      <c r="E1510" t="s">
        <v>91</v>
      </c>
      <c r="F1510" t="s">
        <v>28</v>
      </c>
      <c r="G1510" t="s">
        <v>25</v>
      </c>
      <c r="H1510" t="s">
        <v>25</v>
      </c>
      <c r="I1510" t="s">
        <v>25</v>
      </c>
      <c r="J1510">
        <v>4028</v>
      </c>
      <c r="K1510">
        <v>0</v>
      </c>
      <c r="L1510">
        <v>1</v>
      </c>
      <c r="M1510">
        <v>1</v>
      </c>
      <c r="N1510">
        <v>2</v>
      </c>
      <c r="O1510">
        <v>1</v>
      </c>
      <c r="P1510">
        <v>1</v>
      </c>
      <c r="Q1510">
        <v>1</v>
      </c>
      <c r="R1510">
        <v>0</v>
      </c>
      <c r="S1510">
        <v>0</v>
      </c>
      <c r="T1510">
        <v>0</v>
      </c>
      <c r="U1510">
        <v>4028</v>
      </c>
    </row>
    <row r="1511" spans="1:21" x14ac:dyDescent="0.25">
      <c r="A1511">
        <v>2025</v>
      </c>
      <c r="B1511">
        <v>8</v>
      </c>
      <c r="C1511" t="s">
        <v>89</v>
      </c>
      <c r="D1511" t="s">
        <v>22</v>
      </c>
      <c r="E1511" t="s">
        <v>91</v>
      </c>
      <c r="F1511" t="s">
        <v>24</v>
      </c>
      <c r="G1511" t="s">
        <v>25</v>
      </c>
      <c r="H1511" t="s">
        <v>25</v>
      </c>
      <c r="I1511" t="s">
        <v>25</v>
      </c>
      <c r="J1511">
        <v>1274</v>
      </c>
      <c r="K1511">
        <v>0</v>
      </c>
      <c r="L1511">
        <v>1</v>
      </c>
      <c r="M1511">
        <v>1</v>
      </c>
      <c r="N1511">
        <v>1</v>
      </c>
      <c r="O1511">
        <v>1</v>
      </c>
      <c r="P1511">
        <v>1</v>
      </c>
      <c r="Q1511">
        <v>1</v>
      </c>
      <c r="R1511">
        <v>1</v>
      </c>
      <c r="S1511">
        <v>1</v>
      </c>
      <c r="T1511">
        <v>1</v>
      </c>
      <c r="U1511">
        <v>1274</v>
      </c>
    </row>
    <row r="1512" spans="1:21" x14ac:dyDescent="0.25">
      <c r="A1512">
        <v>2025</v>
      </c>
      <c r="B1512">
        <v>8</v>
      </c>
      <c r="C1512" t="s">
        <v>89</v>
      </c>
      <c r="D1512" t="s">
        <v>22</v>
      </c>
      <c r="E1512" t="s">
        <v>92</v>
      </c>
      <c r="F1512" t="s">
        <v>28</v>
      </c>
      <c r="G1512" t="s">
        <v>25</v>
      </c>
      <c r="H1512" t="s">
        <v>25</v>
      </c>
      <c r="I1512" t="s">
        <v>25</v>
      </c>
      <c r="J1512">
        <v>2232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2232</v>
      </c>
    </row>
    <row r="1513" spans="1:21" x14ac:dyDescent="0.25">
      <c r="A1513">
        <v>2025</v>
      </c>
      <c r="B1513">
        <v>8</v>
      </c>
      <c r="C1513" t="s">
        <v>89</v>
      </c>
      <c r="D1513" t="s">
        <v>22</v>
      </c>
      <c r="E1513" t="s">
        <v>31</v>
      </c>
      <c r="F1513" t="s">
        <v>24</v>
      </c>
      <c r="G1513" t="s">
        <v>25</v>
      </c>
      <c r="H1513" t="s">
        <v>25</v>
      </c>
      <c r="I1513" t="s">
        <v>25</v>
      </c>
      <c r="J1513">
        <v>268</v>
      </c>
      <c r="K1513">
        <v>0</v>
      </c>
      <c r="L1513">
        <v>8</v>
      </c>
      <c r="M1513">
        <v>8</v>
      </c>
      <c r="N1513">
        <v>66</v>
      </c>
      <c r="O1513">
        <v>63</v>
      </c>
      <c r="P1513">
        <v>56</v>
      </c>
      <c r="Q1513">
        <v>45</v>
      </c>
      <c r="R1513">
        <v>42</v>
      </c>
      <c r="S1513">
        <v>15</v>
      </c>
      <c r="T1513">
        <v>8</v>
      </c>
      <c r="U1513">
        <v>267</v>
      </c>
    </row>
    <row r="1514" spans="1:21" x14ac:dyDescent="0.25">
      <c r="A1514">
        <v>2025</v>
      </c>
      <c r="B1514">
        <v>8</v>
      </c>
      <c r="C1514" t="s">
        <v>89</v>
      </c>
      <c r="D1514" t="s">
        <v>22</v>
      </c>
      <c r="E1514" t="s">
        <v>83</v>
      </c>
      <c r="F1514" t="s">
        <v>28</v>
      </c>
      <c r="G1514" t="s">
        <v>26</v>
      </c>
      <c r="H1514" t="s">
        <v>26</v>
      </c>
      <c r="I1514" t="s">
        <v>25</v>
      </c>
      <c r="J1514">
        <v>2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2</v>
      </c>
    </row>
    <row r="1515" spans="1:21" x14ac:dyDescent="0.25">
      <c r="A1515">
        <v>2025</v>
      </c>
      <c r="B1515">
        <v>8</v>
      </c>
      <c r="C1515" t="s">
        <v>89</v>
      </c>
      <c r="D1515" t="s">
        <v>22</v>
      </c>
      <c r="E1515" t="s">
        <v>95</v>
      </c>
      <c r="F1515" t="s">
        <v>28</v>
      </c>
      <c r="G1515" t="s">
        <v>25</v>
      </c>
      <c r="H1515" t="s">
        <v>25</v>
      </c>
      <c r="I1515" t="s">
        <v>25</v>
      </c>
      <c r="J1515">
        <v>62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62</v>
      </c>
    </row>
    <row r="1516" spans="1:21" x14ac:dyDescent="0.25">
      <c r="A1516">
        <v>2025</v>
      </c>
      <c r="B1516">
        <v>8</v>
      </c>
      <c r="C1516" t="s">
        <v>89</v>
      </c>
      <c r="D1516" t="s">
        <v>22</v>
      </c>
      <c r="E1516" t="s">
        <v>95</v>
      </c>
      <c r="F1516" t="s">
        <v>24</v>
      </c>
      <c r="G1516" t="s">
        <v>25</v>
      </c>
      <c r="H1516" t="s">
        <v>25</v>
      </c>
      <c r="I1516" t="s">
        <v>25</v>
      </c>
      <c r="J1516">
        <v>117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117</v>
      </c>
    </row>
    <row r="1517" spans="1:21" x14ac:dyDescent="0.25">
      <c r="A1517">
        <v>2025</v>
      </c>
      <c r="B1517">
        <v>8</v>
      </c>
      <c r="C1517" t="s">
        <v>89</v>
      </c>
      <c r="D1517" t="s">
        <v>22</v>
      </c>
      <c r="E1517" t="s">
        <v>23</v>
      </c>
      <c r="F1517" t="s">
        <v>24</v>
      </c>
      <c r="G1517" t="s">
        <v>25</v>
      </c>
      <c r="H1517" t="s">
        <v>25</v>
      </c>
      <c r="I1517" t="s">
        <v>25</v>
      </c>
      <c r="J1517">
        <v>44</v>
      </c>
      <c r="K1517">
        <v>1</v>
      </c>
      <c r="L1517">
        <v>0</v>
      </c>
      <c r="M1517">
        <v>1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43</v>
      </c>
    </row>
    <row r="1518" spans="1:21" x14ac:dyDescent="0.25">
      <c r="A1518">
        <v>2025</v>
      </c>
      <c r="B1518">
        <v>8</v>
      </c>
      <c r="C1518" t="s">
        <v>89</v>
      </c>
      <c r="D1518" t="s">
        <v>22</v>
      </c>
      <c r="E1518" t="s">
        <v>103</v>
      </c>
      <c r="F1518" t="s">
        <v>28</v>
      </c>
      <c r="G1518" t="s">
        <v>25</v>
      </c>
      <c r="H1518" t="s">
        <v>25</v>
      </c>
      <c r="I1518" t="s">
        <v>25</v>
      </c>
      <c r="J1518">
        <v>2</v>
      </c>
      <c r="K1518">
        <v>0</v>
      </c>
      <c r="L1518">
        <v>0</v>
      </c>
      <c r="M1518">
        <v>0</v>
      </c>
      <c r="N1518">
        <v>2</v>
      </c>
      <c r="O1518">
        <v>1</v>
      </c>
      <c r="P1518">
        <v>1</v>
      </c>
      <c r="Q1518">
        <v>1</v>
      </c>
      <c r="R1518">
        <v>0</v>
      </c>
      <c r="S1518">
        <v>0</v>
      </c>
      <c r="T1518">
        <v>0</v>
      </c>
      <c r="U1518">
        <v>2</v>
      </c>
    </row>
    <row r="1519" spans="1:21" x14ac:dyDescent="0.25">
      <c r="A1519">
        <v>2025</v>
      </c>
      <c r="B1519">
        <v>8</v>
      </c>
      <c r="C1519" t="s">
        <v>89</v>
      </c>
      <c r="D1519" t="s">
        <v>22</v>
      </c>
      <c r="E1519" t="s">
        <v>107</v>
      </c>
      <c r="F1519" t="s">
        <v>28</v>
      </c>
      <c r="G1519" t="s">
        <v>25</v>
      </c>
      <c r="H1519" t="s">
        <v>25</v>
      </c>
      <c r="I1519" t="s">
        <v>25</v>
      </c>
      <c r="J1519">
        <v>23</v>
      </c>
      <c r="K1519">
        <v>1</v>
      </c>
      <c r="L1519">
        <v>0</v>
      </c>
      <c r="M1519">
        <v>1</v>
      </c>
      <c r="N1519">
        <v>15</v>
      </c>
      <c r="O1519">
        <v>15</v>
      </c>
      <c r="P1519">
        <v>15</v>
      </c>
      <c r="Q1519">
        <v>10</v>
      </c>
      <c r="R1519">
        <v>8</v>
      </c>
      <c r="S1519">
        <v>5</v>
      </c>
      <c r="T1519">
        <v>4</v>
      </c>
      <c r="U1519">
        <v>22</v>
      </c>
    </row>
    <row r="1520" spans="1:21" x14ac:dyDescent="0.25">
      <c r="A1520">
        <v>2025</v>
      </c>
      <c r="B1520">
        <v>8</v>
      </c>
      <c r="C1520" t="s">
        <v>89</v>
      </c>
      <c r="D1520" t="s">
        <v>22</v>
      </c>
      <c r="E1520" t="s">
        <v>97</v>
      </c>
      <c r="F1520" t="s">
        <v>28</v>
      </c>
      <c r="G1520" t="s">
        <v>25</v>
      </c>
      <c r="H1520" t="s">
        <v>25</v>
      </c>
      <c r="I1520" t="s">
        <v>25</v>
      </c>
      <c r="J1520">
        <v>12</v>
      </c>
      <c r="K1520">
        <v>0</v>
      </c>
      <c r="L1520">
        <v>1</v>
      </c>
      <c r="M1520">
        <v>1</v>
      </c>
      <c r="N1520">
        <v>3</v>
      </c>
      <c r="O1520">
        <v>3</v>
      </c>
      <c r="P1520">
        <v>3</v>
      </c>
      <c r="Q1520">
        <v>3</v>
      </c>
      <c r="R1520">
        <v>2</v>
      </c>
      <c r="S1520">
        <v>2</v>
      </c>
      <c r="T1520">
        <v>1</v>
      </c>
      <c r="U1520">
        <v>12</v>
      </c>
    </row>
    <row r="1521" spans="1:21" x14ac:dyDescent="0.25">
      <c r="A1521">
        <v>2025</v>
      </c>
      <c r="B1521">
        <v>8</v>
      </c>
      <c r="C1521" t="s">
        <v>89</v>
      </c>
      <c r="D1521" t="s">
        <v>22</v>
      </c>
      <c r="E1521" t="s">
        <v>97</v>
      </c>
      <c r="F1521" t="s">
        <v>24</v>
      </c>
      <c r="G1521" t="s">
        <v>25</v>
      </c>
      <c r="H1521" t="s">
        <v>25</v>
      </c>
      <c r="I1521" t="s">
        <v>25</v>
      </c>
      <c r="J1521">
        <v>48</v>
      </c>
      <c r="K1521">
        <v>0</v>
      </c>
      <c r="L1521">
        <v>1</v>
      </c>
      <c r="M1521">
        <v>1</v>
      </c>
      <c r="N1521">
        <v>34</v>
      </c>
      <c r="O1521">
        <v>32</v>
      </c>
      <c r="P1521">
        <v>31</v>
      </c>
      <c r="Q1521">
        <v>30</v>
      </c>
      <c r="R1521">
        <v>26</v>
      </c>
      <c r="S1521">
        <v>17</v>
      </c>
      <c r="T1521">
        <v>8</v>
      </c>
      <c r="U1521">
        <v>48</v>
      </c>
    </row>
    <row r="1522" spans="1:21" x14ac:dyDescent="0.25">
      <c r="A1522">
        <v>2025</v>
      </c>
      <c r="B1522">
        <v>8</v>
      </c>
      <c r="C1522" t="s">
        <v>89</v>
      </c>
      <c r="D1522" t="s">
        <v>22</v>
      </c>
      <c r="F1522" t="s">
        <v>28</v>
      </c>
      <c r="G1522" t="s">
        <v>25</v>
      </c>
      <c r="H1522" t="s">
        <v>25</v>
      </c>
      <c r="I1522" t="s">
        <v>25</v>
      </c>
      <c r="J1522">
        <v>21</v>
      </c>
      <c r="K1522">
        <v>0</v>
      </c>
      <c r="L1522">
        <v>2</v>
      </c>
      <c r="M1522">
        <v>2</v>
      </c>
      <c r="N1522">
        <v>7</v>
      </c>
      <c r="O1522">
        <v>6</v>
      </c>
      <c r="P1522">
        <v>6</v>
      </c>
      <c r="Q1522">
        <v>6</v>
      </c>
      <c r="R1522">
        <v>6</v>
      </c>
      <c r="S1522">
        <v>4</v>
      </c>
      <c r="T1522">
        <v>1</v>
      </c>
      <c r="U1522">
        <v>19</v>
      </c>
    </row>
    <row r="1523" spans="1:21" x14ac:dyDescent="0.25">
      <c r="A1523">
        <v>2025</v>
      </c>
      <c r="B1523">
        <v>8</v>
      </c>
      <c r="C1523" t="s">
        <v>89</v>
      </c>
      <c r="D1523" t="s">
        <v>22</v>
      </c>
      <c r="F1523" t="s">
        <v>24</v>
      </c>
      <c r="G1523" t="s">
        <v>25</v>
      </c>
      <c r="H1523" t="s">
        <v>25</v>
      </c>
      <c r="I1523" t="s">
        <v>25</v>
      </c>
      <c r="J1523">
        <v>44</v>
      </c>
      <c r="K1523">
        <v>0</v>
      </c>
      <c r="L1523">
        <v>1</v>
      </c>
      <c r="M1523">
        <v>1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43</v>
      </c>
    </row>
    <row r="1524" spans="1:21" x14ac:dyDescent="0.25">
      <c r="A1524">
        <v>2025</v>
      </c>
      <c r="B1524">
        <v>8</v>
      </c>
      <c r="C1524" t="s">
        <v>98</v>
      </c>
      <c r="D1524" t="s">
        <v>22</v>
      </c>
      <c r="E1524" t="s">
        <v>31</v>
      </c>
      <c r="F1524" t="s">
        <v>24</v>
      </c>
      <c r="G1524" t="s">
        <v>25</v>
      </c>
      <c r="H1524" t="s">
        <v>25</v>
      </c>
      <c r="I1524" t="s">
        <v>25</v>
      </c>
      <c r="J1524">
        <v>62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62</v>
      </c>
    </row>
    <row r="1525" spans="1:21" x14ac:dyDescent="0.25">
      <c r="A1525">
        <v>2025</v>
      </c>
      <c r="B1525">
        <v>8</v>
      </c>
      <c r="C1525" t="s">
        <v>98</v>
      </c>
      <c r="D1525" t="s">
        <v>22</v>
      </c>
      <c r="E1525" t="s">
        <v>32</v>
      </c>
      <c r="F1525" t="s">
        <v>24</v>
      </c>
      <c r="G1525" t="s">
        <v>25</v>
      </c>
      <c r="H1525" t="s">
        <v>25</v>
      </c>
      <c r="I1525" t="s">
        <v>25</v>
      </c>
      <c r="J1525">
        <v>62</v>
      </c>
      <c r="K1525">
        <v>0</v>
      </c>
      <c r="L1525">
        <v>0</v>
      </c>
      <c r="M1525">
        <v>0</v>
      </c>
      <c r="N1525">
        <v>2</v>
      </c>
      <c r="O1525">
        <v>2</v>
      </c>
      <c r="P1525">
        <v>2</v>
      </c>
      <c r="Q1525">
        <v>1</v>
      </c>
      <c r="R1525">
        <v>1</v>
      </c>
      <c r="S1525">
        <v>0</v>
      </c>
      <c r="T1525">
        <v>0</v>
      </c>
      <c r="U1525">
        <v>62</v>
      </c>
    </row>
    <row r="1526" spans="1:21" x14ac:dyDescent="0.25">
      <c r="A1526">
        <v>2025</v>
      </c>
      <c r="B1526">
        <v>8</v>
      </c>
      <c r="C1526" t="s">
        <v>99</v>
      </c>
      <c r="D1526" t="s">
        <v>45</v>
      </c>
      <c r="E1526" t="s">
        <v>100</v>
      </c>
      <c r="F1526" t="s">
        <v>28</v>
      </c>
      <c r="G1526" t="s">
        <v>25</v>
      </c>
      <c r="H1526" t="s">
        <v>26</v>
      </c>
      <c r="I1526" t="s">
        <v>25</v>
      </c>
      <c r="J1526">
        <v>1569</v>
      </c>
      <c r="K1526">
        <v>0</v>
      </c>
      <c r="L1526">
        <v>0</v>
      </c>
      <c r="M1526">
        <v>0</v>
      </c>
      <c r="N1526">
        <v>1</v>
      </c>
      <c r="O1526">
        <v>1</v>
      </c>
      <c r="P1526">
        <v>1</v>
      </c>
      <c r="Q1526">
        <v>1</v>
      </c>
      <c r="R1526">
        <v>1</v>
      </c>
      <c r="S1526">
        <v>1</v>
      </c>
      <c r="T1526">
        <v>1</v>
      </c>
      <c r="U1526">
        <v>1569</v>
      </c>
    </row>
    <row r="1527" spans="1:21" x14ac:dyDescent="0.25">
      <c r="A1527">
        <v>2025</v>
      </c>
      <c r="B1527">
        <v>8</v>
      </c>
      <c r="C1527" t="s">
        <v>99</v>
      </c>
      <c r="D1527" t="s">
        <v>45</v>
      </c>
      <c r="E1527" t="s">
        <v>100</v>
      </c>
      <c r="F1527" t="s">
        <v>24</v>
      </c>
      <c r="G1527" t="s">
        <v>25</v>
      </c>
      <c r="H1527" t="s">
        <v>26</v>
      </c>
      <c r="I1527" t="s">
        <v>25</v>
      </c>
      <c r="J1527">
        <v>312</v>
      </c>
      <c r="K1527">
        <v>0</v>
      </c>
      <c r="L1527">
        <v>16</v>
      </c>
      <c r="M1527">
        <v>16</v>
      </c>
      <c r="N1527">
        <v>172</v>
      </c>
      <c r="O1527">
        <v>147</v>
      </c>
      <c r="P1527">
        <v>136</v>
      </c>
      <c r="Q1527">
        <v>104</v>
      </c>
      <c r="R1527">
        <v>86</v>
      </c>
      <c r="S1527">
        <v>38</v>
      </c>
      <c r="T1527">
        <v>16</v>
      </c>
      <c r="U1527">
        <v>312</v>
      </c>
    </row>
    <row r="1528" spans="1:21" x14ac:dyDescent="0.25">
      <c r="A1528">
        <v>2025</v>
      </c>
      <c r="B1528">
        <v>8</v>
      </c>
      <c r="C1528" t="s">
        <v>101</v>
      </c>
      <c r="D1528" t="s">
        <v>22</v>
      </c>
      <c r="E1528" t="s">
        <v>32</v>
      </c>
      <c r="F1528" t="s">
        <v>24</v>
      </c>
      <c r="G1528" t="s">
        <v>25</v>
      </c>
      <c r="H1528" t="s">
        <v>25</v>
      </c>
      <c r="I1528" t="s">
        <v>25</v>
      </c>
      <c r="J1528">
        <v>55</v>
      </c>
      <c r="K1528">
        <v>1</v>
      </c>
      <c r="L1528">
        <v>0</v>
      </c>
      <c r="M1528">
        <v>1</v>
      </c>
      <c r="N1528">
        <v>53</v>
      </c>
      <c r="O1528">
        <v>53</v>
      </c>
      <c r="P1528">
        <v>53</v>
      </c>
      <c r="Q1528">
        <v>48</v>
      </c>
      <c r="R1528">
        <v>39</v>
      </c>
      <c r="S1528">
        <v>17</v>
      </c>
      <c r="T1528">
        <v>3</v>
      </c>
      <c r="U1528">
        <v>54</v>
      </c>
    </row>
    <row r="1529" spans="1:21" x14ac:dyDescent="0.25">
      <c r="A1529">
        <v>2025</v>
      </c>
      <c r="B1529">
        <v>8</v>
      </c>
      <c r="C1529" t="s">
        <v>101</v>
      </c>
      <c r="D1529" t="s">
        <v>22</v>
      </c>
      <c r="E1529" t="s">
        <v>34</v>
      </c>
      <c r="F1529" t="s">
        <v>24</v>
      </c>
      <c r="G1529" t="s">
        <v>25</v>
      </c>
      <c r="H1529" t="s">
        <v>26</v>
      </c>
      <c r="I1529" t="s">
        <v>26</v>
      </c>
      <c r="J1529">
        <v>89</v>
      </c>
      <c r="K1529">
        <v>0</v>
      </c>
      <c r="L1529">
        <v>0</v>
      </c>
      <c r="M1529">
        <v>0</v>
      </c>
      <c r="N1529">
        <v>20</v>
      </c>
      <c r="O1529">
        <v>19</v>
      </c>
      <c r="P1529">
        <v>19</v>
      </c>
      <c r="Q1529">
        <v>15</v>
      </c>
      <c r="R1529">
        <v>13</v>
      </c>
      <c r="S1529">
        <v>6</v>
      </c>
      <c r="T1529">
        <v>2</v>
      </c>
      <c r="U1529">
        <v>89</v>
      </c>
    </row>
    <row r="1530" spans="1:21" x14ac:dyDescent="0.25">
      <c r="A1530">
        <v>2025</v>
      </c>
      <c r="B1530">
        <v>8</v>
      </c>
      <c r="C1530" t="s">
        <v>101</v>
      </c>
      <c r="D1530" t="s">
        <v>22</v>
      </c>
      <c r="E1530" t="s">
        <v>35</v>
      </c>
      <c r="F1530" t="s">
        <v>24</v>
      </c>
      <c r="G1530" t="s">
        <v>25</v>
      </c>
      <c r="H1530" t="s">
        <v>26</v>
      </c>
      <c r="I1530" t="s">
        <v>26</v>
      </c>
      <c r="J1530">
        <v>4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4</v>
      </c>
    </row>
    <row r="1531" spans="1:21" x14ac:dyDescent="0.25">
      <c r="A1531">
        <v>2025</v>
      </c>
      <c r="B1531">
        <v>8</v>
      </c>
      <c r="C1531" t="s">
        <v>101</v>
      </c>
      <c r="D1531" t="s">
        <v>22</v>
      </c>
      <c r="E1531" t="s">
        <v>41</v>
      </c>
      <c r="F1531" t="s">
        <v>24</v>
      </c>
      <c r="G1531" t="s">
        <v>26</v>
      </c>
      <c r="H1531" t="s">
        <v>26</v>
      </c>
      <c r="I1531" t="s">
        <v>25</v>
      </c>
      <c r="J1531">
        <v>62</v>
      </c>
      <c r="K1531">
        <v>0</v>
      </c>
      <c r="L1531">
        <v>0</v>
      </c>
      <c r="M1531">
        <v>0</v>
      </c>
      <c r="N1531">
        <v>5</v>
      </c>
      <c r="O1531">
        <v>5</v>
      </c>
      <c r="P1531">
        <v>5</v>
      </c>
      <c r="Q1531">
        <v>4</v>
      </c>
      <c r="R1531">
        <v>3</v>
      </c>
      <c r="S1531">
        <v>2</v>
      </c>
      <c r="T1531">
        <v>0</v>
      </c>
      <c r="U1531">
        <v>62</v>
      </c>
    </row>
    <row r="1532" spans="1:21" x14ac:dyDescent="0.25">
      <c r="A1532">
        <v>2025</v>
      </c>
      <c r="B1532">
        <v>9</v>
      </c>
      <c r="C1532" t="s">
        <v>21</v>
      </c>
      <c r="D1532" t="s">
        <v>22</v>
      </c>
      <c r="E1532" t="s">
        <v>23</v>
      </c>
      <c r="F1532" t="s">
        <v>24</v>
      </c>
      <c r="G1532" t="s">
        <v>25</v>
      </c>
      <c r="H1532" t="s">
        <v>26</v>
      </c>
      <c r="I1532" t="s">
        <v>25</v>
      </c>
      <c r="J1532">
        <v>1324</v>
      </c>
      <c r="K1532">
        <v>18</v>
      </c>
      <c r="L1532">
        <v>0</v>
      </c>
      <c r="M1532">
        <v>18</v>
      </c>
      <c r="N1532">
        <v>105</v>
      </c>
      <c r="O1532">
        <v>59</v>
      </c>
      <c r="P1532">
        <v>44</v>
      </c>
      <c r="Q1532">
        <v>21</v>
      </c>
      <c r="R1532">
        <v>13</v>
      </c>
      <c r="S1532">
        <v>5</v>
      </c>
      <c r="T1532">
        <v>0</v>
      </c>
      <c r="U1532">
        <v>1306</v>
      </c>
    </row>
    <row r="1533" spans="1:21" x14ac:dyDescent="0.25">
      <c r="A1533">
        <v>2025</v>
      </c>
      <c r="B1533">
        <v>9</v>
      </c>
      <c r="C1533" t="s">
        <v>21</v>
      </c>
      <c r="D1533" t="s">
        <v>22</v>
      </c>
      <c r="E1533" t="s">
        <v>27</v>
      </c>
      <c r="F1533" t="s">
        <v>24</v>
      </c>
      <c r="G1533" t="s">
        <v>26</v>
      </c>
      <c r="H1533" t="s">
        <v>26</v>
      </c>
      <c r="I1533" t="s">
        <v>25</v>
      </c>
      <c r="J1533">
        <v>75</v>
      </c>
      <c r="K1533">
        <v>1</v>
      </c>
      <c r="L1533">
        <v>0</v>
      </c>
      <c r="M1533">
        <v>1</v>
      </c>
      <c r="N1533">
        <v>40</v>
      </c>
      <c r="O1533">
        <v>17</v>
      </c>
      <c r="P1533">
        <v>17</v>
      </c>
      <c r="Q1533">
        <v>16</v>
      </c>
      <c r="R1533">
        <v>7</v>
      </c>
      <c r="S1533">
        <v>2</v>
      </c>
      <c r="T1533">
        <v>1</v>
      </c>
      <c r="U1533">
        <v>74</v>
      </c>
    </row>
    <row r="1534" spans="1:21" x14ac:dyDescent="0.25">
      <c r="A1534">
        <v>2025</v>
      </c>
      <c r="B1534">
        <v>9</v>
      </c>
      <c r="C1534" t="s">
        <v>21</v>
      </c>
      <c r="D1534" t="s">
        <v>22</v>
      </c>
      <c r="E1534" t="s">
        <v>27</v>
      </c>
      <c r="F1534" t="s">
        <v>29</v>
      </c>
      <c r="G1534" t="s">
        <v>26</v>
      </c>
      <c r="H1534" t="s">
        <v>26</v>
      </c>
      <c r="I1534" t="s">
        <v>25</v>
      </c>
      <c r="J1534">
        <v>7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</row>
    <row r="1535" spans="1:21" x14ac:dyDescent="0.25">
      <c r="A1535">
        <v>2025</v>
      </c>
      <c r="B1535">
        <v>9</v>
      </c>
      <c r="C1535" t="s">
        <v>30</v>
      </c>
      <c r="D1535" t="s">
        <v>22</v>
      </c>
      <c r="E1535" t="s">
        <v>31</v>
      </c>
      <c r="F1535" t="s">
        <v>24</v>
      </c>
      <c r="G1535" t="s">
        <v>25</v>
      </c>
      <c r="H1535" t="s">
        <v>25</v>
      </c>
      <c r="I1535" t="s">
        <v>25</v>
      </c>
      <c r="J1535">
        <v>60</v>
      </c>
      <c r="K1535">
        <v>0</v>
      </c>
      <c r="L1535">
        <v>0</v>
      </c>
      <c r="M1535">
        <v>0</v>
      </c>
      <c r="N1535">
        <v>1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60</v>
      </c>
    </row>
    <row r="1536" spans="1:21" x14ac:dyDescent="0.25">
      <c r="A1536">
        <v>2025</v>
      </c>
      <c r="B1536">
        <v>9</v>
      </c>
      <c r="C1536" t="s">
        <v>33</v>
      </c>
      <c r="D1536" t="s">
        <v>22</v>
      </c>
      <c r="E1536" t="s">
        <v>32</v>
      </c>
      <c r="F1536" t="s">
        <v>24</v>
      </c>
      <c r="G1536" t="s">
        <v>25</v>
      </c>
      <c r="H1536" t="s">
        <v>25</v>
      </c>
      <c r="I1536" t="s">
        <v>25</v>
      </c>
      <c r="J1536">
        <v>908</v>
      </c>
      <c r="K1536">
        <v>0</v>
      </c>
      <c r="L1536">
        <v>0</v>
      </c>
      <c r="M1536">
        <v>0</v>
      </c>
      <c r="N1536">
        <v>280</v>
      </c>
      <c r="O1536">
        <v>235</v>
      </c>
      <c r="P1536">
        <v>210</v>
      </c>
      <c r="Q1536">
        <v>157</v>
      </c>
      <c r="R1536">
        <v>104</v>
      </c>
      <c r="S1536">
        <v>52</v>
      </c>
      <c r="T1536">
        <v>16</v>
      </c>
      <c r="U1536">
        <v>908</v>
      </c>
    </row>
    <row r="1537" spans="1:21" x14ac:dyDescent="0.25">
      <c r="A1537">
        <v>2025</v>
      </c>
      <c r="B1537">
        <v>9</v>
      </c>
      <c r="C1537" t="s">
        <v>33</v>
      </c>
      <c r="D1537" t="s">
        <v>22</v>
      </c>
      <c r="E1537" t="s">
        <v>34</v>
      </c>
      <c r="F1537" t="s">
        <v>24</v>
      </c>
      <c r="G1537" t="s">
        <v>25</v>
      </c>
      <c r="H1537" t="s">
        <v>26</v>
      </c>
      <c r="I1537" t="s">
        <v>26</v>
      </c>
      <c r="J1537">
        <v>179</v>
      </c>
      <c r="K1537">
        <v>4</v>
      </c>
      <c r="L1537">
        <v>0</v>
      </c>
      <c r="M1537">
        <v>4</v>
      </c>
      <c r="N1537">
        <v>112</v>
      </c>
      <c r="O1537">
        <v>102</v>
      </c>
      <c r="P1537">
        <v>97</v>
      </c>
      <c r="Q1537">
        <v>81</v>
      </c>
      <c r="R1537">
        <v>62</v>
      </c>
      <c r="S1537">
        <v>35</v>
      </c>
      <c r="T1537">
        <v>13</v>
      </c>
      <c r="U1537">
        <v>175</v>
      </c>
    </row>
    <row r="1538" spans="1:21" x14ac:dyDescent="0.25">
      <c r="A1538">
        <v>2025</v>
      </c>
      <c r="B1538">
        <v>9</v>
      </c>
      <c r="C1538" t="s">
        <v>33</v>
      </c>
      <c r="D1538" t="s">
        <v>22</v>
      </c>
      <c r="E1538" t="s">
        <v>23</v>
      </c>
      <c r="F1538" t="s">
        <v>24</v>
      </c>
      <c r="G1538" t="s">
        <v>25</v>
      </c>
      <c r="H1538" t="s">
        <v>25</v>
      </c>
      <c r="I1538" t="s">
        <v>25</v>
      </c>
      <c r="J1538">
        <v>240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240</v>
      </c>
    </row>
    <row r="1539" spans="1:21" x14ac:dyDescent="0.25">
      <c r="A1539">
        <v>2025</v>
      </c>
      <c r="B1539">
        <v>9</v>
      </c>
      <c r="C1539" t="s">
        <v>33</v>
      </c>
      <c r="D1539" t="s">
        <v>22</v>
      </c>
      <c r="E1539" t="s">
        <v>23</v>
      </c>
      <c r="F1539" t="s">
        <v>24</v>
      </c>
      <c r="G1539" t="s">
        <v>25</v>
      </c>
      <c r="H1539" t="s">
        <v>26</v>
      </c>
      <c r="I1539" t="s">
        <v>25</v>
      </c>
      <c r="J1539">
        <v>60</v>
      </c>
      <c r="K1539">
        <v>0</v>
      </c>
      <c r="L1539">
        <v>0</v>
      </c>
      <c r="M1539">
        <v>0</v>
      </c>
      <c r="N1539">
        <v>13</v>
      </c>
      <c r="O1539">
        <v>10</v>
      </c>
      <c r="P1539">
        <v>10</v>
      </c>
      <c r="Q1539">
        <v>8</v>
      </c>
      <c r="R1539">
        <v>8</v>
      </c>
      <c r="S1539">
        <v>4</v>
      </c>
      <c r="T1539">
        <v>1</v>
      </c>
      <c r="U1539">
        <v>60</v>
      </c>
    </row>
    <row r="1540" spans="1:21" x14ac:dyDescent="0.25">
      <c r="A1540">
        <v>2025</v>
      </c>
      <c r="B1540">
        <v>9</v>
      </c>
      <c r="C1540" t="s">
        <v>33</v>
      </c>
      <c r="D1540" t="s">
        <v>22</v>
      </c>
      <c r="E1540" t="s">
        <v>35</v>
      </c>
      <c r="F1540" t="s">
        <v>24</v>
      </c>
      <c r="G1540" t="s">
        <v>25</v>
      </c>
      <c r="H1540" t="s">
        <v>26</v>
      </c>
      <c r="I1540" t="s">
        <v>26</v>
      </c>
      <c r="J1540">
        <v>60</v>
      </c>
      <c r="K1540">
        <v>0</v>
      </c>
      <c r="L1540">
        <v>0</v>
      </c>
      <c r="M1540">
        <v>0</v>
      </c>
      <c r="N1540">
        <v>54</v>
      </c>
      <c r="O1540">
        <v>51</v>
      </c>
      <c r="P1540">
        <v>48</v>
      </c>
      <c r="Q1540">
        <v>40</v>
      </c>
      <c r="R1540">
        <v>34</v>
      </c>
      <c r="S1540">
        <v>20</v>
      </c>
      <c r="T1540">
        <v>8</v>
      </c>
      <c r="U1540">
        <v>60</v>
      </c>
    </row>
    <row r="1541" spans="1:21" x14ac:dyDescent="0.25">
      <c r="A1541">
        <v>2025</v>
      </c>
      <c r="B1541">
        <v>9</v>
      </c>
      <c r="C1541" t="s">
        <v>33</v>
      </c>
      <c r="D1541" t="s">
        <v>22</v>
      </c>
      <c r="E1541" t="s">
        <v>36</v>
      </c>
      <c r="F1541" t="s">
        <v>24</v>
      </c>
      <c r="G1541" t="s">
        <v>25</v>
      </c>
      <c r="H1541" t="s">
        <v>26</v>
      </c>
      <c r="I1541" t="s">
        <v>25</v>
      </c>
      <c r="J1541">
        <v>480</v>
      </c>
      <c r="K1541">
        <v>0</v>
      </c>
      <c r="L1541">
        <v>0</v>
      </c>
      <c r="M1541">
        <v>0</v>
      </c>
      <c r="N1541">
        <v>60</v>
      </c>
      <c r="O1541">
        <v>57</v>
      </c>
      <c r="P1541">
        <v>55</v>
      </c>
      <c r="Q1541">
        <v>33</v>
      </c>
      <c r="R1541">
        <v>19</v>
      </c>
      <c r="S1541">
        <v>7</v>
      </c>
      <c r="T1541">
        <v>1</v>
      </c>
      <c r="U1541">
        <v>480</v>
      </c>
    </row>
    <row r="1542" spans="1:21" x14ac:dyDescent="0.25">
      <c r="A1542">
        <v>2025</v>
      </c>
      <c r="B1542">
        <v>9</v>
      </c>
      <c r="C1542" t="s">
        <v>37</v>
      </c>
      <c r="D1542" t="s">
        <v>22</v>
      </c>
      <c r="E1542" t="s">
        <v>32</v>
      </c>
      <c r="F1542" t="s">
        <v>28</v>
      </c>
      <c r="G1542" t="s">
        <v>25</v>
      </c>
      <c r="H1542" t="s">
        <v>26</v>
      </c>
      <c r="I1542" t="s">
        <v>25</v>
      </c>
      <c r="J1542">
        <v>1</v>
      </c>
      <c r="K1542">
        <v>1</v>
      </c>
      <c r="L1542">
        <v>0</v>
      </c>
      <c r="M1542">
        <v>1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</row>
    <row r="1543" spans="1:21" x14ac:dyDescent="0.25">
      <c r="A1543">
        <v>2025</v>
      </c>
      <c r="B1543">
        <v>9</v>
      </c>
      <c r="C1543" t="s">
        <v>37</v>
      </c>
      <c r="D1543" t="s">
        <v>22</v>
      </c>
      <c r="E1543" t="s">
        <v>32</v>
      </c>
      <c r="F1543" t="s">
        <v>24</v>
      </c>
      <c r="G1543" t="s">
        <v>25</v>
      </c>
      <c r="H1543" t="s">
        <v>26</v>
      </c>
      <c r="I1543" t="s">
        <v>25</v>
      </c>
      <c r="J1543">
        <v>1966</v>
      </c>
      <c r="K1543">
        <v>13</v>
      </c>
      <c r="L1543">
        <v>49</v>
      </c>
      <c r="M1543">
        <v>62</v>
      </c>
      <c r="N1543">
        <v>1091</v>
      </c>
      <c r="O1543">
        <v>914</v>
      </c>
      <c r="P1543">
        <v>844</v>
      </c>
      <c r="Q1543">
        <v>647</v>
      </c>
      <c r="R1543">
        <v>492</v>
      </c>
      <c r="S1543">
        <v>280</v>
      </c>
      <c r="T1543">
        <v>78</v>
      </c>
      <c r="U1543">
        <v>1933</v>
      </c>
    </row>
    <row r="1544" spans="1:21" x14ac:dyDescent="0.25">
      <c r="A1544">
        <v>2025</v>
      </c>
      <c r="B1544">
        <v>9</v>
      </c>
      <c r="C1544" t="s">
        <v>37</v>
      </c>
      <c r="D1544" t="s">
        <v>22</v>
      </c>
      <c r="E1544" t="s">
        <v>38</v>
      </c>
      <c r="F1544" t="s">
        <v>24</v>
      </c>
      <c r="G1544" t="s">
        <v>25</v>
      </c>
      <c r="H1544" t="s">
        <v>26</v>
      </c>
      <c r="I1544" t="s">
        <v>25</v>
      </c>
      <c r="J1544">
        <v>54</v>
      </c>
      <c r="K1544">
        <v>0</v>
      </c>
      <c r="L1544">
        <v>1</v>
      </c>
      <c r="M1544">
        <v>1</v>
      </c>
      <c r="N1544">
        <v>41</v>
      </c>
      <c r="O1544">
        <v>33</v>
      </c>
      <c r="P1544">
        <v>32</v>
      </c>
      <c r="Q1544">
        <v>23</v>
      </c>
      <c r="R1544">
        <v>15</v>
      </c>
      <c r="S1544">
        <v>9</v>
      </c>
      <c r="T1544">
        <v>3</v>
      </c>
      <c r="U1544">
        <v>54</v>
      </c>
    </row>
    <row r="1545" spans="1:21" x14ac:dyDescent="0.25">
      <c r="A1545">
        <v>2025</v>
      </c>
      <c r="B1545">
        <v>9</v>
      </c>
      <c r="C1545" t="s">
        <v>37</v>
      </c>
      <c r="D1545" t="s">
        <v>22</v>
      </c>
      <c r="E1545" t="s">
        <v>34</v>
      </c>
      <c r="F1545" t="s">
        <v>24</v>
      </c>
      <c r="G1545" t="s">
        <v>25</v>
      </c>
      <c r="H1545" t="s">
        <v>26</v>
      </c>
      <c r="I1545" t="s">
        <v>26</v>
      </c>
      <c r="J1545">
        <v>357</v>
      </c>
      <c r="K1545">
        <v>3</v>
      </c>
      <c r="L1545">
        <v>26</v>
      </c>
      <c r="M1545">
        <v>29</v>
      </c>
      <c r="N1545">
        <v>167</v>
      </c>
      <c r="O1545">
        <v>145</v>
      </c>
      <c r="P1545">
        <v>136</v>
      </c>
      <c r="Q1545">
        <v>119</v>
      </c>
      <c r="R1545">
        <v>95</v>
      </c>
      <c r="S1545">
        <v>57</v>
      </c>
      <c r="T1545">
        <v>24</v>
      </c>
      <c r="U1545">
        <v>348</v>
      </c>
    </row>
    <row r="1546" spans="1:21" x14ac:dyDescent="0.25">
      <c r="A1546">
        <v>2025</v>
      </c>
      <c r="B1546">
        <v>9</v>
      </c>
      <c r="C1546" t="s">
        <v>37</v>
      </c>
      <c r="D1546" t="s">
        <v>22</v>
      </c>
      <c r="E1546" t="s">
        <v>23</v>
      </c>
      <c r="F1546" t="s">
        <v>28</v>
      </c>
      <c r="G1546" t="s">
        <v>25</v>
      </c>
      <c r="H1546" t="s">
        <v>26</v>
      </c>
      <c r="I1546" t="s">
        <v>25</v>
      </c>
      <c r="J1546">
        <v>4468</v>
      </c>
      <c r="K1546">
        <v>160</v>
      </c>
      <c r="L1546">
        <v>580</v>
      </c>
      <c r="M1546">
        <v>740</v>
      </c>
      <c r="N1546">
        <v>2809</v>
      </c>
      <c r="O1546">
        <v>2482</v>
      </c>
      <c r="P1546">
        <v>2347</v>
      </c>
      <c r="Q1546">
        <v>1890</v>
      </c>
      <c r="R1546">
        <v>1511</v>
      </c>
      <c r="S1546">
        <v>760</v>
      </c>
      <c r="T1546">
        <v>209</v>
      </c>
      <c r="U1546">
        <v>4120</v>
      </c>
    </row>
    <row r="1547" spans="1:21" x14ac:dyDescent="0.25">
      <c r="A1547">
        <v>2025</v>
      </c>
      <c r="B1547">
        <v>9</v>
      </c>
      <c r="C1547" t="s">
        <v>37</v>
      </c>
      <c r="D1547" t="s">
        <v>22</v>
      </c>
      <c r="E1547" t="s">
        <v>23</v>
      </c>
      <c r="F1547" t="s">
        <v>24</v>
      </c>
      <c r="G1547" t="s">
        <v>25</v>
      </c>
      <c r="H1547" t="s">
        <v>26</v>
      </c>
      <c r="I1547" t="s">
        <v>25</v>
      </c>
      <c r="J1547">
        <v>1914</v>
      </c>
      <c r="K1547">
        <v>33</v>
      </c>
      <c r="L1547">
        <v>99</v>
      </c>
      <c r="M1547">
        <v>132</v>
      </c>
      <c r="N1547">
        <v>1177</v>
      </c>
      <c r="O1547">
        <v>977</v>
      </c>
      <c r="P1547">
        <v>910</v>
      </c>
      <c r="Q1547">
        <v>702</v>
      </c>
      <c r="R1547">
        <v>533</v>
      </c>
      <c r="S1547">
        <v>262</v>
      </c>
      <c r="T1547">
        <v>99</v>
      </c>
      <c r="U1547">
        <v>1849</v>
      </c>
    </row>
    <row r="1548" spans="1:21" x14ac:dyDescent="0.25">
      <c r="A1548">
        <v>2025</v>
      </c>
      <c r="B1548">
        <v>9</v>
      </c>
      <c r="C1548" t="s">
        <v>37</v>
      </c>
      <c r="D1548" t="s">
        <v>22</v>
      </c>
      <c r="E1548" t="s">
        <v>39</v>
      </c>
      <c r="F1548" t="s">
        <v>28</v>
      </c>
      <c r="G1548" t="s">
        <v>26</v>
      </c>
      <c r="H1548" t="s">
        <v>26</v>
      </c>
      <c r="I1548" t="s">
        <v>25</v>
      </c>
      <c r="J1548">
        <v>14239</v>
      </c>
      <c r="K1548">
        <v>398</v>
      </c>
      <c r="L1548">
        <v>1420</v>
      </c>
      <c r="M1548">
        <v>1818</v>
      </c>
      <c r="N1548">
        <v>8992</v>
      </c>
      <c r="O1548">
        <v>7949</v>
      </c>
      <c r="P1548">
        <v>7529</v>
      </c>
      <c r="Q1548">
        <v>6139</v>
      </c>
      <c r="R1548">
        <v>4867</v>
      </c>
      <c r="S1548">
        <v>2516</v>
      </c>
      <c r="T1548">
        <v>812</v>
      </c>
      <c r="U1548">
        <v>13257</v>
      </c>
    </row>
    <row r="1549" spans="1:21" x14ac:dyDescent="0.25">
      <c r="A1549">
        <v>2025</v>
      </c>
      <c r="B1549">
        <v>9</v>
      </c>
      <c r="C1549" t="s">
        <v>37</v>
      </c>
      <c r="D1549" t="s">
        <v>22</v>
      </c>
      <c r="E1549" t="s">
        <v>39</v>
      </c>
      <c r="F1549" t="s">
        <v>24</v>
      </c>
      <c r="G1549" t="s">
        <v>26</v>
      </c>
      <c r="H1549" t="s">
        <v>26</v>
      </c>
      <c r="I1549" t="s">
        <v>25</v>
      </c>
      <c r="J1549">
        <v>3705</v>
      </c>
      <c r="K1549">
        <v>18</v>
      </c>
      <c r="L1549">
        <v>322</v>
      </c>
      <c r="M1549">
        <v>340</v>
      </c>
      <c r="N1549">
        <v>2529</v>
      </c>
      <c r="O1549">
        <v>2233</v>
      </c>
      <c r="P1549">
        <v>2130</v>
      </c>
      <c r="Q1549">
        <v>1675</v>
      </c>
      <c r="R1549">
        <v>1328</v>
      </c>
      <c r="S1549">
        <v>631</v>
      </c>
      <c r="T1549">
        <v>166</v>
      </c>
      <c r="U1549">
        <v>3533</v>
      </c>
    </row>
    <row r="1550" spans="1:21" x14ac:dyDescent="0.25">
      <c r="A1550">
        <v>2025</v>
      </c>
      <c r="B1550">
        <v>9</v>
      </c>
      <c r="C1550" t="s">
        <v>37</v>
      </c>
      <c r="D1550" t="s">
        <v>22</v>
      </c>
      <c r="E1550" t="s">
        <v>39</v>
      </c>
      <c r="F1550" t="s">
        <v>29</v>
      </c>
      <c r="G1550" t="s">
        <v>26</v>
      </c>
      <c r="H1550" t="s">
        <v>26</v>
      </c>
      <c r="I1550" t="s">
        <v>25</v>
      </c>
      <c r="J1550">
        <v>3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</row>
    <row r="1551" spans="1:21" x14ac:dyDescent="0.25">
      <c r="A1551">
        <v>2025</v>
      </c>
      <c r="B1551">
        <v>9</v>
      </c>
      <c r="C1551" t="s">
        <v>37</v>
      </c>
      <c r="D1551" t="s">
        <v>22</v>
      </c>
      <c r="E1551" t="s">
        <v>40</v>
      </c>
      <c r="F1551" t="s">
        <v>24</v>
      </c>
      <c r="G1551" t="s">
        <v>25</v>
      </c>
      <c r="H1551" t="s">
        <v>26</v>
      </c>
      <c r="I1551" t="s">
        <v>25</v>
      </c>
      <c r="J1551">
        <v>494</v>
      </c>
      <c r="K1551">
        <v>13</v>
      </c>
      <c r="L1551">
        <v>0</v>
      </c>
      <c r="M1551">
        <v>13</v>
      </c>
      <c r="N1551">
        <v>29</v>
      </c>
      <c r="O1551">
        <v>13</v>
      </c>
      <c r="P1551">
        <v>10</v>
      </c>
      <c r="Q1551">
        <v>3</v>
      </c>
      <c r="R1551">
        <v>2</v>
      </c>
      <c r="S1551">
        <v>0</v>
      </c>
      <c r="T1551">
        <v>0</v>
      </c>
      <c r="U1551">
        <v>481</v>
      </c>
    </row>
    <row r="1552" spans="1:21" x14ac:dyDescent="0.25">
      <c r="A1552">
        <v>2025</v>
      </c>
      <c r="B1552">
        <v>9</v>
      </c>
      <c r="C1552" t="s">
        <v>37</v>
      </c>
      <c r="D1552" t="s">
        <v>22</v>
      </c>
      <c r="E1552" t="s">
        <v>35</v>
      </c>
      <c r="F1552" t="s">
        <v>28</v>
      </c>
      <c r="G1552" t="s">
        <v>25</v>
      </c>
      <c r="H1552" t="s">
        <v>26</v>
      </c>
      <c r="I1552" t="s">
        <v>26</v>
      </c>
      <c r="J1552">
        <v>29</v>
      </c>
      <c r="K1552">
        <v>2</v>
      </c>
      <c r="L1552">
        <v>3</v>
      </c>
      <c r="M1552">
        <v>5</v>
      </c>
      <c r="N1552">
        <v>16</v>
      </c>
      <c r="O1552">
        <v>11</v>
      </c>
      <c r="P1552">
        <v>11</v>
      </c>
      <c r="Q1552">
        <v>9</v>
      </c>
      <c r="R1552">
        <v>7</v>
      </c>
      <c r="S1552">
        <v>4</v>
      </c>
      <c r="T1552">
        <v>4</v>
      </c>
      <c r="U1552">
        <v>25</v>
      </c>
    </row>
    <row r="1553" spans="1:21" x14ac:dyDescent="0.25">
      <c r="A1553">
        <v>2025</v>
      </c>
      <c r="B1553">
        <v>9</v>
      </c>
      <c r="C1553" t="s">
        <v>37</v>
      </c>
      <c r="D1553" t="s">
        <v>22</v>
      </c>
      <c r="E1553" t="s">
        <v>35</v>
      </c>
      <c r="F1553" t="s">
        <v>24</v>
      </c>
      <c r="G1553" t="s">
        <v>25</v>
      </c>
      <c r="H1553" t="s">
        <v>26</v>
      </c>
      <c r="I1553" t="s">
        <v>26</v>
      </c>
      <c r="J1553">
        <v>780</v>
      </c>
      <c r="K1553">
        <v>6</v>
      </c>
      <c r="L1553">
        <v>32</v>
      </c>
      <c r="M1553">
        <v>38</v>
      </c>
      <c r="N1553">
        <v>488</v>
      </c>
      <c r="O1553">
        <v>438</v>
      </c>
      <c r="P1553">
        <v>418</v>
      </c>
      <c r="Q1553">
        <v>358</v>
      </c>
      <c r="R1553">
        <v>315</v>
      </c>
      <c r="S1553">
        <v>223</v>
      </c>
      <c r="T1553">
        <v>129</v>
      </c>
      <c r="U1553">
        <v>769</v>
      </c>
    </row>
    <row r="1554" spans="1:21" x14ac:dyDescent="0.25">
      <c r="A1554">
        <v>2025</v>
      </c>
      <c r="B1554">
        <v>9</v>
      </c>
      <c r="C1554" t="s">
        <v>37</v>
      </c>
      <c r="D1554" t="s">
        <v>22</v>
      </c>
      <c r="E1554" t="s">
        <v>36</v>
      </c>
      <c r="F1554" t="s">
        <v>28</v>
      </c>
      <c r="G1554" t="s">
        <v>25</v>
      </c>
      <c r="H1554" t="s">
        <v>26</v>
      </c>
      <c r="I1554" t="s">
        <v>25</v>
      </c>
      <c r="J1554">
        <v>60</v>
      </c>
      <c r="K1554">
        <v>2</v>
      </c>
      <c r="L1554">
        <v>1</v>
      </c>
      <c r="M1554">
        <v>3</v>
      </c>
      <c r="N1554">
        <v>21</v>
      </c>
      <c r="O1554">
        <v>16</v>
      </c>
      <c r="P1554">
        <v>16</v>
      </c>
      <c r="Q1554">
        <v>11</v>
      </c>
      <c r="R1554">
        <v>8</v>
      </c>
      <c r="S1554">
        <v>1</v>
      </c>
      <c r="T1554">
        <v>0</v>
      </c>
      <c r="U1554">
        <v>58</v>
      </c>
    </row>
    <row r="1555" spans="1:21" x14ac:dyDescent="0.25">
      <c r="A1555">
        <v>2025</v>
      </c>
      <c r="B1555">
        <v>9</v>
      </c>
      <c r="C1555" t="s">
        <v>37</v>
      </c>
      <c r="D1555" t="s">
        <v>22</v>
      </c>
      <c r="E1555" t="s">
        <v>36</v>
      </c>
      <c r="F1555" t="s">
        <v>24</v>
      </c>
      <c r="G1555" t="s">
        <v>25</v>
      </c>
      <c r="H1555" t="s">
        <v>26</v>
      </c>
      <c r="I1555" t="s">
        <v>25</v>
      </c>
      <c r="J1555">
        <v>470</v>
      </c>
      <c r="K1555">
        <v>3</v>
      </c>
      <c r="L1555">
        <v>6</v>
      </c>
      <c r="M1555">
        <v>9</v>
      </c>
      <c r="N1555">
        <v>234</v>
      </c>
      <c r="O1555">
        <v>176</v>
      </c>
      <c r="P1555">
        <v>156</v>
      </c>
      <c r="Q1555">
        <v>100</v>
      </c>
      <c r="R1555">
        <v>66</v>
      </c>
      <c r="S1555">
        <v>27</v>
      </c>
      <c r="T1555">
        <v>7</v>
      </c>
      <c r="U1555">
        <v>464</v>
      </c>
    </row>
    <row r="1556" spans="1:21" x14ac:dyDescent="0.25">
      <c r="A1556">
        <v>2025</v>
      </c>
      <c r="B1556">
        <v>9</v>
      </c>
      <c r="C1556" t="s">
        <v>37</v>
      </c>
      <c r="D1556" t="s">
        <v>22</v>
      </c>
      <c r="E1556" t="s">
        <v>41</v>
      </c>
      <c r="F1556" t="s">
        <v>24</v>
      </c>
      <c r="G1556" t="s">
        <v>26</v>
      </c>
      <c r="H1556" t="s">
        <v>26</v>
      </c>
      <c r="I1556" t="s">
        <v>25</v>
      </c>
      <c r="J1556">
        <v>356</v>
      </c>
      <c r="K1556">
        <v>0</v>
      </c>
      <c r="L1556">
        <v>6</v>
      </c>
      <c r="M1556">
        <v>6</v>
      </c>
      <c r="N1556">
        <v>232</v>
      </c>
      <c r="O1556">
        <v>204</v>
      </c>
      <c r="P1556">
        <v>185</v>
      </c>
      <c r="Q1556">
        <v>141</v>
      </c>
      <c r="R1556">
        <v>93</v>
      </c>
      <c r="S1556">
        <v>32</v>
      </c>
      <c r="T1556">
        <v>5</v>
      </c>
      <c r="U1556">
        <v>355</v>
      </c>
    </row>
    <row r="1557" spans="1:21" x14ac:dyDescent="0.25">
      <c r="A1557">
        <v>2025</v>
      </c>
      <c r="B1557">
        <v>9</v>
      </c>
      <c r="C1557" t="s">
        <v>37</v>
      </c>
      <c r="D1557" t="s">
        <v>22</v>
      </c>
      <c r="E1557" t="s">
        <v>42</v>
      </c>
      <c r="F1557" t="s">
        <v>24</v>
      </c>
      <c r="G1557" t="s">
        <v>26</v>
      </c>
      <c r="H1557" t="s">
        <v>26</v>
      </c>
      <c r="I1557" t="s">
        <v>25</v>
      </c>
      <c r="J1557">
        <v>135</v>
      </c>
      <c r="K1557">
        <v>3</v>
      </c>
      <c r="L1557">
        <v>3</v>
      </c>
      <c r="M1557">
        <v>6</v>
      </c>
      <c r="N1557">
        <v>81</v>
      </c>
      <c r="O1557">
        <v>65</v>
      </c>
      <c r="P1557">
        <v>61</v>
      </c>
      <c r="Q1557">
        <v>45</v>
      </c>
      <c r="R1557">
        <v>35</v>
      </c>
      <c r="S1557">
        <v>15</v>
      </c>
      <c r="T1557">
        <v>3</v>
      </c>
      <c r="U1557">
        <v>129</v>
      </c>
    </row>
    <row r="1558" spans="1:21" x14ac:dyDescent="0.25">
      <c r="A1558">
        <v>2025</v>
      </c>
      <c r="B1558">
        <v>9</v>
      </c>
      <c r="C1558" t="s">
        <v>37</v>
      </c>
      <c r="D1558" t="s">
        <v>22</v>
      </c>
      <c r="E1558" t="s">
        <v>27</v>
      </c>
      <c r="F1558" t="s">
        <v>24</v>
      </c>
      <c r="G1558" t="s">
        <v>26</v>
      </c>
      <c r="H1558" t="s">
        <v>26</v>
      </c>
      <c r="I1558" t="s">
        <v>25</v>
      </c>
      <c r="J1558">
        <v>4</v>
      </c>
      <c r="K1558">
        <v>2</v>
      </c>
      <c r="L1558">
        <v>0</v>
      </c>
      <c r="M1558">
        <v>2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2</v>
      </c>
    </row>
    <row r="1559" spans="1:21" x14ac:dyDescent="0.25">
      <c r="A1559">
        <v>2025</v>
      </c>
      <c r="B1559">
        <v>9</v>
      </c>
      <c r="C1559" t="s">
        <v>37</v>
      </c>
      <c r="D1559" t="s">
        <v>22</v>
      </c>
      <c r="E1559" t="s">
        <v>27</v>
      </c>
      <c r="F1559" t="s">
        <v>29</v>
      </c>
      <c r="G1559" t="s">
        <v>26</v>
      </c>
      <c r="H1559" t="s">
        <v>26</v>
      </c>
      <c r="I1559" t="s">
        <v>25</v>
      </c>
      <c r="J1559">
        <v>1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</row>
    <row r="1560" spans="1:21" x14ac:dyDescent="0.25">
      <c r="A1560">
        <v>2025</v>
      </c>
      <c r="B1560">
        <v>9</v>
      </c>
      <c r="C1560" t="s">
        <v>43</v>
      </c>
      <c r="D1560" t="s">
        <v>22</v>
      </c>
      <c r="E1560" t="s">
        <v>32</v>
      </c>
      <c r="F1560" t="s">
        <v>24</v>
      </c>
      <c r="G1560" t="s">
        <v>25</v>
      </c>
      <c r="H1560" t="s">
        <v>25</v>
      </c>
      <c r="I1560" t="s">
        <v>25</v>
      </c>
      <c r="J1560">
        <v>363</v>
      </c>
      <c r="K1560">
        <v>1</v>
      </c>
      <c r="L1560">
        <v>1</v>
      </c>
      <c r="M1560">
        <v>2</v>
      </c>
      <c r="N1560">
        <v>182</v>
      </c>
      <c r="O1560">
        <v>159</v>
      </c>
      <c r="P1560">
        <v>149</v>
      </c>
      <c r="Q1560">
        <v>95</v>
      </c>
      <c r="R1560">
        <v>67</v>
      </c>
      <c r="S1560">
        <v>23</v>
      </c>
      <c r="T1560">
        <v>7</v>
      </c>
      <c r="U1560">
        <v>361</v>
      </c>
    </row>
    <row r="1561" spans="1:21" x14ac:dyDescent="0.25">
      <c r="A1561">
        <v>2025</v>
      </c>
      <c r="B1561">
        <v>9</v>
      </c>
      <c r="C1561" t="s">
        <v>43</v>
      </c>
      <c r="D1561" t="s">
        <v>22</v>
      </c>
      <c r="E1561" t="s">
        <v>34</v>
      </c>
      <c r="F1561" t="s">
        <v>24</v>
      </c>
      <c r="G1561" t="s">
        <v>25</v>
      </c>
      <c r="H1561" t="s">
        <v>26</v>
      </c>
      <c r="I1561" t="s">
        <v>26</v>
      </c>
      <c r="J1561">
        <v>59</v>
      </c>
      <c r="K1561">
        <v>3</v>
      </c>
      <c r="L1561">
        <v>1</v>
      </c>
      <c r="M1561">
        <v>4</v>
      </c>
      <c r="N1561">
        <v>27</v>
      </c>
      <c r="O1561">
        <v>26</v>
      </c>
      <c r="P1561">
        <v>26</v>
      </c>
      <c r="Q1561">
        <v>26</v>
      </c>
      <c r="R1561">
        <v>19</v>
      </c>
      <c r="S1561">
        <v>13</v>
      </c>
      <c r="T1561">
        <v>7</v>
      </c>
      <c r="U1561">
        <v>55</v>
      </c>
    </row>
    <row r="1562" spans="1:21" x14ac:dyDescent="0.25">
      <c r="A1562">
        <v>2025</v>
      </c>
      <c r="B1562">
        <v>9</v>
      </c>
      <c r="C1562" t="s">
        <v>43</v>
      </c>
      <c r="D1562" t="s">
        <v>22</v>
      </c>
      <c r="E1562" t="s">
        <v>23</v>
      </c>
      <c r="F1562" t="s">
        <v>24</v>
      </c>
      <c r="G1562" t="s">
        <v>25</v>
      </c>
      <c r="H1562" t="s">
        <v>26</v>
      </c>
      <c r="I1562" t="s">
        <v>25</v>
      </c>
      <c r="J1562">
        <v>461</v>
      </c>
      <c r="K1562">
        <v>0</v>
      </c>
      <c r="L1562">
        <v>0</v>
      </c>
      <c r="M1562">
        <v>0</v>
      </c>
      <c r="N1562">
        <v>91</v>
      </c>
      <c r="O1562">
        <v>50</v>
      </c>
      <c r="P1562">
        <v>44</v>
      </c>
      <c r="Q1562">
        <v>13</v>
      </c>
      <c r="R1562">
        <v>9</v>
      </c>
      <c r="S1562">
        <v>0</v>
      </c>
      <c r="T1562">
        <v>0</v>
      </c>
      <c r="U1562">
        <v>461</v>
      </c>
    </row>
    <row r="1563" spans="1:21" x14ac:dyDescent="0.25">
      <c r="A1563">
        <v>2025</v>
      </c>
      <c r="B1563">
        <v>9</v>
      </c>
      <c r="C1563" t="s">
        <v>43</v>
      </c>
      <c r="D1563" t="s">
        <v>22</v>
      </c>
      <c r="E1563" t="s">
        <v>35</v>
      </c>
      <c r="F1563" t="s">
        <v>24</v>
      </c>
      <c r="G1563" t="s">
        <v>25</v>
      </c>
      <c r="H1563" t="s">
        <v>26</v>
      </c>
      <c r="I1563" t="s">
        <v>26</v>
      </c>
      <c r="J1563">
        <v>19</v>
      </c>
      <c r="K1563">
        <v>0</v>
      </c>
      <c r="L1563">
        <v>0</v>
      </c>
      <c r="M1563">
        <v>0</v>
      </c>
      <c r="N1563">
        <v>2</v>
      </c>
      <c r="O1563">
        <v>2</v>
      </c>
      <c r="P1563">
        <v>2</v>
      </c>
      <c r="Q1563">
        <v>2</v>
      </c>
      <c r="R1563">
        <v>2</v>
      </c>
      <c r="S1563">
        <v>2</v>
      </c>
      <c r="T1563">
        <v>1</v>
      </c>
      <c r="U1563">
        <v>19</v>
      </c>
    </row>
    <row r="1564" spans="1:21" x14ac:dyDescent="0.25">
      <c r="A1564">
        <v>2025</v>
      </c>
      <c r="B1564">
        <v>9</v>
      </c>
      <c r="C1564" t="s">
        <v>44</v>
      </c>
      <c r="D1564" t="s">
        <v>45</v>
      </c>
      <c r="E1564" t="s">
        <v>46</v>
      </c>
      <c r="F1564" t="s">
        <v>24</v>
      </c>
      <c r="G1564" t="s">
        <v>25</v>
      </c>
      <c r="H1564" t="s">
        <v>26</v>
      </c>
      <c r="I1564" t="s">
        <v>26</v>
      </c>
      <c r="J1564">
        <v>26</v>
      </c>
      <c r="K1564">
        <v>0</v>
      </c>
      <c r="L1564">
        <v>7</v>
      </c>
      <c r="M1564">
        <v>7</v>
      </c>
      <c r="N1564">
        <v>13</v>
      </c>
      <c r="O1564">
        <v>12</v>
      </c>
      <c r="P1564">
        <v>12</v>
      </c>
      <c r="Q1564">
        <v>11</v>
      </c>
      <c r="R1564">
        <v>9</v>
      </c>
      <c r="S1564">
        <v>7</v>
      </c>
      <c r="T1564">
        <v>5</v>
      </c>
      <c r="U1564">
        <v>23</v>
      </c>
    </row>
    <row r="1565" spans="1:21" x14ac:dyDescent="0.25">
      <c r="A1565">
        <v>2025</v>
      </c>
      <c r="B1565">
        <v>9</v>
      </c>
      <c r="C1565" t="s">
        <v>47</v>
      </c>
      <c r="D1565" t="s">
        <v>45</v>
      </c>
      <c r="E1565" t="s">
        <v>48</v>
      </c>
      <c r="F1565" t="s">
        <v>24</v>
      </c>
      <c r="G1565" t="s">
        <v>26</v>
      </c>
      <c r="H1565" t="s">
        <v>26</v>
      </c>
      <c r="I1565" t="s">
        <v>25</v>
      </c>
      <c r="J1565">
        <v>3580</v>
      </c>
      <c r="K1565">
        <v>72</v>
      </c>
      <c r="L1565">
        <v>165</v>
      </c>
      <c r="M1565">
        <v>237</v>
      </c>
      <c r="N1565">
        <v>992</v>
      </c>
      <c r="O1565">
        <v>940</v>
      </c>
      <c r="P1565">
        <v>935</v>
      </c>
      <c r="Q1565">
        <v>682</v>
      </c>
      <c r="R1565">
        <v>562</v>
      </c>
      <c r="S1565">
        <v>243</v>
      </c>
      <c r="T1565">
        <v>72</v>
      </c>
      <c r="U1565">
        <v>3497</v>
      </c>
    </row>
    <row r="1566" spans="1:21" x14ac:dyDescent="0.25">
      <c r="A1566">
        <v>2025</v>
      </c>
      <c r="B1566">
        <v>9</v>
      </c>
      <c r="C1566" t="s">
        <v>49</v>
      </c>
      <c r="D1566" t="s">
        <v>45</v>
      </c>
      <c r="E1566" t="s">
        <v>50</v>
      </c>
      <c r="F1566" t="s">
        <v>28</v>
      </c>
      <c r="G1566" t="s">
        <v>25</v>
      </c>
      <c r="H1566" t="s">
        <v>26</v>
      </c>
      <c r="I1566" t="s">
        <v>25</v>
      </c>
      <c r="J1566">
        <v>470</v>
      </c>
      <c r="K1566">
        <v>4</v>
      </c>
      <c r="L1566">
        <v>25</v>
      </c>
      <c r="M1566">
        <v>29</v>
      </c>
      <c r="N1566">
        <v>343</v>
      </c>
      <c r="O1566">
        <v>308</v>
      </c>
      <c r="P1566">
        <v>293</v>
      </c>
      <c r="Q1566">
        <v>250</v>
      </c>
      <c r="R1566">
        <v>211</v>
      </c>
      <c r="S1566">
        <v>135</v>
      </c>
      <c r="T1566">
        <v>60</v>
      </c>
      <c r="U1566">
        <v>464</v>
      </c>
    </row>
    <row r="1567" spans="1:21" x14ac:dyDescent="0.25">
      <c r="A1567">
        <v>2025</v>
      </c>
      <c r="B1567">
        <v>9</v>
      </c>
      <c r="C1567" t="s">
        <v>49</v>
      </c>
      <c r="D1567" t="s">
        <v>45</v>
      </c>
      <c r="E1567" t="s">
        <v>50</v>
      </c>
      <c r="F1567" t="s">
        <v>24</v>
      </c>
      <c r="G1567" t="s">
        <v>25</v>
      </c>
      <c r="H1567" t="s">
        <v>26</v>
      </c>
      <c r="I1567" t="s">
        <v>25</v>
      </c>
      <c r="J1567">
        <v>57</v>
      </c>
      <c r="K1567">
        <v>0</v>
      </c>
      <c r="L1567">
        <v>3</v>
      </c>
      <c r="M1567">
        <v>3</v>
      </c>
      <c r="N1567">
        <v>29</v>
      </c>
      <c r="O1567">
        <v>23</v>
      </c>
      <c r="P1567">
        <v>20</v>
      </c>
      <c r="Q1567">
        <v>16</v>
      </c>
      <c r="R1567">
        <v>9</v>
      </c>
      <c r="S1567">
        <v>7</v>
      </c>
      <c r="T1567">
        <v>3</v>
      </c>
      <c r="U1567">
        <v>57</v>
      </c>
    </row>
    <row r="1568" spans="1:21" x14ac:dyDescent="0.25">
      <c r="A1568">
        <v>2025</v>
      </c>
      <c r="B1568">
        <v>9</v>
      </c>
      <c r="C1568" t="s">
        <v>51</v>
      </c>
      <c r="D1568" t="s">
        <v>22</v>
      </c>
      <c r="E1568" t="s">
        <v>31</v>
      </c>
      <c r="F1568" t="s">
        <v>24</v>
      </c>
      <c r="G1568" t="s">
        <v>25</v>
      </c>
      <c r="H1568" t="s">
        <v>25</v>
      </c>
      <c r="I1568" t="s">
        <v>25</v>
      </c>
      <c r="J1568">
        <v>179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179</v>
      </c>
    </row>
    <row r="1569" spans="1:21" x14ac:dyDescent="0.25">
      <c r="A1569">
        <v>2025</v>
      </c>
      <c r="B1569">
        <v>9</v>
      </c>
      <c r="C1569" t="s">
        <v>51</v>
      </c>
      <c r="D1569" t="s">
        <v>22</v>
      </c>
      <c r="E1569" t="s">
        <v>34</v>
      </c>
      <c r="F1569" t="s">
        <v>24</v>
      </c>
      <c r="G1569" t="s">
        <v>25</v>
      </c>
      <c r="H1569" t="s">
        <v>26</v>
      </c>
      <c r="I1569" t="s">
        <v>26</v>
      </c>
      <c r="J1569">
        <v>100</v>
      </c>
      <c r="K1569">
        <v>0</v>
      </c>
      <c r="L1569">
        <v>0</v>
      </c>
      <c r="M1569">
        <v>0</v>
      </c>
      <c r="N1569">
        <v>2</v>
      </c>
      <c r="O1569">
        <v>2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100</v>
      </c>
    </row>
    <row r="1570" spans="1:21" x14ac:dyDescent="0.25">
      <c r="A1570">
        <v>2025</v>
      </c>
      <c r="B1570">
        <v>9</v>
      </c>
      <c r="C1570" t="s">
        <v>52</v>
      </c>
      <c r="D1570" t="s">
        <v>22</v>
      </c>
      <c r="E1570" t="s">
        <v>31</v>
      </c>
      <c r="F1570" t="s">
        <v>24</v>
      </c>
      <c r="G1570" t="s">
        <v>25</v>
      </c>
      <c r="H1570" t="s">
        <v>25</v>
      </c>
      <c r="I1570" t="s">
        <v>25</v>
      </c>
      <c r="J1570">
        <v>120</v>
      </c>
      <c r="K1570">
        <v>0</v>
      </c>
      <c r="L1570">
        <v>0</v>
      </c>
      <c r="M1570">
        <v>0</v>
      </c>
      <c r="N1570">
        <v>1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120</v>
      </c>
    </row>
    <row r="1571" spans="1:21" x14ac:dyDescent="0.25">
      <c r="A1571">
        <v>2025</v>
      </c>
      <c r="B1571">
        <v>9</v>
      </c>
      <c r="C1571" t="s">
        <v>52</v>
      </c>
      <c r="D1571" t="s">
        <v>22</v>
      </c>
      <c r="E1571" t="s">
        <v>32</v>
      </c>
      <c r="F1571" t="s">
        <v>24</v>
      </c>
      <c r="G1571" t="s">
        <v>25</v>
      </c>
      <c r="H1571" t="s">
        <v>26</v>
      </c>
      <c r="I1571" t="s">
        <v>25</v>
      </c>
      <c r="J1571">
        <v>524</v>
      </c>
      <c r="K1571">
        <v>0</v>
      </c>
      <c r="L1571">
        <v>0</v>
      </c>
      <c r="M1571">
        <v>0</v>
      </c>
      <c r="N1571">
        <v>86</v>
      </c>
      <c r="O1571">
        <v>74</v>
      </c>
      <c r="P1571">
        <v>71</v>
      </c>
      <c r="Q1571">
        <v>57</v>
      </c>
      <c r="R1571">
        <v>42</v>
      </c>
      <c r="S1571">
        <v>21</v>
      </c>
      <c r="T1571">
        <v>7</v>
      </c>
      <c r="U1571">
        <v>524</v>
      </c>
    </row>
    <row r="1572" spans="1:21" x14ac:dyDescent="0.25">
      <c r="A1572">
        <v>2025</v>
      </c>
      <c r="B1572">
        <v>9</v>
      </c>
      <c r="C1572" t="s">
        <v>52</v>
      </c>
      <c r="D1572" t="s">
        <v>22</v>
      </c>
      <c r="E1572" t="s">
        <v>34</v>
      </c>
      <c r="F1572" t="s">
        <v>24</v>
      </c>
      <c r="G1572" t="s">
        <v>25</v>
      </c>
      <c r="H1572" t="s">
        <v>26</v>
      </c>
      <c r="I1572" t="s">
        <v>26</v>
      </c>
      <c r="J1572">
        <v>178</v>
      </c>
      <c r="K1572">
        <v>0</v>
      </c>
      <c r="L1572">
        <v>0</v>
      </c>
      <c r="M1572">
        <v>0</v>
      </c>
      <c r="N1572">
        <v>21</v>
      </c>
      <c r="O1572">
        <v>19</v>
      </c>
      <c r="P1572">
        <v>17</v>
      </c>
      <c r="Q1572">
        <v>13</v>
      </c>
      <c r="R1572">
        <v>12</v>
      </c>
      <c r="S1572">
        <v>7</v>
      </c>
      <c r="T1572">
        <v>4</v>
      </c>
      <c r="U1572">
        <v>178</v>
      </c>
    </row>
    <row r="1573" spans="1:21" x14ac:dyDescent="0.25">
      <c r="A1573">
        <v>2025</v>
      </c>
      <c r="B1573">
        <v>9</v>
      </c>
      <c r="C1573" t="s">
        <v>52</v>
      </c>
      <c r="D1573" t="s">
        <v>22</v>
      </c>
      <c r="E1573" t="s">
        <v>23</v>
      </c>
      <c r="F1573" t="s">
        <v>24</v>
      </c>
      <c r="G1573" t="s">
        <v>25</v>
      </c>
      <c r="H1573" t="s">
        <v>26</v>
      </c>
      <c r="I1573" t="s">
        <v>25</v>
      </c>
      <c r="J1573">
        <v>209</v>
      </c>
      <c r="K1573">
        <v>0</v>
      </c>
      <c r="L1573">
        <v>0</v>
      </c>
      <c r="M1573">
        <v>0</v>
      </c>
      <c r="N1573">
        <v>2</v>
      </c>
      <c r="O1573">
        <v>2</v>
      </c>
      <c r="P1573">
        <v>1</v>
      </c>
      <c r="Q1573">
        <v>1</v>
      </c>
      <c r="R1573">
        <v>1</v>
      </c>
      <c r="S1573">
        <v>1</v>
      </c>
      <c r="T1573">
        <v>0</v>
      </c>
      <c r="U1573">
        <v>209</v>
      </c>
    </row>
    <row r="1574" spans="1:21" x14ac:dyDescent="0.25">
      <c r="A1574">
        <v>2025</v>
      </c>
      <c r="B1574">
        <v>9</v>
      </c>
      <c r="C1574" t="s">
        <v>52</v>
      </c>
      <c r="D1574" t="s">
        <v>22</v>
      </c>
      <c r="E1574" t="s">
        <v>35</v>
      </c>
      <c r="F1574" t="s">
        <v>24</v>
      </c>
      <c r="G1574" t="s">
        <v>25</v>
      </c>
      <c r="H1574" t="s">
        <v>26</v>
      </c>
      <c r="I1574" t="s">
        <v>26</v>
      </c>
      <c r="J1574">
        <v>2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2</v>
      </c>
    </row>
    <row r="1575" spans="1:21" x14ac:dyDescent="0.25">
      <c r="A1575">
        <v>2025</v>
      </c>
      <c r="B1575">
        <v>9</v>
      </c>
      <c r="C1575" t="s">
        <v>52</v>
      </c>
      <c r="D1575" t="s">
        <v>22</v>
      </c>
      <c r="E1575" t="s">
        <v>41</v>
      </c>
      <c r="F1575" t="s">
        <v>24</v>
      </c>
      <c r="G1575" t="s">
        <v>26</v>
      </c>
      <c r="H1575" t="s">
        <v>26</v>
      </c>
      <c r="I1575" t="s">
        <v>25</v>
      </c>
      <c r="J1575">
        <v>480</v>
      </c>
      <c r="K1575">
        <v>0</v>
      </c>
      <c r="L1575">
        <v>0</v>
      </c>
      <c r="M1575">
        <v>0</v>
      </c>
      <c r="N1575">
        <v>241</v>
      </c>
      <c r="O1575">
        <v>221</v>
      </c>
      <c r="P1575">
        <v>202</v>
      </c>
      <c r="Q1575">
        <v>167</v>
      </c>
      <c r="R1575">
        <v>130</v>
      </c>
      <c r="S1575">
        <v>47</v>
      </c>
      <c r="T1575">
        <v>12</v>
      </c>
      <c r="U1575">
        <v>480</v>
      </c>
    </row>
    <row r="1576" spans="1:21" x14ac:dyDescent="0.25">
      <c r="A1576">
        <v>2025</v>
      </c>
      <c r="B1576">
        <v>9</v>
      </c>
      <c r="C1576" t="s">
        <v>53</v>
      </c>
      <c r="D1576" t="s">
        <v>22</v>
      </c>
      <c r="E1576" t="s">
        <v>54</v>
      </c>
      <c r="F1576" t="s">
        <v>24</v>
      </c>
      <c r="G1576" t="s">
        <v>25</v>
      </c>
      <c r="H1576" t="s">
        <v>26</v>
      </c>
      <c r="I1576" t="s">
        <v>25</v>
      </c>
      <c r="J1576">
        <v>804</v>
      </c>
      <c r="K1576">
        <v>18</v>
      </c>
      <c r="L1576">
        <v>1</v>
      </c>
      <c r="M1576">
        <v>19</v>
      </c>
      <c r="N1576">
        <v>52</v>
      </c>
      <c r="O1576">
        <v>33</v>
      </c>
      <c r="P1576">
        <v>30</v>
      </c>
      <c r="Q1576">
        <v>16</v>
      </c>
      <c r="R1576">
        <v>7</v>
      </c>
      <c r="S1576">
        <v>3</v>
      </c>
      <c r="T1576">
        <v>0</v>
      </c>
      <c r="U1576">
        <v>786</v>
      </c>
    </row>
    <row r="1577" spans="1:21" x14ac:dyDescent="0.25">
      <c r="A1577">
        <v>2025</v>
      </c>
      <c r="B1577">
        <v>9</v>
      </c>
      <c r="C1577" t="s">
        <v>53</v>
      </c>
      <c r="D1577" t="s">
        <v>22</v>
      </c>
      <c r="E1577" t="s">
        <v>23</v>
      </c>
      <c r="F1577" t="s">
        <v>28</v>
      </c>
      <c r="G1577" t="s">
        <v>25</v>
      </c>
      <c r="H1577" t="s">
        <v>26</v>
      </c>
      <c r="I1577" t="s">
        <v>25</v>
      </c>
      <c r="J1577">
        <v>36068</v>
      </c>
      <c r="K1577">
        <v>0</v>
      </c>
      <c r="L1577">
        <v>3274</v>
      </c>
      <c r="M1577">
        <v>3274</v>
      </c>
      <c r="N1577">
        <v>4301</v>
      </c>
      <c r="O1577">
        <v>2407</v>
      </c>
      <c r="P1577">
        <v>1893</v>
      </c>
      <c r="Q1577">
        <v>911</v>
      </c>
      <c r="R1577">
        <v>419</v>
      </c>
      <c r="S1577">
        <v>49</v>
      </c>
      <c r="T1577">
        <v>1</v>
      </c>
      <c r="U1577">
        <v>33480</v>
      </c>
    </row>
    <row r="1578" spans="1:21" x14ac:dyDescent="0.25">
      <c r="A1578">
        <v>2025</v>
      </c>
      <c r="B1578">
        <v>9</v>
      </c>
      <c r="C1578" t="s">
        <v>53</v>
      </c>
      <c r="D1578" t="s">
        <v>22</v>
      </c>
      <c r="E1578" t="s">
        <v>23</v>
      </c>
      <c r="F1578" t="s">
        <v>24</v>
      </c>
      <c r="G1578" t="s">
        <v>25</v>
      </c>
      <c r="H1578" t="s">
        <v>26</v>
      </c>
      <c r="I1578" t="s">
        <v>25</v>
      </c>
      <c r="J1578">
        <v>453</v>
      </c>
      <c r="K1578">
        <v>40</v>
      </c>
      <c r="L1578">
        <v>13</v>
      </c>
      <c r="M1578">
        <v>53</v>
      </c>
      <c r="N1578">
        <v>227</v>
      </c>
      <c r="O1578">
        <v>209</v>
      </c>
      <c r="P1578">
        <v>206</v>
      </c>
      <c r="Q1578">
        <v>190</v>
      </c>
      <c r="R1578">
        <v>164</v>
      </c>
      <c r="S1578">
        <v>85</v>
      </c>
      <c r="T1578">
        <v>30</v>
      </c>
      <c r="U1578">
        <v>406</v>
      </c>
    </row>
    <row r="1579" spans="1:21" x14ac:dyDescent="0.25">
      <c r="A1579">
        <v>2025</v>
      </c>
      <c r="B1579">
        <v>9</v>
      </c>
      <c r="C1579" t="s">
        <v>53</v>
      </c>
      <c r="D1579" t="s">
        <v>22</v>
      </c>
      <c r="E1579" t="s">
        <v>56</v>
      </c>
      <c r="F1579" t="s">
        <v>28</v>
      </c>
      <c r="G1579" t="s">
        <v>25</v>
      </c>
      <c r="H1579" t="s">
        <v>26</v>
      </c>
      <c r="I1579" t="s">
        <v>25</v>
      </c>
      <c r="J1579">
        <v>3095</v>
      </c>
      <c r="K1579">
        <v>0</v>
      </c>
      <c r="L1579">
        <v>532</v>
      </c>
      <c r="M1579">
        <v>532</v>
      </c>
      <c r="N1579">
        <v>450</v>
      </c>
      <c r="O1579">
        <v>281</v>
      </c>
      <c r="P1579">
        <v>249</v>
      </c>
      <c r="Q1579">
        <v>140</v>
      </c>
      <c r="R1579">
        <v>58</v>
      </c>
      <c r="S1579">
        <v>10</v>
      </c>
      <c r="T1579">
        <v>3</v>
      </c>
      <c r="U1579">
        <v>2742</v>
      </c>
    </row>
    <row r="1580" spans="1:21" x14ac:dyDescent="0.25">
      <c r="A1580">
        <v>2025</v>
      </c>
      <c r="B1580">
        <v>9</v>
      </c>
      <c r="C1580" t="s">
        <v>53</v>
      </c>
      <c r="D1580" t="s">
        <v>22</v>
      </c>
      <c r="E1580" t="s">
        <v>39</v>
      </c>
      <c r="F1580" t="s">
        <v>24</v>
      </c>
      <c r="G1580" t="s">
        <v>26</v>
      </c>
      <c r="H1580" t="s">
        <v>26</v>
      </c>
      <c r="I1580" t="s">
        <v>25</v>
      </c>
      <c r="J1580">
        <v>447</v>
      </c>
      <c r="K1580">
        <v>4</v>
      </c>
      <c r="L1580">
        <v>108</v>
      </c>
      <c r="M1580">
        <v>112</v>
      </c>
      <c r="N1580">
        <v>216</v>
      </c>
      <c r="O1580">
        <v>199</v>
      </c>
      <c r="P1580">
        <v>196</v>
      </c>
      <c r="Q1580">
        <v>178</v>
      </c>
      <c r="R1580">
        <v>150</v>
      </c>
      <c r="S1580">
        <v>56</v>
      </c>
      <c r="T1580">
        <v>19</v>
      </c>
      <c r="U1580">
        <v>411</v>
      </c>
    </row>
    <row r="1581" spans="1:21" x14ac:dyDescent="0.25">
      <c r="A1581">
        <v>2025</v>
      </c>
      <c r="B1581">
        <v>9</v>
      </c>
      <c r="C1581" t="s">
        <v>53</v>
      </c>
      <c r="D1581" t="s">
        <v>22</v>
      </c>
      <c r="E1581" t="s">
        <v>35</v>
      </c>
      <c r="F1581" t="s">
        <v>24</v>
      </c>
      <c r="G1581" t="s">
        <v>25</v>
      </c>
      <c r="H1581" t="s">
        <v>26</v>
      </c>
      <c r="I1581" t="s">
        <v>26</v>
      </c>
      <c r="J1581">
        <v>185</v>
      </c>
      <c r="K1581">
        <v>2</v>
      </c>
      <c r="L1581">
        <v>13</v>
      </c>
      <c r="M1581">
        <v>15</v>
      </c>
      <c r="N1581">
        <v>131</v>
      </c>
      <c r="O1581">
        <v>109</v>
      </c>
      <c r="P1581">
        <v>104</v>
      </c>
      <c r="Q1581">
        <v>91</v>
      </c>
      <c r="R1581">
        <v>86</v>
      </c>
      <c r="S1581">
        <v>65</v>
      </c>
      <c r="T1581">
        <v>51</v>
      </c>
      <c r="U1581">
        <v>178</v>
      </c>
    </row>
    <row r="1582" spans="1:21" x14ac:dyDescent="0.25">
      <c r="A1582">
        <v>2025</v>
      </c>
      <c r="B1582">
        <v>9</v>
      </c>
      <c r="C1582" t="s">
        <v>53</v>
      </c>
      <c r="D1582" t="s">
        <v>22</v>
      </c>
      <c r="E1582" t="s">
        <v>57</v>
      </c>
      <c r="F1582" t="s">
        <v>28</v>
      </c>
      <c r="G1582" t="s">
        <v>25</v>
      </c>
      <c r="H1582" t="s">
        <v>26</v>
      </c>
      <c r="I1582" t="s">
        <v>26</v>
      </c>
      <c r="J1582">
        <v>13</v>
      </c>
      <c r="K1582">
        <v>0</v>
      </c>
      <c r="L1582">
        <v>0</v>
      </c>
      <c r="M1582">
        <v>0</v>
      </c>
      <c r="N1582">
        <v>5</v>
      </c>
      <c r="O1582">
        <v>4</v>
      </c>
      <c r="P1582">
        <v>4</v>
      </c>
      <c r="Q1582">
        <v>3</v>
      </c>
      <c r="R1582">
        <v>2</v>
      </c>
      <c r="S1582">
        <v>0</v>
      </c>
      <c r="T1582">
        <v>0</v>
      </c>
      <c r="U1582">
        <v>13</v>
      </c>
    </row>
    <row r="1583" spans="1:21" x14ac:dyDescent="0.25">
      <c r="A1583">
        <v>2025</v>
      </c>
      <c r="B1583">
        <v>9</v>
      </c>
      <c r="C1583" t="s">
        <v>53</v>
      </c>
      <c r="D1583" t="s">
        <v>22</v>
      </c>
      <c r="E1583" t="s">
        <v>58</v>
      </c>
      <c r="F1583" t="s">
        <v>28</v>
      </c>
      <c r="G1583" t="s">
        <v>25</v>
      </c>
      <c r="H1583" t="s">
        <v>25</v>
      </c>
      <c r="I1583" t="s">
        <v>25</v>
      </c>
      <c r="J1583">
        <v>4137</v>
      </c>
      <c r="K1583">
        <v>0</v>
      </c>
      <c r="L1583">
        <v>141</v>
      </c>
      <c r="M1583">
        <v>141</v>
      </c>
      <c r="N1583">
        <v>349</v>
      </c>
      <c r="O1583">
        <v>139</v>
      </c>
      <c r="P1583">
        <v>97</v>
      </c>
      <c r="Q1583">
        <v>37</v>
      </c>
      <c r="R1583">
        <v>8</v>
      </c>
      <c r="S1583">
        <v>1</v>
      </c>
      <c r="T1583">
        <v>0</v>
      </c>
      <c r="U1583">
        <v>4039</v>
      </c>
    </row>
    <row r="1584" spans="1:21" x14ac:dyDescent="0.25">
      <c r="A1584">
        <v>2025</v>
      </c>
      <c r="B1584">
        <v>9</v>
      </c>
      <c r="C1584" t="s">
        <v>53</v>
      </c>
      <c r="D1584" t="s">
        <v>22</v>
      </c>
      <c r="E1584" t="s">
        <v>59</v>
      </c>
      <c r="F1584" t="s">
        <v>28</v>
      </c>
      <c r="G1584" t="s">
        <v>25</v>
      </c>
      <c r="H1584" t="s">
        <v>25</v>
      </c>
      <c r="I1584" t="s">
        <v>25</v>
      </c>
      <c r="J1584">
        <v>78163</v>
      </c>
      <c r="K1584">
        <v>0</v>
      </c>
      <c r="L1584">
        <v>3177</v>
      </c>
      <c r="M1584">
        <v>3177</v>
      </c>
      <c r="N1584">
        <v>5833</v>
      </c>
      <c r="O1584">
        <v>2654</v>
      </c>
      <c r="P1584">
        <v>1951</v>
      </c>
      <c r="Q1584">
        <v>745</v>
      </c>
      <c r="R1584">
        <v>289</v>
      </c>
      <c r="S1584">
        <v>27</v>
      </c>
      <c r="T1584">
        <v>1</v>
      </c>
      <c r="U1584">
        <v>75830</v>
      </c>
    </row>
    <row r="1585" spans="1:21" x14ac:dyDescent="0.25">
      <c r="A1585">
        <v>2025</v>
      </c>
      <c r="B1585">
        <v>9</v>
      </c>
      <c r="C1585" t="s">
        <v>53</v>
      </c>
      <c r="D1585" t="s">
        <v>22</v>
      </c>
      <c r="E1585" t="s">
        <v>59</v>
      </c>
      <c r="F1585" t="s">
        <v>29</v>
      </c>
      <c r="G1585" t="s">
        <v>25</v>
      </c>
      <c r="H1585" t="s">
        <v>25</v>
      </c>
      <c r="I1585" t="s">
        <v>25</v>
      </c>
      <c r="J1585">
        <v>1</v>
      </c>
      <c r="K1585">
        <v>1</v>
      </c>
      <c r="L1585">
        <v>0</v>
      </c>
      <c r="M1585">
        <v>1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</row>
    <row r="1586" spans="1:21" x14ac:dyDescent="0.25">
      <c r="A1586">
        <v>2025</v>
      </c>
      <c r="B1586">
        <v>9</v>
      </c>
      <c r="C1586" t="s">
        <v>53</v>
      </c>
      <c r="D1586" t="s">
        <v>22</v>
      </c>
      <c r="E1586" t="s">
        <v>60</v>
      </c>
      <c r="F1586" t="s">
        <v>28</v>
      </c>
      <c r="G1586" t="s">
        <v>25</v>
      </c>
      <c r="H1586" t="s">
        <v>25</v>
      </c>
      <c r="I1586" t="s">
        <v>25</v>
      </c>
      <c r="J1586">
        <v>37213</v>
      </c>
      <c r="K1586">
        <v>0</v>
      </c>
      <c r="L1586">
        <v>1218</v>
      </c>
      <c r="M1586">
        <v>1218</v>
      </c>
      <c r="N1586">
        <v>2900</v>
      </c>
      <c r="O1586">
        <v>971</v>
      </c>
      <c r="P1586">
        <v>619</v>
      </c>
      <c r="Q1586">
        <v>213</v>
      </c>
      <c r="R1586">
        <v>85</v>
      </c>
      <c r="S1586">
        <v>8</v>
      </c>
      <c r="T1586">
        <v>1</v>
      </c>
      <c r="U1586">
        <v>36286</v>
      </c>
    </row>
    <row r="1587" spans="1:21" x14ac:dyDescent="0.25">
      <c r="A1587">
        <v>2025</v>
      </c>
      <c r="B1587">
        <v>9</v>
      </c>
      <c r="C1587" t="s">
        <v>61</v>
      </c>
      <c r="D1587" t="s">
        <v>22</v>
      </c>
      <c r="E1587" t="s">
        <v>31</v>
      </c>
      <c r="F1587" t="s">
        <v>28</v>
      </c>
      <c r="G1587" t="s">
        <v>25</v>
      </c>
      <c r="H1587" t="s">
        <v>26</v>
      </c>
      <c r="I1587" t="s">
        <v>25</v>
      </c>
      <c r="J1587">
        <v>476</v>
      </c>
      <c r="K1587">
        <v>3</v>
      </c>
      <c r="L1587">
        <v>0</v>
      </c>
      <c r="M1587">
        <v>3</v>
      </c>
      <c r="N1587">
        <v>131</v>
      </c>
      <c r="O1587">
        <v>97</v>
      </c>
      <c r="P1587">
        <v>80</v>
      </c>
      <c r="Q1587">
        <v>46</v>
      </c>
      <c r="R1587">
        <v>28</v>
      </c>
      <c r="S1587">
        <v>13</v>
      </c>
      <c r="T1587">
        <v>2</v>
      </c>
      <c r="U1587">
        <v>473</v>
      </c>
    </row>
    <row r="1588" spans="1:21" x14ac:dyDescent="0.25">
      <c r="A1588">
        <v>2025</v>
      </c>
      <c r="B1588">
        <v>9</v>
      </c>
      <c r="C1588" t="s">
        <v>61</v>
      </c>
      <c r="D1588" t="s">
        <v>22</v>
      </c>
      <c r="E1588" t="s">
        <v>31</v>
      </c>
      <c r="F1588" t="s">
        <v>24</v>
      </c>
      <c r="G1588" t="s">
        <v>25</v>
      </c>
      <c r="H1588" t="s">
        <v>26</v>
      </c>
      <c r="I1588" t="s">
        <v>25</v>
      </c>
      <c r="J1588">
        <v>899</v>
      </c>
      <c r="K1588">
        <v>0</v>
      </c>
      <c r="L1588">
        <v>3</v>
      </c>
      <c r="M1588">
        <v>3</v>
      </c>
      <c r="N1588">
        <v>322</v>
      </c>
      <c r="O1588">
        <v>210</v>
      </c>
      <c r="P1588">
        <v>182</v>
      </c>
      <c r="Q1588">
        <v>111</v>
      </c>
      <c r="R1588">
        <v>71</v>
      </c>
      <c r="S1588">
        <v>29</v>
      </c>
      <c r="T1588">
        <v>7</v>
      </c>
      <c r="U1588">
        <v>898</v>
      </c>
    </row>
    <row r="1589" spans="1:21" x14ac:dyDescent="0.25">
      <c r="A1589">
        <v>2025</v>
      </c>
      <c r="B1589">
        <v>9</v>
      </c>
      <c r="C1589" t="s">
        <v>61</v>
      </c>
      <c r="D1589" t="s">
        <v>22</v>
      </c>
      <c r="E1589" t="s">
        <v>32</v>
      </c>
      <c r="F1589" t="s">
        <v>28</v>
      </c>
      <c r="G1589" t="s">
        <v>25</v>
      </c>
      <c r="H1589" t="s">
        <v>26</v>
      </c>
      <c r="I1589" t="s">
        <v>25</v>
      </c>
      <c r="J1589">
        <v>97</v>
      </c>
      <c r="K1589">
        <v>0</v>
      </c>
      <c r="L1589">
        <v>1</v>
      </c>
      <c r="M1589">
        <v>1</v>
      </c>
      <c r="N1589">
        <v>23</v>
      </c>
      <c r="O1589">
        <v>19</v>
      </c>
      <c r="P1589">
        <v>16</v>
      </c>
      <c r="Q1589">
        <v>9</v>
      </c>
      <c r="R1589">
        <v>8</v>
      </c>
      <c r="S1589">
        <v>3</v>
      </c>
      <c r="T1589">
        <v>0</v>
      </c>
      <c r="U1589">
        <v>97</v>
      </c>
    </row>
    <row r="1590" spans="1:21" x14ac:dyDescent="0.25">
      <c r="A1590">
        <v>2025</v>
      </c>
      <c r="B1590">
        <v>9</v>
      </c>
      <c r="C1590" t="s">
        <v>61</v>
      </c>
      <c r="D1590" t="s">
        <v>22</v>
      </c>
      <c r="E1590" t="s">
        <v>32</v>
      </c>
      <c r="F1590" t="s">
        <v>24</v>
      </c>
      <c r="G1590" t="s">
        <v>25</v>
      </c>
      <c r="H1590" t="s">
        <v>26</v>
      </c>
      <c r="I1590" t="s">
        <v>25</v>
      </c>
      <c r="J1590">
        <v>1570</v>
      </c>
      <c r="K1590">
        <v>12</v>
      </c>
      <c r="L1590">
        <v>0</v>
      </c>
      <c r="M1590">
        <v>12</v>
      </c>
      <c r="N1590">
        <v>643</v>
      </c>
      <c r="O1590">
        <v>488</v>
      </c>
      <c r="P1590">
        <v>431</v>
      </c>
      <c r="Q1590">
        <v>301</v>
      </c>
      <c r="R1590">
        <v>224</v>
      </c>
      <c r="S1590">
        <v>79</v>
      </c>
      <c r="T1590">
        <v>20</v>
      </c>
      <c r="U1590">
        <v>1558</v>
      </c>
    </row>
    <row r="1591" spans="1:21" x14ac:dyDescent="0.25">
      <c r="A1591">
        <v>2025</v>
      </c>
      <c r="B1591">
        <v>9</v>
      </c>
      <c r="C1591" t="s">
        <v>61</v>
      </c>
      <c r="D1591" t="s">
        <v>22</v>
      </c>
      <c r="E1591" t="s">
        <v>34</v>
      </c>
      <c r="F1591" t="s">
        <v>28</v>
      </c>
      <c r="G1591" t="s">
        <v>25</v>
      </c>
      <c r="H1591" t="s">
        <v>26</v>
      </c>
      <c r="I1591" t="s">
        <v>26</v>
      </c>
      <c r="J1591">
        <v>23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23</v>
      </c>
    </row>
    <row r="1592" spans="1:21" x14ac:dyDescent="0.25">
      <c r="A1592">
        <v>2025</v>
      </c>
      <c r="B1592">
        <v>9</v>
      </c>
      <c r="C1592" t="s">
        <v>61</v>
      </c>
      <c r="D1592" t="s">
        <v>22</v>
      </c>
      <c r="E1592" t="s">
        <v>34</v>
      </c>
      <c r="F1592" t="s">
        <v>24</v>
      </c>
      <c r="G1592" t="s">
        <v>25</v>
      </c>
      <c r="H1592" t="s">
        <v>26</v>
      </c>
      <c r="I1592" t="s">
        <v>26</v>
      </c>
      <c r="J1592">
        <v>332</v>
      </c>
      <c r="K1592">
        <v>0</v>
      </c>
      <c r="L1592">
        <v>0</v>
      </c>
      <c r="M1592">
        <v>0</v>
      </c>
      <c r="N1592">
        <v>73</v>
      </c>
      <c r="O1592">
        <v>59</v>
      </c>
      <c r="P1592">
        <v>54</v>
      </c>
      <c r="Q1592">
        <v>46</v>
      </c>
      <c r="R1592">
        <v>35</v>
      </c>
      <c r="S1592">
        <v>26</v>
      </c>
      <c r="T1592">
        <v>13</v>
      </c>
      <c r="U1592">
        <v>332</v>
      </c>
    </row>
    <row r="1593" spans="1:21" x14ac:dyDescent="0.25">
      <c r="A1593">
        <v>2025</v>
      </c>
      <c r="B1593">
        <v>9</v>
      </c>
      <c r="C1593" t="s">
        <v>61</v>
      </c>
      <c r="D1593" t="s">
        <v>22</v>
      </c>
      <c r="E1593" t="s">
        <v>23</v>
      </c>
      <c r="F1593" t="s">
        <v>28</v>
      </c>
      <c r="G1593" t="s">
        <v>25</v>
      </c>
      <c r="H1593" t="s">
        <v>26</v>
      </c>
      <c r="I1593" t="s">
        <v>25</v>
      </c>
      <c r="J1593">
        <v>1292</v>
      </c>
      <c r="K1593">
        <v>0</v>
      </c>
      <c r="L1593">
        <v>175</v>
      </c>
      <c r="M1593">
        <v>175</v>
      </c>
      <c r="N1593">
        <v>240</v>
      </c>
      <c r="O1593">
        <v>167</v>
      </c>
      <c r="P1593">
        <v>139</v>
      </c>
      <c r="Q1593">
        <v>75</v>
      </c>
      <c r="R1593">
        <v>44</v>
      </c>
      <c r="S1593">
        <v>13</v>
      </c>
      <c r="T1593">
        <v>1</v>
      </c>
      <c r="U1593">
        <v>1207</v>
      </c>
    </row>
    <row r="1594" spans="1:21" x14ac:dyDescent="0.25">
      <c r="A1594">
        <v>2025</v>
      </c>
      <c r="B1594">
        <v>9</v>
      </c>
      <c r="C1594" t="s">
        <v>61</v>
      </c>
      <c r="D1594" t="s">
        <v>22</v>
      </c>
      <c r="E1594" t="s">
        <v>23</v>
      </c>
      <c r="F1594" t="s">
        <v>24</v>
      </c>
      <c r="G1594" t="s">
        <v>25</v>
      </c>
      <c r="H1594" t="s">
        <v>26</v>
      </c>
      <c r="I1594" t="s">
        <v>25</v>
      </c>
      <c r="J1594">
        <v>487</v>
      </c>
      <c r="K1594">
        <v>0</v>
      </c>
      <c r="L1594">
        <v>1</v>
      </c>
      <c r="M1594">
        <v>1</v>
      </c>
      <c r="N1594">
        <v>75</v>
      </c>
      <c r="O1594">
        <v>65</v>
      </c>
      <c r="P1594">
        <v>60</v>
      </c>
      <c r="Q1594">
        <v>53</v>
      </c>
      <c r="R1594">
        <v>46</v>
      </c>
      <c r="S1594">
        <v>25</v>
      </c>
      <c r="T1594">
        <v>11</v>
      </c>
      <c r="U1594">
        <v>487</v>
      </c>
    </row>
    <row r="1595" spans="1:21" x14ac:dyDescent="0.25">
      <c r="A1595">
        <v>2025</v>
      </c>
      <c r="B1595">
        <v>9</v>
      </c>
      <c r="C1595" t="s">
        <v>61</v>
      </c>
      <c r="D1595" t="s">
        <v>22</v>
      </c>
      <c r="E1595" t="s">
        <v>39</v>
      </c>
      <c r="F1595" t="s">
        <v>28</v>
      </c>
      <c r="G1595" t="s">
        <v>26</v>
      </c>
      <c r="H1595" t="s">
        <v>26</v>
      </c>
      <c r="I1595" t="s">
        <v>25</v>
      </c>
      <c r="J1595">
        <v>30</v>
      </c>
      <c r="K1595">
        <v>0</v>
      </c>
      <c r="L1595">
        <v>0</v>
      </c>
      <c r="M1595">
        <v>0</v>
      </c>
      <c r="N1595">
        <v>1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30</v>
      </c>
    </row>
    <row r="1596" spans="1:21" x14ac:dyDescent="0.25">
      <c r="A1596">
        <v>2025</v>
      </c>
      <c r="B1596">
        <v>9</v>
      </c>
      <c r="C1596" t="s">
        <v>61</v>
      </c>
      <c r="D1596" t="s">
        <v>22</v>
      </c>
      <c r="E1596" t="s">
        <v>39</v>
      </c>
      <c r="F1596" t="s">
        <v>24</v>
      </c>
      <c r="G1596" t="s">
        <v>26</v>
      </c>
      <c r="H1596" t="s">
        <v>26</v>
      </c>
      <c r="I1596" t="s">
        <v>25</v>
      </c>
      <c r="J1596">
        <v>666</v>
      </c>
      <c r="K1596">
        <v>7</v>
      </c>
      <c r="L1596">
        <v>3</v>
      </c>
      <c r="M1596">
        <v>10</v>
      </c>
      <c r="N1596">
        <v>262</v>
      </c>
      <c r="O1596">
        <v>220</v>
      </c>
      <c r="P1596">
        <v>208</v>
      </c>
      <c r="Q1596">
        <v>184</v>
      </c>
      <c r="R1596">
        <v>163</v>
      </c>
      <c r="S1596">
        <v>84</v>
      </c>
      <c r="T1596">
        <v>28</v>
      </c>
      <c r="U1596">
        <v>657</v>
      </c>
    </row>
    <row r="1597" spans="1:21" x14ac:dyDescent="0.25">
      <c r="A1597">
        <v>2025</v>
      </c>
      <c r="B1597">
        <v>9</v>
      </c>
      <c r="C1597" t="s">
        <v>61</v>
      </c>
      <c r="D1597" t="s">
        <v>22</v>
      </c>
      <c r="E1597" t="s">
        <v>40</v>
      </c>
      <c r="F1597" t="s">
        <v>28</v>
      </c>
      <c r="G1597" t="s">
        <v>25</v>
      </c>
      <c r="H1597" t="s">
        <v>26</v>
      </c>
      <c r="I1597" t="s">
        <v>25</v>
      </c>
      <c r="J1597">
        <v>44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44</v>
      </c>
    </row>
    <row r="1598" spans="1:21" x14ac:dyDescent="0.25">
      <c r="A1598">
        <v>2025</v>
      </c>
      <c r="B1598">
        <v>9</v>
      </c>
      <c r="C1598" t="s">
        <v>61</v>
      </c>
      <c r="D1598" t="s">
        <v>22</v>
      </c>
      <c r="E1598" t="s">
        <v>35</v>
      </c>
      <c r="F1598" t="s">
        <v>28</v>
      </c>
      <c r="G1598" t="s">
        <v>25</v>
      </c>
      <c r="H1598" t="s">
        <v>26</v>
      </c>
      <c r="I1598" t="s">
        <v>26</v>
      </c>
      <c r="J1598">
        <v>60</v>
      </c>
      <c r="K1598">
        <v>0</v>
      </c>
      <c r="L1598">
        <v>1</v>
      </c>
      <c r="M1598">
        <v>1</v>
      </c>
      <c r="N1598">
        <v>3</v>
      </c>
      <c r="O1598">
        <v>3</v>
      </c>
      <c r="P1598">
        <v>3</v>
      </c>
      <c r="Q1598">
        <v>3</v>
      </c>
      <c r="R1598">
        <v>1</v>
      </c>
      <c r="S1598">
        <v>1</v>
      </c>
      <c r="T1598">
        <v>1</v>
      </c>
      <c r="U1598">
        <v>60</v>
      </c>
    </row>
    <row r="1599" spans="1:21" x14ac:dyDescent="0.25">
      <c r="A1599">
        <v>2025</v>
      </c>
      <c r="B1599">
        <v>9</v>
      </c>
      <c r="C1599" t="s">
        <v>61</v>
      </c>
      <c r="D1599" t="s">
        <v>22</v>
      </c>
      <c r="E1599" t="s">
        <v>35</v>
      </c>
      <c r="F1599" t="s">
        <v>24</v>
      </c>
      <c r="G1599" t="s">
        <v>25</v>
      </c>
      <c r="H1599" t="s">
        <v>26</v>
      </c>
      <c r="I1599" t="s">
        <v>26</v>
      </c>
      <c r="J1599">
        <v>835</v>
      </c>
      <c r="K1599">
        <v>3</v>
      </c>
      <c r="L1599">
        <v>2</v>
      </c>
      <c r="M1599">
        <v>5</v>
      </c>
      <c r="N1599">
        <v>308</v>
      </c>
      <c r="O1599">
        <v>267</v>
      </c>
      <c r="P1599">
        <v>254</v>
      </c>
      <c r="Q1599">
        <v>215</v>
      </c>
      <c r="R1599">
        <v>162</v>
      </c>
      <c r="S1599">
        <v>120</v>
      </c>
      <c r="T1599">
        <v>91</v>
      </c>
      <c r="U1599">
        <v>830</v>
      </c>
    </row>
    <row r="1600" spans="1:21" x14ac:dyDescent="0.25">
      <c r="A1600">
        <v>2025</v>
      </c>
      <c r="B1600">
        <v>9</v>
      </c>
      <c r="C1600" t="s">
        <v>61</v>
      </c>
      <c r="D1600" t="s">
        <v>22</v>
      </c>
      <c r="E1600" t="s">
        <v>36</v>
      </c>
      <c r="F1600" t="s">
        <v>28</v>
      </c>
      <c r="G1600" t="s">
        <v>25</v>
      </c>
      <c r="H1600" t="s">
        <v>26</v>
      </c>
      <c r="I1600" t="s">
        <v>25</v>
      </c>
      <c r="J1600">
        <v>2009</v>
      </c>
      <c r="K1600">
        <v>7</v>
      </c>
      <c r="L1600">
        <v>115</v>
      </c>
      <c r="M1600">
        <v>122</v>
      </c>
      <c r="N1600">
        <v>452</v>
      </c>
      <c r="O1600">
        <v>313</v>
      </c>
      <c r="P1600">
        <v>263</v>
      </c>
      <c r="Q1600">
        <v>145</v>
      </c>
      <c r="R1600">
        <v>82</v>
      </c>
      <c r="S1600">
        <v>29</v>
      </c>
      <c r="T1600">
        <v>11</v>
      </c>
      <c r="U1600">
        <v>1933</v>
      </c>
    </row>
    <row r="1601" spans="1:21" x14ac:dyDescent="0.25">
      <c r="A1601">
        <v>2025</v>
      </c>
      <c r="B1601">
        <v>9</v>
      </c>
      <c r="C1601" t="s">
        <v>61</v>
      </c>
      <c r="D1601" t="s">
        <v>22</v>
      </c>
      <c r="E1601" t="s">
        <v>36</v>
      </c>
      <c r="F1601" t="s">
        <v>24</v>
      </c>
      <c r="G1601" t="s">
        <v>25</v>
      </c>
      <c r="H1601" t="s">
        <v>26</v>
      </c>
      <c r="I1601" t="s">
        <v>25</v>
      </c>
      <c r="J1601">
        <v>1019</v>
      </c>
      <c r="K1601">
        <v>0</v>
      </c>
      <c r="L1601">
        <v>6</v>
      </c>
      <c r="M1601">
        <v>6</v>
      </c>
      <c r="N1601">
        <v>426</v>
      </c>
      <c r="O1601">
        <v>349</v>
      </c>
      <c r="P1601">
        <v>312</v>
      </c>
      <c r="Q1601">
        <v>223</v>
      </c>
      <c r="R1601">
        <v>157</v>
      </c>
      <c r="S1601">
        <v>60</v>
      </c>
      <c r="T1601">
        <v>16</v>
      </c>
      <c r="U1601">
        <v>1018</v>
      </c>
    </row>
    <row r="1602" spans="1:21" x14ac:dyDescent="0.25">
      <c r="A1602">
        <v>2025</v>
      </c>
      <c r="B1602">
        <v>9</v>
      </c>
      <c r="C1602" t="s">
        <v>61</v>
      </c>
      <c r="D1602" t="s">
        <v>22</v>
      </c>
      <c r="E1602" t="s">
        <v>41</v>
      </c>
      <c r="F1602" t="s">
        <v>28</v>
      </c>
      <c r="G1602" t="s">
        <v>26</v>
      </c>
      <c r="H1602" t="s">
        <v>26</v>
      </c>
      <c r="I1602" t="s">
        <v>25</v>
      </c>
      <c r="J1602">
        <v>899</v>
      </c>
      <c r="K1602">
        <v>0</v>
      </c>
      <c r="L1602">
        <v>27</v>
      </c>
      <c r="M1602">
        <v>27</v>
      </c>
      <c r="N1602">
        <v>474</v>
      </c>
      <c r="O1602">
        <v>384</v>
      </c>
      <c r="P1602">
        <v>348</v>
      </c>
      <c r="Q1602">
        <v>262</v>
      </c>
      <c r="R1602">
        <v>208</v>
      </c>
      <c r="S1602">
        <v>84</v>
      </c>
      <c r="T1602">
        <v>16</v>
      </c>
      <c r="U1602">
        <v>888</v>
      </c>
    </row>
    <row r="1603" spans="1:21" x14ac:dyDescent="0.25">
      <c r="A1603">
        <v>2025</v>
      </c>
      <c r="B1603">
        <v>9</v>
      </c>
      <c r="C1603" t="s">
        <v>61</v>
      </c>
      <c r="D1603" t="s">
        <v>22</v>
      </c>
      <c r="E1603" t="s">
        <v>41</v>
      </c>
      <c r="F1603" t="s">
        <v>24</v>
      </c>
      <c r="G1603" t="s">
        <v>26</v>
      </c>
      <c r="H1603" t="s">
        <v>26</v>
      </c>
      <c r="I1603" t="s">
        <v>25</v>
      </c>
      <c r="J1603">
        <v>1029</v>
      </c>
      <c r="K1603">
        <v>0</v>
      </c>
      <c r="L1603">
        <v>7</v>
      </c>
      <c r="M1603">
        <v>7</v>
      </c>
      <c r="N1603">
        <v>546</v>
      </c>
      <c r="O1603">
        <v>463</v>
      </c>
      <c r="P1603">
        <v>434</v>
      </c>
      <c r="Q1603">
        <v>334</v>
      </c>
      <c r="R1603">
        <v>242</v>
      </c>
      <c r="S1603">
        <v>104</v>
      </c>
      <c r="T1603">
        <v>14</v>
      </c>
      <c r="U1603">
        <v>1025</v>
      </c>
    </row>
    <row r="1604" spans="1:21" x14ac:dyDescent="0.25">
      <c r="A1604">
        <v>2025</v>
      </c>
      <c r="B1604">
        <v>9</v>
      </c>
      <c r="C1604" t="s">
        <v>62</v>
      </c>
      <c r="D1604" t="s">
        <v>22</v>
      </c>
      <c r="E1604" t="s">
        <v>40</v>
      </c>
      <c r="F1604" t="s">
        <v>28</v>
      </c>
      <c r="G1604" t="s">
        <v>25</v>
      </c>
      <c r="H1604" t="s">
        <v>25</v>
      </c>
      <c r="I1604" t="s">
        <v>25</v>
      </c>
      <c r="J1604">
        <v>10995</v>
      </c>
      <c r="K1604">
        <v>11</v>
      </c>
      <c r="L1604">
        <v>137</v>
      </c>
      <c r="M1604">
        <v>148</v>
      </c>
      <c r="N1604">
        <v>13</v>
      </c>
      <c r="O1604">
        <v>6</v>
      </c>
      <c r="P1604">
        <v>4</v>
      </c>
      <c r="Q1604">
        <v>3</v>
      </c>
      <c r="R1604">
        <v>2</v>
      </c>
      <c r="S1604">
        <v>0</v>
      </c>
      <c r="T1604">
        <v>0</v>
      </c>
      <c r="U1604">
        <v>10871</v>
      </c>
    </row>
    <row r="1605" spans="1:21" x14ac:dyDescent="0.25">
      <c r="A1605">
        <v>2025</v>
      </c>
      <c r="B1605">
        <v>9</v>
      </c>
      <c r="C1605" t="s">
        <v>62</v>
      </c>
      <c r="D1605" t="s">
        <v>22</v>
      </c>
      <c r="E1605" t="s">
        <v>40</v>
      </c>
      <c r="F1605" t="s">
        <v>24</v>
      </c>
      <c r="G1605" t="s">
        <v>25</v>
      </c>
      <c r="H1605" t="s">
        <v>25</v>
      </c>
      <c r="I1605" t="s">
        <v>25</v>
      </c>
      <c r="J1605">
        <v>27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27</v>
      </c>
    </row>
    <row r="1606" spans="1:21" x14ac:dyDescent="0.25">
      <c r="A1606">
        <v>2025</v>
      </c>
      <c r="B1606">
        <v>9</v>
      </c>
      <c r="C1606" t="s">
        <v>63</v>
      </c>
      <c r="D1606" t="s">
        <v>45</v>
      </c>
      <c r="E1606" t="s">
        <v>64</v>
      </c>
      <c r="F1606" t="s">
        <v>24</v>
      </c>
      <c r="G1606" t="s">
        <v>25</v>
      </c>
      <c r="H1606" t="s">
        <v>25</v>
      </c>
      <c r="I1606" t="s">
        <v>25</v>
      </c>
      <c r="J1606">
        <v>127</v>
      </c>
      <c r="K1606">
        <v>0</v>
      </c>
      <c r="L1606">
        <v>1</v>
      </c>
      <c r="M1606">
        <v>1</v>
      </c>
      <c r="N1606">
        <v>19</v>
      </c>
      <c r="O1606">
        <v>10</v>
      </c>
      <c r="P1606">
        <v>10</v>
      </c>
      <c r="Q1606">
        <v>7</v>
      </c>
      <c r="R1606">
        <v>6</v>
      </c>
      <c r="S1606">
        <v>3</v>
      </c>
      <c r="T1606">
        <v>0</v>
      </c>
      <c r="U1606">
        <v>126</v>
      </c>
    </row>
    <row r="1607" spans="1:21" x14ac:dyDescent="0.25">
      <c r="A1607">
        <v>2025</v>
      </c>
      <c r="B1607">
        <v>9</v>
      </c>
      <c r="C1607" t="s">
        <v>63</v>
      </c>
      <c r="D1607" t="s">
        <v>45</v>
      </c>
      <c r="E1607" t="s">
        <v>65</v>
      </c>
      <c r="F1607" t="s">
        <v>28</v>
      </c>
      <c r="G1607" t="s">
        <v>26</v>
      </c>
      <c r="H1607" t="s">
        <v>26</v>
      </c>
      <c r="I1607" t="s">
        <v>25</v>
      </c>
      <c r="J1607">
        <v>1878</v>
      </c>
      <c r="K1607">
        <v>12</v>
      </c>
      <c r="L1607">
        <v>16</v>
      </c>
      <c r="M1607">
        <v>28</v>
      </c>
      <c r="N1607">
        <v>376</v>
      </c>
      <c r="O1607">
        <v>335</v>
      </c>
      <c r="P1607">
        <v>335</v>
      </c>
      <c r="Q1607">
        <v>223</v>
      </c>
      <c r="R1607">
        <v>188</v>
      </c>
      <c r="S1607">
        <v>109</v>
      </c>
      <c r="T1607">
        <v>55</v>
      </c>
      <c r="U1607">
        <v>1860</v>
      </c>
    </row>
    <row r="1608" spans="1:21" x14ac:dyDescent="0.25">
      <c r="A1608">
        <v>2025</v>
      </c>
      <c r="B1608">
        <v>9</v>
      </c>
      <c r="C1608" t="s">
        <v>63</v>
      </c>
      <c r="D1608" t="s">
        <v>45</v>
      </c>
      <c r="E1608" t="s">
        <v>65</v>
      </c>
      <c r="F1608" t="s">
        <v>29</v>
      </c>
      <c r="G1608" t="s">
        <v>26</v>
      </c>
      <c r="H1608" t="s">
        <v>26</v>
      </c>
      <c r="I1608" t="s">
        <v>25</v>
      </c>
      <c r="J1608">
        <v>59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</row>
    <row r="1609" spans="1:21" x14ac:dyDescent="0.25">
      <c r="A1609">
        <v>2025</v>
      </c>
      <c r="B1609">
        <v>9</v>
      </c>
      <c r="C1609" t="s">
        <v>66</v>
      </c>
      <c r="D1609" t="s">
        <v>22</v>
      </c>
      <c r="E1609" t="s">
        <v>32</v>
      </c>
      <c r="F1609" t="s">
        <v>24</v>
      </c>
      <c r="G1609" t="s">
        <v>25</v>
      </c>
      <c r="H1609" t="s">
        <v>25</v>
      </c>
      <c r="I1609" t="s">
        <v>25</v>
      </c>
      <c r="J1609">
        <v>884</v>
      </c>
      <c r="K1609">
        <v>2</v>
      </c>
      <c r="L1609">
        <v>0</v>
      </c>
      <c r="M1609">
        <v>2</v>
      </c>
      <c r="N1609">
        <v>303</v>
      </c>
      <c r="O1609">
        <v>243</v>
      </c>
      <c r="P1609">
        <v>215</v>
      </c>
      <c r="Q1609">
        <v>146</v>
      </c>
      <c r="R1609">
        <v>108</v>
      </c>
      <c r="S1609">
        <v>48</v>
      </c>
      <c r="T1609">
        <v>16</v>
      </c>
      <c r="U1609">
        <v>882</v>
      </c>
    </row>
    <row r="1610" spans="1:21" x14ac:dyDescent="0.25">
      <c r="A1610">
        <v>2025</v>
      </c>
      <c r="B1610">
        <v>9</v>
      </c>
      <c r="C1610" t="s">
        <v>66</v>
      </c>
      <c r="D1610" t="s">
        <v>22</v>
      </c>
      <c r="E1610" t="s">
        <v>34</v>
      </c>
      <c r="F1610" t="s">
        <v>24</v>
      </c>
      <c r="G1610" t="s">
        <v>25</v>
      </c>
      <c r="H1610" t="s">
        <v>26</v>
      </c>
      <c r="I1610" t="s">
        <v>26</v>
      </c>
      <c r="J1610">
        <v>60</v>
      </c>
      <c r="K1610">
        <v>0</v>
      </c>
      <c r="L1610">
        <v>0</v>
      </c>
      <c r="M1610">
        <v>0</v>
      </c>
      <c r="N1610">
        <v>25</v>
      </c>
      <c r="O1610">
        <v>22</v>
      </c>
      <c r="P1610">
        <v>21</v>
      </c>
      <c r="Q1610">
        <v>13</v>
      </c>
      <c r="R1610">
        <v>11</v>
      </c>
      <c r="S1610">
        <v>4</v>
      </c>
      <c r="T1610">
        <v>2</v>
      </c>
      <c r="U1610">
        <v>60</v>
      </c>
    </row>
    <row r="1611" spans="1:21" x14ac:dyDescent="0.25">
      <c r="A1611">
        <v>2025</v>
      </c>
      <c r="B1611">
        <v>9</v>
      </c>
      <c r="C1611" t="s">
        <v>66</v>
      </c>
      <c r="D1611" t="s">
        <v>22</v>
      </c>
      <c r="E1611" t="s">
        <v>23</v>
      </c>
      <c r="F1611" t="s">
        <v>24</v>
      </c>
      <c r="G1611" t="s">
        <v>25</v>
      </c>
      <c r="H1611" t="s">
        <v>26</v>
      </c>
      <c r="I1611" t="s">
        <v>25</v>
      </c>
      <c r="J1611">
        <v>60</v>
      </c>
      <c r="K1611">
        <v>0</v>
      </c>
      <c r="L1611">
        <v>0</v>
      </c>
      <c r="M1611">
        <v>0</v>
      </c>
      <c r="N1611">
        <v>24</v>
      </c>
      <c r="O1611">
        <v>22</v>
      </c>
      <c r="P1611">
        <v>21</v>
      </c>
      <c r="Q1611">
        <v>13</v>
      </c>
      <c r="R1611">
        <v>11</v>
      </c>
      <c r="S1611">
        <v>4</v>
      </c>
      <c r="T1611">
        <v>2</v>
      </c>
      <c r="U1611">
        <v>60</v>
      </c>
    </row>
    <row r="1612" spans="1:21" x14ac:dyDescent="0.25">
      <c r="A1612">
        <v>2025</v>
      </c>
      <c r="B1612">
        <v>9</v>
      </c>
      <c r="C1612" t="s">
        <v>67</v>
      </c>
      <c r="D1612" t="s">
        <v>22</v>
      </c>
      <c r="E1612" t="s">
        <v>68</v>
      </c>
      <c r="F1612" t="s">
        <v>28</v>
      </c>
      <c r="G1612" t="s">
        <v>25</v>
      </c>
      <c r="H1612" t="s">
        <v>25</v>
      </c>
      <c r="I1612" t="s">
        <v>25</v>
      </c>
      <c r="J1612">
        <v>1546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1546</v>
      </c>
    </row>
    <row r="1613" spans="1:21" x14ac:dyDescent="0.25">
      <c r="A1613">
        <v>2025</v>
      </c>
      <c r="B1613">
        <v>9</v>
      </c>
      <c r="C1613" t="s">
        <v>67</v>
      </c>
      <c r="D1613" t="s">
        <v>22</v>
      </c>
      <c r="E1613" t="s">
        <v>68</v>
      </c>
      <c r="F1613" t="s">
        <v>24</v>
      </c>
      <c r="G1613" t="s">
        <v>25</v>
      </c>
      <c r="H1613" t="s">
        <v>25</v>
      </c>
      <c r="I1613" t="s">
        <v>25</v>
      </c>
      <c r="J1613">
        <v>180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180</v>
      </c>
    </row>
    <row r="1614" spans="1:21" x14ac:dyDescent="0.25">
      <c r="A1614">
        <v>2025</v>
      </c>
      <c r="B1614">
        <v>9</v>
      </c>
      <c r="C1614" t="s">
        <v>69</v>
      </c>
      <c r="D1614" t="s">
        <v>22</v>
      </c>
      <c r="E1614" t="s">
        <v>32</v>
      </c>
      <c r="F1614" t="s">
        <v>28</v>
      </c>
      <c r="G1614" t="s">
        <v>25</v>
      </c>
      <c r="H1614" t="s">
        <v>26</v>
      </c>
      <c r="I1614" t="s">
        <v>25</v>
      </c>
      <c r="J1614">
        <v>63</v>
      </c>
      <c r="K1614">
        <v>1</v>
      </c>
      <c r="L1614">
        <v>0</v>
      </c>
      <c r="M1614">
        <v>1</v>
      </c>
      <c r="N1614">
        <v>1</v>
      </c>
      <c r="O1614">
        <v>1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62</v>
      </c>
    </row>
    <row r="1615" spans="1:21" x14ac:dyDescent="0.25">
      <c r="A1615">
        <v>2025</v>
      </c>
      <c r="B1615">
        <v>9</v>
      </c>
      <c r="C1615" t="s">
        <v>69</v>
      </c>
      <c r="D1615" t="s">
        <v>22</v>
      </c>
      <c r="E1615" t="s">
        <v>32</v>
      </c>
      <c r="F1615" t="s">
        <v>24</v>
      </c>
      <c r="G1615" t="s">
        <v>25</v>
      </c>
      <c r="H1615" t="s">
        <v>26</v>
      </c>
      <c r="I1615" t="s">
        <v>25</v>
      </c>
      <c r="J1615">
        <v>1788</v>
      </c>
      <c r="K1615">
        <v>19</v>
      </c>
      <c r="L1615">
        <v>75</v>
      </c>
      <c r="M1615">
        <v>94</v>
      </c>
      <c r="N1615">
        <v>413</v>
      </c>
      <c r="O1615">
        <v>332</v>
      </c>
      <c r="P1615">
        <v>308</v>
      </c>
      <c r="Q1615">
        <v>249</v>
      </c>
      <c r="R1615">
        <v>197</v>
      </c>
      <c r="S1615">
        <v>129</v>
      </c>
      <c r="T1615">
        <v>33</v>
      </c>
      <c r="U1615">
        <v>1742</v>
      </c>
    </row>
    <row r="1616" spans="1:21" x14ac:dyDescent="0.25">
      <c r="A1616">
        <v>2025</v>
      </c>
      <c r="B1616">
        <v>9</v>
      </c>
      <c r="C1616" t="s">
        <v>69</v>
      </c>
      <c r="D1616" t="s">
        <v>22</v>
      </c>
      <c r="E1616" t="s">
        <v>38</v>
      </c>
      <c r="F1616" t="s">
        <v>24</v>
      </c>
      <c r="G1616" t="s">
        <v>25</v>
      </c>
      <c r="H1616" t="s">
        <v>25</v>
      </c>
      <c r="I1616" t="s">
        <v>25</v>
      </c>
      <c r="J1616">
        <v>275</v>
      </c>
      <c r="K1616">
        <v>1</v>
      </c>
      <c r="L1616">
        <v>1</v>
      </c>
      <c r="M1616">
        <v>2</v>
      </c>
      <c r="N1616">
        <v>177</v>
      </c>
      <c r="O1616">
        <v>151</v>
      </c>
      <c r="P1616">
        <v>130</v>
      </c>
      <c r="Q1616">
        <v>67</v>
      </c>
      <c r="R1616">
        <v>36</v>
      </c>
      <c r="S1616">
        <v>13</v>
      </c>
      <c r="T1616">
        <v>4</v>
      </c>
      <c r="U1616">
        <v>274</v>
      </c>
    </row>
    <row r="1617" spans="1:21" x14ac:dyDescent="0.25">
      <c r="A1617">
        <v>2025</v>
      </c>
      <c r="B1617">
        <v>9</v>
      </c>
      <c r="C1617" t="s">
        <v>69</v>
      </c>
      <c r="D1617" t="s">
        <v>22</v>
      </c>
      <c r="E1617" t="s">
        <v>34</v>
      </c>
      <c r="F1617" t="s">
        <v>24</v>
      </c>
      <c r="G1617" t="s">
        <v>25</v>
      </c>
      <c r="H1617" t="s">
        <v>26</v>
      </c>
      <c r="I1617" t="s">
        <v>26</v>
      </c>
      <c r="J1617">
        <v>176</v>
      </c>
      <c r="K1617">
        <v>1</v>
      </c>
      <c r="L1617">
        <v>0</v>
      </c>
      <c r="M1617">
        <v>1</v>
      </c>
      <c r="N1617">
        <v>25</v>
      </c>
      <c r="O1617">
        <v>18</v>
      </c>
      <c r="P1617">
        <v>15</v>
      </c>
      <c r="Q1617">
        <v>13</v>
      </c>
      <c r="R1617">
        <v>10</v>
      </c>
      <c r="S1617">
        <v>8</v>
      </c>
      <c r="T1617">
        <v>2</v>
      </c>
      <c r="U1617">
        <v>175</v>
      </c>
    </row>
    <row r="1618" spans="1:21" x14ac:dyDescent="0.25">
      <c r="A1618">
        <v>2025</v>
      </c>
      <c r="B1618">
        <v>9</v>
      </c>
      <c r="C1618" t="s">
        <v>69</v>
      </c>
      <c r="D1618" t="s">
        <v>22</v>
      </c>
      <c r="E1618" t="s">
        <v>23</v>
      </c>
      <c r="F1618" t="s">
        <v>28</v>
      </c>
      <c r="G1618" t="s">
        <v>25</v>
      </c>
      <c r="H1618" t="s">
        <v>26</v>
      </c>
      <c r="I1618" t="s">
        <v>25</v>
      </c>
      <c r="J1618">
        <v>11296</v>
      </c>
      <c r="K1618">
        <v>45</v>
      </c>
      <c r="L1618">
        <v>231</v>
      </c>
      <c r="M1618">
        <v>276</v>
      </c>
      <c r="N1618">
        <v>32</v>
      </c>
      <c r="O1618">
        <v>24</v>
      </c>
      <c r="P1618">
        <v>23</v>
      </c>
      <c r="Q1618">
        <v>17</v>
      </c>
      <c r="R1618">
        <v>16</v>
      </c>
      <c r="S1618">
        <v>10</v>
      </c>
      <c r="T1618">
        <v>6</v>
      </c>
      <c r="U1618">
        <v>11062</v>
      </c>
    </row>
    <row r="1619" spans="1:21" x14ac:dyDescent="0.25">
      <c r="A1619">
        <v>2025</v>
      </c>
      <c r="B1619">
        <v>9</v>
      </c>
      <c r="C1619" t="s">
        <v>69</v>
      </c>
      <c r="D1619" t="s">
        <v>22</v>
      </c>
      <c r="E1619" t="s">
        <v>23</v>
      </c>
      <c r="F1619" t="s">
        <v>24</v>
      </c>
      <c r="G1619" t="s">
        <v>25</v>
      </c>
      <c r="H1619" t="s">
        <v>26</v>
      </c>
      <c r="I1619" t="s">
        <v>25</v>
      </c>
      <c r="J1619">
        <v>1164</v>
      </c>
      <c r="K1619">
        <v>54</v>
      </c>
      <c r="L1619">
        <v>42</v>
      </c>
      <c r="M1619">
        <v>96</v>
      </c>
      <c r="N1619">
        <v>362</v>
      </c>
      <c r="O1619">
        <v>293</v>
      </c>
      <c r="P1619">
        <v>274</v>
      </c>
      <c r="Q1619">
        <v>226</v>
      </c>
      <c r="R1619">
        <v>148</v>
      </c>
      <c r="S1619">
        <v>23</v>
      </c>
      <c r="T1619">
        <v>7</v>
      </c>
      <c r="U1619">
        <v>1089</v>
      </c>
    </row>
    <row r="1620" spans="1:21" x14ac:dyDescent="0.25">
      <c r="A1620">
        <v>2025</v>
      </c>
      <c r="B1620">
        <v>9</v>
      </c>
      <c r="C1620" t="s">
        <v>69</v>
      </c>
      <c r="D1620" t="s">
        <v>22</v>
      </c>
      <c r="E1620" t="s">
        <v>39</v>
      </c>
      <c r="F1620" t="s">
        <v>28</v>
      </c>
      <c r="G1620" t="s">
        <v>26</v>
      </c>
      <c r="H1620" t="s">
        <v>26</v>
      </c>
      <c r="I1620" t="s">
        <v>25</v>
      </c>
      <c r="J1620">
        <v>44</v>
      </c>
      <c r="K1620">
        <v>1</v>
      </c>
      <c r="L1620">
        <v>0</v>
      </c>
      <c r="M1620">
        <v>1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43</v>
      </c>
    </row>
    <row r="1621" spans="1:21" x14ac:dyDescent="0.25">
      <c r="A1621">
        <v>2025</v>
      </c>
      <c r="B1621">
        <v>9</v>
      </c>
      <c r="C1621" t="s">
        <v>69</v>
      </c>
      <c r="D1621" t="s">
        <v>22</v>
      </c>
      <c r="E1621" t="s">
        <v>39</v>
      </c>
      <c r="F1621" t="s">
        <v>24</v>
      </c>
      <c r="G1621" t="s">
        <v>26</v>
      </c>
      <c r="H1621" t="s">
        <v>26</v>
      </c>
      <c r="I1621" t="s">
        <v>25</v>
      </c>
      <c r="J1621">
        <v>1397</v>
      </c>
      <c r="K1621">
        <v>87</v>
      </c>
      <c r="L1621">
        <v>205</v>
      </c>
      <c r="M1621">
        <v>292</v>
      </c>
      <c r="N1621">
        <v>335</v>
      </c>
      <c r="O1621">
        <v>256</v>
      </c>
      <c r="P1621">
        <v>231</v>
      </c>
      <c r="Q1621">
        <v>144</v>
      </c>
      <c r="R1621">
        <v>95</v>
      </c>
      <c r="S1621">
        <v>34</v>
      </c>
      <c r="T1621">
        <v>2</v>
      </c>
      <c r="U1621">
        <v>1199</v>
      </c>
    </row>
    <row r="1622" spans="1:21" x14ac:dyDescent="0.25">
      <c r="A1622">
        <v>2025</v>
      </c>
      <c r="B1622">
        <v>9</v>
      </c>
      <c r="C1622" t="s">
        <v>69</v>
      </c>
      <c r="D1622" t="s">
        <v>22</v>
      </c>
      <c r="E1622" t="s">
        <v>40</v>
      </c>
      <c r="F1622" t="s">
        <v>28</v>
      </c>
      <c r="G1622" t="s">
        <v>25</v>
      </c>
      <c r="H1622" t="s">
        <v>26</v>
      </c>
      <c r="I1622" t="s">
        <v>25</v>
      </c>
      <c r="J1622">
        <v>12689</v>
      </c>
      <c r="K1622">
        <v>46</v>
      </c>
      <c r="L1622">
        <v>114</v>
      </c>
      <c r="M1622">
        <v>160</v>
      </c>
      <c r="N1622">
        <v>18</v>
      </c>
      <c r="O1622">
        <v>13</v>
      </c>
      <c r="P1622">
        <v>12</v>
      </c>
      <c r="Q1622">
        <v>8</v>
      </c>
      <c r="R1622">
        <v>4</v>
      </c>
      <c r="S1622">
        <v>4</v>
      </c>
      <c r="T1622">
        <v>3</v>
      </c>
      <c r="U1622">
        <v>12573</v>
      </c>
    </row>
    <row r="1623" spans="1:21" x14ac:dyDescent="0.25">
      <c r="A1623">
        <v>2025</v>
      </c>
      <c r="B1623">
        <v>9</v>
      </c>
      <c r="C1623" t="s">
        <v>69</v>
      </c>
      <c r="D1623" t="s">
        <v>22</v>
      </c>
      <c r="E1623" t="s">
        <v>40</v>
      </c>
      <c r="F1623" t="s">
        <v>24</v>
      </c>
      <c r="G1623" t="s">
        <v>25</v>
      </c>
      <c r="H1623" t="s">
        <v>26</v>
      </c>
      <c r="I1623" t="s">
        <v>25</v>
      </c>
      <c r="J1623">
        <v>1049</v>
      </c>
      <c r="K1623">
        <v>3</v>
      </c>
      <c r="L1623">
        <v>23</v>
      </c>
      <c r="M1623">
        <v>26</v>
      </c>
      <c r="N1623">
        <v>68</v>
      </c>
      <c r="O1623">
        <v>25</v>
      </c>
      <c r="P1623">
        <v>17</v>
      </c>
      <c r="Q1623">
        <v>6</v>
      </c>
      <c r="R1623">
        <v>1</v>
      </c>
      <c r="S1623">
        <v>0</v>
      </c>
      <c r="T1623">
        <v>0</v>
      </c>
      <c r="U1623">
        <v>1028</v>
      </c>
    </row>
    <row r="1624" spans="1:21" x14ac:dyDescent="0.25">
      <c r="A1624">
        <v>2025</v>
      </c>
      <c r="B1624">
        <v>9</v>
      </c>
      <c r="C1624" t="s">
        <v>69</v>
      </c>
      <c r="D1624" t="s">
        <v>22</v>
      </c>
      <c r="E1624" t="s">
        <v>70</v>
      </c>
      <c r="F1624" t="s">
        <v>24</v>
      </c>
      <c r="G1624" t="s">
        <v>26</v>
      </c>
      <c r="H1624" t="s">
        <v>26</v>
      </c>
      <c r="I1624" t="s">
        <v>25</v>
      </c>
      <c r="J1624">
        <v>747</v>
      </c>
      <c r="K1624">
        <v>3</v>
      </c>
      <c r="L1624">
        <v>5</v>
      </c>
      <c r="M1624">
        <v>8</v>
      </c>
      <c r="N1624">
        <v>133</v>
      </c>
      <c r="O1624">
        <v>105</v>
      </c>
      <c r="P1624">
        <v>98</v>
      </c>
      <c r="Q1624">
        <v>79</v>
      </c>
      <c r="R1624">
        <v>69</v>
      </c>
      <c r="S1624">
        <v>35</v>
      </c>
      <c r="T1624">
        <v>10</v>
      </c>
      <c r="U1624">
        <v>741</v>
      </c>
    </row>
    <row r="1625" spans="1:21" x14ac:dyDescent="0.25">
      <c r="A1625">
        <v>2025</v>
      </c>
      <c r="B1625">
        <v>9</v>
      </c>
      <c r="C1625" t="s">
        <v>69</v>
      </c>
      <c r="D1625" t="s">
        <v>22</v>
      </c>
      <c r="E1625" t="s">
        <v>70</v>
      </c>
      <c r="F1625" t="s">
        <v>29</v>
      </c>
      <c r="G1625" t="s">
        <v>26</v>
      </c>
      <c r="H1625" t="s">
        <v>26</v>
      </c>
      <c r="I1625" t="s">
        <v>25</v>
      </c>
      <c r="J1625">
        <v>4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</row>
    <row r="1626" spans="1:21" x14ac:dyDescent="0.25">
      <c r="A1626">
        <v>2025</v>
      </c>
      <c r="B1626">
        <v>9</v>
      </c>
      <c r="C1626" t="s">
        <v>69</v>
      </c>
      <c r="D1626" t="s">
        <v>22</v>
      </c>
      <c r="E1626" t="s">
        <v>35</v>
      </c>
      <c r="F1626" t="s">
        <v>24</v>
      </c>
      <c r="G1626" t="s">
        <v>25</v>
      </c>
      <c r="H1626" t="s">
        <v>26</v>
      </c>
      <c r="I1626" t="s">
        <v>26</v>
      </c>
      <c r="J1626">
        <v>291</v>
      </c>
      <c r="K1626">
        <v>2</v>
      </c>
      <c r="L1626">
        <v>0</v>
      </c>
      <c r="M1626">
        <v>2</v>
      </c>
      <c r="N1626">
        <v>106</v>
      </c>
      <c r="O1626">
        <v>80</v>
      </c>
      <c r="P1626">
        <v>73</v>
      </c>
      <c r="Q1626">
        <v>57</v>
      </c>
      <c r="R1626">
        <v>47</v>
      </c>
      <c r="S1626">
        <v>28</v>
      </c>
      <c r="T1626">
        <v>15</v>
      </c>
      <c r="U1626">
        <v>289</v>
      </c>
    </row>
    <row r="1627" spans="1:21" x14ac:dyDescent="0.25">
      <c r="A1627">
        <v>2025</v>
      </c>
      <c r="B1627">
        <v>9</v>
      </c>
      <c r="C1627" t="s">
        <v>69</v>
      </c>
      <c r="D1627" t="s">
        <v>22</v>
      </c>
      <c r="E1627" t="s">
        <v>41</v>
      </c>
      <c r="F1627" t="s">
        <v>24</v>
      </c>
      <c r="G1627" t="s">
        <v>26</v>
      </c>
      <c r="H1627" t="s">
        <v>26</v>
      </c>
      <c r="I1627" t="s">
        <v>25</v>
      </c>
      <c r="J1627">
        <v>360</v>
      </c>
      <c r="K1627">
        <v>1</v>
      </c>
      <c r="L1627">
        <v>17</v>
      </c>
      <c r="M1627">
        <v>18</v>
      </c>
      <c r="N1627">
        <v>85</v>
      </c>
      <c r="O1627">
        <v>72</v>
      </c>
      <c r="P1627">
        <v>68</v>
      </c>
      <c r="Q1627">
        <v>60</v>
      </c>
      <c r="R1627">
        <v>58</v>
      </c>
      <c r="S1627">
        <v>34</v>
      </c>
      <c r="T1627">
        <v>4</v>
      </c>
      <c r="U1627">
        <v>352</v>
      </c>
    </row>
    <row r="1628" spans="1:21" x14ac:dyDescent="0.25">
      <c r="A1628">
        <v>2025</v>
      </c>
      <c r="B1628">
        <v>9</v>
      </c>
      <c r="C1628" t="s">
        <v>71</v>
      </c>
      <c r="D1628" t="s">
        <v>22</v>
      </c>
      <c r="E1628" t="s">
        <v>34</v>
      </c>
      <c r="F1628" t="s">
        <v>24</v>
      </c>
      <c r="G1628" t="s">
        <v>25</v>
      </c>
      <c r="H1628" t="s">
        <v>26</v>
      </c>
      <c r="I1628" t="s">
        <v>26</v>
      </c>
      <c r="J1628">
        <v>59</v>
      </c>
      <c r="K1628">
        <v>3</v>
      </c>
      <c r="L1628">
        <v>0</v>
      </c>
      <c r="M1628">
        <v>3</v>
      </c>
      <c r="N1628">
        <v>27</v>
      </c>
      <c r="O1628">
        <v>26</v>
      </c>
      <c r="P1628">
        <v>26</v>
      </c>
      <c r="Q1628">
        <v>26</v>
      </c>
      <c r="R1628">
        <v>19</v>
      </c>
      <c r="S1628">
        <v>12</v>
      </c>
      <c r="T1628">
        <v>5</v>
      </c>
      <c r="U1628">
        <v>56</v>
      </c>
    </row>
    <row r="1629" spans="1:21" x14ac:dyDescent="0.25">
      <c r="A1629">
        <v>2025</v>
      </c>
      <c r="B1629">
        <v>9</v>
      </c>
      <c r="C1629" t="s">
        <v>71</v>
      </c>
      <c r="D1629" t="s">
        <v>22</v>
      </c>
      <c r="E1629" t="s">
        <v>35</v>
      </c>
      <c r="F1629" t="s">
        <v>24</v>
      </c>
      <c r="G1629" t="s">
        <v>25</v>
      </c>
      <c r="H1629" t="s">
        <v>26</v>
      </c>
      <c r="I1629" t="s">
        <v>26</v>
      </c>
      <c r="J1629">
        <v>19</v>
      </c>
      <c r="K1629">
        <v>0</v>
      </c>
      <c r="L1629">
        <v>0</v>
      </c>
      <c r="M1629">
        <v>0</v>
      </c>
      <c r="N1629">
        <v>3</v>
      </c>
      <c r="O1629">
        <v>3</v>
      </c>
      <c r="P1629">
        <v>3</v>
      </c>
      <c r="Q1629">
        <v>3</v>
      </c>
      <c r="R1629">
        <v>3</v>
      </c>
      <c r="S1629">
        <v>2</v>
      </c>
      <c r="T1629">
        <v>1</v>
      </c>
      <c r="U1629">
        <v>19</v>
      </c>
    </row>
    <row r="1630" spans="1:21" x14ac:dyDescent="0.25">
      <c r="A1630">
        <v>2025</v>
      </c>
      <c r="B1630">
        <v>9</v>
      </c>
      <c r="C1630" t="s">
        <v>72</v>
      </c>
      <c r="D1630" t="s">
        <v>22</v>
      </c>
      <c r="E1630" t="s">
        <v>54</v>
      </c>
      <c r="F1630" t="s">
        <v>24</v>
      </c>
      <c r="G1630" t="s">
        <v>25</v>
      </c>
      <c r="H1630" t="s">
        <v>25</v>
      </c>
      <c r="I1630" t="s">
        <v>25</v>
      </c>
      <c r="J1630">
        <v>833</v>
      </c>
      <c r="K1630">
        <v>11</v>
      </c>
      <c r="L1630">
        <v>18</v>
      </c>
      <c r="M1630">
        <v>29</v>
      </c>
      <c r="N1630">
        <v>241</v>
      </c>
      <c r="O1630">
        <v>158</v>
      </c>
      <c r="P1630">
        <v>135</v>
      </c>
      <c r="Q1630">
        <v>62</v>
      </c>
      <c r="R1630">
        <v>35</v>
      </c>
      <c r="S1630">
        <v>7</v>
      </c>
      <c r="T1630">
        <v>1</v>
      </c>
      <c r="U1630">
        <v>816</v>
      </c>
    </row>
    <row r="1631" spans="1:21" x14ac:dyDescent="0.25">
      <c r="A1631">
        <v>2025</v>
      </c>
      <c r="B1631">
        <v>9</v>
      </c>
      <c r="C1631" t="s">
        <v>72</v>
      </c>
      <c r="D1631" t="s">
        <v>22</v>
      </c>
      <c r="E1631" t="s">
        <v>23</v>
      </c>
      <c r="F1631" t="s">
        <v>28</v>
      </c>
      <c r="G1631" t="s">
        <v>25</v>
      </c>
      <c r="H1631" t="s">
        <v>26</v>
      </c>
      <c r="I1631" t="s">
        <v>25</v>
      </c>
      <c r="J1631">
        <v>29674</v>
      </c>
      <c r="K1631">
        <v>65</v>
      </c>
      <c r="L1631">
        <v>470</v>
      </c>
      <c r="M1631">
        <v>535</v>
      </c>
      <c r="N1631">
        <v>5850</v>
      </c>
      <c r="O1631">
        <v>3562</v>
      </c>
      <c r="P1631">
        <v>2874</v>
      </c>
      <c r="Q1631">
        <v>1445</v>
      </c>
      <c r="R1631">
        <v>751</v>
      </c>
      <c r="S1631">
        <v>138</v>
      </c>
      <c r="T1631">
        <v>7</v>
      </c>
      <c r="U1631">
        <v>29325</v>
      </c>
    </row>
    <row r="1632" spans="1:21" x14ac:dyDescent="0.25">
      <c r="A1632">
        <v>2025</v>
      </c>
      <c r="B1632">
        <v>9</v>
      </c>
      <c r="C1632" t="s">
        <v>72</v>
      </c>
      <c r="D1632" t="s">
        <v>22</v>
      </c>
      <c r="E1632" t="s">
        <v>23</v>
      </c>
      <c r="F1632" t="s">
        <v>24</v>
      </c>
      <c r="G1632" t="s">
        <v>25</v>
      </c>
      <c r="H1632" t="s">
        <v>26</v>
      </c>
      <c r="I1632" t="s">
        <v>25</v>
      </c>
      <c r="J1632">
        <v>3614</v>
      </c>
      <c r="K1632">
        <v>17</v>
      </c>
      <c r="L1632">
        <v>56</v>
      </c>
      <c r="M1632">
        <v>73</v>
      </c>
      <c r="N1632">
        <v>602</v>
      </c>
      <c r="O1632">
        <v>366</v>
      </c>
      <c r="P1632">
        <v>302</v>
      </c>
      <c r="Q1632">
        <v>148</v>
      </c>
      <c r="R1632">
        <v>79</v>
      </c>
      <c r="S1632">
        <v>16</v>
      </c>
      <c r="T1632">
        <v>2</v>
      </c>
      <c r="U1632">
        <v>3563</v>
      </c>
    </row>
    <row r="1633" spans="1:21" x14ac:dyDescent="0.25">
      <c r="A1633">
        <v>2025</v>
      </c>
      <c r="B1633">
        <v>9</v>
      </c>
      <c r="C1633" t="s">
        <v>72</v>
      </c>
      <c r="D1633" t="s">
        <v>22</v>
      </c>
      <c r="E1633" t="s">
        <v>23</v>
      </c>
      <c r="F1633" t="s">
        <v>29</v>
      </c>
      <c r="G1633" t="s">
        <v>25</v>
      </c>
      <c r="H1633" t="s">
        <v>26</v>
      </c>
      <c r="I1633" t="s">
        <v>25</v>
      </c>
      <c r="J1633">
        <v>1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</row>
    <row r="1634" spans="1:21" x14ac:dyDescent="0.25">
      <c r="A1634">
        <v>2025</v>
      </c>
      <c r="B1634">
        <v>9</v>
      </c>
      <c r="C1634" t="s">
        <v>72</v>
      </c>
      <c r="D1634" t="s">
        <v>22</v>
      </c>
      <c r="E1634" t="s">
        <v>39</v>
      </c>
      <c r="F1634" t="s">
        <v>24</v>
      </c>
      <c r="G1634" t="s">
        <v>26</v>
      </c>
      <c r="H1634" t="s">
        <v>26</v>
      </c>
      <c r="I1634" t="s">
        <v>25</v>
      </c>
      <c r="J1634">
        <v>462</v>
      </c>
      <c r="K1634">
        <v>2</v>
      </c>
      <c r="L1634">
        <v>2</v>
      </c>
      <c r="M1634">
        <v>4</v>
      </c>
      <c r="N1634">
        <v>223</v>
      </c>
      <c r="O1634">
        <v>155</v>
      </c>
      <c r="P1634">
        <v>120</v>
      </c>
      <c r="Q1634">
        <v>70</v>
      </c>
      <c r="R1634">
        <v>42</v>
      </c>
      <c r="S1634">
        <v>13</v>
      </c>
      <c r="T1634">
        <v>1</v>
      </c>
      <c r="U1634">
        <v>459</v>
      </c>
    </row>
    <row r="1635" spans="1:21" x14ac:dyDescent="0.25">
      <c r="A1635">
        <v>2025</v>
      </c>
      <c r="B1635">
        <v>9</v>
      </c>
      <c r="C1635" t="s">
        <v>72</v>
      </c>
      <c r="D1635" t="s">
        <v>22</v>
      </c>
      <c r="E1635" t="s">
        <v>73</v>
      </c>
      <c r="F1635" t="s">
        <v>28</v>
      </c>
      <c r="G1635" t="s">
        <v>25</v>
      </c>
      <c r="H1635" t="s">
        <v>25</v>
      </c>
      <c r="I1635" t="s">
        <v>25</v>
      </c>
      <c r="J1635">
        <v>18153</v>
      </c>
      <c r="K1635">
        <v>34</v>
      </c>
      <c r="L1635">
        <v>88</v>
      </c>
      <c r="M1635">
        <v>122</v>
      </c>
      <c r="N1635">
        <v>2531</v>
      </c>
      <c r="O1635">
        <v>1301</v>
      </c>
      <c r="P1635">
        <v>971</v>
      </c>
      <c r="Q1635">
        <v>368</v>
      </c>
      <c r="R1635">
        <v>177</v>
      </c>
      <c r="S1635">
        <v>28</v>
      </c>
      <c r="T1635">
        <v>2</v>
      </c>
      <c r="U1635">
        <v>18058</v>
      </c>
    </row>
    <row r="1636" spans="1:21" x14ac:dyDescent="0.25">
      <c r="A1636">
        <v>2025</v>
      </c>
      <c r="B1636">
        <v>9</v>
      </c>
      <c r="C1636" t="s">
        <v>72</v>
      </c>
      <c r="D1636" t="s">
        <v>22</v>
      </c>
      <c r="E1636" t="s">
        <v>73</v>
      </c>
      <c r="F1636" t="s">
        <v>24</v>
      </c>
      <c r="G1636" t="s">
        <v>25</v>
      </c>
      <c r="H1636" t="s">
        <v>25</v>
      </c>
      <c r="I1636" t="s">
        <v>25</v>
      </c>
      <c r="J1636">
        <v>5353</v>
      </c>
      <c r="K1636">
        <v>14</v>
      </c>
      <c r="L1636">
        <v>3</v>
      </c>
      <c r="M1636">
        <v>17</v>
      </c>
      <c r="N1636">
        <v>279</v>
      </c>
      <c r="O1636">
        <v>158</v>
      </c>
      <c r="P1636">
        <v>127</v>
      </c>
      <c r="Q1636">
        <v>53</v>
      </c>
      <c r="R1636">
        <v>20</v>
      </c>
      <c r="S1636">
        <v>5</v>
      </c>
      <c r="T1636">
        <v>3</v>
      </c>
      <c r="U1636">
        <v>5337</v>
      </c>
    </row>
    <row r="1637" spans="1:21" x14ac:dyDescent="0.25">
      <c r="A1637">
        <v>2025</v>
      </c>
      <c r="B1637">
        <v>9</v>
      </c>
      <c r="C1637" t="s">
        <v>72</v>
      </c>
      <c r="D1637" t="s">
        <v>22</v>
      </c>
      <c r="E1637" t="s">
        <v>73</v>
      </c>
      <c r="F1637" t="s">
        <v>29</v>
      </c>
      <c r="G1637" t="s">
        <v>25</v>
      </c>
      <c r="H1637" t="s">
        <v>25</v>
      </c>
      <c r="I1637" t="s">
        <v>25</v>
      </c>
      <c r="J1637">
        <v>6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</row>
    <row r="1638" spans="1:21" x14ac:dyDescent="0.25">
      <c r="A1638">
        <v>2025</v>
      </c>
      <c r="B1638">
        <v>9</v>
      </c>
      <c r="C1638" t="s">
        <v>72</v>
      </c>
      <c r="D1638" t="s">
        <v>22</v>
      </c>
      <c r="E1638" t="s">
        <v>35</v>
      </c>
      <c r="F1638" t="s">
        <v>24</v>
      </c>
      <c r="G1638" t="s">
        <v>25</v>
      </c>
      <c r="H1638" t="s">
        <v>26</v>
      </c>
      <c r="I1638" t="s">
        <v>26</v>
      </c>
      <c r="J1638">
        <v>52</v>
      </c>
      <c r="K1638">
        <v>0</v>
      </c>
      <c r="L1638">
        <v>0</v>
      </c>
      <c r="M1638">
        <v>0</v>
      </c>
      <c r="N1638">
        <v>27</v>
      </c>
      <c r="O1638">
        <v>22</v>
      </c>
      <c r="P1638">
        <v>21</v>
      </c>
      <c r="Q1638">
        <v>18</v>
      </c>
      <c r="R1638">
        <v>13</v>
      </c>
      <c r="S1638">
        <v>8</v>
      </c>
      <c r="T1638">
        <v>4</v>
      </c>
      <c r="U1638">
        <v>52</v>
      </c>
    </row>
    <row r="1639" spans="1:21" x14ac:dyDescent="0.25">
      <c r="A1639">
        <v>2025</v>
      </c>
      <c r="B1639">
        <v>9</v>
      </c>
      <c r="C1639" t="s">
        <v>72</v>
      </c>
      <c r="D1639" t="s">
        <v>22</v>
      </c>
      <c r="E1639" t="s">
        <v>74</v>
      </c>
      <c r="F1639" t="s">
        <v>28</v>
      </c>
      <c r="G1639" t="s">
        <v>25</v>
      </c>
      <c r="H1639" t="s">
        <v>25</v>
      </c>
      <c r="I1639" t="s">
        <v>25</v>
      </c>
      <c r="J1639">
        <v>5690</v>
      </c>
      <c r="K1639">
        <v>52</v>
      </c>
      <c r="L1639">
        <v>23</v>
      </c>
      <c r="M1639">
        <v>75</v>
      </c>
      <c r="N1639">
        <v>1059</v>
      </c>
      <c r="O1639">
        <v>576</v>
      </c>
      <c r="P1639">
        <v>452</v>
      </c>
      <c r="Q1639">
        <v>205</v>
      </c>
      <c r="R1639">
        <v>93</v>
      </c>
      <c r="S1639">
        <v>20</v>
      </c>
      <c r="T1639">
        <v>1</v>
      </c>
      <c r="U1639">
        <v>5616</v>
      </c>
    </row>
    <row r="1640" spans="1:21" x14ac:dyDescent="0.25">
      <c r="A1640">
        <v>2025</v>
      </c>
      <c r="B1640">
        <v>9</v>
      </c>
      <c r="C1640" t="s">
        <v>72</v>
      </c>
      <c r="D1640" t="s">
        <v>22</v>
      </c>
      <c r="E1640" t="s">
        <v>74</v>
      </c>
      <c r="F1640" t="s">
        <v>24</v>
      </c>
      <c r="G1640" t="s">
        <v>25</v>
      </c>
      <c r="H1640" t="s">
        <v>25</v>
      </c>
      <c r="I1640" t="s">
        <v>25</v>
      </c>
      <c r="J1640">
        <v>297</v>
      </c>
      <c r="K1640">
        <v>2</v>
      </c>
      <c r="L1640">
        <v>0</v>
      </c>
      <c r="M1640">
        <v>2</v>
      </c>
      <c r="N1640">
        <v>16</v>
      </c>
      <c r="O1640">
        <v>13</v>
      </c>
      <c r="P1640">
        <v>11</v>
      </c>
      <c r="Q1640">
        <v>11</v>
      </c>
      <c r="R1640">
        <v>1</v>
      </c>
      <c r="S1640">
        <v>0</v>
      </c>
      <c r="T1640">
        <v>0</v>
      </c>
      <c r="U1640">
        <v>295</v>
      </c>
    </row>
    <row r="1641" spans="1:21" x14ac:dyDescent="0.25">
      <c r="A1641">
        <v>2025</v>
      </c>
      <c r="B1641">
        <v>9</v>
      </c>
      <c r="C1641" t="s">
        <v>72</v>
      </c>
      <c r="D1641" t="s">
        <v>22</v>
      </c>
      <c r="E1641" t="s">
        <v>58</v>
      </c>
      <c r="F1641" t="s">
        <v>28</v>
      </c>
      <c r="G1641" t="s">
        <v>25</v>
      </c>
      <c r="H1641" t="s">
        <v>25</v>
      </c>
      <c r="I1641" t="s">
        <v>25</v>
      </c>
      <c r="J1641">
        <v>29357</v>
      </c>
      <c r="K1641">
        <v>49</v>
      </c>
      <c r="L1641">
        <v>329</v>
      </c>
      <c r="M1641">
        <v>378</v>
      </c>
      <c r="N1641">
        <v>4048</v>
      </c>
      <c r="O1641">
        <v>2242</v>
      </c>
      <c r="P1641">
        <v>1736</v>
      </c>
      <c r="Q1641">
        <v>767</v>
      </c>
      <c r="R1641">
        <v>370</v>
      </c>
      <c r="S1641">
        <v>57</v>
      </c>
      <c r="T1641">
        <v>1</v>
      </c>
      <c r="U1641">
        <v>29155</v>
      </c>
    </row>
    <row r="1642" spans="1:21" x14ac:dyDescent="0.25">
      <c r="A1642">
        <v>2025</v>
      </c>
      <c r="B1642">
        <v>9</v>
      </c>
      <c r="C1642" t="s">
        <v>72</v>
      </c>
      <c r="D1642" t="s">
        <v>22</v>
      </c>
      <c r="E1642" t="s">
        <v>58</v>
      </c>
      <c r="F1642" t="s">
        <v>24</v>
      </c>
      <c r="G1642" t="s">
        <v>25</v>
      </c>
      <c r="H1642" t="s">
        <v>25</v>
      </c>
      <c r="I1642" t="s">
        <v>25</v>
      </c>
      <c r="J1642">
        <v>3529</v>
      </c>
      <c r="K1642">
        <v>14</v>
      </c>
      <c r="L1642">
        <v>39</v>
      </c>
      <c r="M1642">
        <v>53</v>
      </c>
      <c r="N1642">
        <v>574</v>
      </c>
      <c r="O1642">
        <v>362</v>
      </c>
      <c r="P1642">
        <v>280</v>
      </c>
      <c r="Q1642">
        <v>127</v>
      </c>
      <c r="R1642">
        <v>42</v>
      </c>
      <c r="S1642">
        <v>12</v>
      </c>
      <c r="T1642">
        <v>1</v>
      </c>
      <c r="U1642">
        <v>3488</v>
      </c>
    </row>
    <row r="1643" spans="1:21" x14ac:dyDescent="0.25">
      <c r="A1643">
        <v>2025</v>
      </c>
      <c r="B1643">
        <v>9</v>
      </c>
      <c r="C1643" t="s">
        <v>72</v>
      </c>
      <c r="D1643" t="s">
        <v>22</v>
      </c>
      <c r="E1643" t="s">
        <v>27</v>
      </c>
      <c r="F1643" t="s">
        <v>24</v>
      </c>
      <c r="G1643" t="s">
        <v>26</v>
      </c>
      <c r="H1643" t="s">
        <v>26</v>
      </c>
      <c r="I1643" t="s">
        <v>25</v>
      </c>
      <c r="J1643">
        <v>178</v>
      </c>
      <c r="K1643">
        <v>1</v>
      </c>
      <c r="L1643">
        <v>0</v>
      </c>
      <c r="M1643">
        <v>1</v>
      </c>
      <c r="N1643">
        <v>62</v>
      </c>
      <c r="O1643">
        <v>31</v>
      </c>
      <c r="P1643">
        <v>31</v>
      </c>
      <c r="Q1643">
        <v>26</v>
      </c>
      <c r="R1643">
        <v>16</v>
      </c>
      <c r="S1643">
        <v>9</v>
      </c>
      <c r="T1643">
        <v>8</v>
      </c>
      <c r="U1643">
        <v>177</v>
      </c>
    </row>
    <row r="1644" spans="1:21" x14ac:dyDescent="0.25">
      <c r="A1644">
        <v>2025</v>
      </c>
      <c r="B1644">
        <v>9</v>
      </c>
      <c r="C1644" t="s">
        <v>72</v>
      </c>
      <c r="D1644" t="s">
        <v>22</v>
      </c>
      <c r="E1644" t="s">
        <v>27</v>
      </c>
      <c r="F1644" t="s">
        <v>29</v>
      </c>
      <c r="G1644" t="s">
        <v>26</v>
      </c>
      <c r="H1644" t="s">
        <v>26</v>
      </c>
      <c r="I1644" t="s">
        <v>25</v>
      </c>
      <c r="J1644">
        <v>1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</row>
    <row r="1645" spans="1:21" x14ac:dyDescent="0.25">
      <c r="A1645">
        <v>2025</v>
      </c>
      <c r="B1645">
        <v>9</v>
      </c>
      <c r="C1645" t="s">
        <v>75</v>
      </c>
      <c r="D1645" t="s">
        <v>22</v>
      </c>
      <c r="E1645" t="s">
        <v>109</v>
      </c>
      <c r="F1645" t="s">
        <v>28</v>
      </c>
      <c r="G1645" t="s">
        <v>25</v>
      </c>
      <c r="H1645" t="s">
        <v>25</v>
      </c>
      <c r="I1645" t="s">
        <v>25</v>
      </c>
      <c r="J1645">
        <v>842</v>
      </c>
      <c r="K1645">
        <v>0</v>
      </c>
      <c r="L1645">
        <v>0</v>
      </c>
      <c r="M1645">
        <v>0</v>
      </c>
      <c r="N1645">
        <v>13</v>
      </c>
      <c r="O1645">
        <v>3</v>
      </c>
      <c r="P1645">
        <v>3</v>
      </c>
      <c r="Q1645">
        <v>1</v>
      </c>
      <c r="R1645">
        <v>0</v>
      </c>
      <c r="S1645">
        <v>0</v>
      </c>
      <c r="T1645">
        <v>0</v>
      </c>
      <c r="U1645">
        <v>842</v>
      </c>
    </row>
    <row r="1646" spans="1:21" x14ac:dyDescent="0.25">
      <c r="A1646">
        <v>2025</v>
      </c>
      <c r="B1646">
        <v>9</v>
      </c>
      <c r="C1646" t="s">
        <v>75</v>
      </c>
      <c r="D1646" t="s">
        <v>22</v>
      </c>
      <c r="E1646" t="s">
        <v>109</v>
      </c>
      <c r="F1646" t="s">
        <v>24</v>
      </c>
      <c r="G1646" t="s">
        <v>25</v>
      </c>
      <c r="H1646" t="s">
        <v>25</v>
      </c>
      <c r="I1646" t="s">
        <v>25</v>
      </c>
      <c r="J1646">
        <v>7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7</v>
      </c>
    </row>
    <row r="1647" spans="1:21" x14ac:dyDescent="0.25">
      <c r="A1647">
        <v>2025</v>
      </c>
      <c r="B1647">
        <v>9</v>
      </c>
      <c r="C1647" t="s">
        <v>75</v>
      </c>
      <c r="D1647" t="s">
        <v>22</v>
      </c>
      <c r="E1647" t="s">
        <v>109</v>
      </c>
      <c r="F1647" t="s">
        <v>29</v>
      </c>
      <c r="G1647" t="s">
        <v>25</v>
      </c>
      <c r="H1647" t="s">
        <v>25</v>
      </c>
      <c r="I1647" t="s">
        <v>25</v>
      </c>
      <c r="J1647">
        <v>65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</row>
    <row r="1648" spans="1:21" x14ac:dyDescent="0.25">
      <c r="A1648">
        <v>2025</v>
      </c>
      <c r="B1648">
        <v>9</v>
      </c>
      <c r="C1648" t="s">
        <v>75</v>
      </c>
      <c r="D1648" t="s">
        <v>22</v>
      </c>
      <c r="E1648" t="s">
        <v>23</v>
      </c>
      <c r="F1648" t="s">
        <v>24</v>
      </c>
      <c r="G1648" t="s">
        <v>25</v>
      </c>
      <c r="H1648" t="s">
        <v>26</v>
      </c>
      <c r="I1648" t="s">
        <v>25</v>
      </c>
      <c r="J1648">
        <v>2026</v>
      </c>
      <c r="K1648">
        <v>28</v>
      </c>
      <c r="L1648">
        <v>0</v>
      </c>
      <c r="M1648">
        <v>28</v>
      </c>
      <c r="N1648">
        <v>6</v>
      </c>
      <c r="O1648">
        <v>2</v>
      </c>
      <c r="P1648">
        <v>2</v>
      </c>
      <c r="Q1648">
        <v>1</v>
      </c>
      <c r="R1648">
        <v>1</v>
      </c>
      <c r="S1648">
        <v>0</v>
      </c>
      <c r="T1648">
        <v>0</v>
      </c>
      <c r="U1648">
        <v>1998</v>
      </c>
    </row>
    <row r="1649" spans="1:21" x14ac:dyDescent="0.25">
      <c r="A1649">
        <v>2025</v>
      </c>
      <c r="B1649">
        <v>9</v>
      </c>
      <c r="C1649" t="s">
        <v>75</v>
      </c>
      <c r="D1649" t="s">
        <v>22</v>
      </c>
      <c r="E1649" t="s">
        <v>39</v>
      </c>
      <c r="F1649" t="s">
        <v>24</v>
      </c>
      <c r="G1649" t="s">
        <v>26</v>
      </c>
      <c r="H1649" t="s">
        <v>26</v>
      </c>
      <c r="I1649" t="s">
        <v>25</v>
      </c>
      <c r="J1649">
        <v>682</v>
      </c>
      <c r="K1649">
        <v>5</v>
      </c>
      <c r="L1649">
        <v>9</v>
      </c>
      <c r="M1649">
        <v>14</v>
      </c>
      <c r="N1649">
        <v>261</v>
      </c>
      <c r="O1649">
        <v>195</v>
      </c>
      <c r="P1649">
        <v>189</v>
      </c>
      <c r="Q1649">
        <v>138</v>
      </c>
      <c r="R1649">
        <v>106</v>
      </c>
      <c r="S1649">
        <v>42</v>
      </c>
      <c r="T1649">
        <v>10</v>
      </c>
      <c r="U1649">
        <v>675</v>
      </c>
    </row>
    <row r="1650" spans="1:21" x14ac:dyDescent="0.25">
      <c r="A1650">
        <v>2025</v>
      </c>
      <c r="B1650">
        <v>9</v>
      </c>
      <c r="C1650" t="s">
        <v>75</v>
      </c>
      <c r="D1650" t="s">
        <v>22</v>
      </c>
      <c r="E1650" t="s">
        <v>77</v>
      </c>
      <c r="F1650" t="s">
        <v>28</v>
      </c>
      <c r="G1650" t="s">
        <v>25</v>
      </c>
      <c r="H1650" t="s">
        <v>26</v>
      </c>
      <c r="I1650" t="s">
        <v>25</v>
      </c>
      <c r="J1650">
        <v>1984</v>
      </c>
      <c r="K1650">
        <v>26</v>
      </c>
      <c r="L1650">
        <v>25</v>
      </c>
      <c r="M1650">
        <v>51</v>
      </c>
      <c r="N1650">
        <v>595</v>
      </c>
      <c r="O1650">
        <v>400</v>
      </c>
      <c r="P1650">
        <v>398</v>
      </c>
      <c r="Q1650">
        <v>298</v>
      </c>
      <c r="R1650">
        <v>250</v>
      </c>
      <c r="S1650">
        <v>151</v>
      </c>
      <c r="T1650">
        <v>69</v>
      </c>
      <c r="U1650">
        <v>1949</v>
      </c>
    </row>
    <row r="1651" spans="1:21" x14ac:dyDescent="0.25">
      <c r="A1651">
        <v>2025</v>
      </c>
      <c r="B1651">
        <v>9</v>
      </c>
      <c r="C1651" t="s">
        <v>75</v>
      </c>
      <c r="D1651" t="s">
        <v>22</v>
      </c>
      <c r="E1651" t="s">
        <v>77</v>
      </c>
      <c r="F1651" t="s">
        <v>29</v>
      </c>
      <c r="G1651" t="s">
        <v>25</v>
      </c>
      <c r="H1651" t="s">
        <v>26</v>
      </c>
      <c r="I1651" t="s">
        <v>25</v>
      </c>
      <c r="J1651">
        <v>27</v>
      </c>
      <c r="K1651">
        <v>1</v>
      </c>
      <c r="L1651">
        <v>0</v>
      </c>
      <c r="M1651">
        <v>1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</row>
    <row r="1652" spans="1:21" x14ac:dyDescent="0.25">
      <c r="A1652">
        <v>2025</v>
      </c>
      <c r="B1652">
        <v>9</v>
      </c>
      <c r="C1652" t="s">
        <v>75</v>
      </c>
      <c r="D1652" t="s">
        <v>22</v>
      </c>
      <c r="E1652" t="s">
        <v>78</v>
      </c>
      <c r="F1652" t="s">
        <v>28</v>
      </c>
      <c r="G1652" t="s">
        <v>25</v>
      </c>
      <c r="H1652" t="s">
        <v>26</v>
      </c>
      <c r="I1652" t="s">
        <v>26</v>
      </c>
      <c r="J1652">
        <v>264</v>
      </c>
      <c r="K1652">
        <v>24</v>
      </c>
      <c r="L1652">
        <v>3</v>
      </c>
      <c r="M1652">
        <v>27</v>
      </c>
      <c r="N1652">
        <v>87</v>
      </c>
      <c r="O1652">
        <v>50</v>
      </c>
      <c r="P1652">
        <v>50</v>
      </c>
      <c r="Q1652">
        <v>29</v>
      </c>
      <c r="R1652">
        <v>18</v>
      </c>
      <c r="S1652">
        <v>14</v>
      </c>
      <c r="T1652">
        <v>8</v>
      </c>
      <c r="U1652">
        <v>238</v>
      </c>
    </row>
    <row r="1653" spans="1:21" x14ac:dyDescent="0.25">
      <c r="A1653">
        <v>2025</v>
      </c>
      <c r="B1653">
        <v>9</v>
      </c>
      <c r="C1653" t="s">
        <v>75</v>
      </c>
      <c r="D1653" t="s">
        <v>22</v>
      </c>
      <c r="E1653" t="s">
        <v>78</v>
      </c>
      <c r="F1653" t="s">
        <v>29</v>
      </c>
      <c r="G1653" t="s">
        <v>25</v>
      </c>
      <c r="H1653" t="s">
        <v>26</v>
      </c>
      <c r="I1653" t="s">
        <v>26</v>
      </c>
      <c r="J1653">
        <v>80</v>
      </c>
      <c r="K1653">
        <v>11</v>
      </c>
      <c r="L1653">
        <v>0</v>
      </c>
      <c r="M1653">
        <v>11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</row>
    <row r="1654" spans="1:21" x14ac:dyDescent="0.25">
      <c r="A1654">
        <v>2025</v>
      </c>
      <c r="B1654">
        <v>9</v>
      </c>
      <c r="C1654" t="s">
        <v>75</v>
      </c>
      <c r="D1654" t="s">
        <v>22</v>
      </c>
      <c r="E1654" t="s">
        <v>70</v>
      </c>
      <c r="F1654" t="s">
        <v>24</v>
      </c>
      <c r="G1654" t="s">
        <v>26</v>
      </c>
      <c r="H1654" t="s">
        <v>26</v>
      </c>
      <c r="I1654" t="s">
        <v>25</v>
      </c>
      <c r="J1654">
        <v>921</v>
      </c>
      <c r="K1654">
        <v>0</v>
      </c>
      <c r="L1654">
        <v>3</v>
      </c>
      <c r="M1654">
        <v>3</v>
      </c>
      <c r="N1654">
        <v>185</v>
      </c>
      <c r="O1654">
        <v>108</v>
      </c>
      <c r="P1654">
        <v>106</v>
      </c>
      <c r="Q1654">
        <v>85</v>
      </c>
      <c r="R1654">
        <v>69</v>
      </c>
      <c r="S1654">
        <v>40</v>
      </c>
      <c r="T1654">
        <v>8</v>
      </c>
      <c r="U1654">
        <v>921</v>
      </c>
    </row>
    <row r="1655" spans="1:21" x14ac:dyDescent="0.25">
      <c r="A1655">
        <v>2025</v>
      </c>
      <c r="B1655">
        <v>9</v>
      </c>
      <c r="C1655" t="s">
        <v>75</v>
      </c>
      <c r="D1655" t="s">
        <v>22</v>
      </c>
      <c r="E1655" t="s">
        <v>70</v>
      </c>
      <c r="F1655" t="s">
        <v>29</v>
      </c>
      <c r="G1655" t="s">
        <v>26</v>
      </c>
      <c r="H1655" t="s">
        <v>26</v>
      </c>
      <c r="I1655" t="s">
        <v>25</v>
      </c>
      <c r="J1655">
        <v>13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</row>
    <row r="1656" spans="1:21" x14ac:dyDescent="0.25">
      <c r="A1656">
        <v>2025</v>
      </c>
      <c r="B1656">
        <v>9</v>
      </c>
      <c r="C1656" t="s">
        <v>75</v>
      </c>
      <c r="D1656" t="s">
        <v>22</v>
      </c>
      <c r="E1656" t="s">
        <v>35</v>
      </c>
      <c r="F1656" t="s">
        <v>24</v>
      </c>
      <c r="G1656" t="s">
        <v>25</v>
      </c>
      <c r="H1656" t="s">
        <v>26</v>
      </c>
      <c r="I1656" t="s">
        <v>26</v>
      </c>
      <c r="J1656">
        <v>42</v>
      </c>
      <c r="K1656">
        <v>2</v>
      </c>
      <c r="L1656">
        <v>0</v>
      </c>
      <c r="M1656">
        <v>2</v>
      </c>
      <c r="N1656">
        <v>18</v>
      </c>
      <c r="O1656">
        <v>16</v>
      </c>
      <c r="P1656">
        <v>16</v>
      </c>
      <c r="Q1656">
        <v>16</v>
      </c>
      <c r="R1656">
        <v>16</v>
      </c>
      <c r="S1656">
        <v>16</v>
      </c>
      <c r="T1656">
        <v>8</v>
      </c>
      <c r="U1656">
        <v>40</v>
      </c>
    </row>
    <row r="1657" spans="1:21" x14ac:dyDescent="0.25">
      <c r="A1657">
        <v>2025</v>
      </c>
      <c r="B1657">
        <v>9</v>
      </c>
      <c r="C1657" t="s">
        <v>75</v>
      </c>
      <c r="D1657" t="s">
        <v>22</v>
      </c>
      <c r="E1657" t="s">
        <v>110</v>
      </c>
      <c r="F1657" t="s">
        <v>28</v>
      </c>
      <c r="G1657" t="s">
        <v>25</v>
      </c>
      <c r="H1657" t="s">
        <v>25</v>
      </c>
      <c r="I1657" t="s">
        <v>25</v>
      </c>
      <c r="J1657">
        <v>1</v>
      </c>
      <c r="K1657">
        <v>0</v>
      </c>
      <c r="L1657">
        <v>0</v>
      </c>
      <c r="M1657">
        <v>0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1</v>
      </c>
    </row>
    <row r="1658" spans="1:21" x14ac:dyDescent="0.25">
      <c r="A1658">
        <v>2025</v>
      </c>
      <c r="B1658">
        <v>9</v>
      </c>
      <c r="C1658" t="s">
        <v>75</v>
      </c>
      <c r="D1658" t="s">
        <v>22</v>
      </c>
      <c r="E1658" t="s">
        <v>42</v>
      </c>
      <c r="F1658" t="s">
        <v>24</v>
      </c>
      <c r="G1658" t="s">
        <v>26</v>
      </c>
      <c r="H1658" t="s">
        <v>26</v>
      </c>
      <c r="I1658" t="s">
        <v>25</v>
      </c>
      <c r="J1658">
        <v>28</v>
      </c>
      <c r="K1658">
        <v>0</v>
      </c>
      <c r="L1658">
        <v>0</v>
      </c>
      <c r="M1658">
        <v>0</v>
      </c>
      <c r="N1658">
        <v>19</v>
      </c>
      <c r="O1658">
        <v>19</v>
      </c>
      <c r="P1658">
        <v>19</v>
      </c>
      <c r="Q1658">
        <v>17</v>
      </c>
      <c r="R1658">
        <v>16</v>
      </c>
      <c r="S1658">
        <v>9</v>
      </c>
      <c r="T1658">
        <v>1</v>
      </c>
      <c r="U1658">
        <v>28</v>
      </c>
    </row>
    <row r="1659" spans="1:21" x14ac:dyDescent="0.25">
      <c r="A1659">
        <v>2025</v>
      </c>
      <c r="B1659">
        <v>9</v>
      </c>
      <c r="C1659" t="s">
        <v>75</v>
      </c>
      <c r="D1659" t="s">
        <v>22</v>
      </c>
      <c r="E1659" t="s">
        <v>27</v>
      </c>
      <c r="F1659" t="s">
        <v>28</v>
      </c>
      <c r="G1659" t="s">
        <v>26</v>
      </c>
      <c r="H1659" t="s">
        <v>26</v>
      </c>
      <c r="I1659" t="s">
        <v>25</v>
      </c>
      <c r="J1659">
        <v>13898</v>
      </c>
      <c r="K1659">
        <v>37</v>
      </c>
      <c r="L1659">
        <v>134</v>
      </c>
      <c r="M1659">
        <v>171</v>
      </c>
      <c r="N1659">
        <v>3339</v>
      </c>
      <c r="O1659">
        <v>2036</v>
      </c>
      <c r="P1659">
        <v>2036</v>
      </c>
      <c r="Q1659">
        <v>1512</v>
      </c>
      <c r="R1659">
        <v>1175</v>
      </c>
      <c r="S1659">
        <v>700</v>
      </c>
      <c r="T1659">
        <v>319</v>
      </c>
      <c r="U1659">
        <v>13822</v>
      </c>
    </row>
    <row r="1660" spans="1:21" x14ac:dyDescent="0.25">
      <c r="A1660">
        <v>2025</v>
      </c>
      <c r="B1660">
        <v>9</v>
      </c>
      <c r="C1660" t="s">
        <v>75</v>
      </c>
      <c r="D1660" t="s">
        <v>22</v>
      </c>
      <c r="E1660" t="s">
        <v>27</v>
      </c>
      <c r="F1660" t="s">
        <v>24</v>
      </c>
      <c r="G1660" t="s">
        <v>26</v>
      </c>
      <c r="H1660" t="s">
        <v>26</v>
      </c>
      <c r="I1660" t="s">
        <v>25</v>
      </c>
      <c r="J1660">
        <v>1366</v>
      </c>
      <c r="K1660">
        <v>4</v>
      </c>
      <c r="L1660">
        <v>11</v>
      </c>
      <c r="M1660">
        <v>15</v>
      </c>
      <c r="N1660">
        <v>470</v>
      </c>
      <c r="O1660">
        <v>272</v>
      </c>
      <c r="P1660">
        <v>272</v>
      </c>
      <c r="Q1660">
        <v>201</v>
      </c>
      <c r="R1660">
        <v>147</v>
      </c>
      <c r="S1660">
        <v>63</v>
      </c>
      <c r="T1660">
        <v>36</v>
      </c>
      <c r="U1660">
        <v>1360</v>
      </c>
    </row>
    <row r="1661" spans="1:21" x14ac:dyDescent="0.25">
      <c r="A1661">
        <v>2025</v>
      </c>
      <c r="B1661">
        <v>9</v>
      </c>
      <c r="C1661" t="s">
        <v>75</v>
      </c>
      <c r="D1661" t="s">
        <v>22</v>
      </c>
      <c r="E1661" t="s">
        <v>27</v>
      </c>
      <c r="F1661" t="s">
        <v>29</v>
      </c>
      <c r="G1661" t="s">
        <v>26</v>
      </c>
      <c r="H1661" t="s">
        <v>26</v>
      </c>
      <c r="I1661" t="s">
        <v>25</v>
      </c>
      <c r="J1661">
        <v>1269</v>
      </c>
      <c r="K1661">
        <v>6</v>
      </c>
      <c r="L1661">
        <v>0</v>
      </c>
      <c r="M1661">
        <v>6</v>
      </c>
      <c r="N1661">
        <v>0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0</v>
      </c>
    </row>
    <row r="1662" spans="1:21" x14ac:dyDescent="0.25">
      <c r="A1662">
        <v>2025</v>
      </c>
      <c r="B1662">
        <v>9</v>
      </c>
      <c r="C1662" t="s">
        <v>79</v>
      </c>
      <c r="D1662" t="s">
        <v>22</v>
      </c>
      <c r="E1662" t="s">
        <v>31</v>
      </c>
      <c r="F1662" t="s">
        <v>24</v>
      </c>
      <c r="G1662" t="s">
        <v>25</v>
      </c>
      <c r="H1662" t="s">
        <v>25</v>
      </c>
      <c r="I1662" t="s">
        <v>25</v>
      </c>
      <c r="J1662">
        <v>627</v>
      </c>
      <c r="K1662">
        <v>0</v>
      </c>
      <c r="L1662">
        <v>0</v>
      </c>
      <c r="M1662">
        <v>0</v>
      </c>
      <c r="N1662">
        <v>23</v>
      </c>
      <c r="O1662">
        <v>15</v>
      </c>
      <c r="P1662">
        <v>15</v>
      </c>
      <c r="Q1662">
        <v>10</v>
      </c>
      <c r="R1662">
        <v>4</v>
      </c>
      <c r="S1662">
        <v>2</v>
      </c>
      <c r="T1662">
        <v>0</v>
      </c>
      <c r="U1662">
        <v>627</v>
      </c>
    </row>
    <row r="1663" spans="1:21" x14ac:dyDescent="0.25">
      <c r="A1663">
        <v>2025</v>
      </c>
      <c r="B1663">
        <v>9</v>
      </c>
      <c r="C1663" t="s">
        <v>79</v>
      </c>
      <c r="D1663" t="s">
        <v>22</v>
      </c>
      <c r="E1663" t="s">
        <v>34</v>
      </c>
      <c r="F1663" t="s">
        <v>24</v>
      </c>
      <c r="G1663" t="s">
        <v>25</v>
      </c>
      <c r="H1663" t="s">
        <v>26</v>
      </c>
      <c r="I1663" t="s">
        <v>26</v>
      </c>
      <c r="J1663">
        <v>130</v>
      </c>
      <c r="K1663">
        <v>0</v>
      </c>
      <c r="L1663">
        <v>0</v>
      </c>
      <c r="M1663">
        <v>0</v>
      </c>
      <c r="N1663">
        <v>2</v>
      </c>
      <c r="O1663">
        <v>2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130</v>
      </c>
    </row>
    <row r="1664" spans="1:21" x14ac:dyDescent="0.25">
      <c r="A1664">
        <v>2025</v>
      </c>
      <c r="B1664">
        <v>9</v>
      </c>
      <c r="C1664" t="s">
        <v>79</v>
      </c>
      <c r="D1664" t="s">
        <v>22</v>
      </c>
      <c r="E1664" t="s">
        <v>23</v>
      </c>
      <c r="F1664" t="s">
        <v>24</v>
      </c>
      <c r="G1664" t="s">
        <v>25</v>
      </c>
      <c r="H1664" t="s">
        <v>25</v>
      </c>
      <c r="I1664" t="s">
        <v>25</v>
      </c>
      <c r="J1664">
        <v>60</v>
      </c>
      <c r="K1664">
        <v>0</v>
      </c>
      <c r="L1664">
        <v>0</v>
      </c>
      <c r="M1664">
        <v>0</v>
      </c>
      <c r="N1664">
        <v>13</v>
      </c>
      <c r="O1664">
        <v>11</v>
      </c>
      <c r="P1664">
        <v>11</v>
      </c>
      <c r="Q1664">
        <v>11</v>
      </c>
      <c r="R1664">
        <v>10</v>
      </c>
      <c r="S1664">
        <v>2</v>
      </c>
      <c r="T1664">
        <v>0</v>
      </c>
      <c r="U1664">
        <v>60</v>
      </c>
    </row>
    <row r="1665" spans="1:21" x14ac:dyDescent="0.25">
      <c r="A1665">
        <v>2025</v>
      </c>
      <c r="B1665">
        <v>9</v>
      </c>
      <c r="C1665" t="s">
        <v>80</v>
      </c>
      <c r="D1665" t="s">
        <v>22</v>
      </c>
      <c r="E1665" t="s">
        <v>31</v>
      </c>
      <c r="F1665" t="s">
        <v>24</v>
      </c>
      <c r="G1665" t="s">
        <v>25</v>
      </c>
      <c r="H1665" t="s">
        <v>25</v>
      </c>
      <c r="I1665" t="s">
        <v>25</v>
      </c>
      <c r="J1665">
        <v>120</v>
      </c>
      <c r="K1665">
        <v>0</v>
      </c>
      <c r="L1665">
        <v>0</v>
      </c>
      <c r="M1665">
        <v>0</v>
      </c>
      <c r="N1665">
        <v>19</v>
      </c>
      <c r="O1665">
        <v>18</v>
      </c>
      <c r="P1665">
        <v>17</v>
      </c>
      <c r="Q1665">
        <v>13</v>
      </c>
      <c r="R1665">
        <v>8</v>
      </c>
      <c r="S1665">
        <v>5</v>
      </c>
      <c r="T1665">
        <v>2</v>
      </c>
      <c r="U1665">
        <v>120</v>
      </c>
    </row>
    <row r="1666" spans="1:21" x14ac:dyDescent="0.25">
      <c r="A1666">
        <v>2025</v>
      </c>
      <c r="B1666">
        <v>9</v>
      </c>
      <c r="C1666" t="s">
        <v>80</v>
      </c>
      <c r="D1666" t="s">
        <v>22</v>
      </c>
      <c r="E1666" t="s">
        <v>102</v>
      </c>
      <c r="F1666" t="s">
        <v>28</v>
      </c>
      <c r="G1666" t="s">
        <v>25</v>
      </c>
      <c r="H1666" t="s">
        <v>25</v>
      </c>
      <c r="I1666" t="s">
        <v>25</v>
      </c>
      <c r="J1666">
        <v>1</v>
      </c>
      <c r="K1666">
        <v>0</v>
      </c>
      <c r="L1666">
        <v>0</v>
      </c>
      <c r="M1666">
        <v>0</v>
      </c>
      <c r="N1666">
        <v>1</v>
      </c>
      <c r="O1666">
        <v>1</v>
      </c>
      <c r="P1666">
        <v>1</v>
      </c>
      <c r="Q1666">
        <v>1</v>
      </c>
      <c r="R1666">
        <v>1</v>
      </c>
      <c r="S1666">
        <v>0</v>
      </c>
      <c r="T1666">
        <v>0</v>
      </c>
      <c r="U1666">
        <v>1</v>
      </c>
    </row>
    <row r="1667" spans="1:21" x14ac:dyDescent="0.25">
      <c r="A1667">
        <v>2025</v>
      </c>
      <c r="B1667">
        <v>9</v>
      </c>
      <c r="C1667" t="s">
        <v>80</v>
      </c>
      <c r="D1667" t="s">
        <v>22</v>
      </c>
      <c r="E1667" t="s">
        <v>32</v>
      </c>
      <c r="F1667" t="s">
        <v>28</v>
      </c>
      <c r="G1667" t="s">
        <v>25</v>
      </c>
      <c r="H1667" t="s">
        <v>25</v>
      </c>
      <c r="I1667" t="s">
        <v>25</v>
      </c>
      <c r="J1667">
        <v>29</v>
      </c>
      <c r="K1667">
        <v>0</v>
      </c>
      <c r="L1667">
        <v>1</v>
      </c>
      <c r="M1667">
        <v>1</v>
      </c>
      <c r="N1667">
        <v>21</v>
      </c>
      <c r="O1667">
        <v>17</v>
      </c>
      <c r="P1667">
        <v>17</v>
      </c>
      <c r="Q1667">
        <v>11</v>
      </c>
      <c r="R1667">
        <v>9</v>
      </c>
      <c r="S1667">
        <v>1</v>
      </c>
      <c r="T1667">
        <v>1</v>
      </c>
      <c r="U1667">
        <v>28</v>
      </c>
    </row>
    <row r="1668" spans="1:21" x14ac:dyDescent="0.25">
      <c r="A1668">
        <v>2025</v>
      </c>
      <c r="B1668">
        <v>9</v>
      </c>
      <c r="C1668" t="s">
        <v>80</v>
      </c>
      <c r="D1668" t="s">
        <v>22</v>
      </c>
      <c r="E1668" t="s">
        <v>32</v>
      </c>
      <c r="F1668" t="s">
        <v>24</v>
      </c>
      <c r="G1668" t="s">
        <v>25</v>
      </c>
      <c r="H1668" t="s">
        <v>25</v>
      </c>
      <c r="I1668" t="s">
        <v>25</v>
      </c>
      <c r="J1668">
        <v>1350</v>
      </c>
      <c r="K1668">
        <v>24</v>
      </c>
      <c r="L1668">
        <v>36</v>
      </c>
      <c r="M1668">
        <v>60</v>
      </c>
      <c r="N1668">
        <v>547</v>
      </c>
      <c r="O1668">
        <v>443</v>
      </c>
      <c r="P1668">
        <v>388</v>
      </c>
      <c r="Q1668">
        <v>254</v>
      </c>
      <c r="R1668">
        <v>168</v>
      </c>
      <c r="S1668">
        <v>71</v>
      </c>
      <c r="T1668">
        <v>19</v>
      </c>
      <c r="U1668">
        <v>1295</v>
      </c>
    </row>
    <row r="1669" spans="1:21" x14ac:dyDescent="0.25">
      <c r="A1669">
        <v>2025</v>
      </c>
      <c r="B1669">
        <v>9</v>
      </c>
      <c r="C1669" t="s">
        <v>80</v>
      </c>
      <c r="D1669" t="s">
        <v>22</v>
      </c>
      <c r="E1669" t="s">
        <v>38</v>
      </c>
      <c r="F1669" t="s">
        <v>24</v>
      </c>
      <c r="G1669" t="s">
        <v>25</v>
      </c>
      <c r="H1669" t="s">
        <v>26</v>
      </c>
      <c r="I1669" t="s">
        <v>25</v>
      </c>
      <c r="J1669">
        <v>3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3</v>
      </c>
    </row>
    <row r="1670" spans="1:21" x14ac:dyDescent="0.25">
      <c r="A1670">
        <v>2025</v>
      </c>
      <c r="B1670">
        <v>9</v>
      </c>
      <c r="C1670" t="s">
        <v>80</v>
      </c>
      <c r="D1670" t="s">
        <v>22</v>
      </c>
      <c r="E1670" t="s">
        <v>34</v>
      </c>
      <c r="F1670" t="s">
        <v>28</v>
      </c>
      <c r="G1670" t="s">
        <v>25</v>
      </c>
      <c r="H1670" t="s">
        <v>26</v>
      </c>
      <c r="I1670" t="s">
        <v>26</v>
      </c>
      <c r="J1670">
        <v>1</v>
      </c>
      <c r="K1670">
        <v>0</v>
      </c>
      <c r="L1670">
        <v>0</v>
      </c>
      <c r="M1670">
        <v>0</v>
      </c>
      <c r="N1670">
        <v>1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1</v>
      </c>
    </row>
    <row r="1671" spans="1:21" x14ac:dyDescent="0.25">
      <c r="A1671">
        <v>2025</v>
      </c>
      <c r="B1671">
        <v>9</v>
      </c>
      <c r="C1671" t="s">
        <v>80</v>
      </c>
      <c r="D1671" t="s">
        <v>22</v>
      </c>
      <c r="E1671" t="s">
        <v>34</v>
      </c>
      <c r="F1671" t="s">
        <v>24</v>
      </c>
      <c r="G1671" t="s">
        <v>25</v>
      </c>
      <c r="H1671" t="s">
        <v>26</v>
      </c>
      <c r="I1671" t="s">
        <v>26</v>
      </c>
      <c r="J1671">
        <v>27</v>
      </c>
      <c r="K1671">
        <v>0</v>
      </c>
      <c r="L1671">
        <v>0</v>
      </c>
      <c r="M1671">
        <v>0</v>
      </c>
      <c r="N1671">
        <v>2</v>
      </c>
      <c r="O1671">
        <v>2</v>
      </c>
      <c r="P1671">
        <v>2</v>
      </c>
      <c r="Q1671">
        <v>2</v>
      </c>
      <c r="R1671">
        <v>2</v>
      </c>
      <c r="S1671">
        <v>2</v>
      </c>
      <c r="T1671">
        <v>1</v>
      </c>
      <c r="U1671">
        <v>27</v>
      </c>
    </row>
    <row r="1672" spans="1:21" x14ac:dyDescent="0.25">
      <c r="A1672">
        <v>2025</v>
      </c>
      <c r="B1672">
        <v>9</v>
      </c>
      <c r="C1672" t="s">
        <v>80</v>
      </c>
      <c r="D1672" t="s">
        <v>22</v>
      </c>
      <c r="E1672" t="s">
        <v>76</v>
      </c>
      <c r="F1672" t="s">
        <v>28</v>
      </c>
      <c r="G1672" t="s">
        <v>25</v>
      </c>
      <c r="H1672" t="s">
        <v>26</v>
      </c>
      <c r="I1672" t="s">
        <v>25</v>
      </c>
      <c r="J1672">
        <v>62</v>
      </c>
      <c r="K1672">
        <v>0</v>
      </c>
      <c r="L1672">
        <v>22</v>
      </c>
      <c r="M1672">
        <v>22</v>
      </c>
      <c r="N1672">
        <v>22</v>
      </c>
      <c r="O1672">
        <v>19</v>
      </c>
      <c r="P1672">
        <v>18</v>
      </c>
      <c r="Q1672">
        <v>15</v>
      </c>
      <c r="R1672">
        <v>15</v>
      </c>
      <c r="S1672">
        <v>10</v>
      </c>
      <c r="T1672">
        <v>4</v>
      </c>
      <c r="U1672">
        <v>45</v>
      </c>
    </row>
    <row r="1673" spans="1:21" x14ac:dyDescent="0.25">
      <c r="A1673">
        <v>2025</v>
      </c>
      <c r="B1673">
        <v>9</v>
      </c>
      <c r="C1673" t="s">
        <v>80</v>
      </c>
      <c r="D1673" t="s">
        <v>22</v>
      </c>
      <c r="E1673" t="s">
        <v>76</v>
      </c>
      <c r="F1673" t="s">
        <v>29</v>
      </c>
      <c r="G1673" t="s">
        <v>25</v>
      </c>
      <c r="H1673" t="s">
        <v>26</v>
      </c>
      <c r="I1673" t="s">
        <v>25</v>
      </c>
      <c r="J1673">
        <v>3</v>
      </c>
      <c r="K1673">
        <v>1</v>
      </c>
      <c r="L1673">
        <v>0</v>
      </c>
      <c r="M1673">
        <v>1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</row>
    <row r="1674" spans="1:21" x14ac:dyDescent="0.25">
      <c r="A1674">
        <v>2025</v>
      </c>
      <c r="B1674">
        <v>9</v>
      </c>
      <c r="C1674" t="s">
        <v>80</v>
      </c>
      <c r="D1674" t="s">
        <v>22</v>
      </c>
      <c r="E1674" t="s">
        <v>81</v>
      </c>
      <c r="F1674" t="s">
        <v>28</v>
      </c>
      <c r="G1674" t="s">
        <v>25</v>
      </c>
      <c r="H1674" t="s">
        <v>26</v>
      </c>
      <c r="I1674" t="s">
        <v>25</v>
      </c>
      <c r="J1674">
        <v>527</v>
      </c>
      <c r="K1674">
        <v>0</v>
      </c>
      <c r="L1674">
        <v>19</v>
      </c>
      <c r="M1674">
        <v>19</v>
      </c>
      <c r="N1674">
        <v>295</v>
      </c>
      <c r="O1674">
        <v>248</v>
      </c>
      <c r="P1674">
        <v>234</v>
      </c>
      <c r="Q1674">
        <v>176</v>
      </c>
      <c r="R1674">
        <v>117</v>
      </c>
      <c r="S1674">
        <v>50</v>
      </c>
      <c r="T1674">
        <v>21</v>
      </c>
      <c r="U1674">
        <v>511</v>
      </c>
    </row>
    <row r="1675" spans="1:21" x14ac:dyDescent="0.25">
      <c r="A1675">
        <v>2025</v>
      </c>
      <c r="B1675">
        <v>9</v>
      </c>
      <c r="C1675" t="s">
        <v>80</v>
      </c>
      <c r="D1675" t="s">
        <v>22</v>
      </c>
      <c r="E1675" t="s">
        <v>82</v>
      </c>
      <c r="F1675" t="s">
        <v>28</v>
      </c>
      <c r="G1675" t="s">
        <v>25</v>
      </c>
      <c r="H1675" t="s">
        <v>26</v>
      </c>
      <c r="I1675" t="s">
        <v>25</v>
      </c>
      <c r="J1675">
        <v>221</v>
      </c>
      <c r="K1675">
        <v>0</v>
      </c>
      <c r="L1675">
        <v>5</v>
      </c>
      <c r="M1675">
        <v>5</v>
      </c>
      <c r="N1675">
        <v>165</v>
      </c>
      <c r="O1675">
        <v>147</v>
      </c>
      <c r="P1675">
        <v>135</v>
      </c>
      <c r="Q1675">
        <v>109</v>
      </c>
      <c r="R1675">
        <v>81</v>
      </c>
      <c r="S1675">
        <v>24</v>
      </c>
      <c r="T1675">
        <v>6</v>
      </c>
      <c r="U1675">
        <v>216</v>
      </c>
    </row>
    <row r="1676" spans="1:21" x14ac:dyDescent="0.25">
      <c r="A1676">
        <v>2025</v>
      </c>
      <c r="B1676">
        <v>9</v>
      </c>
      <c r="C1676" t="s">
        <v>80</v>
      </c>
      <c r="D1676" t="s">
        <v>22</v>
      </c>
      <c r="E1676" t="s">
        <v>83</v>
      </c>
      <c r="F1676" t="s">
        <v>28</v>
      </c>
      <c r="G1676" t="s">
        <v>26</v>
      </c>
      <c r="H1676" t="s">
        <v>26</v>
      </c>
      <c r="I1676" t="s">
        <v>25</v>
      </c>
      <c r="J1676">
        <v>6788</v>
      </c>
      <c r="K1676">
        <v>0</v>
      </c>
      <c r="L1676">
        <v>178</v>
      </c>
      <c r="M1676">
        <v>178</v>
      </c>
      <c r="N1676">
        <v>3417</v>
      </c>
      <c r="O1676">
        <v>2786</v>
      </c>
      <c r="P1676">
        <v>2546</v>
      </c>
      <c r="Q1676">
        <v>1834</v>
      </c>
      <c r="R1676">
        <v>1341</v>
      </c>
      <c r="S1676">
        <v>695</v>
      </c>
      <c r="T1676">
        <v>239</v>
      </c>
      <c r="U1676">
        <v>6650</v>
      </c>
    </row>
    <row r="1677" spans="1:21" x14ac:dyDescent="0.25">
      <c r="A1677">
        <v>2025</v>
      </c>
      <c r="B1677">
        <v>9</v>
      </c>
      <c r="C1677" t="s">
        <v>80</v>
      </c>
      <c r="D1677" t="s">
        <v>22</v>
      </c>
      <c r="E1677" t="s">
        <v>23</v>
      </c>
      <c r="F1677" t="s">
        <v>28</v>
      </c>
      <c r="G1677" t="s">
        <v>25</v>
      </c>
      <c r="H1677" t="s">
        <v>26</v>
      </c>
      <c r="I1677" t="s">
        <v>25</v>
      </c>
      <c r="J1677">
        <v>3130</v>
      </c>
      <c r="K1677">
        <v>0</v>
      </c>
      <c r="L1677">
        <v>98</v>
      </c>
      <c r="M1677">
        <v>98</v>
      </c>
      <c r="N1677">
        <v>1462</v>
      </c>
      <c r="O1677">
        <v>1211</v>
      </c>
      <c r="P1677">
        <v>1118</v>
      </c>
      <c r="Q1677">
        <v>832</v>
      </c>
      <c r="R1677">
        <v>604</v>
      </c>
      <c r="S1677">
        <v>304</v>
      </c>
      <c r="T1677">
        <v>107</v>
      </c>
      <c r="U1677">
        <v>3051</v>
      </c>
    </row>
    <row r="1678" spans="1:21" x14ac:dyDescent="0.25">
      <c r="A1678">
        <v>2025</v>
      </c>
      <c r="B1678">
        <v>9</v>
      </c>
      <c r="C1678" t="s">
        <v>80</v>
      </c>
      <c r="D1678" t="s">
        <v>22</v>
      </c>
      <c r="E1678" t="s">
        <v>23</v>
      </c>
      <c r="F1678" t="s">
        <v>24</v>
      </c>
      <c r="G1678" t="s">
        <v>25</v>
      </c>
      <c r="H1678" t="s">
        <v>26</v>
      </c>
      <c r="I1678" t="s">
        <v>25</v>
      </c>
      <c r="J1678">
        <v>1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1</v>
      </c>
    </row>
    <row r="1679" spans="1:21" x14ac:dyDescent="0.25">
      <c r="A1679">
        <v>2025</v>
      </c>
      <c r="B1679">
        <v>9</v>
      </c>
      <c r="C1679" t="s">
        <v>80</v>
      </c>
      <c r="D1679" t="s">
        <v>22</v>
      </c>
      <c r="E1679" t="s">
        <v>84</v>
      </c>
      <c r="F1679" t="s">
        <v>28</v>
      </c>
      <c r="G1679" t="s">
        <v>25</v>
      </c>
      <c r="H1679" t="s">
        <v>26</v>
      </c>
      <c r="I1679" t="s">
        <v>26</v>
      </c>
      <c r="J1679">
        <v>497</v>
      </c>
      <c r="K1679">
        <v>0</v>
      </c>
      <c r="L1679">
        <v>0</v>
      </c>
      <c r="M1679">
        <v>0</v>
      </c>
      <c r="N1679">
        <v>151</v>
      </c>
      <c r="O1679">
        <v>116</v>
      </c>
      <c r="P1679">
        <v>104</v>
      </c>
      <c r="Q1679">
        <v>69</v>
      </c>
      <c r="R1679">
        <v>56</v>
      </c>
      <c r="S1679">
        <v>30</v>
      </c>
      <c r="T1679">
        <v>17</v>
      </c>
      <c r="U1679">
        <v>497</v>
      </c>
    </row>
    <row r="1680" spans="1:21" x14ac:dyDescent="0.25">
      <c r="A1680">
        <v>2025</v>
      </c>
      <c r="B1680">
        <v>9</v>
      </c>
      <c r="C1680" t="s">
        <v>80</v>
      </c>
      <c r="D1680" t="s">
        <v>22</v>
      </c>
      <c r="E1680" t="s">
        <v>40</v>
      </c>
      <c r="F1680" t="s">
        <v>28</v>
      </c>
      <c r="G1680" t="s">
        <v>25</v>
      </c>
      <c r="H1680" t="s">
        <v>26</v>
      </c>
      <c r="I1680" t="s">
        <v>25</v>
      </c>
      <c r="J1680">
        <v>5</v>
      </c>
      <c r="K1680">
        <v>0</v>
      </c>
      <c r="L1680">
        <v>2</v>
      </c>
      <c r="M1680">
        <v>2</v>
      </c>
      <c r="N1680">
        <v>3</v>
      </c>
      <c r="O1680">
        <v>2</v>
      </c>
      <c r="P1680">
        <v>2</v>
      </c>
      <c r="Q1680">
        <v>2</v>
      </c>
      <c r="R1680">
        <v>1</v>
      </c>
      <c r="S1680">
        <v>0</v>
      </c>
      <c r="T1680">
        <v>0</v>
      </c>
      <c r="U1680">
        <v>3</v>
      </c>
    </row>
    <row r="1681" spans="1:21" x14ac:dyDescent="0.25">
      <c r="A1681">
        <v>2025</v>
      </c>
      <c r="B1681">
        <v>9</v>
      </c>
      <c r="C1681" t="s">
        <v>80</v>
      </c>
      <c r="D1681" t="s">
        <v>22</v>
      </c>
      <c r="E1681" t="s">
        <v>40</v>
      </c>
      <c r="F1681" t="s">
        <v>24</v>
      </c>
      <c r="G1681" t="s">
        <v>25</v>
      </c>
      <c r="H1681" t="s">
        <v>26</v>
      </c>
      <c r="I1681" t="s">
        <v>25</v>
      </c>
      <c r="J1681">
        <v>50</v>
      </c>
      <c r="K1681">
        <v>0</v>
      </c>
      <c r="L1681">
        <v>0</v>
      </c>
      <c r="M1681">
        <v>0</v>
      </c>
      <c r="N1681">
        <v>0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50</v>
      </c>
    </row>
    <row r="1682" spans="1:21" x14ac:dyDescent="0.25">
      <c r="A1682">
        <v>2025</v>
      </c>
      <c r="B1682">
        <v>9</v>
      </c>
      <c r="C1682" t="s">
        <v>80</v>
      </c>
      <c r="D1682" t="s">
        <v>22</v>
      </c>
      <c r="E1682" t="s">
        <v>85</v>
      </c>
      <c r="F1682" t="s">
        <v>28</v>
      </c>
      <c r="G1682" t="s">
        <v>25</v>
      </c>
      <c r="H1682" t="s">
        <v>25</v>
      </c>
      <c r="I1682" t="s">
        <v>25</v>
      </c>
      <c r="J1682">
        <v>7389</v>
      </c>
      <c r="K1682">
        <v>0</v>
      </c>
      <c r="L1682">
        <v>655</v>
      </c>
      <c r="M1682">
        <v>655</v>
      </c>
      <c r="N1682">
        <v>576</v>
      </c>
      <c r="O1682">
        <v>274</v>
      </c>
      <c r="P1682">
        <v>212</v>
      </c>
      <c r="Q1682">
        <v>90</v>
      </c>
      <c r="R1682">
        <v>39</v>
      </c>
      <c r="S1682">
        <v>10</v>
      </c>
      <c r="T1682">
        <v>2</v>
      </c>
      <c r="U1682">
        <v>6823</v>
      </c>
    </row>
    <row r="1683" spans="1:21" x14ac:dyDescent="0.25">
      <c r="A1683">
        <v>2025</v>
      </c>
      <c r="B1683">
        <v>9</v>
      </c>
      <c r="C1683" t="s">
        <v>80</v>
      </c>
      <c r="D1683" t="s">
        <v>22</v>
      </c>
      <c r="E1683" t="s">
        <v>86</v>
      </c>
      <c r="F1683" t="s">
        <v>28</v>
      </c>
      <c r="G1683" t="s">
        <v>25</v>
      </c>
      <c r="H1683" t="s">
        <v>25</v>
      </c>
      <c r="I1683" t="s">
        <v>25</v>
      </c>
      <c r="J1683">
        <v>13</v>
      </c>
      <c r="K1683">
        <v>0</v>
      </c>
      <c r="L1683">
        <v>1</v>
      </c>
      <c r="M1683">
        <v>1</v>
      </c>
      <c r="N1683">
        <v>6</v>
      </c>
      <c r="O1683">
        <v>6</v>
      </c>
      <c r="P1683">
        <v>6</v>
      </c>
      <c r="Q1683">
        <v>5</v>
      </c>
      <c r="R1683">
        <v>5</v>
      </c>
      <c r="S1683">
        <v>4</v>
      </c>
      <c r="T1683">
        <v>1</v>
      </c>
      <c r="U1683">
        <v>13</v>
      </c>
    </row>
    <row r="1684" spans="1:21" x14ac:dyDescent="0.25">
      <c r="A1684">
        <v>2025</v>
      </c>
      <c r="B1684">
        <v>9</v>
      </c>
      <c r="C1684" t="s">
        <v>80</v>
      </c>
      <c r="D1684" t="s">
        <v>22</v>
      </c>
      <c r="E1684" t="s">
        <v>86</v>
      </c>
      <c r="F1684" t="s">
        <v>29</v>
      </c>
      <c r="G1684" t="s">
        <v>25</v>
      </c>
      <c r="H1684" t="s">
        <v>25</v>
      </c>
      <c r="I1684" t="s">
        <v>25</v>
      </c>
      <c r="J1684">
        <v>4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</row>
    <row r="1685" spans="1:21" x14ac:dyDescent="0.25">
      <c r="A1685">
        <v>2025</v>
      </c>
      <c r="B1685">
        <v>9</v>
      </c>
      <c r="C1685" t="s">
        <v>80</v>
      </c>
      <c r="D1685" t="s">
        <v>22</v>
      </c>
      <c r="E1685" t="s">
        <v>35</v>
      </c>
      <c r="F1685" t="s">
        <v>28</v>
      </c>
      <c r="G1685" t="s">
        <v>25</v>
      </c>
      <c r="H1685" t="s">
        <v>26</v>
      </c>
      <c r="I1685" t="s">
        <v>26</v>
      </c>
      <c r="J1685">
        <v>2</v>
      </c>
      <c r="K1685">
        <v>0</v>
      </c>
      <c r="L1685">
        <v>0</v>
      </c>
      <c r="M1685">
        <v>0</v>
      </c>
      <c r="N1685">
        <v>2</v>
      </c>
      <c r="O1685">
        <v>2</v>
      </c>
      <c r="P1685">
        <v>2</v>
      </c>
      <c r="Q1685">
        <v>2</v>
      </c>
      <c r="R1685">
        <v>2</v>
      </c>
      <c r="S1685">
        <v>2</v>
      </c>
      <c r="T1685">
        <v>0</v>
      </c>
      <c r="U1685">
        <v>2</v>
      </c>
    </row>
    <row r="1686" spans="1:21" x14ac:dyDescent="0.25">
      <c r="A1686">
        <v>2025</v>
      </c>
      <c r="B1686">
        <v>9</v>
      </c>
      <c r="C1686" t="s">
        <v>80</v>
      </c>
      <c r="D1686" t="s">
        <v>22</v>
      </c>
      <c r="E1686" t="s">
        <v>35</v>
      </c>
      <c r="F1686" t="s">
        <v>24</v>
      </c>
      <c r="G1686" t="s">
        <v>25</v>
      </c>
      <c r="H1686" t="s">
        <v>26</v>
      </c>
      <c r="I1686" t="s">
        <v>26</v>
      </c>
      <c r="J1686">
        <v>335</v>
      </c>
      <c r="K1686">
        <v>0</v>
      </c>
      <c r="L1686">
        <v>0</v>
      </c>
      <c r="M1686">
        <v>0</v>
      </c>
      <c r="N1686">
        <v>89</v>
      </c>
      <c r="O1686">
        <v>83</v>
      </c>
      <c r="P1686">
        <v>82</v>
      </c>
      <c r="Q1686">
        <v>71</v>
      </c>
      <c r="R1686">
        <v>57</v>
      </c>
      <c r="S1686">
        <v>30</v>
      </c>
      <c r="T1686">
        <v>18</v>
      </c>
      <c r="U1686">
        <v>335</v>
      </c>
    </row>
    <row r="1687" spans="1:21" x14ac:dyDescent="0.25">
      <c r="A1687">
        <v>2025</v>
      </c>
      <c r="B1687">
        <v>9</v>
      </c>
      <c r="C1687" t="s">
        <v>80</v>
      </c>
      <c r="D1687" t="s">
        <v>22</v>
      </c>
      <c r="E1687" t="s">
        <v>87</v>
      </c>
      <c r="F1687" t="s">
        <v>28</v>
      </c>
      <c r="G1687" t="s">
        <v>25</v>
      </c>
      <c r="H1687" t="s">
        <v>25</v>
      </c>
      <c r="I1687" t="s">
        <v>25</v>
      </c>
      <c r="J1687">
        <v>228685</v>
      </c>
      <c r="K1687">
        <v>110</v>
      </c>
      <c r="L1687">
        <v>9910</v>
      </c>
      <c r="M1687">
        <v>10020</v>
      </c>
      <c r="N1687">
        <v>48231</v>
      </c>
      <c r="O1687">
        <v>28097</v>
      </c>
      <c r="P1687">
        <v>22320</v>
      </c>
      <c r="Q1687">
        <v>11503</v>
      </c>
      <c r="R1687">
        <v>6671</v>
      </c>
      <c r="S1687">
        <v>2235</v>
      </c>
      <c r="T1687">
        <v>488</v>
      </c>
      <c r="U1687">
        <v>220151</v>
      </c>
    </row>
    <row r="1688" spans="1:21" x14ac:dyDescent="0.25">
      <c r="A1688">
        <v>2025</v>
      </c>
      <c r="B1688">
        <v>9</v>
      </c>
      <c r="C1688" t="s">
        <v>80</v>
      </c>
      <c r="D1688" t="s">
        <v>22</v>
      </c>
      <c r="E1688" t="s">
        <v>87</v>
      </c>
      <c r="F1688" t="s">
        <v>24</v>
      </c>
      <c r="G1688" t="s">
        <v>25</v>
      </c>
      <c r="H1688" t="s">
        <v>25</v>
      </c>
      <c r="I1688" t="s">
        <v>25</v>
      </c>
      <c r="J1688">
        <v>5760</v>
      </c>
      <c r="K1688">
        <v>279</v>
      </c>
      <c r="L1688">
        <v>202</v>
      </c>
      <c r="M1688">
        <v>481</v>
      </c>
      <c r="N1688">
        <v>1267</v>
      </c>
      <c r="O1688">
        <v>757</v>
      </c>
      <c r="P1688">
        <v>615</v>
      </c>
      <c r="Q1688">
        <v>286</v>
      </c>
      <c r="R1688">
        <v>136</v>
      </c>
      <c r="S1688">
        <v>29</v>
      </c>
      <c r="T1688">
        <v>5</v>
      </c>
      <c r="U1688">
        <v>5331</v>
      </c>
    </row>
    <row r="1689" spans="1:21" x14ac:dyDescent="0.25">
      <c r="A1689">
        <v>2025</v>
      </c>
      <c r="B1689">
        <v>9</v>
      </c>
      <c r="C1689" t="s">
        <v>80</v>
      </c>
      <c r="D1689" t="s">
        <v>22</v>
      </c>
      <c r="E1689" t="s">
        <v>87</v>
      </c>
      <c r="F1689" t="s">
        <v>29</v>
      </c>
      <c r="G1689" t="s">
        <v>25</v>
      </c>
      <c r="H1689" t="s">
        <v>25</v>
      </c>
      <c r="I1689" t="s">
        <v>25</v>
      </c>
      <c r="J1689">
        <v>1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</row>
    <row r="1690" spans="1:21" x14ac:dyDescent="0.25">
      <c r="A1690">
        <v>2025</v>
      </c>
      <c r="B1690">
        <v>9</v>
      </c>
      <c r="C1690" t="s">
        <v>80</v>
      </c>
      <c r="D1690" t="s">
        <v>22</v>
      </c>
      <c r="E1690" t="s">
        <v>36</v>
      </c>
      <c r="F1690" t="s">
        <v>24</v>
      </c>
      <c r="G1690" t="s">
        <v>25</v>
      </c>
      <c r="H1690" t="s">
        <v>26</v>
      </c>
      <c r="I1690" t="s">
        <v>25</v>
      </c>
      <c r="J1690">
        <v>137</v>
      </c>
      <c r="K1690">
        <v>0</v>
      </c>
      <c r="L1690">
        <v>0</v>
      </c>
      <c r="M1690">
        <v>0</v>
      </c>
      <c r="N1690">
        <v>36</v>
      </c>
      <c r="O1690">
        <v>26</v>
      </c>
      <c r="P1690">
        <v>24</v>
      </c>
      <c r="Q1690">
        <v>16</v>
      </c>
      <c r="R1690">
        <v>11</v>
      </c>
      <c r="S1690">
        <v>5</v>
      </c>
      <c r="T1690">
        <v>3</v>
      </c>
      <c r="U1690">
        <v>137</v>
      </c>
    </row>
    <row r="1691" spans="1:21" x14ac:dyDescent="0.25">
      <c r="A1691">
        <v>2025</v>
      </c>
      <c r="B1691">
        <v>9</v>
      </c>
      <c r="C1691" t="s">
        <v>80</v>
      </c>
      <c r="D1691" t="s">
        <v>22</v>
      </c>
      <c r="E1691" t="s">
        <v>41</v>
      </c>
      <c r="F1691" t="s">
        <v>24</v>
      </c>
      <c r="G1691" t="s">
        <v>26</v>
      </c>
      <c r="H1691" t="s">
        <v>26</v>
      </c>
      <c r="I1691" t="s">
        <v>25</v>
      </c>
      <c r="J1691">
        <v>2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2</v>
      </c>
    </row>
    <row r="1692" spans="1:21" x14ac:dyDescent="0.25">
      <c r="A1692">
        <v>2025</v>
      </c>
      <c r="B1692">
        <v>9</v>
      </c>
      <c r="C1692" t="s">
        <v>88</v>
      </c>
      <c r="D1692" t="s">
        <v>45</v>
      </c>
      <c r="E1692" t="s">
        <v>83</v>
      </c>
      <c r="F1692" t="s">
        <v>28</v>
      </c>
      <c r="G1692" t="s">
        <v>26</v>
      </c>
      <c r="H1692" t="s">
        <v>26</v>
      </c>
      <c r="I1692" t="s">
        <v>25</v>
      </c>
      <c r="J1692">
        <v>482</v>
      </c>
      <c r="K1692">
        <v>0</v>
      </c>
      <c r="L1692">
        <v>0</v>
      </c>
      <c r="M1692">
        <v>0</v>
      </c>
      <c r="N1692">
        <v>139</v>
      </c>
      <c r="O1692">
        <v>100</v>
      </c>
      <c r="P1692">
        <v>86</v>
      </c>
      <c r="Q1692">
        <v>62</v>
      </c>
      <c r="R1692">
        <v>48</v>
      </c>
      <c r="S1692">
        <v>26</v>
      </c>
      <c r="T1692">
        <v>15</v>
      </c>
      <c r="U1692">
        <v>482</v>
      </c>
    </row>
    <row r="1693" spans="1:21" x14ac:dyDescent="0.25">
      <c r="A1693">
        <v>2025</v>
      </c>
      <c r="B1693">
        <v>9</v>
      </c>
      <c r="C1693" t="s">
        <v>88</v>
      </c>
      <c r="D1693" t="s">
        <v>45</v>
      </c>
      <c r="E1693" t="s">
        <v>83</v>
      </c>
      <c r="F1693" t="s">
        <v>24</v>
      </c>
      <c r="G1693" t="s">
        <v>26</v>
      </c>
      <c r="H1693" t="s">
        <v>26</v>
      </c>
      <c r="I1693" t="s">
        <v>25</v>
      </c>
      <c r="J1693">
        <v>117</v>
      </c>
      <c r="K1693">
        <v>0</v>
      </c>
      <c r="L1693">
        <v>0</v>
      </c>
      <c r="M1693">
        <v>0</v>
      </c>
      <c r="N1693">
        <v>73</v>
      </c>
      <c r="O1693">
        <v>67</v>
      </c>
      <c r="P1693">
        <v>60</v>
      </c>
      <c r="Q1693">
        <v>39</v>
      </c>
      <c r="R1693">
        <v>28</v>
      </c>
      <c r="S1693">
        <v>14</v>
      </c>
      <c r="T1693">
        <v>6</v>
      </c>
      <c r="U1693">
        <v>117</v>
      </c>
    </row>
    <row r="1694" spans="1:21" x14ac:dyDescent="0.25">
      <c r="A1694">
        <v>2025</v>
      </c>
      <c r="B1694">
        <v>9</v>
      </c>
      <c r="C1694" t="s">
        <v>89</v>
      </c>
      <c r="D1694" t="s">
        <v>22</v>
      </c>
      <c r="E1694" t="s">
        <v>91</v>
      </c>
      <c r="F1694" t="s">
        <v>28</v>
      </c>
      <c r="G1694" t="s">
        <v>25</v>
      </c>
      <c r="H1694" t="s">
        <v>25</v>
      </c>
      <c r="I1694" t="s">
        <v>25</v>
      </c>
      <c r="J1694">
        <v>4248</v>
      </c>
      <c r="K1694">
        <v>0</v>
      </c>
      <c r="L1694">
        <v>54</v>
      </c>
      <c r="M1694">
        <v>54</v>
      </c>
      <c r="N1694">
        <v>48</v>
      </c>
      <c r="O1694">
        <v>35</v>
      </c>
      <c r="P1694">
        <v>31</v>
      </c>
      <c r="Q1694">
        <v>19</v>
      </c>
      <c r="R1694">
        <v>10</v>
      </c>
      <c r="S1694">
        <v>3</v>
      </c>
      <c r="T1694">
        <v>1</v>
      </c>
      <c r="U1694">
        <v>4248</v>
      </c>
    </row>
    <row r="1695" spans="1:21" x14ac:dyDescent="0.25">
      <c r="A1695">
        <v>2025</v>
      </c>
      <c r="B1695">
        <v>9</v>
      </c>
      <c r="C1695" t="s">
        <v>89</v>
      </c>
      <c r="D1695" t="s">
        <v>22</v>
      </c>
      <c r="E1695" t="s">
        <v>91</v>
      </c>
      <c r="F1695" t="s">
        <v>24</v>
      </c>
      <c r="G1695" t="s">
        <v>25</v>
      </c>
      <c r="H1695" t="s">
        <v>25</v>
      </c>
      <c r="I1695" t="s">
        <v>25</v>
      </c>
      <c r="J1695">
        <v>1353</v>
      </c>
      <c r="K1695">
        <v>0</v>
      </c>
      <c r="L1695">
        <v>0</v>
      </c>
      <c r="M1695">
        <v>0</v>
      </c>
      <c r="N1695">
        <v>18</v>
      </c>
      <c r="O1695">
        <v>14</v>
      </c>
      <c r="P1695">
        <v>12</v>
      </c>
      <c r="Q1695">
        <v>10</v>
      </c>
      <c r="R1695">
        <v>6</v>
      </c>
      <c r="S1695">
        <v>2</v>
      </c>
      <c r="T1695">
        <v>1</v>
      </c>
      <c r="U1695">
        <v>1353</v>
      </c>
    </row>
    <row r="1696" spans="1:21" x14ac:dyDescent="0.25">
      <c r="A1696">
        <v>2025</v>
      </c>
      <c r="B1696">
        <v>9</v>
      </c>
      <c r="C1696" t="s">
        <v>89</v>
      </c>
      <c r="D1696" t="s">
        <v>22</v>
      </c>
      <c r="E1696" t="s">
        <v>92</v>
      </c>
      <c r="F1696" t="s">
        <v>28</v>
      </c>
      <c r="G1696" t="s">
        <v>25</v>
      </c>
      <c r="H1696" t="s">
        <v>25</v>
      </c>
      <c r="I1696" t="s">
        <v>25</v>
      </c>
      <c r="J1696">
        <v>2160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2160</v>
      </c>
    </row>
    <row r="1697" spans="1:21" x14ac:dyDescent="0.25">
      <c r="A1697">
        <v>2025</v>
      </c>
      <c r="B1697">
        <v>9</v>
      </c>
      <c r="C1697" t="s">
        <v>89</v>
      </c>
      <c r="D1697" t="s">
        <v>22</v>
      </c>
      <c r="E1697" t="s">
        <v>31</v>
      </c>
      <c r="F1697" t="s">
        <v>24</v>
      </c>
      <c r="G1697" t="s">
        <v>25</v>
      </c>
      <c r="H1697" t="s">
        <v>25</v>
      </c>
      <c r="I1697" t="s">
        <v>25</v>
      </c>
      <c r="J1697">
        <v>285</v>
      </c>
      <c r="K1697">
        <v>12</v>
      </c>
      <c r="L1697">
        <v>0</v>
      </c>
      <c r="M1697">
        <v>12</v>
      </c>
      <c r="N1697">
        <v>102</v>
      </c>
      <c r="O1697">
        <v>95</v>
      </c>
      <c r="P1697">
        <v>95</v>
      </c>
      <c r="Q1697">
        <v>91</v>
      </c>
      <c r="R1697">
        <v>75</v>
      </c>
      <c r="S1697">
        <v>34</v>
      </c>
      <c r="T1697">
        <v>17</v>
      </c>
      <c r="U1697">
        <v>273</v>
      </c>
    </row>
    <row r="1698" spans="1:21" x14ac:dyDescent="0.25">
      <c r="A1698">
        <v>2025</v>
      </c>
      <c r="B1698">
        <v>9</v>
      </c>
      <c r="C1698" t="s">
        <v>89</v>
      </c>
      <c r="D1698" t="s">
        <v>22</v>
      </c>
      <c r="E1698" t="s">
        <v>31</v>
      </c>
      <c r="F1698" t="s">
        <v>29</v>
      </c>
      <c r="G1698" t="s">
        <v>25</v>
      </c>
      <c r="H1698" t="s">
        <v>25</v>
      </c>
      <c r="I1698" t="s">
        <v>25</v>
      </c>
      <c r="J1698">
        <v>1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</row>
    <row r="1699" spans="1:21" x14ac:dyDescent="0.25">
      <c r="A1699">
        <v>2025</v>
      </c>
      <c r="B1699">
        <v>9</v>
      </c>
      <c r="C1699" t="s">
        <v>89</v>
      </c>
      <c r="D1699" t="s">
        <v>22</v>
      </c>
      <c r="E1699" t="s">
        <v>105</v>
      </c>
      <c r="F1699" t="s">
        <v>28</v>
      </c>
      <c r="G1699" t="s">
        <v>25</v>
      </c>
      <c r="H1699" t="s">
        <v>25</v>
      </c>
      <c r="I1699" t="s">
        <v>25</v>
      </c>
      <c r="J1699">
        <v>2</v>
      </c>
      <c r="K1699">
        <v>0</v>
      </c>
      <c r="L1699">
        <v>0</v>
      </c>
      <c r="M1699">
        <v>0</v>
      </c>
      <c r="N1699">
        <v>1</v>
      </c>
      <c r="O1699">
        <v>1</v>
      </c>
      <c r="P1699">
        <v>1</v>
      </c>
      <c r="Q1699">
        <v>1</v>
      </c>
      <c r="R1699">
        <v>0</v>
      </c>
      <c r="S1699">
        <v>0</v>
      </c>
      <c r="T1699">
        <v>0</v>
      </c>
      <c r="U1699">
        <v>2</v>
      </c>
    </row>
    <row r="1700" spans="1:21" x14ac:dyDescent="0.25">
      <c r="A1700">
        <v>2025</v>
      </c>
      <c r="B1700">
        <v>9</v>
      </c>
      <c r="C1700" t="s">
        <v>89</v>
      </c>
      <c r="D1700" t="s">
        <v>22</v>
      </c>
      <c r="E1700" t="s">
        <v>95</v>
      </c>
      <c r="F1700" t="s">
        <v>28</v>
      </c>
      <c r="G1700" t="s">
        <v>25</v>
      </c>
      <c r="H1700" t="s">
        <v>25</v>
      </c>
      <c r="I1700" t="s">
        <v>25</v>
      </c>
      <c r="J1700">
        <v>60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60</v>
      </c>
    </row>
    <row r="1701" spans="1:21" x14ac:dyDescent="0.25">
      <c r="A1701">
        <v>2025</v>
      </c>
      <c r="B1701">
        <v>9</v>
      </c>
      <c r="C1701" t="s">
        <v>89</v>
      </c>
      <c r="D1701" t="s">
        <v>22</v>
      </c>
      <c r="E1701" t="s">
        <v>95</v>
      </c>
      <c r="F1701" t="s">
        <v>24</v>
      </c>
      <c r="G1701" t="s">
        <v>25</v>
      </c>
      <c r="H1701" t="s">
        <v>25</v>
      </c>
      <c r="I1701" t="s">
        <v>25</v>
      </c>
      <c r="J1701">
        <v>120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120</v>
      </c>
    </row>
    <row r="1702" spans="1:21" x14ac:dyDescent="0.25">
      <c r="A1702">
        <v>2025</v>
      </c>
      <c r="B1702">
        <v>9</v>
      </c>
      <c r="C1702" t="s">
        <v>89</v>
      </c>
      <c r="D1702" t="s">
        <v>22</v>
      </c>
      <c r="E1702" t="s">
        <v>23</v>
      </c>
      <c r="F1702" t="s">
        <v>24</v>
      </c>
      <c r="G1702" t="s">
        <v>25</v>
      </c>
      <c r="H1702" t="s">
        <v>25</v>
      </c>
      <c r="I1702" t="s">
        <v>25</v>
      </c>
      <c r="J1702">
        <v>39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39</v>
      </c>
    </row>
    <row r="1703" spans="1:21" x14ac:dyDescent="0.25">
      <c r="A1703">
        <v>2025</v>
      </c>
      <c r="B1703">
        <v>9</v>
      </c>
      <c r="C1703" t="s">
        <v>89</v>
      </c>
      <c r="D1703" t="s">
        <v>22</v>
      </c>
      <c r="E1703" t="s">
        <v>107</v>
      </c>
      <c r="F1703" t="s">
        <v>28</v>
      </c>
      <c r="G1703" t="s">
        <v>25</v>
      </c>
      <c r="H1703" t="s">
        <v>25</v>
      </c>
      <c r="I1703" t="s">
        <v>25</v>
      </c>
      <c r="J1703">
        <v>16</v>
      </c>
      <c r="K1703">
        <v>0</v>
      </c>
      <c r="L1703">
        <v>0</v>
      </c>
      <c r="M1703">
        <v>0</v>
      </c>
      <c r="N1703">
        <v>8</v>
      </c>
      <c r="O1703">
        <v>6</v>
      </c>
      <c r="P1703">
        <v>5</v>
      </c>
      <c r="Q1703">
        <v>4</v>
      </c>
      <c r="R1703">
        <v>4</v>
      </c>
      <c r="S1703">
        <v>2</v>
      </c>
      <c r="T1703">
        <v>1</v>
      </c>
      <c r="U1703">
        <v>16</v>
      </c>
    </row>
    <row r="1704" spans="1:21" x14ac:dyDescent="0.25">
      <c r="A1704">
        <v>2025</v>
      </c>
      <c r="B1704">
        <v>9</v>
      </c>
      <c r="C1704" t="s">
        <v>89</v>
      </c>
      <c r="D1704" t="s">
        <v>22</v>
      </c>
      <c r="E1704" t="s">
        <v>71</v>
      </c>
      <c r="F1704" t="s">
        <v>24</v>
      </c>
      <c r="G1704" t="s">
        <v>25</v>
      </c>
      <c r="H1704" t="s">
        <v>25</v>
      </c>
      <c r="I1704" t="s">
        <v>25</v>
      </c>
      <c r="J1704">
        <v>1</v>
      </c>
      <c r="K1704">
        <v>0</v>
      </c>
      <c r="L1704">
        <v>0</v>
      </c>
      <c r="M1704">
        <v>0</v>
      </c>
      <c r="N1704">
        <v>1</v>
      </c>
      <c r="O1704">
        <v>1</v>
      </c>
      <c r="P1704">
        <v>1</v>
      </c>
      <c r="Q1704">
        <v>1</v>
      </c>
      <c r="R1704">
        <v>1</v>
      </c>
      <c r="S1704">
        <v>0</v>
      </c>
      <c r="T1704">
        <v>0</v>
      </c>
      <c r="U1704">
        <v>1</v>
      </c>
    </row>
    <row r="1705" spans="1:21" x14ac:dyDescent="0.25">
      <c r="A1705">
        <v>2025</v>
      </c>
      <c r="B1705">
        <v>9</v>
      </c>
      <c r="C1705" t="s">
        <v>89</v>
      </c>
      <c r="D1705" t="s">
        <v>22</v>
      </c>
      <c r="E1705" t="s">
        <v>97</v>
      </c>
      <c r="F1705" t="s">
        <v>28</v>
      </c>
      <c r="G1705" t="s">
        <v>25</v>
      </c>
      <c r="H1705" t="s">
        <v>25</v>
      </c>
      <c r="I1705" t="s">
        <v>25</v>
      </c>
      <c r="J1705">
        <v>4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4</v>
      </c>
    </row>
    <row r="1706" spans="1:21" x14ac:dyDescent="0.25">
      <c r="A1706">
        <v>2025</v>
      </c>
      <c r="B1706">
        <v>9</v>
      </c>
      <c r="C1706" t="s">
        <v>89</v>
      </c>
      <c r="D1706" t="s">
        <v>22</v>
      </c>
      <c r="E1706" t="s">
        <v>97</v>
      </c>
      <c r="F1706" t="s">
        <v>24</v>
      </c>
      <c r="G1706" t="s">
        <v>25</v>
      </c>
      <c r="H1706" t="s">
        <v>25</v>
      </c>
      <c r="I1706" t="s">
        <v>25</v>
      </c>
      <c r="J1706">
        <v>36</v>
      </c>
      <c r="K1706">
        <v>0</v>
      </c>
      <c r="L1706">
        <v>8</v>
      </c>
      <c r="M1706">
        <v>8</v>
      </c>
      <c r="N1706">
        <v>15</v>
      </c>
      <c r="O1706">
        <v>15</v>
      </c>
      <c r="P1706">
        <v>14</v>
      </c>
      <c r="Q1706">
        <v>11</v>
      </c>
      <c r="R1706">
        <v>9</v>
      </c>
      <c r="S1706">
        <v>6</v>
      </c>
      <c r="T1706">
        <v>6</v>
      </c>
      <c r="U1706">
        <v>36</v>
      </c>
    </row>
    <row r="1707" spans="1:21" x14ac:dyDescent="0.25">
      <c r="A1707">
        <v>2025</v>
      </c>
      <c r="B1707">
        <v>9</v>
      </c>
      <c r="C1707" t="s">
        <v>89</v>
      </c>
      <c r="D1707" t="s">
        <v>22</v>
      </c>
      <c r="F1707" t="s">
        <v>28</v>
      </c>
      <c r="G1707" t="s">
        <v>25</v>
      </c>
      <c r="H1707" t="s">
        <v>25</v>
      </c>
      <c r="I1707" t="s">
        <v>25</v>
      </c>
      <c r="J1707">
        <v>25</v>
      </c>
      <c r="K1707">
        <v>0</v>
      </c>
      <c r="L1707">
        <v>7</v>
      </c>
      <c r="M1707">
        <v>7</v>
      </c>
      <c r="N1707">
        <v>6</v>
      </c>
      <c r="O1707">
        <v>5</v>
      </c>
      <c r="P1707">
        <v>4</v>
      </c>
      <c r="Q1707">
        <v>2</v>
      </c>
      <c r="R1707">
        <v>1</v>
      </c>
      <c r="S1707">
        <v>0</v>
      </c>
      <c r="T1707">
        <v>0</v>
      </c>
      <c r="U1707">
        <v>18</v>
      </c>
    </row>
    <row r="1708" spans="1:21" x14ac:dyDescent="0.25">
      <c r="A1708">
        <v>2025</v>
      </c>
      <c r="B1708">
        <v>9</v>
      </c>
      <c r="C1708" t="s">
        <v>89</v>
      </c>
      <c r="D1708" t="s">
        <v>22</v>
      </c>
      <c r="F1708" t="s">
        <v>29</v>
      </c>
      <c r="G1708" t="s">
        <v>25</v>
      </c>
      <c r="H1708" t="s">
        <v>25</v>
      </c>
      <c r="I1708" t="s">
        <v>25</v>
      </c>
      <c r="J1708">
        <v>1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</row>
    <row r="1709" spans="1:21" x14ac:dyDescent="0.25">
      <c r="A1709">
        <v>2025</v>
      </c>
      <c r="B1709">
        <v>9</v>
      </c>
      <c r="C1709" t="s">
        <v>98</v>
      </c>
      <c r="D1709" t="s">
        <v>22</v>
      </c>
      <c r="E1709" t="s">
        <v>31</v>
      </c>
      <c r="F1709" t="s">
        <v>24</v>
      </c>
      <c r="G1709" t="s">
        <v>25</v>
      </c>
      <c r="H1709" t="s">
        <v>25</v>
      </c>
      <c r="I1709" t="s">
        <v>25</v>
      </c>
      <c r="J1709">
        <v>60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60</v>
      </c>
    </row>
    <row r="1710" spans="1:21" x14ac:dyDescent="0.25">
      <c r="A1710">
        <v>2025</v>
      </c>
      <c r="B1710">
        <v>9</v>
      </c>
      <c r="C1710" t="s">
        <v>98</v>
      </c>
      <c r="D1710" t="s">
        <v>22</v>
      </c>
      <c r="E1710" t="s">
        <v>32</v>
      </c>
      <c r="F1710" t="s">
        <v>24</v>
      </c>
      <c r="G1710" t="s">
        <v>25</v>
      </c>
      <c r="H1710" t="s">
        <v>25</v>
      </c>
      <c r="I1710" t="s">
        <v>25</v>
      </c>
      <c r="J1710">
        <v>72</v>
      </c>
      <c r="K1710">
        <v>0</v>
      </c>
      <c r="L1710">
        <v>0</v>
      </c>
      <c r="M1710">
        <v>0</v>
      </c>
      <c r="N1710">
        <v>6</v>
      </c>
      <c r="O1710">
        <v>5</v>
      </c>
      <c r="P1710">
        <v>5</v>
      </c>
      <c r="Q1710">
        <v>4</v>
      </c>
      <c r="R1710">
        <v>3</v>
      </c>
      <c r="S1710">
        <v>2</v>
      </c>
      <c r="T1710">
        <v>1</v>
      </c>
      <c r="U1710">
        <v>72</v>
      </c>
    </row>
    <row r="1711" spans="1:21" x14ac:dyDescent="0.25">
      <c r="A1711">
        <v>2025</v>
      </c>
      <c r="B1711">
        <v>9</v>
      </c>
      <c r="C1711" t="s">
        <v>99</v>
      </c>
      <c r="D1711" t="s">
        <v>45</v>
      </c>
      <c r="E1711" t="s">
        <v>100</v>
      </c>
      <c r="F1711" t="s">
        <v>28</v>
      </c>
      <c r="G1711" t="s">
        <v>25</v>
      </c>
      <c r="H1711" t="s">
        <v>26</v>
      </c>
      <c r="I1711" t="s">
        <v>25</v>
      </c>
      <c r="J1711">
        <v>1440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1440</v>
      </c>
    </row>
    <row r="1712" spans="1:21" x14ac:dyDescent="0.25">
      <c r="A1712">
        <v>2025</v>
      </c>
      <c r="B1712">
        <v>9</v>
      </c>
      <c r="C1712" t="s">
        <v>99</v>
      </c>
      <c r="D1712" t="s">
        <v>45</v>
      </c>
      <c r="E1712" t="s">
        <v>100</v>
      </c>
      <c r="F1712" t="s">
        <v>24</v>
      </c>
      <c r="G1712" t="s">
        <v>25</v>
      </c>
      <c r="H1712" t="s">
        <v>26</v>
      </c>
      <c r="I1712" t="s">
        <v>25</v>
      </c>
      <c r="J1712">
        <v>360</v>
      </c>
      <c r="K1712">
        <v>0</v>
      </c>
      <c r="L1712">
        <v>47</v>
      </c>
      <c r="M1712">
        <v>47</v>
      </c>
      <c r="N1712">
        <v>188</v>
      </c>
      <c r="O1712">
        <v>146</v>
      </c>
      <c r="P1712">
        <v>134</v>
      </c>
      <c r="Q1712">
        <v>98</v>
      </c>
      <c r="R1712">
        <v>75</v>
      </c>
      <c r="S1712">
        <v>40</v>
      </c>
      <c r="T1712">
        <v>9</v>
      </c>
      <c r="U1712">
        <v>360</v>
      </c>
    </row>
    <row r="1713" spans="1:21" x14ac:dyDescent="0.25">
      <c r="A1713">
        <v>2025</v>
      </c>
      <c r="B1713">
        <v>9</v>
      </c>
      <c r="C1713" t="s">
        <v>101</v>
      </c>
      <c r="D1713" t="s">
        <v>22</v>
      </c>
      <c r="E1713" t="s">
        <v>32</v>
      </c>
      <c r="F1713" t="s">
        <v>24</v>
      </c>
      <c r="G1713" t="s">
        <v>25</v>
      </c>
      <c r="H1713" t="s">
        <v>25</v>
      </c>
      <c r="I1713" t="s">
        <v>25</v>
      </c>
      <c r="J1713">
        <v>31</v>
      </c>
      <c r="K1713">
        <v>0</v>
      </c>
      <c r="L1713">
        <v>0</v>
      </c>
      <c r="M1713">
        <v>0</v>
      </c>
      <c r="N1713">
        <v>30</v>
      </c>
      <c r="O1713">
        <v>29</v>
      </c>
      <c r="P1713">
        <v>29</v>
      </c>
      <c r="Q1713">
        <v>28</v>
      </c>
      <c r="R1713">
        <v>23</v>
      </c>
      <c r="S1713">
        <v>14</v>
      </c>
      <c r="T1713">
        <v>5</v>
      </c>
      <c r="U1713">
        <v>31</v>
      </c>
    </row>
    <row r="1714" spans="1:21" x14ac:dyDescent="0.25">
      <c r="A1714">
        <v>2025</v>
      </c>
      <c r="B1714">
        <v>9</v>
      </c>
      <c r="C1714" t="s">
        <v>101</v>
      </c>
      <c r="D1714" t="s">
        <v>22</v>
      </c>
      <c r="E1714" t="s">
        <v>34</v>
      </c>
      <c r="F1714" t="s">
        <v>24</v>
      </c>
      <c r="G1714" t="s">
        <v>25</v>
      </c>
      <c r="H1714" t="s">
        <v>26</v>
      </c>
      <c r="I1714" t="s">
        <v>26</v>
      </c>
      <c r="J1714">
        <v>84</v>
      </c>
      <c r="K1714">
        <v>0</v>
      </c>
      <c r="L1714">
        <v>0</v>
      </c>
      <c r="M1714">
        <v>0</v>
      </c>
      <c r="N1714">
        <v>20</v>
      </c>
      <c r="O1714">
        <v>19</v>
      </c>
      <c r="P1714">
        <v>18</v>
      </c>
      <c r="Q1714">
        <v>14</v>
      </c>
      <c r="R1714">
        <v>12</v>
      </c>
      <c r="S1714">
        <v>8</v>
      </c>
      <c r="T1714">
        <v>5</v>
      </c>
      <c r="U1714">
        <v>84</v>
      </c>
    </row>
    <row r="1715" spans="1:21" x14ac:dyDescent="0.25">
      <c r="A1715">
        <v>2025</v>
      </c>
      <c r="B1715">
        <v>9</v>
      </c>
      <c r="C1715" t="s">
        <v>101</v>
      </c>
      <c r="D1715" t="s">
        <v>22</v>
      </c>
      <c r="E1715" t="s">
        <v>35</v>
      </c>
      <c r="F1715" t="s">
        <v>24</v>
      </c>
      <c r="G1715" t="s">
        <v>25</v>
      </c>
      <c r="H1715" t="s">
        <v>26</v>
      </c>
      <c r="I1715" t="s">
        <v>26</v>
      </c>
      <c r="J1715">
        <v>2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2</v>
      </c>
    </row>
    <row r="1716" spans="1:21" x14ac:dyDescent="0.25">
      <c r="A1716">
        <v>2025</v>
      </c>
      <c r="B1716">
        <v>9</v>
      </c>
      <c r="C1716" t="s">
        <v>101</v>
      </c>
      <c r="D1716" t="s">
        <v>22</v>
      </c>
      <c r="E1716" t="s">
        <v>41</v>
      </c>
      <c r="F1716" t="s">
        <v>24</v>
      </c>
      <c r="G1716" t="s">
        <v>26</v>
      </c>
      <c r="H1716" t="s">
        <v>26</v>
      </c>
      <c r="I1716" t="s">
        <v>25</v>
      </c>
      <c r="J1716">
        <v>60</v>
      </c>
      <c r="K1716">
        <v>0</v>
      </c>
      <c r="L1716">
        <v>0</v>
      </c>
      <c r="M1716">
        <v>0</v>
      </c>
      <c r="N1716">
        <v>5</v>
      </c>
      <c r="O1716">
        <v>3</v>
      </c>
      <c r="P1716">
        <v>3</v>
      </c>
      <c r="Q1716">
        <v>2</v>
      </c>
      <c r="R1716">
        <v>2</v>
      </c>
      <c r="S1716">
        <v>2</v>
      </c>
      <c r="T1716">
        <v>0</v>
      </c>
      <c r="U1716">
        <v>60</v>
      </c>
    </row>
    <row r="1717" spans="1:21" x14ac:dyDescent="0.25">
      <c r="A1717">
        <v>2025</v>
      </c>
      <c r="B1717">
        <v>10</v>
      </c>
      <c r="C1717" t="s">
        <v>21</v>
      </c>
      <c r="D1717" t="s">
        <v>22</v>
      </c>
      <c r="E1717" t="s">
        <v>23</v>
      </c>
      <c r="F1717" t="s">
        <v>24</v>
      </c>
      <c r="G1717" t="s">
        <v>25</v>
      </c>
      <c r="H1717" t="s">
        <v>26</v>
      </c>
      <c r="I1717" t="s">
        <v>25</v>
      </c>
      <c r="J1717">
        <v>1437</v>
      </c>
      <c r="K1717">
        <v>14</v>
      </c>
      <c r="L1717">
        <v>0</v>
      </c>
      <c r="M1717">
        <v>14</v>
      </c>
      <c r="N1717">
        <v>151</v>
      </c>
      <c r="O1717">
        <v>93</v>
      </c>
      <c r="P1717">
        <v>73</v>
      </c>
      <c r="Q1717">
        <v>41</v>
      </c>
      <c r="R1717">
        <v>23</v>
      </c>
      <c r="S1717">
        <v>5</v>
      </c>
      <c r="T1717">
        <v>0</v>
      </c>
      <c r="U1717">
        <v>1423</v>
      </c>
    </row>
    <row r="1718" spans="1:21" x14ac:dyDescent="0.25">
      <c r="A1718">
        <v>2025</v>
      </c>
      <c r="B1718">
        <v>10</v>
      </c>
      <c r="C1718" t="s">
        <v>21</v>
      </c>
      <c r="D1718" t="s">
        <v>22</v>
      </c>
      <c r="E1718" t="s">
        <v>111</v>
      </c>
      <c r="F1718" t="s">
        <v>24</v>
      </c>
      <c r="G1718" t="s">
        <v>26</v>
      </c>
      <c r="H1718" t="s">
        <v>26</v>
      </c>
      <c r="I1718" t="s">
        <v>25</v>
      </c>
      <c r="J1718">
        <v>42</v>
      </c>
      <c r="K1718">
        <v>0</v>
      </c>
      <c r="L1718">
        <v>0</v>
      </c>
      <c r="M1718">
        <v>0</v>
      </c>
      <c r="N1718">
        <v>15</v>
      </c>
      <c r="O1718">
        <v>4</v>
      </c>
      <c r="P1718">
        <v>4</v>
      </c>
      <c r="Q1718">
        <v>3</v>
      </c>
      <c r="R1718">
        <v>1</v>
      </c>
      <c r="S1718">
        <v>1</v>
      </c>
      <c r="T1718">
        <v>0</v>
      </c>
      <c r="U1718">
        <v>42</v>
      </c>
    </row>
    <row r="1719" spans="1:21" x14ac:dyDescent="0.25">
      <c r="A1719">
        <v>2025</v>
      </c>
      <c r="B1719">
        <v>10</v>
      </c>
      <c r="C1719" t="s">
        <v>21</v>
      </c>
      <c r="D1719" t="s">
        <v>22</v>
      </c>
      <c r="E1719" t="s">
        <v>111</v>
      </c>
      <c r="F1719" t="s">
        <v>29</v>
      </c>
      <c r="G1719" t="s">
        <v>26</v>
      </c>
      <c r="H1719" t="s">
        <v>26</v>
      </c>
      <c r="I1719" t="s">
        <v>25</v>
      </c>
      <c r="J1719">
        <v>1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</row>
    <row r="1720" spans="1:21" x14ac:dyDescent="0.25">
      <c r="A1720">
        <v>2025</v>
      </c>
      <c r="B1720">
        <v>10</v>
      </c>
      <c r="C1720" t="s">
        <v>30</v>
      </c>
      <c r="D1720" t="s">
        <v>22</v>
      </c>
      <c r="E1720" t="s">
        <v>31</v>
      </c>
      <c r="F1720" t="s">
        <v>24</v>
      </c>
      <c r="G1720" t="s">
        <v>25</v>
      </c>
      <c r="H1720" t="s">
        <v>25</v>
      </c>
      <c r="I1720" t="s">
        <v>25</v>
      </c>
      <c r="J1720">
        <v>40</v>
      </c>
      <c r="K1720">
        <v>0</v>
      </c>
      <c r="L1720">
        <v>0</v>
      </c>
      <c r="M1720">
        <v>0</v>
      </c>
      <c r="N1720">
        <v>2</v>
      </c>
      <c r="O1720">
        <v>2</v>
      </c>
      <c r="P1720">
        <v>2</v>
      </c>
      <c r="Q1720">
        <v>1</v>
      </c>
      <c r="R1720">
        <v>0</v>
      </c>
      <c r="S1720">
        <v>0</v>
      </c>
      <c r="T1720">
        <v>0</v>
      </c>
      <c r="U1720">
        <v>40</v>
      </c>
    </row>
    <row r="1721" spans="1:21" x14ac:dyDescent="0.25">
      <c r="A1721">
        <v>2025</v>
      </c>
      <c r="B1721">
        <v>10</v>
      </c>
      <c r="C1721" t="s">
        <v>33</v>
      </c>
      <c r="D1721" t="s">
        <v>22</v>
      </c>
      <c r="E1721" t="s">
        <v>32</v>
      </c>
      <c r="F1721" t="s">
        <v>24</v>
      </c>
      <c r="G1721" t="s">
        <v>25</v>
      </c>
      <c r="H1721" t="s">
        <v>25</v>
      </c>
      <c r="I1721" t="s">
        <v>25</v>
      </c>
      <c r="J1721">
        <v>561</v>
      </c>
      <c r="K1721">
        <v>0</v>
      </c>
      <c r="L1721">
        <v>0</v>
      </c>
      <c r="M1721">
        <v>0</v>
      </c>
      <c r="N1721">
        <v>284</v>
      </c>
      <c r="O1721">
        <v>249</v>
      </c>
      <c r="P1721">
        <v>233</v>
      </c>
      <c r="Q1721">
        <v>183</v>
      </c>
      <c r="R1721">
        <v>122</v>
      </c>
      <c r="S1721">
        <v>59</v>
      </c>
      <c r="T1721">
        <v>20</v>
      </c>
      <c r="U1721">
        <v>561</v>
      </c>
    </row>
    <row r="1722" spans="1:21" x14ac:dyDescent="0.25">
      <c r="A1722">
        <v>2025</v>
      </c>
      <c r="B1722">
        <v>10</v>
      </c>
      <c r="C1722" t="s">
        <v>33</v>
      </c>
      <c r="D1722" t="s">
        <v>22</v>
      </c>
      <c r="E1722" t="s">
        <v>34</v>
      </c>
      <c r="F1722" t="s">
        <v>24</v>
      </c>
      <c r="G1722" t="s">
        <v>25</v>
      </c>
      <c r="H1722" t="s">
        <v>26</v>
      </c>
      <c r="I1722" t="s">
        <v>26</v>
      </c>
      <c r="J1722">
        <v>163</v>
      </c>
      <c r="K1722">
        <v>0</v>
      </c>
      <c r="L1722">
        <v>0</v>
      </c>
      <c r="M1722">
        <v>0</v>
      </c>
      <c r="N1722">
        <v>103</v>
      </c>
      <c r="O1722">
        <v>99</v>
      </c>
      <c r="P1722">
        <v>95</v>
      </c>
      <c r="Q1722">
        <v>89</v>
      </c>
      <c r="R1722">
        <v>73</v>
      </c>
      <c r="S1722">
        <v>39</v>
      </c>
      <c r="T1722">
        <v>20</v>
      </c>
      <c r="U1722">
        <v>163</v>
      </c>
    </row>
    <row r="1723" spans="1:21" x14ac:dyDescent="0.25">
      <c r="A1723">
        <v>2025</v>
      </c>
      <c r="B1723">
        <v>10</v>
      </c>
      <c r="C1723" t="s">
        <v>33</v>
      </c>
      <c r="D1723" t="s">
        <v>22</v>
      </c>
      <c r="E1723" t="s">
        <v>23</v>
      </c>
      <c r="F1723" t="s">
        <v>24</v>
      </c>
      <c r="G1723" t="s">
        <v>25</v>
      </c>
      <c r="H1723" t="s">
        <v>25</v>
      </c>
      <c r="I1723" t="s">
        <v>25</v>
      </c>
      <c r="J1723">
        <v>167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167</v>
      </c>
    </row>
    <row r="1724" spans="1:21" x14ac:dyDescent="0.25">
      <c r="A1724">
        <v>2025</v>
      </c>
      <c r="B1724">
        <v>10</v>
      </c>
      <c r="C1724" t="s">
        <v>33</v>
      </c>
      <c r="D1724" t="s">
        <v>22</v>
      </c>
      <c r="E1724" t="s">
        <v>23</v>
      </c>
      <c r="F1724" t="s">
        <v>24</v>
      </c>
      <c r="G1724" t="s">
        <v>25</v>
      </c>
      <c r="H1724" t="s">
        <v>26</v>
      </c>
      <c r="I1724" t="s">
        <v>25</v>
      </c>
      <c r="J1724">
        <v>61</v>
      </c>
      <c r="K1724">
        <v>0</v>
      </c>
      <c r="L1724">
        <v>0</v>
      </c>
      <c r="M1724">
        <v>0</v>
      </c>
      <c r="N1724">
        <v>12</v>
      </c>
      <c r="O1724">
        <v>12</v>
      </c>
      <c r="P1724">
        <v>12</v>
      </c>
      <c r="Q1724">
        <v>10</v>
      </c>
      <c r="R1724">
        <v>8</v>
      </c>
      <c r="S1724">
        <v>5</v>
      </c>
      <c r="T1724">
        <v>2</v>
      </c>
      <c r="U1724">
        <v>61</v>
      </c>
    </row>
    <row r="1725" spans="1:21" x14ac:dyDescent="0.25">
      <c r="A1725">
        <v>2025</v>
      </c>
      <c r="B1725">
        <v>10</v>
      </c>
      <c r="C1725" t="s">
        <v>33</v>
      </c>
      <c r="D1725" t="s">
        <v>22</v>
      </c>
      <c r="E1725" t="s">
        <v>35</v>
      </c>
      <c r="F1725" t="s">
        <v>24</v>
      </c>
      <c r="G1725" t="s">
        <v>25</v>
      </c>
      <c r="H1725" t="s">
        <v>26</v>
      </c>
      <c r="I1725" t="s">
        <v>26</v>
      </c>
      <c r="J1725">
        <v>51</v>
      </c>
      <c r="K1725">
        <v>0</v>
      </c>
      <c r="L1725">
        <v>0</v>
      </c>
      <c r="M1725">
        <v>0</v>
      </c>
      <c r="N1725">
        <v>48</v>
      </c>
      <c r="O1725">
        <v>48</v>
      </c>
      <c r="P1725">
        <v>47</v>
      </c>
      <c r="Q1725">
        <v>44</v>
      </c>
      <c r="R1725">
        <v>39</v>
      </c>
      <c r="S1725">
        <v>26</v>
      </c>
      <c r="T1725">
        <v>12</v>
      </c>
      <c r="U1725">
        <v>51</v>
      </c>
    </row>
    <row r="1726" spans="1:21" x14ac:dyDescent="0.25">
      <c r="A1726">
        <v>2025</v>
      </c>
      <c r="B1726">
        <v>10</v>
      </c>
      <c r="C1726" t="s">
        <v>33</v>
      </c>
      <c r="D1726" t="s">
        <v>22</v>
      </c>
      <c r="E1726" t="s">
        <v>36</v>
      </c>
      <c r="F1726" t="s">
        <v>28</v>
      </c>
      <c r="G1726" t="s">
        <v>25</v>
      </c>
      <c r="H1726" t="s">
        <v>26</v>
      </c>
      <c r="I1726" t="s">
        <v>25</v>
      </c>
      <c r="J1726">
        <v>1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1</v>
      </c>
    </row>
    <row r="1727" spans="1:21" x14ac:dyDescent="0.25">
      <c r="A1727">
        <v>2025</v>
      </c>
      <c r="B1727">
        <v>10</v>
      </c>
      <c r="C1727" t="s">
        <v>33</v>
      </c>
      <c r="D1727" t="s">
        <v>22</v>
      </c>
      <c r="E1727" t="s">
        <v>36</v>
      </c>
      <c r="F1727" t="s">
        <v>24</v>
      </c>
      <c r="G1727" t="s">
        <v>25</v>
      </c>
      <c r="H1727" t="s">
        <v>26</v>
      </c>
      <c r="I1727" t="s">
        <v>25</v>
      </c>
      <c r="J1727">
        <v>332</v>
      </c>
      <c r="K1727">
        <v>0</v>
      </c>
      <c r="L1727">
        <v>0</v>
      </c>
      <c r="M1727">
        <v>0</v>
      </c>
      <c r="N1727">
        <v>45</v>
      </c>
      <c r="O1727">
        <v>36</v>
      </c>
      <c r="P1727">
        <v>34</v>
      </c>
      <c r="Q1727">
        <v>27</v>
      </c>
      <c r="R1727">
        <v>18</v>
      </c>
      <c r="S1727">
        <v>8</v>
      </c>
      <c r="T1727">
        <v>1</v>
      </c>
      <c r="U1727">
        <v>332</v>
      </c>
    </row>
    <row r="1728" spans="1:21" x14ac:dyDescent="0.25">
      <c r="A1728">
        <v>2025</v>
      </c>
      <c r="B1728">
        <v>10</v>
      </c>
      <c r="C1728" t="s">
        <v>37</v>
      </c>
      <c r="D1728" t="s">
        <v>22</v>
      </c>
      <c r="E1728" t="s">
        <v>31</v>
      </c>
      <c r="F1728" t="s">
        <v>24</v>
      </c>
      <c r="G1728" t="s">
        <v>25</v>
      </c>
      <c r="H1728" t="s">
        <v>25</v>
      </c>
      <c r="I1728" t="s">
        <v>25</v>
      </c>
      <c r="J1728">
        <v>1</v>
      </c>
      <c r="K1728">
        <v>0</v>
      </c>
      <c r="L1728">
        <v>0</v>
      </c>
      <c r="M1728">
        <v>0</v>
      </c>
      <c r="N1728">
        <v>1</v>
      </c>
      <c r="O1728">
        <v>1</v>
      </c>
      <c r="P1728">
        <v>1</v>
      </c>
      <c r="Q1728">
        <v>0</v>
      </c>
      <c r="R1728">
        <v>0</v>
      </c>
      <c r="S1728">
        <v>0</v>
      </c>
      <c r="T1728">
        <v>0</v>
      </c>
      <c r="U1728">
        <v>1</v>
      </c>
    </row>
    <row r="1729" spans="1:21" x14ac:dyDescent="0.25">
      <c r="A1729">
        <v>2025</v>
      </c>
      <c r="B1729">
        <v>10</v>
      </c>
      <c r="C1729" t="s">
        <v>37</v>
      </c>
      <c r="D1729" t="s">
        <v>22</v>
      </c>
      <c r="E1729" t="s">
        <v>32</v>
      </c>
      <c r="F1729" t="s">
        <v>28</v>
      </c>
      <c r="G1729" t="s">
        <v>25</v>
      </c>
      <c r="H1729" t="s">
        <v>26</v>
      </c>
      <c r="I1729" t="s">
        <v>25</v>
      </c>
      <c r="J1729">
        <v>6</v>
      </c>
      <c r="K1729">
        <v>0</v>
      </c>
      <c r="L1729">
        <v>0</v>
      </c>
      <c r="M1729">
        <v>0</v>
      </c>
      <c r="N1729">
        <v>6</v>
      </c>
      <c r="O1729">
        <v>6</v>
      </c>
      <c r="P1729">
        <v>6</v>
      </c>
      <c r="Q1729">
        <v>5</v>
      </c>
      <c r="R1729">
        <v>3</v>
      </c>
      <c r="S1729">
        <v>2</v>
      </c>
      <c r="T1729">
        <v>0</v>
      </c>
      <c r="U1729">
        <v>6</v>
      </c>
    </row>
    <row r="1730" spans="1:21" x14ac:dyDescent="0.25">
      <c r="A1730">
        <v>2025</v>
      </c>
      <c r="B1730">
        <v>10</v>
      </c>
      <c r="C1730" t="s">
        <v>37</v>
      </c>
      <c r="D1730" t="s">
        <v>22</v>
      </c>
      <c r="E1730" t="s">
        <v>32</v>
      </c>
      <c r="F1730" t="s">
        <v>24</v>
      </c>
      <c r="G1730" t="s">
        <v>25</v>
      </c>
      <c r="H1730" t="s">
        <v>26</v>
      </c>
      <c r="I1730" t="s">
        <v>25</v>
      </c>
      <c r="J1730">
        <v>1877</v>
      </c>
      <c r="K1730">
        <v>23</v>
      </c>
      <c r="L1730">
        <v>64</v>
      </c>
      <c r="M1730">
        <v>87</v>
      </c>
      <c r="N1730">
        <v>1180</v>
      </c>
      <c r="O1730">
        <v>998</v>
      </c>
      <c r="P1730">
        <v>923</v>
      </c>
      <c r="Q1730">
        <v>714</v>
      </c>
      <c r="R1730">
        <v>566</v>
      </c>
      <c r="S1730">
        <v>311</v>
      </c>
      <c r="T1730">
        <v>109</v>
      </c>
      <c r="U1730">
        <v>1819</v>
      </c>
    </row>
    <row r="1731" spans="1:21" x14ac:dyDescent="0.25">
      <c r="A1731">
        <v>2025</v>
      </c>
      <c r="B1731">
        <v>10</v>
      </c>
      <c r="C1731" t="s">
        <v>37</v>
      </c>
      <c r="D1731" t="s">
        <v>22</v>
      </c>
      <c r="E1731" t="s">
        <v>38</v>
      </c>
      <c r="F1731" t="s">
        <v>28</v>
      </c>
      <c r="G1731" t="s">
        <v>25</v>
      </c>
      <c r="H1731" t="s">
        <v>26</v>
      </c>
      <c r="I1731" t="s">
        <v>25</v>
      </c>
      <c r="J1731">
        <v>1</v>
      </c>
      <c r="K1731">
        <v>0</v>
      </c>
      <c r="L1731">
        <v>0</v>
      </c>
      <c r="M1731">
        <v>0</v>
      </c>
      <c r="N1731">
        <v>1</v>
      </c>
      <c r="O1731">
        <v>1</v>
      </c>
      <c r="P1731">
        <v>1</v>
      </c>
      <c r="Q1731">
        <v>1</v>
      </c>
      <c r="R1731">
        <v>1</v>
      </c>
      <c r="S1731">
        <v>1</v>
      </c>
      <c r="T1731">
        <v>0</v>
      </c>
      <c r="U1731">
        <v>1</v>
      </c>
    </row>
    <row r="1732" spans="1:21" x14ac:dyDescent="0.25">
      <c r="A1732">
        <v>2025</v>
      </c>
      <c r="B1732">
        <v>10</v>
      </c>
      <c r="C1732" t="s">
        <v>37</v>
      </c>
      <c r="D1732" t="s">
        <v>22</v>
      </c>
      <c r="E1732" t="s">
        <v>38</v>
      </c>
      <c r="F1732" t="s">
        <v>24</v>
      </c>
      <c r="G1732" t="s">
        <v>25</v>
      </c>
      <c r="H1732" t="s">
        <v>26</v>
      </c>
      <c r="I1732" t="s">
        <v>25</v>
      </c>
      <c r="J1732">
        <v>61</v>
      </c>
      <c r="K1732">
        <v>2</v>
      </c>
      <c r="L1732">
        <v>0</v>
      </c>
      <c r="M1732">
        <v>2</v>
      </c>
      <c r="N1732">
        <v>48</v>
      </c>
      <c r="O1732">
        <v>43</v>
      </c>
      <c r="P1732">
        <v>37</v>
      </c>
      <c r="Q1732">
        <v>24</v>
      </c>
      <c r="R1732">
        <v>12</v>
      </c>
      <c r="S1732">
        <v>3</v>
      </c>
      <c r="T1732">
        <v>1</v>
      </c>
      <c r="U1732">
        <v>59</v>
      </c>
    </row>
    <row r="1733" spans="1:21" x14ac:dyDescent="0.25">
      <c r="A1733">
        <v>2025</v>
      </c>
      <c r="B1733">
        <v>10</v>
      </c>
      <c r="C1733" t="s">
        <v>37</v>
      </c>
      <c r="D1733" t="s">
        <v>22</v>
      </c>
      <c r="E1733" t="s">
        <v>34</v>
      </c>
      <c r="F1733" t="s">
        <v>24</v>
      </c>
      <c r="G1733" t="s">
        <v>25</v>
      </c>
      <c r="H1733" t="s">
        <v>26</v>
      </c>
      <c r="I1733" t="s">
        <v>26</v>
      </c>
      <c r="J1733">
        <v>352</v>
      </c>
      <c r="K1733">
        <v>7</v>
      </c>
      <c r="L1733">
        <v>5</v>
      </c>
      <c r="M1733">
        <v>12</v>
      </c>
      <c r="N1733">
        <v>204</v>
      </c>
      <c r="O1733">
        <v>181</v>
      </c>
      <c r="P1733">
        <v>168</v>
      </c>
      <c r="Q1733">
        <v>137</v>
      </c>
      <c r="R1733">
        <v>110</v>
      </c>
      <c r="S1733">
        <v>69</v>
      </c>
      <c r="T1733">
        <v>22</v>
      </c>
      <c r="U1733">
        <v>342</v>
      </c>
    </row>
    <row r="1734" spans="1:21" x14ac:dyDescent="0.25">
      <c r="A1734">
        <v>2025</v>
      </c>
      <c r="B1734">
        <v>10</v>
      </c>
      <c r="C1734" t="s">
        <v>37</v>
      </c>
      <c r="D1734" t="s">
        <v>22</v>
      </c>
      <c r="E1734" t="s">
        <v>34</v>
      </c>
      <c r="F1734" t="s">
        <v>29</v>
      </c>
      <c r="G1734" t="s">
        <v>25</v>
      </c>
      <c r="H1734" t="s">
        <v>26</v>
      </c>
      <c r="I1734" t="s">
        <v>26</v>
      </c>
      <c r="J1734">
        <v>1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0</v>
      </c>
    </row>
    <row r="1735" spans="1:21" x14ac:dyDescent="0.25">
      <c r="A1735">
        <v>2025</v>
      </c>
      <c r="B1735">
        <v>10</v>
      </c>
      <c r="C1735" t="s">
        <v>37</v>
      </c>
      <c r="D1735" t="s">
        <v>22</v>
      </c>
      <c r="E1735" t="s">
        <v>23</v>
      </c>
      <c r="F1735" t="s">
        <v>28</v>
      </c>
      <c r="G1735" t="s">
        <v>25</v>
      </c>
      <c r="H1735" t="s">
        <v>26</v>
      </c>
      <c r="I1735" t="s">
        <v>25</v>
      </c>
      <c r="J1735">
        <v>4788</v>
      </c>
      <c r="K1735">
        <v>193</v>
      </c>
      <c r="L1735">
        <v>572</v>
      </c>
      <c r="M1735">
        <v>765</v>
      </c>
      <c r="N1735">
        <v>3238</v>
      </c>
      <c r="O1735">
        <v>2912</v>
      </c>
      <c r="P1735">
        <v>2778</v>
      </c>
      <c r="Q1735">
        <v>2305</v>
      </c>
      <c r="R1735">
        <v>1861</v>
      </c>
      <c r="S1735">
        <v>952</v>
      </c>
      <c r="T1735">
        <v>240</v>
      </c>
      <c r="U1735">
        <v>4433</v>
      </c>
    </row>
    <row r="1736" spans="1:21" x14ac:dyDescent="0.25">
      <c r="A1736">
        <v>2025</v>
      </c>
      <c r="B1736">
        <v>10</v>
      </c>
      <c r="C1736" t="s">
        <v>37</v>
      </c>
      <c r="D1736" t="s">
        <v>22</v>
      </c>
      <c r="E1736" t="s">
        <v>23</v>
      </c>
      <c r="F1736" t="s">
        <v>24</v>
      </c>
      <c r="G1736" t="s">
        <v>25</v>
      </c>
      <c r="H1736" t="s">
        <v>26</v>
      </c>
      <c r="I1736" t="s">
        <v>25</v>
      </c>
      <c r="J1736">
        <v>2087</v>
      </c>
      <c r="K1736">
        <v>29</v>
      </c>
      <c r="L1736">
        <v>90</v>
      </c>
      <c r="M1736">
        <v>119</v>
      </c>
      <c r="N1736">
        <v>1400</v>
      </c>
      <c r="O1736">
        <v>1192</v>
      </c>
      <c r="P1736">
        <v>1119</v>
      </c>
      <c r="Q1736">
        <v>876</v>
      </c>
      <c r="R1736">
        <v>662</v>
      </c>
      <c r="S1736">
        <v>317</v>
      </c>
      <c r="T1736">
        <v>94</v>
      </c>
      <c r="U1736">
        <v>2014</v>
      </c>
    </row>
    <row r="1737" spans="1:21" x14ac:dyDescent="0.25">
      <c r="A1737">
        <v>2025</v>
      </c>
      <c r="B1737">
        <v>10</v>
      </c>
      <c r="C1737" t="s">
        <v>37</v>
      </c>
      <c r="D1737" t="s">
        <v>22</v>
      </c>
      <c r="E1737" t="s">
        <v>23</v>
      </c>
      <c r="F1737" t="s">
        <v>29</v>
      </c>
      <c r="G1737" t="s">
        <v>25</v>
      </c>
      <c r="H1737" t="s">
        <v>26</v>
      </c>
      <c r="I1737" t="s">
        <v>25</v>
      </c>
      <c r="J1737">
        <v>1</v>
      </c>
      <c r="K1737">
        <v>1</v>
      </c>
      <c r="L1737">
        <v>0</v>
      </c>
      <c r="M1737">
        <v>1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</row>
    <row r="1738" spans="1:21" x14ac:dyDescent="0.25">
      <c r="A1738">
        <v>2025</v>
      </c>
      <c r="B1738">
        <v>10</v>
      </c>
      <c r="C1738" t="s">
        <v>37</v>
      </c>
      <c r="D1738" t="s">
        <v>22</v>
      </c>
      <c r="E1738" t="s">
        <v>39</v>
      </c>
      <c r="F1738" t="s">
        <v>28</v>
      </c>
      <c r="G1738" t="s">
        <v>26</v>
      </c>
      <c r="H1738" t="s">
        <v>26</v>
      </c>
      <c r="I1738" t="s">
        <v>25</v>
      </c>
      <c r="J1738">
        <v>15703</v>
      </c>
      <c r="K1738">
        <v>396</v>
      </c>
      <c r="L1738">
        <v>1410</v>
      </c>
      <c r="M1738">
        <v>1806</v>
      </c>
      <c r="N1738">
        <v>10531</v>
      </c>
      <c r="O1738">
        <v>9497</v>
      </c>
      <c r="P1738">
        <v>9052</v>
      </c>
      <c r="Q1738">
        <v>7603</v>
      </c>
      <c r="R1738">
        <v>6177</v>
      </c>
      <c r="S1738">
        <v>3460</v>
      </c>
      <c r="T1738">
        <v>1059</v>
      </c>
      <c r="U1738">
        <v>14750</v>
      </c>
    </row>
    <row r="1739" spans="1:21" x14ac:dyDescent="0.25">
      <c r="A1739">
        <v>2025</v>
      </c>
      <c r="B1739">
        <v>10</v>
      </c>
      <c r="C1739" t="s">
        <v>37</v>
      </c>
      <c r="D1739" t="s">
        <v>22</v>
      </c>
      <c r="E1739" t="s">
        <v>39</v>
      </c>
      <c r="F1739" t="s">
        <v>24</v>
      </c>
      <c r="G1739" t="s">
        <v>26</v>
      </c>
      <c r="H1739" t="s">
        <v>26</v>
      </c>
      <c r="I1739" t="s">
        <v>25</v>
      </c>
      <c r="J1739">
        <v>3429</v>
      </c>
      <c r="K1739">
        <v>18</v>
      </c>
      <c r="L1739">
        <v>212</v>
      </c>
      <c r="M1739">
        <v>230</v>
      </c>
      <c r="N1739">
        <v>2403</v>
      </c>
      <c r="O1739">
        <v>2123</v>
      </c>
      <c r="P1739">
        <v>2027</v>
      </c>
      <c r="Q1739">
        <v>1672</v>
      </c>
      <c r="R1739">
        <v>1332</v>
      </c>
      <c r="S1739">
        <v>663</v>
      </c>
      <c r="T1739">
        <v>195</v>
      </c>
      <c r="U1739">
        <v>3333</v>
      </c>
    </row>
    <row r="1740" spans="1:21" x14ac:dyDescent="0.25">
      <c r="A1740">
        <v>2025</v>
      </c>
      <c r="B1740">
        <v>10</v>
      </c>
      <c r="C1740" t="s">
        <v>37</v>
      </c>
      <c r="D1740" t="s">
        <v>22</v>
      </c>
      <c r="E1740" t="s">
        <v>39</v>
      </c>
      <c r="F1740" t="s">
        <v>29</v>
      </c>
      <c r="G1740" t="s">
        <v>26</v>
      </c>
      <c r="H1740" t="s">
        <v>26</v>
      </c>
      <c r="I1740" t="s">
        <v>25</v>
      </c>
      <c r="J1740">
        <v>1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</row>
    <row r="1741" spans="1:21" x14ac:dyDescent="0.25">
      <c r="A1741">
        <v>2025</v>
      </c>
      <c r="B1741">
        <v>10</v>
      </c>
      <c r="C1741" t="s">
        <v>37</v>
      </c>
      <c r="D1741" t="s">
        <v>22</v>
      </c>
      <c r="E1741" t="s">
        <v>40</v>
      </c>
      <c r="F1741" t="s">
        <v>24</v>
      </c>
      <c r="G1741" t="s">
        <v>25</v>
      </c>
      <c r="H1741" t="s">
        <v>26</v>
      </c>
      <c r="I1741" t="s">
        <v>25</v>
      </c>
      <c r="J1741">
        <v>340</v>
      </c>
      <c r="K1741">
        <v>2</v>
      </c>
      <c r="L1741">
        <v>0</v>
      </c>
      <c r="M1741">
        <v>2</v>
      </c>
      <c r="N1741">
        <v>9</v>
      </c>
      <c r="O1741">
        <v>6</v>
      </c>
      <c r="P1741">
        <v>5</v>
      </c>
      <c r="Q1741">
        <v>2</v>
      </c>
      <c r="R1741">
        <v>0</v>
      </c>
      <c r="S1741">
        <v>0</v>
      </c>
      <c r="T1741">
        <v>0</v>
      </c>
      <c r="U1741">
        <v>338</v>
      </c>
    </row>
    <row r="1742" spans="1:21" x14ac:dyDescent="0.25">
      <c r="A1742">
        <v>2025</v>
      </c>
      <c r="B1742">
        <v>10</v>
      </c>
      <c r="C1742" t="s">
        <v>37</v>
      </c>
      <c r="D1742" t="s">
        <v>22</v>
      </c>
      <c r="E1742" t="s">
        <v>35</v>
      </c>
      <c r="F1742" t="s">
        <v>28</v>
      </c>
      <c r="G1742" t="s">
        <v>25</v>
      </c>
      <c r="H1742" t="s">
        <v>26</v>
      </c>
      <c r="I1742" t="s">
        <v>26</v>
      </c>
      <c r="J1742">
        <v>29</v>
      </c>
      <c r="K1742">
        <v>0</v>
      </c>
      <c r="L1742">
        <v>5</v>
      </c>
      <c r="M1742">
        <v>5</v>
      </c>
      <c r="N1742">
        <v>21</v>
      </c>
      <c r="O1742">
        <v>14</v>
      </c>
      <c r="P1742">
        <v>14</v>
      </c>
      <c r="Q1742">
        <v>12</v>
      </c>
      <c r="R1742">
        <v>9</v>
      </c>
      <c r="S1742">
        <v>6</v>
      </c>
      <c r="T1742">
        <v>2</v>
      </c>
      <c r="U1742">
        <v>26</v>
      </c>
    </row>
    <row r="1743" spans="1:21" x14ac:dyDescent="0.25">
      <c r="A1743">
        <v>2025</v>
      </c>
      <c r="B1743">
        <v>10</v>
      </c>
      <c r="C1743" t="s">
        <v>37</v>
      </c>
      <c r="D1743" t="s">
        <v>22</v>
      </c>
      <c r="E1743" t="s">
        <v>35</v>
      </c>
      <c r="F1743" t="s">
        <v>24</v>
      </c>
      <c r="G1743" t="s">
        <v>25</v>
      </c>
      <c r="H1743" t="s">
        <v>26</v>
      </c>
      <c r="I1743" t="s">
        <v>26</v>
      </c>
      <c r="J1743">
        <v>750</v>
      </c>
      <c r="K1743">
        <v>11</v>
      </c>
      <c r="L1743">
        <v>31</v>
      </c>
      <c r="M1743">
        <v>42</v>
      </c>
      <c r="N1743">
        <v>474</v>
      </c>
      <c r="O1743">
        <v>436</v>
      </c>
      <c r="P1743">
        <v>420</v>
      </c>
      <c r="Q1743">
        <v>368</v>
      </c>
      <c r="R1743">
        <v>327</v>
      </c>
      <c r="S1743">
        <v>239</v>
      </c>
      <c r="T1743">
        <v>123</v>
      </c>
      <c r="U1743">
        <v>729</v>
      </c>
    </row>
    <row r="1744" spans="1:21" x14ac:dyDescent="0.25">
      <c r="A1744">
        <v>2025</v>
      </c>
      <c r="B1744">
        <v>10</v>
      </c>
      <c r="C1744" t="s">
        <v>37</v>
      </c>
      <c r="D1744" t="s">
        <v>22</v>
      </c>
      <c r="E1744" t="s">
        <v>111</v>
      </c>
      <c r="F1744" t="s">
        <v>24</v>
      </c>
      <c r="G1744" t="s">
        <v>26</v>
      </c>
      <c r="H1744" t="s">
        <v>26</v>
      </c>
      <c r="I1744" t="s">
        <v>25</v>
      </c>
      <c r="J1744">
        <v>2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2</v>
      </c>
    </row>
    <row r="1745" spans="1:21" x14ac:dyDescent="0.25">
      <c r="A1745">
        <v>2025</v>
      </c>
      <c r="B1745">
        <v>10</v>
      </c>
      <c r="C1745" t="s">
        <v>37</v>
      </c>
      <c r="D1745" t="s">
        <v>22</v>
      </c>
      <c r="E1745" t="s">
        <v>36</v>
      </c>
      <c r="F1745" t="s">
        <v>28</v>
      </c>
      <c r="G1745" t="s">
        <v>25</v>
      </c>
      <c r="H1745" t="s">
        <v>26</v>
      </c>
      <c r="I1745" t="s">
        <v>25</v>
      </c>
      <c r="J1745">
        <v>55</v>
      </c>
      <c r="K1745">
        <v>1</v>
      </c>
      <c r="L1745">
        <v>1</v>
      </c>
      <c r="M1745">
        <v>2</v>
      </c>
      <c r="N1745">
        <v>28</v>
      </c>
      <c r="O1745">
        <v>22</v>
      </c>
      <c r="P1745">
        <v>21</v>
      </c>
      <c r="Q1745">
        <v>16</v>
      </c>
      <c r="R1745">
        <v>13</v>
      </c>
      <c r="S1745">
        <v>3</v>
      </c>
      <c r="T1745">
        <v>0</v>
      </c>
      <c r="U1745">
        <v>54</v>
      </c>
    </row>
    <row r="1746" spans="1:21" x14ac:dyDescent="0.25">
      <c r="A1746">
        <v>2025</v>
      </c>
      <c r="B1746">
        <v>10</v>
      </c>
      <c r="C1746" t="s">
        <v>37</v>
      </c>
      <c r="D1746" t="s">
        <v>22</v>
      </c>
      <c r="E1746" t="s">
        <v>36</v>
      </c>
      <c r="F1746" t="s">
        <v>24</v>
      </c>
      <c r="G1746" t="s">
        <v>25</v>
      </c>
      <c r="H1746" t="s">
        <v>26</v>
      </c>
      <c r="I1746" t="s">
        <v>25</v>
      </c>
      <c r="J1746">
        <v>436</v>
      </c>
      <c r="K1746">
        <v>5</v>
      </c>
      <c r="L1746">
        <v>9</v>
      </c>
      <c r="M1746">
        <v>14</v>
      </c>
      <c r="N1746">
        <v>217</v>
      </c>
      <c r="O1746">
        <v>180</v>
      </c>
      <c r="P1746">
        <v>166</v>
      </c>
      <c r="Q1746">
        <v>123</v>
      </c>
      <c r="R1746">
        <v>90</v>
      </c>
      <c r="S1746">
        <v>32</v>
      </c>
      <c r="T1746">
        <v>8</v>
      </c>
      <c r="U1746">
        <v>429</v>
      </c>
    </row>
    <row r="1747" spans="1:21" x14ac:dyDescent="0.25">
      <c r="A1747">
        <v>2025</v>
      </c>
      <c r="B1747">
        <v>10</v>
      </c>
      <c r="C1747" t="s">
        <v>37</v>
      </c>
      <c r="D1747" t="s">
        <v>22</v>
      </c>
      <c r="E1747" t="s">
        <v>36</v>
      </c>
      <c r="F1747" t="s">
        <v>29</v>
      </c>
      <c r="G1747" t="s">
        <v>25</v>
      </c>
      <c r="H1747" t="s">
        <v>26</v>
      </c>
      <c r="I1747" t="s">
        <v>25</v>
      </c>
      <c r="J1747">
        <v>1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</row>
    <row r="1748" spans="1:21" x14ac:dyDescent="0.25">
      <c r="A1748">
        <v>2025</v>
      </c>
      <c r="B1748">
        <v>10</v>
      </c>
      <c r="C1748" t="s">
        <v>37</v>
      </c>
      <c r="D1748" t="s">
        <v>22</v>
      </c>
      <c r="E1748" t="s">
        <v>41</v>
      </c>
      <c r="F1748" t="s">
        <v>24</v>
      </c>
      <c r="G1748" t="s">
        <v>26</v>
      </c>
      <c r="H1748" t="s">
        <v>26</v>
      </c>
      <c r="I1748" t="s">
        <v>25</v>
      </c>
      <c r="J1748">
        <v>335</v>
      </c>
      <c r="K1748">
        <v>0</v>
      </c>
      <c r="L1748">
        <v>6</v>
      </c>
      <c r="M1748">
        <v>6</v>
      </c>
      <c r="N1748">
        <v>210</v>
      </c>
      <c r="O1748">
        <v>180</v>
      </c>
      <c r="P1748">
        <v>165</v>
      </c>
      <c r="Q1748">
        <v>131</v>
      </c>
      <c r="R1748">
        <v>99</v>
      </c>
      <c r="S1748">
        <v>44</v>
      </c>
      <c r="T1748">
        <v>9</v>
      </c>
      <c r="U1748">
        <v>332</v>
      </c>
    </row>
    <row r="1749" spans="1:21" x14ac:dyDescent="0.25">
      <c r="A1749">
        <v>2025</v>
      </c>
      <c r="B1749">
        <v>10</v>
      </c>
      <c r="C1749" t="s">
        <v>37</v>
      </c>
      <c r="D1749" t="s">
        <v>22</v>
      </c>
      <c r="E1749" t="s">
        <v>42</v>
      </c>
      <c r="F1749" t="s">
        <v>24</v>
      </c>
      <c r="G1749" t="s">
        <v>26</v>
      </c>
      <c r="H1749" t="s">
        <v>26</v>
      </c>
      <c r="I1749" t="s">
        <v>25</v>
      </c>
      <c r="J1749">
        <v>424</v>
      </c>
      <c r="K1749">
        <v>1</v>
      </c>
      <c r="L1749">
        <v>2</v>
      </c>
      <c r="M1749">
        <v>3</v>
      </c>
      <c r="N1749">
        <v>308</v>
      </c>
      <c r="O1749">
        <v>262</v>
      </c>
      <c r="P1749">
        <v>240</v>
      </c>
      <c r="Q1749">
        <v>179</v>
      </c>
      <c r="R1749">
        <v>148</v>
      </c>
      <c r="S1749">
        <v>76</v>
      </c>
      <c r="T1749">
        <v>12</v>
      </c>
      <c r="U1749">
        <v>422</v>
      </c>
    </row>
    <row r="1750" spans="1:21" x14ac:dyDescent="0.25">
      <c r="A1750">
        <v>2025</v>
      </c>
      <c r="B1750">
        <v>10</v>
      </c>
      <c r="C1750" t="s">
        <v>43</v>
      </c>
      <c r="D1750" t="s">
        <v>22</v>
      </c>
      <c r="E1750" t="s">
        <v>32</v>
      </c>
      <c r="F1750" t="s">
        <v>24</v>
      </c>
      <c r="G1750" t="s">
        <v>25</v>
      </c>
      <c r="H1750" t="s">
        <v>25</v>
      </c>
      <c r="I1750" t="s">
        <v>25</v>
      </c>
      <c r="J1750">
        <v>372</v>
      </c>
      <c r="K1750">
        <v>10</v>
      </c>
      <c r="L1750">
        <v>0</v>
      </c>
      <c r="M1750">
        <v>10</v>
      </c>
      <c r="N1750">
        <v>16</v>
      </c>
      <c r="O1750">
        <v>14</v>
      </c>
      <c r="P1750">
        <v>13</v>
      </c>
      <c r="Q1750">
        <v>13</v>
      </c>
      <c r="R1750">
        <v>13</v>
      </c>
      <c r="S1750">
        <v>9</v>
      </c>
      <c r="T1750">
        <v>3</v>
      </c>
      <c r="U1750">
        <v>362</v>
      </c>
    </row>
    <row r="1751" spans="1:21" x14ac:dyDescent="0.25">
      <c r="A1751">
        <v>2025</v>
      </c>
      <c r="B1751">
        <v>10</v>
      </c>
      <c r="C1751" t="s">
        <v>43</v>
      </c>
      <c r="D1751" t="s">
        <v>22</v>
      </c>
      <c r="E1751" t="s">
        <v>34</v>
      </c>
      <c r="F1751" t="s">
        <v>24</v>
      </c>
      <c r="G1751" t="s">
        <v>25</v>
      </c>
      <c r="H1751" t="s">
        <v>26</v>
      </c>
      <c r="I1751" t="s">
        <v>26</v>
      </c>
      <c r="J1751">
        <v>63</v>
      </c>
      <c r="K1751">
        <v>4</v>
      </c>
      <c r="L1751">
        <v>0</v>
      </c>
      <c r="M1751">
        <v>4</v>
      </c>
      <c r="N1751">
        <v>18</v>
      </c>
      <c r="O1751">
        <v>15</v>
      </c>
      <c r="P1751">
        <v>15</v>
      </c>
      <c r="Q1751">
        <v>13</v>
      </c>
      <c r="R1751">
        <v>12</v>
      </c>
      <c r="S1751">
        <v>8</v>
      </c>
      <c r="T1751">
        <v>5</v>
      </c>
      <c r="U1751">
        <v>59</v>
      </c>
    </row>
    <row r="1752" spans="1:21" x14ac:dyDescent="0.25">
      <c r="A1752">
        <v>2025</v>
      </c>
      <c r="B1752">
        <v>10</v>
      </c>
      <c r="C1752" t="s">
        <v>43</v>
      </c>
      <c r="D1752" t="s">
        <v>22</v>
      </c>
      <c r="E1752" t="s">
        <v>23</v>
      </c>
      <c r="F1752" t="s">
        <v>24</v>
      </c>
      <c r="G1752" t="s">
        <v>25</v>
      </c>
      <c r="H1752" t="s">
        <v>26</v>
      </c>
      <c r="I1752" t="s">
        <v>25</v>
      </c>
      <c r="J1752">
        <v>275</v>
      </c>
      <c r="K1752">
        <v>1</v>
      </c>
      <c r="L1752">
        <v>0</v>
      </c>
      <c r="M1752">
        <v>1</v>
      </c>
      <c r="N1752">
        <v>52</v>
      </c>
      <c r="O1752">
        <v>25</v>
      </c>
      <c r="P1752">
        <v>17</v>
      </c>
      <c r="Q1752">
        <v>9</v>
      </c>
      <c r="R1752">
        <v>2</v>
      </c>
      <c r="S1752">
        <v>0</v>
      </c>
      <c r="T1752">
        <v>0</v>
      </c>
      <c r="U1752">
        <v>274</v>
      </c>
    </row>
    <row r="1753" spans="1:21" x14ac:dyDescent="0.25">
      <c r="A1753">
        <v>2025</v>
      </c>
      <c r="B1753">
        <v>10</v>
      </c>
      <c r="C1753" t="s">
        <v>43</v>
      </c>
      <c r="D1753" t="s">
        <v>22</v>
      </c>
      <c r="E1753" t="s">
        <v>35</v>
      </c>
      <c r="F1753" t="s">
        <v>24</v>
      </c>
      <c r="G1753" t="s">
        <v>25</v>
      </c>
      <c r="H1753" t="s">
        <v>26</v>
      </c>
      <c r="I1753" t="s">
        <v>26</v>
      </c>
      <c r="J1753">
        <v>18</v>
      </c>
      <c r="K1753">
        <v>2</v>
      </c>
      <c r="L1753">
        <v>0</v>
      </c>
      <c r="M1753">
        <v>2</v>
      </c>
      <c r="N1753">
        <v>1</v>
      </c>
      <c r="O1753">
        <v>1</v>
      </c>
      <c r="P1753">
        <v>1</v>
      </c>
      <c r="Q1753">
        <v>1</v>
      </c>
      <c r="R1753">
        <v>1</v>
      </c>
      <c r="S1753">
        <v>1</v>
      </c>
      <c r="T1753">
        <v>1</v>
      </c>
      <c r="U1753">
        <v>16</v>
      </c>
    </row>
    <row r="1754" spans="1:21" x14ac:dyDescent="0.25">
      <c r="A1754">
        <v>2025</v>
      </c>
      <c r="B1754">
        <v>10</v>
      </c>
      <c r="C1754" t="s">
        <v>44</v>
      </c>
      <c r="D1754" t="s">
        <v>45</v>
      </c>
      <c r="E1754" t="s">
        <v>46</v>
      </c>
      <c r="F1754" t="s">
        <v>24</v>
      </c>
      <c r="G1754" t="s">
        <v>25</v>
      </c>
      <c r="H1754" t="s">
        <v>26</v>
      </c>
      <c r="I1754" t="s">
        <v>26</v>
      </c>
      <c r="J1754">
        <v>27</v>
      </c>
      <c r="K1754">
        <v>0</v>
      </c>
      <c r="L1754">
        <v>3</v>
      </c>
      <c r="M1754">
        <v>3</v>
      </c>
      <c r="N1754">
        <v>7</v>
      </c>
      <c r="O1754">
        <v>7</v>
      </c>
      <c r="P1754">
        <v>6</v>
      </c>
      <c r="Q1754">
        <v>6</v>
      </c>
      <c r="R1754">
        <v>5</v>
      </c>
      <c r="S1754">
        <v>5</v>
      </c>
      <c r="T1754">
        <v>1</v>
      </c>
      <c r="U1754">
        <v>25</v>
      </c>
    </row>
    <row r="1755" spans="1:21" x14ac:dyDescent="0.25">
      <c r="A1755">
        <v>2025</v>
      </c>
      <c r="B1755">
        <v>10</v>
      </c>
      <c r="C1755" t="s">
        <v>47</v>
      </c>
      <c r="D1755" t="s">
        <v>45</v>
      </c>
      <c r="E1755" t="s">
        <v>48</v>
      </c>
      <c r="F1755" t="s">
        <v>24</v>
      </c>
      <c r="G1755" t="s">
        <v>26</v>
      </c>
      <c r="H1755" t="s">
        <v>26</v>
      </c>
      <c r="I1755" t="s">
        <v>25</v>
      </c>
      <c r="J1755">
        <v>3738</v>
      </c>
      <c r="K1755">
        <v>83</v>
      </c>
      <c r="L1755">
        <v>237</v>
      </c>
      <c r="M1755">
        <v>320</v>
      </c>
      <c r="N1755">
        <v>1091</v>
      </c>
      <c r="O1755">
        <v>1085</v>
      </c>
      <c r="P1755">
        <v>1081</v>
      </c>
      <c r="Q1755">
        <v>812</v>
      </c>
      <c r="R1755">
        <v>655</v>
      </c>
      <c r="S1755">
        <v>290</v>
      </c>
      <c r="T1755">
        <v>104</v>
      </c>
      <c r="U1755">
        <v>3642</v>
      </c>
    </row>
    <row r="1756" spans="1:21" x14ac:dyDescent="0.25">
      <c r="A1756">
        <v>2025</v>
      </c>
      <c r="B1756">
        <v>10</v>
      </c>
      <c r="C1756" t="s">
        <v>47</v>
      </c>
      <c r="D1756" t="s">
        <v>45</v>
      </c>
      <c r="E1756" t="s">
        <v>48</v>
      </c>
      <c r="F1756" t="s">
        <v>29</v>
      </c>
      <c r="G1756" t="s">
        <v>26</v>
      </c>
      <c r="H1756" t="s">
        <v>26</v>
      </c>
      <c r="I1756" t="s">
        <v>25</v>
      </c>
      <c r="J1756">
        <v>2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</row>
    <row r="1757" spans="1:21" x14ac:dyDescent="0.25">
      <c r="A1757">
        <v>2025</v>
      </c>
      <c r="B1757">
        <v>10</v>
      </c>
      <c r="C1757" t="s">
        <v>49</v>
      </c>
      <c r="D1757" t="s">
        <v>45</v>
      </c>
      <c r="E1757" t="s">
        <v>50</v>
      </c>
      <c r="F1757" t="s">
        <v>28</v>
      </c>
      <c r="G1757" t="s">
        <v>25</v>
      </c>
      <c r="H1757" t="s">
        <v>26</v>
      </c>
      <c r="I1757" t="s">
        <v>25</v>
      </c>
      <c r="J1757">
        <v>490</v>
      </c>
      <c r="K1757">
        <v>13</v>
      </c>
      <c r="L1757">
        <v>22</v>
      </c>
      <c r="M1757">
        <v>35</v>
      </c>
      <c r="N1757">
        <v>369</v>
      </c>
      <c r="O1757">
        <v>341</v>
      </c>
      <c r="P1757">
        <v>326</v>
      </c>
      <c r="Q1757">
        <v>282</v>
      </c>
      <c r="R1757">
        <v>232</v>
      </c>
      <c r="S1757">
        <v>140</v>
      </c>
      <c r="T1757">
        <v>58</v>
      </c>
      <c r="U1757">
        <v>472</v>
      </c>
    </row>
    <row r="1758" spans="1:21" x14ac:dyDescent="0.25">
      <c r="A1758">
        <v>2025</v>
      </c>
      <c r="B1758">
        <v>10</v>
      </c>
      <c r="C1758" t="s">
        <v>49</v>
      </c>
      <c r="D1758" t="s">
        <v>45</v>
      </c>
      <c r="E1758" t="s">
        <v>50</v>
      </c>
      <c r="F1758" t="s">
        <v>24</v>
      </c>
      <c r="G1758" t="s">
        <v>25</v>
      </c>
      <c r="H1758" t="s">
        <v>26</v>
      </c>
      <c r="I1758" t="s">
        <v>25</v>
      </c>
      <c r="J1758">
        <v>47</v>
      </c>
      <c r="K1758">
        <v>0</v>
      </c>
      <c r="L1758">
        <v>8</v>
      </c>
      <c r="M1758">
        <v>8</v>
      </c>
      <c r="N1758">
        <v>25</v>
      </c>
      <c r="O1758">
        <v>22</v>
      </c>
      <c r="P1758">
        <v>21</v>
      </c>
      <c r="Q1758">
        <v>14</v>
      </c>
      <c r="R1758">
        <v>9</v>
      </c>
      <c r="S1758">
        <v>4</v>
      </c>
      <c r="T1758">
        <v>1</v>
      </c>
      <c r="U1758">
        <v>43</v>
      </c>
    </row>
    <row r="1759" spans="1:21" x14ac:dyDescent="0.25">
      <c r="A1759">
        <v>2025</v>
      </c>
      <c r="B1759">
        <v>10</v>
      </c>
      <c r="C1759" t="s">
        <v>51</v>
      </c>
      <c r="D1759" t="s">
        <v>22</v>
      </c>
      <c r="E1759" t="s">
        <v>31</v>
      </c>
      <c r="F1759" t="s">
        <v>24</v>
      </c>
      <c r="G1759" t="s">
        <v>25</v>
      </c>
      <c r="H1759" t="s">
        <v>25</v>
      </c>
      <c r="I1759" t="s">
        <v>25</v>
      </c>
      <c r="J1759">
        <v>117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117</v>
      </c>
    </row>
    <row r="1760" spans="1:21" x14ac:dyDescent="0.25">
      <c r="A1760">
        <v>2025</v>
      </c>
      <c r="B1760">
        <v>10</v>
      </c>
      <c r="C1760" t="s">
        <v>51</v>
      </c>
      <c r="D1760" t="s">
        <v>22</v>
      </c>
      <c r="E1760" t="s">
        <v>34</v>
      </c>
      <c r="F1760" t="s">
        <v>24</v>
      </c>
      <c r="G1760" t="s">
        <v>25</v>
      </c>
      <c r="H1760" t="s">
        <v>26</v>
      </c>
      <c r="I1760" t="s">
        <v>26</v>
      </c>
      <c r="J1760">
        <v>113</v>
      </c>
      <c r="K1760">
        <v>0</v>
      </c>
      <c r="L1760">
        <v>0</v>
      </c>
      <c r="M1760">
        <v>0</v>
      </c>
      <c r="N1760">
        <v>6</v>
      </c>
      <c r="O1760">
        <v>4</v>
      </c>
      <c r="P1760">
        <v>4</v>
      </c>
      <c r="Q1760">
        <v>4</v>
      </c>
      <c r="R1760">
        <v>2</v>
      </c>
      <c r="S1760">
        <v>2</v>
      </c>
      <c r="T1760">
        <v>1</v>
      </c>
      <c r="U1760">
        <v>113</v>
      </c>
    </row>
    <row r="1761" spans="1:21" x14ac:dyDescent="0.25">
      <c r="A1761">
        <v>2025</v>
      </c>
      <c r="B1761">
        <v>10</v>
      </c>
      <c r="C1761" t="s">
        <v>52</v>
      </c>
      <c r="D1761" t="s">
        <v>22</v>
      </c>
      <c r="E1761" t="s">
        <v>31</v>
      </c>
      <c r="F1761" t="s">
        <v>24</v>
      </c>
      <c r="G1761" t="s">
        <v>25</v>
      </c>
      <c r="H1761" t="s">
        <v>25</v>
      </c>
      <c r="I1761" t="s">
        <v>25</v>
      </c>
      <c r="J1761">
        <v>80</v>
      </c>
      <c r="K1761">
        <v>0</v>
      </c>
      <c r="L1761">
        <v>0</v>
      </c>
      <c r="M1761">
        <v>0</v>
      </c>
      <c r="N1761">
        <v>2</v>
      </c>
      <c r="O1761">
        <v>2</v>
      </c>
      <c r="P1761">
        <v>2</v>
      </c>
      <c r="Q1761">
        <v>1</v>
      </c>
      <c r="R1761">
        <v>0</v>
      </c>
      <c r="S1761">
        <v>0</v>
      </c>
      <c r="T1761">
        <v>0</v>
      </c>
      <c r="U1761">
        <v>80</v>
      </c>
    </row>
    <row r="1762" spans="1:21" x14ac:dyDescent="0.25">
      <c r="A1762">
        <v>2025</v>
      </c>
      <c r="B1762">
        <v>10</v>
      </c>
      <c r="C1762" t="s">
        <v>52</v>
      </c>
      <c r="D1762" t="s">
        <v>22</v>
      </c>
      <c r="E1762" t="s">
        <v>32</v>
      </c>
      <c r="F1762" t="s">
        <v>28</v>
      </c>
      <c r="G1762" t="s">
        <v>25</v>
      </c>
      <c r="H1762" t="s">
        <v>26</v>
      </c>
      <c r="I1762" t="s">
        <v>25</v>
      </c>
      <c r="J1762">
        <v>1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1</v>
      </c>
    </row>
    <row r="1763" spans="1:21" x14ac:dyDescent="0.25">
      <c r="A1763">
        <v>2025</v>
      </c>
      <c r="B1763">
        <v>10</v>
      </c>
      <c r="C1763" t="s">
        <v>52</v>
      </c>
      <c r="D1763" t="s">
        <v>22</v>
      </c>
      <c r="E1763" t="s">
        <v>32</v>
      </c>
      <c r="F1763" t="s">
        <v>24</v>
      </c>
      <c r="G1763" t="s">
        <v>25</v>
      </c>
      <c r="H1763" t="s">
        <v>26</v>
      </c>
      <c r="I1763" t="s">
        <v>25</v>
      </c>
      <c r="J1763">
        <v>381</v>
      </c>
      <c r="K1763">
        <v>0</v>
      </c>
      <c r="L1763">
        <v>0</v>
      </c>
      <c r="M1763">
        <v>0</v>
      </c>
      <c r="N1763">
        <v>80</v>
      </c>
      <c r="O1763">
        <v>66</v>
      </c>
      <c r="P1763">
        <v>66</v>
      </c>
      <c r="Q1763">
        <v>52</v>
      </c>
      <c r="R1763">
        <v>47</v>
      </c>
      <c r="S1763">
        <v>30</v>
      </c>
      <c r="T1763">
        <v>11</v>
      </c>
      <c r="U1763">
        <v>381</v>
      </c>
    </row>
    <row r="1764" spans="1:21" x14ac:dyDescent="0.25">
      <c r="A1764">
        <v>2025</v>
      </c>
      <c r="B1764">
        <v>10</v>
      </c>
      <c r="C1764" t="s">
        <v>52</v>
      </c>
      <c r="D1764" t="s">
        <v>22</v>
      </c>
      <c r="E1764" t="s">
        <v>34</v>
      </c>
      <c r="F1764" t="s">
        <v>24</v>
      </c>
      <c r="G1764" t="s">
        <v>25</v>
      </c>
      <c r="H1764" t="s">
        <v>26</v>
      </c>
      <c r="I1764" t="s">
        <v>26</v>
      </c>
      <c r="J1764">
        <v>153</v>
      </c>
      <c r="K1764">
        <v>0</v>
      </c>
      <c r="L1764">
        <v>0</v>
      </c>
      <c r="M1764">
        <v>0</v>
      </c>
      <c r="N1764">
        <v>9</v>
      </c>
      <c r="O1764">
        <v>8</v>
      </c>
      <c r="P1764">
        <v>8</v>
      </c>
      <c r="Q1764">
        <v>7</v>
      </c>
      <c r="R1764">
        <v>6</v>
      </c>
      <c r="S1764">
        <v>3</v>
      </c>
      <c r="T1764">
        <v>2</v>
      </c>
      <c r="U1764">
        <v>153</v>
      </c>
    </row>
    <row r="1765" spans="1:21" x14ac:dyDescent="0.25">
      <c r="A1765">
        <v>2025</v>
      </c>
      <c r="B1765">
        <v>10</v>
      </c>
      <c r="C1765" t="s">
        <v>52</v>
      </c>
      <c r="D1765" t="s">
        <v>22</v>
      </c>
      <c r="E1765" t="s">
        <v>23</v>
      </c>
      <c r="F1765" t="s">
        <v>24</v>
      </c>
      <c r="G1765" t="s">
        <v>25</v>
      </c>
      <c r="H1765" t="s">
        <v>26</v>
      </c>
      <c r="I1765" t="s">
        <v>25</v>
      </c>
      <c r="J1765">
        <v>162</v>
      </c>
      <c r="K1765">
        <v>0</v>
      </c>
      <c r="L1765">
        <v>0</v>
      </c>
      <c r="M1765">
        <v>0</v>
      </c>
      <c r="N1765">
        <v>1</v>
      </c>
      <c r="O1765">
        <v>1</v>
      </c>
      <c r="P1765">
        <v>1</v>
      </c>
      <c r="Q1765">
        <v>1</v>
      </c>
      <c r="R1765">
        <v>1</v>
      </c>
      <c r="S1765">
        <v>1</v>
      </c>
      <c r="T1765">
        <v>1</v>
      </c>
      <c r="U1765">
        <v>162</v>
      </c>
    </row>
    <row r="1766" spans="1:21" x14ac:dyDescent="0.25">
      <c r="A1766">
        <v>2025</v>
      </c>
      <c r="B1766">
        <v>10</v>
      </c>
      <c r="C1766" t="s">
        <v>52</v>
      </c>
      <c r="D1766" t="s">
        <v>22</v>
      </c>
      <c r="E1766" t="s">
        <v>41</v>
      </c>
      <c r="F1766" t="s">
        <v>24</v>
      </c>
      <c r="G1766" t="s">
        <v>26</v>
      </c>
      <c r="H1766" t="s">
        <v>26</v>
      </c>
      <c r="I1766" t="s">
        <v>25</v>
      </c>
      <c r="J1766">
        <v>433</v>
      </c>
      <c r="K1766">
        <v>0</v>
      </c>
      <c r="L1766">
        <v>0</v>
      </c>
      <c r="M1766">
        <v>0</v>
      </c>
      <c r="N1766">
        <v>254</v>
      </c>
      <c r="O1766">
        <v>222</v>
      </c>
      <c r="P1766">
        <v>203</v>
      </c>
      <c r="Q1766">
        <v>158</v>
      </c>
      <c r="R1766">
        <v>130</v>
      </c>
      <c r="S1766">
        <v>68</v>
      </c>
      <c r="T1766">
        <v>18</v>
      </c>
      <c r="U1766">
        <v>433</v>
      </c>
    </row>
    <row r="1767" spans="1:21" x14ac:dyDescent="0.25">
      <c r="A1767">
        <v>2025</v>
      </c>
      <c r="B1767">
        <v>10</v>
      </c>
      <c r="C1767" t="s">
        <v>53</v>
      </c>
      <c r="D1767" t="s">
        <v>22</v>
      </c>
      <c r="E1767" t="s">
        <v>54</v>
      </c>
      <c r="F1767" t="s">
        <v>24</v>
      </c>
      <c r="G1767" t="s">
        <v>25</v>
      </c>
      <c r="H1767" t="s">
        <v>26</v>
      </c>
      <c r="I1767" t="s">
        <v>25</v>
      </c>
      <c r="J1767">
        <v>827</v>
      </c>
      <c r="K1767">
        <v>10</v>
      </c>
      <c r="L1767">
        <v>1</v>
      </c>
      <c r="M1767">
        <v>11</v>
      </c>
      <c r="N1767">
        <v>82</v>
      </c>
      <c r="O1767">
        <v>45</v>
      </c>
      <c r="P1767">
        <v>37</v>
      </c>
      <c r="Q1767">
        <v>20</v>
      </c>
      <c r="R1767">
        <v>10</v>
      </c>
      <c r="S1767">
        <v>0</v>
      </c>
      <c r="T1767">
        <v>0</v>
      </c>
      <c r="U1767">
        <v>817</v>
      </c>
    </row>
    <row r="1768" spans="1:21" x14ac:dyDescent="0.25">
      <c r="A1768">
        <v>2025</v>
      </c>
      <c r="B1768">
        <v>10</v>
      </c>
      <c r="C1768" t="s">
        <v>53</v>
      </c>
      <c r="D1768" t="s">
        <v>22</v>
      </c>
      <c r="E1768" t="s">
        <v>23</v>
      </c>
      <c r="F1768" t="s">
        <v>28</v>
      </c>
      <c r="G1768" t="s">
        <v>25</v>
      </c>
      <c r="H1768" t="s">
        <v>26</v>
      </c>
      <c r="I1768" t="s">
        <v>25</v>
      </c>
      <c r="J1768">
        <v>37890</v>
      </c>
      <c r="K1768">
        <v>0</v>
      </c>
      <c r="L1768">
        <v>4483</v>
      </c>
      <c r="M1768">
        <v>4483</v>
      </c>
      <c r="N1768">
        <v>5958</v>
      </c>
      <c r="O1768">
        <v>3582</v>
      </c>
      <c r="P1768">
        <v>2832</v>
      </c>
      <c r="Q1768">
        <v>1506</v>
      </c>
      <c r="R1768">
        <v>724</v>
      </c>
      <c r="S1768">
        <v>110</v>
      </c>
      <c r="T1768">
        <v>6</v>
      </c>
      <c r="U1768">
        <v>34612</v>
      </c>
    </row>
    <row r="1769" spans="1:21" x14ac:dyDescent="0.25">
      <c r="A1769">
        <v>2025</v>
      </c>
      <c r="B1769">
        <v>10</v>
      </c>
      <c r="C1769" t="s">
        <v>53</v>
      </c>
      <c r="D1769" t="s">
        <v>22</v>
      </c>
      <c r="E1769" t="s">
        <v>23</v>
      </c>
      <c r="F1769" t="s">
        <v>24</v>
      </c>
      <c r="G1769" t="s">
        <v>25</v>
      </c>
      <c r="H1769" t="s">
        <v>26</v>
      </c>
      <c r="I1769" t="s">
        <v>25</v>
      </c>
      <c r="J1769">
        <v>489</v>
      </c>
      <c r="K1769">
        <v>29</v>
      </c>
      <c r="L1769">
        <v>7</v>
      </c>
      <c r="M1769">
        <v>36</v>
      </c>
      <c r="N1769">
        <v>225</v>
      </c>
      <c r="O1769">
        <v>202</v>
      </c>
      <c r="P1769">
        <v>197</v>
      </c>
      <c r="Q1769">
        <v>188</v>
      </c>
      <c r="R1769">
        <v>148</v>
      </c>
      <c r="S1769">
        <v>77</v>
      </c>
      <c r="T1769">
        <v>24</v>
      </c>
      <c r="U1769">
        <v>458</v>
      </c>
    </row>
    <row r="1770" spans="1:21" x14ac:dyDescent="0.25">
      <c r="A1770">
        <v>2025</v>
      </c>
      <c r="B1770">
        <v>10</v>
      </c>
      <c r="C1770" t="s">
        <v>53</v>
      </c>
      <c r="D1770" t="s">
        <v>22</v>
      </c>
      <c r="E1770" t="s">
        <v>56</v>
      </c>
      <c r="F1770" t="s">
        <v>28</v>
      </c>
      <c r="G1770" t="s">
        <v>25</v>
      </c>
      <c r="H1770" t="s">
        <v>26</v>
      </c>
      <c r="I1770" t="s">
        <v>25</v>
      </c>
      <c r="J1770">
        <v>3392</v>
      </c>
      <c r="K1770">
        <v>0</v>
      </c>
      <c r="L1770">
        <v>881</v>
      </c>
      <c r="M1770">
        <v>881</v>
      </c>
      <c r="N1770">
        <v>623</v>
      </c>
      <c r="O1770">
        <v>396</v>
      </c>
      <c r="P1770">
        <v>327</v>
      </c>
      <c r="Q1770">
        <v>182</v>
      </c>
      <c r="R1770">
        <v>70</v>
      </c>
      <c r="S1770">
        <v>12</v>
      </c>
      <c r="T1770">
        <v>0</v>
      </c>
      <c r="U1770">
        <v>2760</v>
      </c>
    </row>
    <row r="1771" spans="1:21" x14ac:dyDescent="0.25">
      <c r="A1771">
        <v>2025</v>
      </c>
      <c r="B1771">
        <v>10</v>
      </c>
      <c r="C1771" t="s">
        <v>53</v>
      </c>
      <c r="D1771" t="s">
        <v>22</v>
      </c>
      <c r="E1771" t="s">
        <v>39</v>
      </c>
      <c r="F1771" t="s">
        <v>24</v>
      </c>
      <c r="G1771" t="s">
        <v>26</v>
      </c>
      <c r="H1771" t="s">
        <v>26</v>
      </c>
      <c r="I1771" t="s">
        <v>25</v>
      </c>
      <c r="J1771">
        <v>465</v>
      </c>
      <c r="K1771">
        <v>1</v>
      </c>
      <c r="L1771">
        <v>4</v>
      </c>
      <c r="M1771">
        <v>5</v>
      </c>
      <c r="N1771">
        <v>210</v>
      </c>
      <c r="O1771">
        <v>191</v>
      </c>
      <c r="P1771">
        <v>182</v>
      </c>
      <c r="Q1771">
        <v>149</v>
      </c>
      <c r="R1771">
        <v>113</v>
      </c>
      <c r="S1771">
        <v>54</v>
      </c>
      <c r="T1771">
        <v>23</v>
      </c>
      <c r="U1771">
        <v>462</v>
      </c>
    </row>
    <row r="1772" spans="1:21" x14ac:dyDescent="0.25">
      <c r="A1772">
        <v>2025</v>
      </c>
      <c r="B1772">
        <v>10</v>
      </c>
      <c r="C1772" t="s">
        <v>53</v>
      </c>
      <c r="D1772" t="s">
        <v>22</v>
      </c>
      <c r="E1772" t="s">
        <v>35</v>
      </c>
      <c r="F1772" t="s">
        <v>24</v>
      </c>
      <c r="G1772" t="s">
        <v>25</v>
      </c>
      <c r="H1772" t="s">
        <v>26</v>
      </c>
      <c r="I1772" t="s">
        <v>26</v>
      </c>
      <c r="J1772">
        <v>185</v>
      </c>
      <c r="K1772">
        <v>2</v>
      </c>
      <c r="L1772">
        <v>0</v>
      </c>
      <c r="M1772">
        <v>2</v>
      </c>
      <c r="N1772">
        <v>136</v>
      </c>
      <c r="O1772">
        <v>123</v>
      </c>
      <c r="P1772">
        <v>113</v>
      </c>
      <c r="Q1772">
        <v>96</v>
      </c>
      <c r="R1772">
        <v>85</v>
      </c>
      <c r="S1772">
        <v>67</v>
      </c>
      <c r="T1772">
        <v>49</v>
      </c>
      <c r="U1772">
        <v>183</v>
      </c>
    </row>
    <row r="1773" spans="1:21" x14ac:dyDescent="0.25">
      <c r="A1773">
        <v>2025</v>
      </c>
      <c r="B1773">
        <v>10</v>
      </c>
      <c r="C1773" t="s">
        <v>53</v>
      </c>
      <c r="D1773" t="s">
        <v>22</v>
      </c>
      <c r="E1773" t="s">
        <v>57</v>
      </c>
      <c r="F1773" t="s">
        <v>28</v>
      </c>
      <c r="G1773" t="s">
        <v>25</v>
      </c>
      <c r="H1773" t="s">
        <v>26</v>
      </c>
      <c r="I1773" t="s">
        <v>26</v>
      </c>
      <c r="J1773">
        <v>8</v>
      </c>
      <c r="K1773">
        <v>0</v>
      </c>
      <c r="L1773">
        <v>1</v>
      </c>
      <c r="M1773">
        <v>1</v>
      </c>
      <c r="N1773">
        <v>4</v>
      </c>
      <c r="O1773">
        <v>2</v>
      </c>
      <c r="P1773">
        <v>2</v>
      </c>
      <c r="Q1773">
        <v>2</v>
      </c>
      <c r="R1773">
        <v>2</v>
      </c>
      <c r="S1773">
        <v>0</v>
      </c>
      <c r="T1773">
        <v>0</v>
      </c>
      <c r="U1773">
        <v>7</v>
      </c>
    </row>
    <row r="1774" spans="1:21" x14ac:dyDescent="0.25">
      <c r="A1774">
        <v>2025</v>
      </c>
      <c r="B1774">
        <v>10</v>
      </c>
      <c r="C1774" t="s">
        <v>53</v>
      </c>
      <c r="D1774" t="s">
        <v>22</v>
      </c>
      <c r="E1774" t="s">
        <v>58</v>
      </c>
      <c r="F1774" t="s">
        <v>28</v>
      </c>
      <c r="G1774" t="s">
        <v>25</v>
      </c>
      <c r="H1774" t="s">
        <v>25</v>
      </c>
      <c r="I1774" t="s">
        <v>25</v>
      </c>
      <c r="J1774">
        <v>3700</v>
      </c>
      <c r="K1774">
        <v>0</v>
      </c>
      <c r="L1774">
        <v>216</v>
      </c>
      <c r="M1774">
        <v>216</v>
      </c>
      <c r="N1774">
        <v>360</v>
      </c>
      <c r="O1774">
        <v>135</v>
      </c>
      <c r="P1774">
        <v>107</v>
      </c>
      <c r="Q1774">
        <v>51</v>
      </c>
      <c r="R1774">
        <v>20</v>
      </c>
      <c r="S1774">
        <v>2</v>
      </c>
      <c r="T1774">
        <v>0</v>
      </c>
      <c r="U1774">
        <v>3544</v>
      </c>
    </row>
    <row r="1775" spans="1:21" x14ac:dyDescent="0.25">
      <c r="A1775">
        <v>2025</v>
      </c>
      <c r="B1775">
        <v>10</v>
      </c>
      <c r="C1775" t="s">
        <v>53</v>
      </c>
      <c r="D1775" t="s">
        <v>22</v>
      </c>
      <c r="E1775" t="s">
        <v>59</v>
      </c>
      <c r="F1775" t="s">
        <v>28</v>
      </c>
      <c r="G1775" t="s">
        <v>25</v>
      </c>
      <c r="H1775" t="s">
        <v>25</v>
      </c>
      <c r="I1775" t="s">
        <v>25</v>
      </c>
      <c r="J1775">
        <v>79895</v>
      </c>
      <c r="K1775">
        <v>0</v>
      </c>
      <c r="L1775">
        <v>4425</v>
      </c>
      <c r="M1775">
        <v>4425</v>
      </c>
      <c r="N1775">
        <v>7690</v>
      </c>
      <c r="O1775">
        <v>3724</v>
      </c>
      <c r="P1775">
        <v>2767</v>
      </c>
      <c r="Q1775">
        <v>1085</v>
      </c>
      <c r="R1775">
        <v>428</v>
      </c>
      <c r="S1775">
        <v>61</v>
      </c>
      <c r="T1775">
        <v>6</v>
      </c>
      <c r="U1775">
        <v>76550</v>
      </c>
    </row>
    <row r="1776" spans="1:21" x14ac:dyDescent="0.25">
      <c r="A1776">
        <v>2025</v>
      </c>
      <c r="B1776">
        <v>10</v>
      </c>
      <c r="C1776" t="s">
        <v>53</v>
      </c>
      <c r="D1776" t="s">
        <v>22</v>
      </c>
      <c r="E1776" t="s">
        <v>60</v>
      </c>
      <c r="F1776" t="s">
        <v>28</v>
      </c>
      <c r="G1776" t="s">
        <v>25</v>
      </c>
      <c r="H1776" t="s">
        <v>25</v>
      </c>
      <c r="I1776" t="s">
        <v>25</v>
      </c>
      <c r="J1776">
        <v>38345</v>
      </c>
      <c r="K1776">
        <v>0</v>
      </c>
      <c r="L1776">
        <v>1199</v>
      </c>
      <c r="M1776">
        <v>1199</v>
      </c>
      <c r="N1776">
        <v>3607</v>
      </c>
      <c r="O1776">
        <v>1320</v>
      </c>
      <c r="P1776">
        <v>814</v>
      </c>
      <c r="Q1776">
        <v>257</v>
      </c>
      <c r="R1776">
        <v>93</v>
      </c>
      <c r="S1776">
        <v>12</v>
      </c>
      <c r="T1776">
        <v>1</v>
      </c>
      <c r="U1776">
        <v>37451</v>
      </c>
    </row>
    <row r="1777" spans="1:21" x14ac:dyDescent="0.25">
      <c r="A1777">
        <v>2025</v>
      </c>
      <c r="B1777">
        <v>10</v>
      </c>
      <c r="C1777" t="s">
        <v>61</v>
      </c>
      <c r="D1777" t="s">
        <v>22</v>
      </c>
      <c r="E1777" t="s">
        <v>31</v>
      </c>
      <c r="F1777" t="s">
        <v>28</v>
      </c>
      <c r="G1777" t="s">
        <v>25</v>
      </c>
      <c r="H1777" t="s">
        <v>26</v>
      </c>
      <c r="I1777" t="s">
        <v>25</v>
      </c>
      <c r="J1777">
        <v>316</v>
      </c>
      <c r="K1777">
        <v>1</v>
      </c>
      <c r="L1777">
        <v>1</v>
      </c>
      <c r="M1777">
        <v>2</v>
      </c>
      <c r="N1777">
        <v>74</v>
      </c>
      <c r="O1777">
        <v>47</v>
      </c>
      <c r="P1777">
        <v>43</v>
      </c>
      <c r="Q1777">
        <v>26</v>
      </c>
      <c r="R1777">
        <v>15</v>
      </c>
      <c r="S1777">
        <v>7</v>
      </c>
      <c r="T1777">
        <v>3</v>
      </c>
      <c r="U1777">
        <v>315</v>
      </c>
    </row>
    <row r="1778" spans="1:21" x14ac:dyDescent="0.25">
      <c r="A1778">
        <v>2025</v>
      </c>
      <c r="B1778">
        <v>10</v>
      </c>
      <c r="C1778" t="s">
        <v>61</v>
      </c>
      <c r="D1778" t="s">
        <v>22</v>
      </c>
      <c r="E1778" t="s">
        <v>31</v>
      </c>
      <c r="F1778" t="s">
        <v>24</v>
      </c>
      <c r="G1778" t="s">
        <v>25</v>
      </c>
      <c r="H1778" t="s">
        <v>26</v>
      </c>
      <c r="I1778" t="s">
        <v>25</v>
      </c>
      <c r="J1778">
        <v>602</v>
      </c>
      <c r="K1778">
        <v>0</v>
      </c>
      <c r="L1778">
        <v>0</v>
      </c>
      <c r="M1778">
        <v>0</v>
      </c>
      <c r="N1778">
        <v>203</v>
      </c>
      <c r="O1778">
        <v>148</v>
      </c>
      <c r="P1778">
        <v>128</v>
      </c>
      <c r="Q1778">
        <v>80</v>
      </c>
      <c r="R1778">
        <v>50</v>
      </c>
      <c r="S1778">
        <v>17</v>
      </c>
      <c r="T1778">
        <v>1</v>
      </c>
      <c r="U1778">
        <v>602</v>
      </c>
    </row>
    <row r="1779" spans="1:21" x14ac:dyDescent="0.25">
      <c r="A1779">
        <v>2025</v>
      </c>
      <c r="B1779">
        <v>10</v>
      </c>
      <c r="C1779" t="s">
        <v>61</v>
      </c>
      <c r="D1779" t="s">
        <v>22</v>
      </c>
      <c r="E1779" t="s">
        <v>32</v>
      </c>
      <c r="F1779" t="s">
        <v>28</v>
      </c>
      <c r="G1779" t="s">
        <v>25</v>
      </c>
      <c r="H1779" t="s">
        <v>26</v>
      </c>
      <c r="I1779" t="s">
        <v>25</v>
      </c>
      <c r="J1779">
        <v>20</v>
      </c>
      <c r="K1779">
        <v>0</v>
      </c>
      <c r="L1779">
        <v>0</v>
      </c>
      <c r="M1779">
        <v>0</v>
      </c>
      <c r="N1779">
        <v>6</v>
      </c>
      <c r="O1779">
        <v>3</v>
      </c>
      <c r="P1779">
        <v>2</v>
      </c>
      <c r="Q1779">
        <v>1</v>
      </c>
      <c r="R1779">
        <v>1</v>
      </c>
      <c r="S1779">
        <v>0</v>
      </c>
      <c r="T1779">
        <v>0</v>
      </c>
      <c r="U1779">
        <v>20</v>
      </c>
    </row>
    <row r="1780" spans="1:21" x14ac:dyDescent="0.25">
      <c r="A1780">
        <v>2025</v>
      </c>
      <c r="B1780">
        <v>10</v>
      </c>
      <c r="C1780" t="s">
        <v>61</v>
      </c>
      <c r="D1780" t="s">
        <v>22</v>
      </c>
      <c r="E1780" t="s">
        <v>32</v>
      </c>
      <c r="F1780" t="s">
        <v>24</v>
      </c>
      <c r="G1780" t="s">
        <v>25</v>
      </c>
      <c r="H1780" t="s">
        <v>26</v>
      </c>
      <c r="I1780" t="s">
        <v>25</v>
      </c>
      <c r="J1780">
        <v>1136</v>
      </c>
      <c r="K1780">
        <v>10</v>
      </c>
      <c r="L1780">
        <v>6</v>
      </c>
      <c r="M1780">
        <v>16</v>
      </c>
      <c r="N1780">
        <v>456</v>
      </c>
      <c r="O1780">
        <v>366</v>
      </c>
      <c r="P1780">
        <v>338</v>
      </c>
      <c r="Q1780">
        <v>239</v>
      </c>
      <c r="R1780">
        <v>182</v>
      </c>
      <c r="S1780">
        <v>72</v>
      </c>
      <c r="T1780">
        <v>27</v>
      </c>
      <c r="U1780">
        <v>1121</v>
      </c>
    </row>
    <row r="1781" spans="1:21" x14ac:dyDescent="0.25">
      <c r="A1781">
        <v>2025</v>
      </c>
      <c r="B1781">
        <v>10</v>
      </c>
      <c r="C1781" t="s">
        <v>61</v>
      </c>
      <c r="D1781" t="s">
        <v>22</v>
      </c>
      <c r="E1781" t="s">
        <v>32</v>
      </c>
      <c r="F1781" t="s">
        <v>29</v>
      </c>
      <c r="G1781" t="s">
        <v>25</v>
      </c>
      <c r="H1781" t="s">
        <v>26</v>
      </c>
      <c r="I1781" t="s">
        <v>25</v>
      </c>
      <c r="J1781">
        <v>1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0</v>
      </c>
    </row>
    <row r="1782" spans="1:21" x14ac:dyDescent="0.25">
      <c r="A1782">
        <v>2025</v>
      </c>
      <c r="B1782">
        <v>10</v>
      </c>
      <c r="C1782" t="s">
        <v>61</v>
      </c>
      <c r="D1782" t="s">
        <v>22</v>
      </c>
      <c r="E1782" t="s">
        <v>38</v>
      </c>
      <c r="F1782" t="s">
        <v>24</v>
      </c>
      <c r="G1782" t="s">
        <v>25</v>
      </c>
      <c r="H1782" t="s">
        <v>26</v>
      </c>
      <c r="I1782" t="s">
        <v>25</v>
      </c>
      <c r="J1782">
        <v>14</v>
      </c>
      <c r="K1782">
        <v>0</v>
      </c>
      <c r="L1782">
        <v>0</v>
      </c>
      <c r="M1782">
        <v>0</v>
      </c>
      <c r="N1782">
        <v>10</v>
      </c>
      <c r="O1782">
        <v>9</v>
      </c>
      <c r="P1782">
        <v>9</v>
      </c>
      <c r="Q1782">
        <v>5</v>
      </c>
      <c r="R1782">
        <v>4</v>
      </c>
      <c r="S1782">
        <v>0</v>
      </c>
      <c r="T1782">
        <v>0</v>
      </c>
      <c r="U1782">
        <v>14</v>
      </c>
    </row>
    <row r="1783" spans="1:21" x14ac:dyDescent="0.25">
      <c r="A1783">
        <v>2025</v>
      </c>
      <c r="B1783">
        <v>10</v>
      </c>
      <c r="C1783" t="s">
        <v>61</v>
      </c>
      <c r="D1783" t="s">
        <v>22</v>
      </c>
      <c r="E1783" t="s">
        <v>34</v>
      </c>
      <c r="F1783" t="s">
        <v>28</v>
      </c>
      <c r="G1783" t="s">
        <v>25</v>
      </c>
      <c r="H1783" t="s">
        <v>26</v>
      </c>
      <c r="I1783" t="s">
        <v>26</v>
      </c>
      <c r="J1783">
        <v>2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2</v>
      </c>
    </row>
    <row r="1784" spans="1:21" x14ac:dyDescent="0.25">
      <c r="A1784">
        <v>2025</v>
      </c>
      <c r="B1784">
        <v>10</v>
      </c>
      <c r="C1784" t="s">
        <v>61</v>
      </c>
      <c r="D1784" t="s">
        <v>22</v>
      </c>
      <c r="E1784" t="s">
        <v>34</v>
      </c>
      <c r="F1784" t="s">
        <v>24</v>
      </c>
      <c r="G1784" t="s">
        <v>25</v>
      </c>
      <c r="H1784" t="s">
        <v>26</v>
      </c>
      <c r="I1784" t="s">
        <v>26</v>
      </c>
      <c r="J1784">
        <v>296</v>
      </c>
      <c r="K1784">
        <v>0</v>
      </c>
      <c r="L1784">
        <v>0</v>
      </c>
      <c r="M1784">
        <v>0</v>
      </c>
      <c r="N1784">
        <v>99</v>
      </c>
      <c r="O1784">
        <v>79</v>
      </c>
      <c r="P1784">
        <v>76</v>
      </c>
      <c r="Q1784">
        <v>63</v>
      </c>
      <c r="R1784">
        <v>53</v>
      </c>
      <c r="S1784">
        <v>32</v>
      </c>
      <c r="T1784">
        <v>18</v>
      </c>
      <c r="U1784">
        <v>296</v>
      </c>
    </row>
    <row r="1785" spans="1:21" x14ac:dyDescent="0.25">
      <c r="A1785">
        <v>2025</v>
      </c>
      <c r="B1785">
        <v>10</v>
      </c>
      <c r="C1785" t="s">
        <v>61</v>
      </c>
      <c r="D1785" t="s">
        <v>22</v>
      </c>
      <c r="E1785" t="s">
        <v>23</v>
      </c>
      <c r="F1785" t="s">
        <v>28</v>
      </c>
      <c r="G1785" t="s">
        <v>25</v>
      </c>
      <c r="H1785" t="s">
        <v>26</v>
      </c>
      <c r="I1785" t="s">
        <v>25</v>
      </c>
      <c r="J1785">
        <v>894</v>
      </c>
      <c r="K1785">
        <v>1</v>
      </c>
      <c r="L1785">
        <v>31</v>
      </c>
      <c r="M1785">
        <v>32</v>
      </c>
      <c r="N1785">
        <v>149</v>
      </c>
      <c r="O1785">
        <v>108</v>
      </c>
      <c r="P1785">
        <v>98</v>
      </c>
      <c r="Q1785">
        <v>57</v>
      </c>
      <c r="R1785">
        <v>44</v>
      </c>
      <c r="S1785">
        <v>14</v>
      </c>
      <c r="T1785">
        <v>4</v>
      </c>
      <c r="U1785">
        <v>880</v>
      </c>
    </row>
    <row r="1786" spans="1:21" x14ac:dyDescent="0.25">
      <c r="A1786">
        <v>2025</v>
      </c>
      <c r="B1786">
        <v>10</v>
      </c>
      <c r="C1786" t="s">
        <v>61</v>
      </c>
      <c r="D1786" t="s">
        <v>22</v>
      </c>
      <c r="E1786" t="s">
        <v>23</v>
      </c>
      <c r="F1786" t="s">
        <v>24</v>
      </c>
      <c r="G1786" t="s">
        <v>25</v>
      </c>
      <c r="H1786" t="s">
        <v>26</v>
      </c>
      <c r="I1786" t="s">
        <v>25</v>
      </c>
      <c r="J1786">
        <v>451</v>
      </c>
      <c r="K1786">
        <v>0</v>
      </c>
      <c r="L1786">
        <v>0</v>
      </c>
      <c r="M1786">
        <v>0</v>
      </c>
      <c r="N1786">
        <v>96</v>
      </c>
      <c r="O1786">
        <v>77</v>
      </c>
      <c r="P1786">
        <v>73</v>
      </c>
      <c r="Q1786">
        <v>63</v>
      </c>
      <c r="R1786">
        <v>54</v>
      </c>
      <c r="S1786">
        <v>26</v>
      </c>
      <c r="T1786">
        <v>12</v>
      </c>
      <c r="U1786">
        <v>451</v>
      </c>
    </row>
    <row r="1787" spans="1:21" x14ac:dyDescent="0.25">
      <c r="A1787">
        <v>2025</v>
      </c>
      <c r="B1787">
        <v>10</v>
      </c>
      <c r="C1787" t="s">
        <v>61</v>
      </c>
      <c r="D1787" t="s">
        <v>22</v>
      </c>
      <c r="E1787" t="s">
        <v>39</v>
      </c>
      <c r="F1787" t="s">
        <v>28</v>
      </c>
      <c r="G1787" t="s">
        <v>26</v>
      </c>
      <c r="H1787" t="s">
        <v>26</v>
      </c>
      <c r="I1787" t="s">
        <v>25</v>
      </c>
      <c r="J1787">
        <v>38</v>
      </c>
      <c r="K1787">
        <v>0</v>
      </c>
      <c r="L1787">
        <v>1</v>
      </c>
      <c r="M1787">
        <v>1</v>
      </c>
      <c r="N1787">
        <v>14</v>
      </c>
      <c r="O1787">
        <v>9</v>
      </c>
      <c r="P1787">
        <v>8</v>
      </c>
      <c r="Q1787">
        <v>7</v>
      </c>
      <c r="R1787">
        <v>5</v>
      </c>
      <c r="S1787">
        <v>1</v>
      </c>
      <c r="T1787">
        <v>0</v>
      </c>
      <c r="U1787">
        <v>38</v>
      </c>
    </row>
    <row r="1788" spans="1:21" x14ac:dyDescent="0.25">
      <c r="A1788">
        <v>2025</v>
      </c>
      <c r="B1788">
        <v>10</v>
      </c>
      <c r="C1788" t="s">
        <v>61</v>
      </c>
      <c r="D1788" t="s">
        <v>22</v>
      </c>
      <c r="E1788" t="s">
        <v>39</v>
      </c>
      <c r="F1788" t="s">
        <v>24</v>
      </c>
      <c r="G1788" t="s">
        <v>26</v>
      </c>
      <c r="H1788" t="s">
        <v>26</v>
      </c>
      <c r="I1788" t="s">
        <v>25</v>
      </c>
      <c r="J1788">
        <v>680</v>
      </c>
      <c r="K1788">
        <v>13</v>
      </c>
      <c r="L1788">
        <v>1</v>
      </c>
      <c r="M1788">
        <v>14</v>
      </c>
      <c r="N1788">
        <v>287</v>
      </c>
      <c r="O1788">
        <v>247</v>
      </c>
      <c r="P1788">
        <v>235</v>
      </c>
      <c r="Q1788">
        <v>204</v>
      </c>
      <c r="R1788">
        <v>186</v>
      </c>
      <c r="S1788">
        <v>96</v>
      </c>
      <c r="T1788">
        <v>39</v>
      </c>
      <c r="U1788">
        <v>666</v>
      </c>
    </row>
    <row r="1789" spans="1:21" x14ac:dyDescent="0.25">
      <c r="A1789">
        <v>2025</v>
      </c>
      <c r="B1789">
        <v>10</v>
      </c>
      <c r="C1789" t="s">
        <v>61</v>
      </c>
      <c r="D1789" t="s">
        <v>22</v>
      </c>
      <c r="E1789" t="s">
        <v>40</v>
      </c>
      <c r="F1789" t="s">
        <v>28</v>
      </c>
      <c r="G1789" t="s">
        <v>25</v>
      </c>
      <c r="H1789" t="s">
        <v>26</v>
      </c>
      <c r="I1789" t="s">
        <v>25</v>
      </c>
      <c r="J1789">
        <v>186</v>
      </c>
      <c r="K1789">
        <v>0</v>
      </c>
      <c r="L1789">
        <v>0</v>
      </c>
      <c r="M1789">
        <v>0</v>
      </c>
      <c r="N1789">
        <v>22</v>
      </c>
      <c r="O1789">
        <v>11</v>
      </c>
      <c r="P1789">
        <v>7</v>
      </c>
      <c r="Q1789">
        <v>6</v>
      </c>
      <c r="R1789">
        <v>4</v>
      </c>
      <c r="S1789">
        <v>2</v>
      </c>
      <c r="T1789">
        <v>0</v>
      </c>
      <c r="U1789">
        <v>186</v>
      </c>
    </row>
    <row r="1790" spans="1:21" x14ac:dyDescent="0.25">
      <c r="A1790">
        <v>2025</v>
      </c>
      <c r="B1790">
        <v>10</v>
      </c>
      <c r="C1790" t="s">
        <v>61</v>
      </c>
      <c r="D1790" t="s">
        <v>22</v>
      </c>
      <c r="E1790" t="s">
        <v>35</v>
      </c>
      <c r="F1790" t="s">
        <v>28</v>
      </c>
      <c r="G1790" t="s">
        <v>25</v>
      </c>
      <c r="H1790" t="s">
        <v>26</v>
      </c>
      <c r="I1790" t="s">
        <v>26</v>
      </c>
      <c r="J1790">
        <v>40</v>
      </c>
      <c r="K1790">
        <v>0</v>
      </c>
      <c r="L1790">
        <v>0</v>
      </c>
      <c r="M1790">
        <v>0</v>
      </c>
      <c r="N1790">
        <v>18</v>
      </c>
      <c r="O1790">
        <v>15</v>
      </c>
      <c r="P1790">
        <v>15</v>
      </c>
      <c r="Q1790">
        <v>11</v>
      </c>
      <c r="R1790">
        <v>8</v>
      </c>
      <c r="S1790">
        <v>4</v>
      </c>
      <c r="T1790">
        <v>1</v>
      </c>
      <c r="U1790">
        <v>40</v>
      </c>
    </row>
    <row r="1791" spans="1:21" x14ac:dyDescent="0.25">
      <c r="A1791">
        <v>2025</v>
      </c>
      <c r="B1791">
        <v>10</v>
      </c>
      <c r="C1791" t="s">
        <v>61</v>
      </c>
      <c r="D1791" t="s">
        <v>22</v>
      </c>
      <c r="E1791" t="s">
        <v>35</v>
      </c>
      <c r="F1791" t="s">
        <v>24</v>
      </c>
      <c r="G1791" t="s">
        <v>25</v>
      </c>
      <c r="H1791" t="s">
        <v>26</v>
      </c>
      <c r="I1791" t="s">
        <v>26</v>
      </c>
      <c r="J1791">
        <v>655</v>
      </c>
      <c r="K1791">
        <v>1</v>
      </c>
      <c r="L1791">
        <v>1</v>
      </c>
      <c r="M1791">
        <v>2</v>
      </c>
      <c r="N1791">
        <v>283</v>
      </c>
      <c r="O1791">
        <v>245</v>
      </c>
      <c r="P1791">
        <v>234</v>
      </c>
      <c r="Q1791">
        <v>196</v>
      </c>
      <c r="R1791">
        <v>175</v>
      </c>
      <c r="S1791">
        <v>113</v>
      </c>
      <c r="T1791">
        <v>78</v>
      </c>
      <c r="U1791">
        <v>654</v>
      </c>
    </row>
    <row r="1792" spans="1:21" x14ac:dyDescent="0.25">
      <c r="A1792">
        <v>2025</v>
      </c>
      <c r="B1792">
        <v>10</v>
      </c>
      <c r="C1792" t="s">
        <v>61</v>
      </c>
      <c r="D1792" t="s">
        <v>22</v>
      </c>
      <c r="E1792" t="s">
        <v>36</v>
      </c>
      <c r="F1792" t="s">
        <v>28</v>
      </c>
      <c r="G1792" t="s">
        <v>25</v>
      </c>
      <c r="H1792" t="s">
        <v>26</v>
      </c>
      <c r="I1792" t="s">
        <v>25</v>
      </c>
      <c r="J1792">
        <v>1277</v>
      </c>
      <c r="K1792">
        <v>0</v>
      </c>
      <c r="L1792">
        <v>90</v>
      </c>
      <c r="M1792">
        <v>90</v>
      </c>
      <c r="N1792">
        <v>230</v>
      </c>
      <c r="O1792">
        <v>137</v>
      </c>
      <c r="P1792">
        <v>110</v>
      </c>
      <c r="Q1792">
        <v>52</v>
      </c>
      <c r="R1792">
        <v>33</v>
      </c>
      <c r="S1792">
        <v>11</v>
      </c>
      <c r="T1792">
        <v>2</v>
      </c>
      <c r="U1792">
        <v>1227</v>
      </c>
    </row>
    <row r="1793" spans="1:21" x14ac:dyDescent="0.25">
      <c r="A1793">
        <v>2025</v>
      </c>
      <c r="B1793">
        <v>10</v>
      </c>
      <c r="C1793" t="s">
        <v>61</v>
      </c>
      <c r="D1793" t="s">
        <v>22</v>
      </c>
      <c r="E1793" t="s">
        <v>36</v>
      </c>
      <c r="F1793" t="s">
        <v>24</v>
      </c>
      <c r="G1793" t="s">
        <v>25</v>
      </c>
      <c r="H1793" t="s">
        <v>26</v>
      </c>
      <c r="I1793" t="s">
        <v>25</v>
      </c>
      <c r="J1793">
        <v>804</v>
      </c>
      <c r="K1793">
        <v>3</v>
      </c>
      <c r="L1793">
        <v>5</v>
      </c>
      <c r="M1793">
        <v>8</v>
      </c>
      <c r="N1793">
        <v>294</v>
      </c>
      <c r="O1793">
        <v>241</v>
      </c>
      <c r="P1793">
        <v>217</v>
      </c>
      <c r="Q1793">
        <v>170</v>
      </c>
      <c r="R1793">
        <v>138</v>
      </c>
      <c r="S1793">
        <v>65</v>
      </c>
      <c r="T1793">
        <v>20</v>
      </c>
      <c r="U1793">
        <v>798</v>
      </c>
    </row>
    <row r="1794" spans="1:21" x14ac:dyDescent="0.25">
      <c r="A1794">
        <v>2025</v>
      </c>
      <c r="B1794">
        <v>10</v>
      </c>
      <c r="C1794" t="s">
        <v>61</v>
      </c>
      <c r="D1794" t="s">
        <v>22</v>
      </c>
      <c r="E1794" t="s">
        <v>41</v>
      </c>
      <c r="F1794" t="s">
        <v>28</v>
      </c>
      <c r="G1794" t="s">
        <v>26</v>
      </c>
      <c r="H1794" t="s">
        <v>26</v>
      </c>
      <c r="I1794" t="s">
        <v>25</v>
      </c>
      <c r="J1794">
        <v>893</v>
      </c>
      <c r="K1794">
        <v>0</v>
      </c>
      <c r="L1794">
        <v>9</v>
      </c>
      <c r="M1794">
        <v>9</v>
      </c>
      <c r="N1794">
        <v>324</v>
      </c>
      <c r="O1794">
        <v>251</v>
      </c>
      <c r="P1794">
        <v>227</v>
      </c>
      <c r="Q1794">
        <v>152</v>
      </c>
      <c r="R1794">
        <v>112</v>
      </c>
      <c r="S1794">
        <v>32</v>
      </c>
      <c r="T1794">
        <v>6</v>
      </c>
      <c r="U1794">
        <v>889</v>
      </c>
    </row>
    <row r="1795" spans="1:21" x14ac:dyDescent="0.25">
      <c r="A1795">
        <v>2025</v>
      </c>
      <c r="B1795">
        <v>10</v>
      </c>
      <c r="C1795" t="s">
        <v>61</v>
      </c>
      <c r="D1795" t="s">
        <v>22</v>
      </c>
      <c r="E1795" t="s">
        <v>41</v>
      </c>
      <c r="F1795" t="s">
        <v>24</v>
      </c>
      <c r="G1795" t="s">
        <v>26</v>
      </c>
      <c r="H1795" t="s">
        <v>26</v>
      </c>
      <c r="I1795" t="s">
        <v>25</v>
      </c>
      <c r="J1795">
        <v>726</v>
      </c>
      <c r="K1795">
        <v>0</v>
      </c>
      <c r="L1795">
        <v>1</v>
      </c>
      <c r="M1795">
        <v>1</v>
      </c>
      <c r="N1795">
        <v>382</v>
      </c>
      <c r="O1795">
        <v>333</v>
      </c>
      <c r="P1795">
        <v>314</v>
      </c>
      <c r="Q1795">
        <v>241</v>
      </c>
      <c r="R1795">
        <v>167</v>
      </c>
      <c r="S1795">
        <v>72</v>
      </c>
      <c r="T1795">
        <v>9</v>
      </c>
      <c r="U1795">
        <v>726</v>
      </c>
    </row>
    <row r="1796" spans="1:21" x14ac:dyDescent="0.25">
      <c r="A1796">
        <v>2025</v>
      </c>
      <c r="B1796">
        <v>10</v>
      </c>
      <c r="C1796" t="s">
        <v>61</v>
      </c>
      <c r="D1796" t="s">
        <v>22</v>
      </c>
      <c r="E1796" t="s">
        <v>41</v>
      </c>
      <c r="F1796" t="s">
        <v>29</v>
      </c>
      <c r="G1796" t="s">
        <v>26</v>
      </c>
      <c r="H1796" t="s">
        <v>26</v>
      </c>
      <c r="I1796" t="s">
        <v>25</v>
      </c>
      <c r="J1796">
        <v>1</v>
      </c>
      <c r="K1796">
        <v>0</v>
      </c>
      <c r="L1796">
        <v>0</v>
      </c>
      <c r="M1796">
        <v>0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0</v>
      </c>
    </row>
    <row r="1797" spans="1:21" x14ac:dyDescent="0.25">
      <c r="A1797">
        <v>2025</v>
      </c>
      <c r="B1797">
        <v>10</v>
      </c>
      <c r="C1797" t="s">
        <v>62</v>
      </c>
      <c r="D1797" t="s">
        <v>22</v>
      </c>
      <c r="E1797" t="s">
        <v>40</v>
      </c>
      <c r="F1797" t="s">
        <v>28</v>
      </c>
      <c r="G1797" t="s">
        <v>25</v>
      </c>
      <c r="H1797" t="s">
        <v>25</v>
      </c>
      <c r="I1797" t="s">
        <v>25</v>
      </c>
      <c r="J1797">
        <v>7417</v>
      </c>
      <c r="K1797">
        <v>0</v>
      </c>
      <c r="L1797">
        <v>9</v>
      </c>
      <c r="M1797">
        <v>9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7408</v>
      </c>
    </row>
    <row r="1798" spans="1:21" x14ac:dyDescent="0.25">
      <c r="A1798">
        <v>2025</v>
      </c>
      <c r="B1798">
        <v>10</v>
      </c>
      <c r="C1798" t="s">
        <v>62</v>
      </c>
      <c r="D1798" t="s">
        <v>22</v>
      </c>
      <c r="E1798" t="s">
        <v>40</v>
      </c>
      <c r="F1798" t="s">
        <v>24</v>
      </c>
      <c r="G1798" t="s">
        <v>25</v>
      </c>
      <c r="H1798" t="s">
        <v>25</v>
      </c>
      <c r="I1798" t="s">
        <v>25</v>
      </c>
      <c r="J1798">
        <v>15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15</v>
      </c>
    </row>
    <row r="1799" spans="1:21" x14ac:dyDescent="0.25">
      <c r="A1799">
        <v>2025</v>
      </c>
      <c r="B1799">
        <v>10</v>
      </c>
      <c r="C1799" t="s">
        <v>63</v>
      </c>
      <c r="D1799" t="s">
        <v>45</v>
      </c>
      <c r="E1799" t="s">
        <v>112</v>
      </c>
      <c r="F1799" t="s">
        <v>28</v>
      </c>
      <c r="G1799" t="s">
        <v>25</v>
      </c>
      <c r="H1799" t="s">
        <v>25</v>
      </c>
      <c r="I1799" t="s">
        <v>25</v>
      </c>
      <c r="J1799">
        <v>1233</v>
      </c>
      <c r="K1799">
        <v>1</v>
      </c>
      <c r="L1799">
        <v>0</v>
      </c>
      <c r="M1799">
        <v>1</v>
      </c>
      <c r="N1799">
        <v>271</v>
      </c>
      <c r="O1799">
        <v>160</v>
      </c>
      <c r="P1799">
        <v>160</v>
      </c>
      <c r="Q1799">
        <v>128</v>
      </c>
      <c r="R1799">
        <v>100</v>
      </c>
      <c r="S1799">
        <v>67</v>
      </c>
      <c r="T1799">
        <v>28</v>
      </c>
      <c r="U1799">
        <v>1232</v>
      </c>
    </row>
    <row r="1800" spans="1:21" x14ac:dyDescent="0.25">
      <c r="A1800">
        <v>2025</v>
      </c>
      <c r="B1800">
        <v>10</v>
      </c>
      <c r="C1800" t="s">
        <v>63</v>
      </c>
      <c r="D1800" t="s">
        <v>45</v>
      </c>
      <c r="E1800" t="s">
        <v>112</v>
      </c>
      <c r="F1800" t="s">
        <v>29</v>
      </c>
      <c r="G1800" t="s">
        <v>25</v>
      </c>
      <c r="H1800" t="s">
        <v>25</v>
      </c>
      <c r="I1800" t="s">
        <v>25</v>
      </c>
      <c r="J1800">
        <v>26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0</v>
      </c>
    </row>
    <row r="1801" spans="1:21" x14ac:dyDescent="0.25">
      <c r="A1801">
        <v>2025</v>
      </c>
      <c r="B1801">
        <v>10</v>
      </c>
      <c r="C1801" t="s">
        <v>63</v>
      </c>
      <c r="D1801" t="s">
        <v>45</v>
      </c>
      <c r="E1801" t="s">
        <v>64</v>
      </c>
      <c r="F1801" t="s">
        <v>24</v>
      </c>
      <c r="G1801" t="s">
        <v>25</v>
      </c>
      <c r="H1801" t="s">
        <v>25</v>
      </c>
      <c r="I1801" t="s">
        <v>25</v>
      </c>
      <c r="J1801">
        <v>129</v>
      </c>
      <c r="K1801">
        <v>1</v>
      </c>
      <c r="L1801">
        <v>2</v>
      </c>
      <c r="M1801">
        <v>3</v>
      </c>
      <c r="N1801">
        <v>22</v>
      </c>
      <c r="O1801">
        <v>14</v>
      </c>
      <c r="P1801">
        <v>13</v>
      </c>
      <c r="Q1801">
        <v>12</v>
      </c>
      <c r="R1801">
        <v>9</v>
      </c>
      <c r="S1801">
        <v>3</v>
      </c>
      <c r="T1801">
        <v>1</v>
      </c>
      <c r="U1801">
        <v>126</v>
      </c>
    </row>
    <row r="1802" spans="1:21" x14ac:dyDescent="0.25">
      <c r="A1802">
        <v>2025</v>
      </c>
      <c r="B1802">
        <v>10</v>
      </c>
      <c r="C1802" t="s">
        <v>66</v>
      </c>
      <c r="D1802" t="s">
        <v>22</v>
      </c>
      <c r="E1802" t="s">
        <v>32</v>
      </c>
      <c r="F1802" t="s">
        <v>24</v>
      </c>
      <c r="G1802" t="s">
        <v>25</v>
      </c>
      <c r="H1802" t="s">
        <v>25</v>
      </c>
      <c r="I1802" t="s">
        <v>25</v>
      </c>
      <c r="J1802">
        <v>687</v>
      </c>
      <c r="K1802">
        <v>4</v>
      </c>
      <c r="L1802">
        <v>0</v>
      </c>
      <c r="M1802">
        <v>4</v>
      </c>
      <c r="N1802">
        <v>191</v>
      </c>
      <c r="O1802">
        <v>159</v>
      </c>
      <c r="P1802">
        <v>146</v>
      </c>
      <c r="Q1802">
        <v>105</v>
      </c>
      <c r="R1802">
        <v>72</v>
      </c>
      <c r="S1802">
        <v>32</v>
      </c>
      <c r="T1802">
        <v>12</v>
      </c>
      <c r="U1802">
        <v>683</v>
      </c>
    </row>
    <row r="1803" spans="1:21" x14ac:dyDescent="0.25">
      <c r="A1803">
        <v>2025</v>
      </c>
      <c r="B1803">
        <v>10</v>
      </c>
      <c r="C1803" t="s">
        <v>66</v>
      </c>
      <c r="D1803" t="s">
        <v>22</v>
      </c>
      <c r="E1803" t="s">
        <v>34</v>
      </c>
      <c r="F1803" t="s">
        <v>24</v>
      </c>
      <c r="G1803" t="s">
        <v>25</v>
      </c>
      <c r="H1803" t="s">
        <v>26</v>
      </c>
      <c r="I1803" t="s">
        <v>26</v>
      </c>
      <c r="J1803">
        <v>61</v>
      </c>
      <c r="K1803">
        <v>0</v>
      </c>
      <c r="L1803">
        <v>0</v>
      </c>
      <c r="M1803">
        <v>0</v>
      </c>
      <c r="N1803">
        <v>20</v>
      </c>
      <c r="O1803">
        <v>18</v>
      </c>
      <c r="P1803">
        <v>17</v>
      </c>
      <c r="Q1803">
        <v>13</v>
      </c>
      <c r="R1803">
        <v>9</v>
      </c>
      <c r="S1803">
        <v>4</v>
      </c>
      <c r="T1803">
        <v>0</v>
      </c>
      <c r="U1803">
        <v>61</v>
      </c>
    </row>
    <row r="1804" spans="1:21" x14ac:dyDescent="0.25">
      <c r="A1804">
        <v>2025</v>
      </c>
      <c r="B1804">
        <v>10</v>
      </c>
      <c r="C1804" t="s">
        <v>66</v>
      </c>
      <c r="D1804" t="s">
        <v>22</v>
      </c>
      <c r="E1804" t="s">
        <v>23</v>
      </c>
      <c r="F1804" t="s">
        <v>24</v>
      </c>
      <c r="G1804" t="s">
        <v>25</v>
      </c>
      <c r="H1804" t="s">
        <v>26</v>
      </c>
      <c r="I1804" t="s">
        <v>25</v>
      </c>
      <c r="J1804">
        <v>61</v>
      </c>
      <c r="K1804">
        <v>0</v>
      </c>
      <c r="L1804">
        <v>0</v>
      </c>
      <c r="M1804">
        <v>0</v>
      </c>
      <c r="N1804">
        <v>20</v>
      </c>
      <c r="O1804">
        <v>18</v>
      </c>
      <c r="P1804">
        <v>17</v>
      </c>
      <c r="Q1804">
        <v>13</v>
      </c>
      <c r="R1804">
        <v>9</v>
      </c>
      <c r="S1804">
        <v>4</v>
      </c>
      <c r="T1804">
        <v>0</v>
      </c>
      <c r="U1804">
        <v>61</v>
      </c>
    </row>
    <row r="1805" spans="1:21" x14ac:dyDescent="0.25">
      <c r="A1805">
        <v>2025</v>
      </c>
      <c r="B1805">
        <v>10</v>
      </c>
      <c r="C1805" t="s">
        <v>67</v>
      </c>
      <c r="D1805" t="s">
        <v>22</v>
      </c>
      <c r="E1805" t="s">
        <v>68</v>
      </c>
      <c r="F1805" t="s">
        <v>28</v>
      </c>
      <c r="G1805" t="s">
        <v>25</v>
      </c>
      <c r="H1805" t="s">
        <v>25</v>
      </c>
      <c r="I1805" t="s">
        <v>25</v>
      </c>
      <c r="J1805">
        <v>1002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1002</v>
      </c>
    </row>
    <row r="1806" spans="1:21" x14ac:dyDescent="0.25">
      <c r="A1806">
        <v>2025</v>
      </c>
      <c r="B1806">
        <v>10</v>
      </c>
      <c r="C1806" t="s">
        <v>67</v>
      </c>
      <c r="D1806" t="s">
        <v>22</v>
      </c>
      <c r="E1806" t="s">
        <v>68</v>
      </c>
      <c r="F1806" t="s">
        <v>24</v>
      </c>
      <c r="G1806" t="s">
        <v>25</v>
      </c>
      <c r="H1806" t="s">
        <v>25</v>
      </c>
      <c r="I1806" t="s">
        <v>25</v>
      </c>
      <c r="J1806">
        <v>126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126</v>
      </c>
    </row>
    <row r="1807" spans="1:21" x14ac:dyDescent="0.25">
      <c r="A1807">
        <v>2025</v>
      </c>
      <c r="B1807">
        <v>10</v>
      </c>
      <c r="C1807" t="s">
        <v>69</v>
      </c>
      <c r="D1807" t="s">
        <v>22</v>
      </c>
      <c r="E1807" t="s">
        <v>32</v>
      </c>
      <c r="F1807" t="s">
        <v>28</v>
      </c>
      <c r="G1807" t="s">
        <v>25</v>
      </c>
      <c r="H1807" t="s">
        <v>26</v>
      </c>
      <c r="I1807" t="s">
        <v>25</v>
      </c>
      <c r="J1807">
        <v>69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69</v>
      </c>
    </row>
    <row r="1808" spans="1:21" x14ac:dyDescent="0.25">
      <c r="A1808">
        <v>2025</v>
      </c>
      <c r="B1808">
        <v>10</v>
      </c>
      <c r="C1808" t="s">
        <v>69</v>
      </c>
      <c r="D1808" t="s">
        <v>22</v>
      </c>
      <c r="E1808" t="s">
        <v>32</v>
      </c>
      <c r="F1808" t="s">
        <v>24</v>
      </c>
      <c r="G1808" t="s">
        <v>25</v>
      </c>
      <c r="H1808" t="s">
        <v>26</v>
      </c>
      <c r="I1808" t="s">
        <v>25</v>
      </c>
      <c r="J1808">
        <v>1489</v>
      </c>
      <c r="K1808">
        <v>9</v>
      </c>
      <c r="L1808">
        <v>19</v>
      </c>
      <c r="M1808">
        <v>28</v>
      </c>
      <c r="N1808">
        <v>309</v>
      </c>
      <c r="O1808">
        <v>258</v>
      </c>
      <c r="P1808">
        <v>239</v>
      </c>
      <c r="Q1808">
        <v>182</v>
      </c>
      <c r="R1808">
        <v>149</v>
      </c>
      <c r="S1808">
        <v>91</v>
      </c>
      <c r="T1808">
        <v>20</v>
      </c>
      <c r="U1808">
        <v>1479</v>
      </c>
    </row>
    <row r="1809" spans="1:21" x14ac:dyDescent="0.25">
      <c r="A1809">
        <v>2025</v>
      </c>
      <c r="B1809">
        <v>10</v>
      </c>
      <c r="C1809" t="s">
        <v>69</v>
      </c>
      <c r="D1809" t="s">
        <v>22</v>
      </c>
      <c r="E1809" t="s">
        <v>38</v>
      </c>
      <c r="F1809" t="s">
        <v>24</v>
      </c>
      <c r="G1809" t="s">
        <v>25</v>
      </c>
      <c r="H1809" t="s">
        <v>25</v>
      </c>
      <c r="I1809" t="s">
        <v>25</v>
      </c>
      <c r="J1809">
        <v>403</v>
      </c>
      <c r="K1809">
        <v>2</v>
      </c>
      <c r="L1809">
        <v>10</v>
      </c>
      <c r="M1809">
        <v>12</v>
      </c>
      <c r="N1809">
        <v>249</v>
      </c>
      <c r="O1809">
        <v>227</v>
      </c>
      <c r="P1809">
        <v>213</v>
      </c>
      <c r="Q1809">
        <v>146</v>
      </c>
      <c r="R1809">
        <v>99</v>
      </c>
      <c r="S1809">
        <v>39</v>
      </c>
      <c r="T1809">
        <v>8</v>
      </c>
      <c r="U1809">
        <v>397</v>
      </c>
    </row>
    <row r="1810" spans="1:21" x14ac:dyDescent="0.25">
      <c r="A1810">
        <v>2025</v>
      </c>
      <c r="B1810">
        <v>10</v>
      </c>
      <c r="C1810" t="s">
        <v>69</v>
      </c>
      <c r="D1810" t="s">
        <v>22</v>
      </c>
      <c r="E1810" t="s">
        <v>38</v>
      </c>
      <c r="F1810" t="s">
        <v>24</v>
      </c>
      <c r="G1810" t="s">
        <v>25</v>
      </c>
      <c r="H1810" t="s">
        <v>26</v>
      </c>
      <c r="I1810" t="s">
        <v>25</v>
      </c>
      <c r="J1810">
        <v>26</v>
      </c>
      <c r="K1810">
        <v>0</v>
      </c>
      <c r="L1810">
        <v>2</v>
      </c>
      <c r="M1810">
        <v>2</v>
      </c>
      <c r="N1810">
        <v>13</v>
      </c>
      <c r="O1810">
        <v>11</v>
      </c>
      <c r="P1810">
        <v>11</v>
      </c>
      <c r="Q1810">
        <v>7</v>
      </c>
      <c r="R1810">
        <v>7</v>
      </c>
      <c r="S1810">
        <v>3</v>
      </c>
      <c r="T1810">
        <v>0</v>
      </c>
      <c r="U1810">
        <v>25</v>
      </c>
    </row>
    <row r="1811" spans="1:21" x14ac:dyDescent="0.25">
      <c r="A1811">
        <v>2025</v>
      </c>
      <c r="B1811">
        <v>10</v>
      </c>
      <c r="C1811" t="s">
        <v>69</v>
      </c>
      <c r="D1811" t="s">
        <v>22</v>
      </c>
      <c r="E1811" t="s">
        <v>34</v>
      </c>
      <c r="F1811" t="s">
        <v>24</v>
      </c>
      <c r="G1811" t="s">
        <v>25</v>
      </c>
      <c r="H1811" t="s">
        <v>26</v>
      </c>
      <c r="I1811" t="s">
        <v>26</v>
      </c>
      <c r="J1811">
        <v>129</v>
      </c>
      <c r="K1811">
        <v>2</v>
      </c>
      <c r="L1811">
        <v>0</v>
      </c>
      <c r="M1811">
        <v>2</v>
      </c>
      <c r="N1811">
        <v>28</v>
      </c>
      <c r="O1811">
        <v>23</v>
      </c>
      <c r="P1811">
        <v>21</v>
      </c>
      <c r="Q1811">
        <v>18</v>
      </c>
      <c r="R1811">
        <v>15</v>
      </c>
      <c r="S1811">
        <v>13</v>
      </c>
      <c r="T1811">
        <v>8</v>
      </c>
      <c r="U1811">
        <v>127</v>
      </c>
    </row>
    <row r="1812" spans="1:21" x14ac:dyDescent="0.25">
      <c r="A1812">
        <v>2025</v>
      </c>
      <c r="B1812">
        <v>10</v>
      </c>
      <c r="C1812" t="s">
        <v>69</v>
      </c>
      <c r="D1812" t="s">
        <v>22</v>
      </c>
      <c r="E1812" t="s">
        <v>76</v>
      </c>
      <c r="F1812" t="s">
        <v>28</v>
      </c>
      <c r="G1812" t="s">
        <v>25</v>
      </c>
      <c r="H1812" t="s">
        <v>26</v>
      </c>
      <c r="I1812" t="s">
        <v>25</v>
      </c>
      <c r="J1812">
        <v>1</v>
      </c>
      <c r="K1812">
        <v>0</v>
      </c>
      <c r="L1812">
        <v>0</v>
      </c>
      <c r="M1812">
        <v>0</v>
      </c>
      <c r="N1812">
        <v>1</v>
      </c>
      <c r="O1812">
        <v>1</v>
      </c>
      <c r="P1812">
        <v>1</v>
      </c>
      <c r="Q1812">
        <v>1</v>
      </c>
      <c r="R1812">
        <v>1</v>
      </c>
      <c r="S1812">
        <v>1</v>
      </c>
      <c r="T1812">
        <v>1</v>
      </c>
      <c r="U1812">
        <v>1</v>
      </c>
    </row>
    <row r="1813" spans="1:21" x14ac:dyDescent="0.25">
      <c r="A1813">
        <v>2025</v>
      </c>
      <c r="B1813">
        <v>10</v>
      </c>
      <c r="C1813" t="s">
        <v>69</v>
      </c>
      <c r="D1813" t="s">
        <v>22</v>
      </c>
      <c r="E1813" t="s">
        <v>23</v>
      </c>
      <c r="F1813" t="s">
        <v>28</v>
      </c>
      <c r="G1813" t="s">
        <v>25</v>
      </c>
      <c r="H1813" t="s">
        <v>26</v>
      </c>
      <c r="I1813" t="s">
        <v>25</v>
      </c>
      <c r="J1813">
        <v>8048</v>
      </c>
      <c r="K1813">
        <v>8</v>
      </c>
      <c r="L1813">
        <v>52</v>
      </c>
      <c r="M1813">
        <v>60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8010</v>
      </c>
    </row>
    <row r="1814" spans="1:21" x14ac:dyDescent="0.25">
      <c r="A1814">
        <v>2025</v>
      </c>
      <c r="B1814">
        <v>10</v>
      </c>
      <c r="C1814" t="s">
        <v>69</v>
      </c>
      <c r="D1814" t="s">
        <v>22</v>
      </c>
      <c r="E1814" t="s">
        <v>23</v>
      </c>
      <c r="F1814" t="s">
        <v>24</v>
      </c>
      <c r="G1814" t="s">
        <v>25</v>
      </c>
      <c r="H1814" t="s">
        <v>26</v>
      </c>
      <c r="I1814" t="s">
        <v>25</v>
      </c>
      <c r="J1814">
        <v>1186</v>
      </c>
      <c r="K1814">
        <v>62</v>
      </c>
      <c r="L1814">
        <v>55</v>
      </c>
      <c r="M1814">
        <v>117</v>
      </c>
      <c r="N1814">
        <v>434</v>
      </c>
      <c r="O1814">
        <v>365</v>
      </c>
      <c r="P1814">
        <v>352</v>
      </c>
      <c r="Q1814">
        <v>288</v>
      </c>
      <c r="R1814">
        <v>211</v>
      </c>
      <c r="S1814">
        <v>43</v>
      </c>
      <c r="T1814">
        <v>9</v>
      </c>
      <c r="U1814">
        <v>1095</v>
      </c>
    </row>
    <row r="1815" spans="1:21" x14ac:dyDescent="0.25">
      <c r="A1815">
        <v>2025</v>
      </c>
      <c r="B1815">
        <v>10</v>
      </c>
      <c r="C1815" t="s">
        <v>69</v>
      </c>
      <c r="D1815" t="s">
        <v>22</v>
      </c>
      <c r="E1815" t="s">
        <v>23</v>
      </c>
      <c r="F1815" t="s">
        <v>29</v>
      </c>
      <c r="G1815" t="s">
        <v>25</v>
      </c>
      <c r="H1815" t="s">
        <v>26</v>
      </c>
      <c r="I1815" t="s">
        <v>25</v>
      </c>
      <c r="J1815">
        <v>2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</row>
    <row r="1816" spans="1:21" x14ac:dyDescent="0.25">
      <c r="A1816">
        <v>2025</v>
      </c>
      <c r="B1816">
        <v>10</v>
      </c>
      <c r="C1816" t="s">
        <v>69</v>
      </c>
      <c r="D1816" t="s">
        <v>22</v>
      </c>
      <c r="E1816" t="s">
        <v>39</v>
      </c>
      <c r="F1816" t="s">
        <v>28</v>
      </c>
      <c r="G1816" t="s">
        <v>26</v>
      </c>
      <c r="H1816" t="s">
        <v>26</v>
      </c>
      <c r="I1816" t="s">
        <v>25</v>
      </c>
      <c r="J1816">
        <v>58</v>
      </c>
      <c r="K1816">
        <v>2</v>
      </c>
      <c r="L1816">
        <v>0</v>
      </c>
      <c r="M1816">
        <v>2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56</v>
      </c>
    </row>
    <row r="1817" spans="1:21" x14ac:dyDescent="0.25">
      <c r="A1817">
        <v>2025</v>
      </c>
      <c r="B1817">
        <v>10</v>
      </c>
      <c r="C1817" t="s">
        <v>69</v>
      </c>
      <c r="D1817" t="s">
        <v>22</v>
      </c>
      <c r="E1817" t="s">
        <v>39</v>
      </c>
      <c r="F1817" t="s">
        <v>24</v>
      </c>
      <c r="G1817" t="s">
        <v>26</v>
      </c>
      <c r="H1817" t="s">
        <v>26</v>
      </c>
      <c r="I1817" t="s">
        <v>25</v>
      </c>
      <c r="J1817">
        <v>1337</v>
      </c>
      <c r="K1817">
        <v>72</v>
      </c>
      <c r="L1817">
        <v>227</v>
      </c>
      <c r="M1817">
        <v>299</v>
      </c>
      <c r="N1817">
        <v>319</v>
      </c>
      <c r="O1817">
        <v>238</v>
      </c>
      <c r="P1817">
        <v>217</v>
      </c>
      <c r="Q1817">
        <v>153</v>
      </c>
      <c r="R1817">
        <v>99</v>
      </c>
      <c r="S1817">
        <v>46</v>
      </c>
      <c r="T1817">
        <v>11</v>
      </c>
      <c r="U1817">
        <v>1130</v>
      </c>
    </row>
    <row r="1818" spans="1:21" x14ac:dyDescent="0.25">
      <c r="A1818">
        <v>2025</v>
      </c>
      <c r="B1818">
        <v>10</v>
      </c>
      <c r="C1818" t="s">
        <v>69</v>
      </c>
      <c r="D1818" t="s">
        <v>22</v>
      </c>
      <c r="E1818" t="s">
        <v>39</v>
      </c>
      <c r="F1818" t="s">
        <v>29</v>
      </c>
      <c r="G1818" t="s">
        <v>26</v>
      </c>
      <c r="H1818" t="s">
        <v>26</v>
      </c>
      <c r="I1818" t="s">
        <v>25</v>
      </c>
      <c r="J1818">
        <v>2</v>
      </c>
      <c r="K1818">
        <v>2</v>
      </c>
      <c r="L1818">
        <v>0</v>
      </c>
      <c r="M1818">
        <v>2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</row>
    <row r="1819" spans="1:21" x14ac:dyDescent="0.25">
      <c r="A1819">
        <v>2025</v>
      </c>
      <c r="B1819">
        <v>10</v>
      </c>
      <c r="C1819" t="s">
        <v>69</v>
      </c>
      <c r="D1819" t="s">
        <v>22</v>
      </c>
      <c r="E1819" t="s">
        <v>40</v>
      </c>
      <c r="F1819" t="s">
        <v>28</v>
      </c>
      <c r="G1819" t="s">
        <v>25</v>
      </c>
      <c r="H1819" t="s">
        <v>26</v>
      </c>
      <c r="I1819" t="s">
        <v>25</v>
      </c>
      <c r="J1819">
        <v>8921</v>
      </c>
      <c r="K1819">
        <v>13</v>
      </c>
      <c r="L1819">
        <v>26</v>
      </c>
      <c r="M1819">
        <v>39</v>
      </c>
      <c r="N1819">
        <v>2</v>
      </c>
      <c r="O1819">
        <v>1</v>
      </c>
      <c r="P1819">
        <v>1</v>
      </c>
      <c r="Q1819">
        <v>1</v>
      </c>
      <c r="R1819">
        <v>0</v>
      </c>
      <c r="S1819">
        <v>0</v>
      </c>
      <c r="T1819">
        <v>0</v>
      </c>
      <c r="U1819">
        <v>8890</v>
      </c>
    </row>
    <row r="1820" spans="1:21" x14ac:dyDescent="0.25">
      <c r="A1820">
        <v>2025</v>
      </c>
      <c r="B1820">
        <v>10</v>
      </c>
      <c r="C1820" t="s">
        <v>69</v>
      </c>
      <c r="D1820" t="s">
        <v>22</v>
      </c>
      <c r="E1820" t="s">
        <v>40</v>
      </c>
      <c r="F1820" t="s">
        <v>24</v>
      </c>
      <c r="G1820" t="s">
        <v>25</v>
      </c>
      <c r="H1820" t="s">
        <v>26</v>
      </c>
      <c r="I1820" t="s">
        <v>25</v>
      </c>
      <c r="J1820">
        <v>730</v>
      </c>
      <c r="K1820">
        <v>0</v>
      </c>
      <c r="L1820">
        <v>1</v>
      </c>
      <c r="M1820">
        <v>1</v>
      </c>
      <c r="N1820">
        <v>85</v>
      </c>
      <c r="O1820">
        <v>6</v>
      </c>
      <c r="P1820">
        <v>5</v>
      </c>
      <c r="Q1820">
        <v>3</v>
      </c>
      <c r="R1820">
        <v>0</v>
      </c>
      <c r="S1820">
        <v>0</v>
      </c>
      <c r="T1820">
        <v>0</v>
      </c>
      <c r="U1820">
        <v>729</v>
      </c>
    </row>
    <row r="1821" spans="1:21" x14ac:dyDescent="0.25">
      <c r="A1821">
        <v>2025</v>
      </c>
      <c r="B1821">
        <v>10</v>
      </c>
      <c r="C1821" t="s">
        <v>69</v>
      </c>
      <c r="D1821" t="s">
        <v>22</v>
      </c>
      <c r="E1821" t="s">
        <v>40</v>
      </c>
      <c r="F1821" t="s">
        <v>29</v>
      </c>
      <c r="G1821" t="s">
        <v>25</v>
      </c>
      <c r="H1821" t="s">
        <v>26</v>
      </c>
      <c r="I1821" t="s">
        <v>25</v>
      </c>
      <c r="J1821">
        <v>3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</row>
    <row r="1822" spans="1:21" x14ac:dyDescent="0.25">
      <c r="A1822">
        <v>2025</v>
      </c>
      <c r="B1822">
        <v>10</v>
      </c>
      <c r="C1822" t="s">
        <v>69</v>
      </c>
      <c r="D1822" t="s">
        <v>22</v>
      </c>
      <c r="E1822" t="s">
        <v>113</v>
      </c>
      <c r="F1822" t="s">
        <v>24</v>
      </c>
      <c r="G1822" t="s">
        <v>26</v>
      </c>
      <c r="H1822" t="s">
        <v>26</v>
      </c>
      <c r="I1822" t="s">
        <v>25</v>
      </c>
      <c r="J1822">
        <v>388</v>
      </c>
      <c r="K1822">
        <v>0</v>
      </c>
      <c r="L1822">
        <v>1</v>
      </c>
      <c r="M1822">
        <v>1</v>
      </c>
      <c r="N1822">
        <v>33</v>
      </c>
      <c r="O1822">
        <v>19</v>
      </c>
      <c r="P1822">
        <v>19</v>
      </c>
      <c r="Q1822">
        <v>13</v>
      </c>
      <c r="R1822">
        <v>8</v>
      </c>
      <c r="S1822">
        <v>4</v>
      </c>
      <c r="T1822">
        <v>2</v>
      </c>
      <c r="U1822">
        <v>388</v>
      </c>
    </row>
    <row r="1823" spans="1:21" x14ac:dyDescent="0.25">
      <c r="A1823">
        <v>2025</v>
      </c>
      <c r="B1823">
        <v>10</v>
      </c>
      <c r="C1823" t="s">
        <v>69</v>
      </c>
      <c r="D1823" t="s">
        <v>22</v>
      </c>
      <c r="E1823" t="s">
        <v>113</v>
      </c>
      <c r="F1823" t="s">
        <v>29</v>
      </c>
      <c r="G1823" t="s">
        <v>26</v>
      </c>
      <c r="H1823" t="s">
        <v>26</v>
      </c>
      <c r="I1823" t="s">
        <v>25</v>
      </c>
      <c r="J1823">
        <v>3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</row>
    <row r="1824" spans="1:21" x14ac:dyDescent="0.25">
      <c r="A1824">
        <v>2025</v>
      </c>
      <c r="B1824">
        <v>10</v>
      </c>
      <c r="C1824" t="s">
        <v>69</v>
      </c>
      <c r="D1824" t="s">
        <v>22</v>
      </c>
      <c r="E1824" t="s">
        <v>70</v>
      </c>
      <c r="F1824" t="s">
        <v>24</v>
      </c>
      <c r="G1824" t="s">
        <v>26</v>
      </c>
      <c r="H1824" t="s">
        <v>26</v>
      </c>
      <c r="I1824" t="s">
        <v>25</v>
      </c>
      <c r="J1824">
        <v>236</v>
      </c>
      <c r="K1824">
        <v>0</v>
      </c>
      <c r="L1824">
        <v>2</v>
      </c>
      <c r="M1824">
        <v>2</v>
      </c>
      <c r="N1824">
        <v>7</v>
      </c>
      <c r="O1824">
        <v>6</v>
      </c>
      <c r="P1824">
        <v>5</v>
      </c>
      <c r="Q1824">
        <v>5</v>
      </c>
      <c r="R1824">
        <v>5</v>
      </c>
      <c r="S1824">
        <v>2</v>
      </c>
      <c r="T1824">
        <v>0</v>
      </c>
      <c r="U1824">
        <v>234</v>
      </c>
    </row>
    <row r="1825" spans="1:21" x14ac:dyDescent="0.25">
      <c r="A1825">
        <v>2025</v>
      </c>
      <c r="B1825">
        <v>10</v>
      </c>
      <c r="C1825" t="s">
        <v>69</v>
      </c>
      <c r="D1825" t="s">
        <v>22</v>
      </c>
      <c r="E1825" t="s">
        <v>70</v>
      </c>
      <c r="F1825" t="s">
        <v>29</v>
      </c>
      <c r="G1825" t="s">
        <v>26</v>
      </c>
      <c r="H1825" t="s">
        <v>26</v>
      </c>
      <c r="I1825" t="s">
        <v>25</v>
      </c>
      <c r="J1825">
        <v>1</v>
      </c>
      <c r="K1825">
        <v>1</v>
      </c>
      <c r="L1825">
        <v>0</v>
      </c>
      <c r="M1825">
        <v>1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</row>
    <row r="1826" spans="1:21" x14ac:dyDescent="0.25">
      <c r="A1826">
        <v>2025</v>
      </c>
      <c r="B1826">
        <v>10</v>
      </c>
      <c r="C1826" t="s">
        <v>69</v>
      </c>
      <c r="D1826" t="s">
        <v>22</v>
      </c>
      <c r="E1826" t="s">
        <v>35</v>
      </c>
      <c r="F1826" t="s">
        <v>28</v>
      </c>
      <c r="G1826" t="s">
        <v>25</v>
      </c>
      <c r="H1826" t="s">
        <v>26</v>
      </c>
      <c r="I1826" t="s">
        <v>26</v>
      </c>
      <c r="J1826">
        <v>1</v>
      </c>
      <c r="K1826">
        <v>0</v>
      </c>
      <c r="L1826">
        <v>0</v>
      </c>
      <c r="M1826">
        <v>0</v>
      </c>
      <c r="N1826">
        <v>0</v>
      </c>
      <c r="O1826">
        <v>0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1</v>
      </c>
    </row>
    <row r="1827" spans="1:21" x14ac:dyDescent="0.25">
      <c r="A1827">
        <v>2025</v>
      </c>
      <c r="B1827">
        <v>10</v>
      </c>
      <c r="C1827" t="s">
        <v>69</v>
      </c>
      <c r="D1827" t="s">
        <v>22</v>
      </c>
      <c r="E1827" t="s">
        <v>35</v>
      </c>
      <c r="F1827" t="s">
        <v>24</v>
      </c>
      <c r="G1827" t="s">
        <v>25</v>
      </c>
      <c r="H1827" t="s">
        <v>26</v>
      </c>
      <c r="I1827" t="s">
        <v>26</v>
      </c>
      <c r="J1827">
        <v>264</v>
      </c>
      <c r="K1827">
        <v>9</v>
      </c>
      <c r="L1827">
        <v>0</v>
      </c>
      <c r="M1827">
        <v>9</v>
      </c>
      <c r="N1827">
        <v>87</v>
      </c>
      <c r="O1827">
        <v>65</v>
      </c>
      <c r="P1827">
        <v>58</v>
      </c>
      <c r="Q1827">
        <v>48</v>
      </c>
      <c r="R1827">
        <v>37</v>
      </c>
      <c r="S1827">
        <v>25</v>
      </c>
      <c r="T1827">
        <v>14</v>
      </c>
      <c r="U1827">
        <v>255</v>
      </c>
    </row>
    <row r="1828" spans="1:21" x14ac:dyDescent="0.25">
      <c r="A1828">
        <v>2025</v>
      </c>
      <c r="B1828">
        <v>10</v>
      </c>
      <c r="C1828" t="s">
        <v>69</v>
      </c>
      <c r="D1828" t="s">
        <v>22</v>
      </c>
      <c r="E1828" t="s">
        <v>35</v>
      </c>
      <c r="F1828" t="s">
        <v>29</v>
      </c>
      <c r="G1828" t="s">
        <v>25</v>
      </c>
      <c r="H1828" t="s">
        <v>26</v>
      </c>
      <c r="I1828" t="s">
        <v>26</v>
      </c>
      <c r="J1828">
        <v>1</v>
      </c>
      <c r="K1828">
        <v>0</v>
      </c>
      <c r="L1828">
        <v>0</v>
      </c>
      <c r="M1828">
        <v>0</v>
      </c>
      <c r="N1828">
        <v>0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0</v>
      </c>
    </row>
    <row r="1829" spans="1:21" x14ac:dyDescent="0.25">
      <c r="A1829">
        <v>2025</v>
      </c>
      <c r="B1829">
        <v>10</v>
      </c>
      <c r="C1829" t="s">
        <v>69</v>
      </c>
      <c r="D1829" t="s">
        <v>22</v>
      </c>
      <c r="E1829" t="s">
        <v>41</v>
      </c>
      <c r="F1829" t="s">
        <v>24</v>
      </c>
      <c r="G1829" t="s">
        <v>26</v>
      </c>
      <c r="H1829" t="s">
        <v>26</v>
      </c>
      <c r="I1829" t="s">
        <v>25</v>
      </c>
      <c r="J1829">
        <v>61</v>
      </c>
      <c r="K1829">
        <v>0</v>
      </c>
      <c r="L1829">
        <v>0</v>
      </c>
      <c r="M1829">
        <v>0</v>
      </c>
      <c r="N1829">
        <v>2</v>
      </c>
      <c r="O1829">
        <v>2</v>
      </c>
      <c r="P1829">
        <v>2</v>
      </c>
      <c r="Q1829">
        <v>2</v>
      </c>
      <c r="R1829">
        <v>2</v>
      </c>
      <c r="S1829">
        <v>1</v>
      </c>
      <c r="T1829">
        <v>0</v>
      </c>
      <c r="U1829">
        <v>61</v>
      </c>
    </row>
    <row r="1830" spans="1:21" x14ac:dyDescent="0.25">
      <c r="A1830">
        <v>2025</v>
      </c>
      <c r="B1830">
        <v>10</v>
      </c>
      <c r="C1830" t="s">
        <v>71</v>
      </c>
      <c r="D1830" t="s">
        <v>22</v>
      </c>
      <c r="E1830" t="s">
        <v>34</v>
      </c>
      <c r="F1830" t="s">
        <v>24</v>
      </c>
      <c r="G1830" t="s">
        <v>25</v>
      </c>
      <c r="H1830" t="s">
        <v>26</v>
      </c>
      <c r="I1830" t="s">
        <v>26</v>
      </c>
      <c r="J1830">
        <v>61</v>
      </c>
      <c r="K1830">
        <v>3</v>
      </c>
      <c r="L1830">
        <v>1</v>
      </c>
      <c r="M1830">
        <v>4</v>
      </c>
      <c r="N1830">
        <v>14</v>
      </c>
      <c r="O1830">
        <v>11</v>
      </c>
      <c r="P1830">
        <v>11</v>
      </c>
      <c r="Q1830">
        <v>9</v>
      </c>
      <c r="R1830">
        <v>8</v>
      </c>
      <c r="S1830">
        <v>5</v>
      </c>
      <c r="T1830">
        <v>2</v>
      </c>
      <c r="U1830">
        <v>58</v>
      </c>
    </row>
    <row r="1831" spans="1:21" x14ac:dyDescent="0.25">
      <c r="A1831">
        <v>2025</v>
      </c>
      <c r="B1831">
        <v>10</v>
      </c>
      <c r="C1831" t="s">
        <v>71</v>
      </c>
      <c r="D1831" t="s">
        <v>22</v>
      </c>
      <c r="E1831" t="s">
        <v>35</v>
      </c>
      <c r="F1831" t="s">
        <v>24</v>
      </c>
      <c r="G1831" t="s">
        <v>25</v>
      </c>
      <c r="H1831" t="s">
        <v>26</v>
      </c>
      <c r="I1831" t="s">
        <v>26</v>
      </c>
      <c r="J1831">
        <v>18</v>
      </c>
      <c r="K1831">
        <v>2</v>
      </c>
      <c r="L1831">
        <v>0</v>
      </c>
      <c r="M1831">
        <v>2</v>
      </c>
      <c r="N1831">
        <v>1</v>
      </c>
      <c r="O1831">
        <v>1</v>
      </c>
      <c r="P1831">
        <v>1</v>
      </c>
      <c r="Q1831">
        <v>1</v>
      </c>
      <c r="R1831">
        <v>1</v>
      </c>
      <c r="S1831">
        <v>1</v>
      </c>
      <c r="T1831">
        <v>1</v>
      </c>
      <c r="U1831">
        <v>16</v>
      </c>
    </row>
    <row r="1832" spans="1:21" x14ac:dyDescent="0.25">
      <c r="A1832">
        <v>2025</v>
      </c>
      <c r="B1832">
        <v>10</v>
      </c>
      <c r="C1832" t="s">
        <v>72</v>
      </c>
      <c r="D1832" t="s">
        <v>22</v>
      </c>
      <c r="E1832" t="s">
        <v>54</v>
      </c>
      <c r="F1832" t="s">
        <v>24</v>
      </c>
      <c r="G1832" t="s">
        <v>25</v>
      </c>
      <c r="H1832" t="s">
        <v>25</v>
      </c>
      <c r="I1832" t="s">
        <v>25</v>
      </c>
      <c r="J1832">
        <v>827</v>
      </c>
      <c r="K1832">
        <v>6</v>
      </c>
      <c r="L1832">
        <v>45</v>
      </c>
      <c r="M1832">
        <v>51</v>
      </c>
      <c r="N1832">
        <v>278</v>
      </c>
      <c r="O1832">
        <v>190</v>
      </c>
      <c r="P1832">
        <v>158</v>
      </c>
      <c r="Q1832">
        <v>85</v>
      </c>
      <c r="R1832">
        <v>49</v>
      </c>
      <c r="S1832">
        <v>10</v>
      </c>
      <c r="T1832">
        <v>0</v>
      </c>
      <c r="U1832">
        <v>812</v>
      </c>
    </row>
    <row r="1833" spans="1:21" x14ac:dyDescent="0.25">
      <c r="A1833">
        <v>2025</v>
      </c>
      <c r="B1833">
        <v>10</v>
      </c>
      <c r="C1833" t="s">
        <v>72</v>
      </c>
      <c r="D1833" t="s">
        <v>22</v>
      </c>
      <c r="E1833" t="s">
        <v>23</v>
      </c>
      <c r="F1833" t="s">
        <v>28</v>
      </c>
      <c r="G1833" t="s">
        <v>25</v>
      </c>
      <c r="H1833" t="s">
        <v>26</v>
      </c>
      <c r="I1833" t="s">
        <v>25</v>
      </c>
      <c r="J1833">
        <v>29911</v>
      </c>
      <c r="K1833">
        <v>61</v>
      </c>
      <c r="L1833">
        <v>568</v>
      </c>
      <c r="M1833">
        <v>629</v>
      </c>
      <c r="N1833">
        <v>6867</v>
      </c>
      <c r="O1833">
        <v>4424</v>
      </c>
      <c r="P1833">
        <v>3602</v>
      </c>
      <c r="Q1833">
        <v>1916</v>
      </c>
      <c r="R1833">
        <v>1012</v>
      </c>
      <c r="S1833">
        <v>166</v>
      </c>
      <c r="T1833">
        <v>9</v>
      </c>
      <c r="U1833">
        <v>29487</v>
      </c>
    </row>
    <row r="1834" spans="1:21" x14ac:dyDescent="0.25">
      <c r="A1834">
        <v>2025</v>
      </c>
      <c r="B1834">
        <v>10</v>
      </c>
      <c r="C1834" t="s">
        <v>72</v>
      </c>
      <c r="D1834" t="s">
        <v>22</v>
      </c>
      <c r="E1834" t="s">
        <v>23</v>
      </c>
      <c r="F1834" t="s">
        <v>24</v>
      </c>
      <c r="G1834" t="s">
        <v>25</v>
      </c>
      <c r="H1834" t="s">
        <v>26</v>
      </c>
      <c r="I1834" t="s">
        <v>25</v>
      </c>
      <c r="J1834">
        <v>3948</v>
      </c>
      <c r="K1834">
        <v>8</v>
      </c>
      <c r="L1834">
        <v>39</v>
      </c>
      <c r="M1834">
        <v>47</v>
      </c>
      <c r="N1834">
        <v>801</v>
      </c>
      <c r="O1834">
        <v>475</v>
      </c>
      <c r="P1834">
        <v>382</v>
      </c>
      <c r="Q1834">
        <v>192</v>
      </c>
      <c r="R1834">
        <v>94</v>
      </c>
      <c r="S1834">
        <v>21</v>
      </c>
      <c r="T1834">
        <v>1</v>
      </c>
      <c r="U1834">
        <v>3914</v>
      </c>
    </row>
    <row r="1835" spans="1:21" x14ac:dyDescent="0.25">
      <c r="A1835">
        <v>2025</v>
      </c>
      <c r="B1835">
        <v>10</v>
      </c>
      <c r="C1835" t="s">
        <v>72</v>
      </c>
      <c r="D1835" t="s">
        <v>22</v>
      </c>
      <c r="E1835" t="s">
        <v>23</v>
      </c>
      <c r="F1835" t="s">
        <v>29</v>
      </c>
      <c r="G1835" t="s">
        <v>25</v>
      </c>
      <c r="H1835" t="s">
        <v>26</v>
      </c>
      <c r="I1835" t="s">
        <v>25</v>
      </c>
      <c r="J1835">
        <v>2</v>
      </c>
      <c r="K1835">
        <v>1</v>
      </c>
      <c r="L1835">
        <v>0</v>
      </c>
      <c r="M1835">
        <v>1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</row>
    <row r="1836" spans="1:21" x14ac:dyDescent="0.25">
      <c r="A1836">
        <v>2025</v>
      </c>
      <c r="B1836">
        <v>10</v>
      </c>
      <c r="C1836" t="s">
        <v>72</v>
      </c>
      <c r="D1836" t="s">
        <v>22</v>
      </c>
      <c r="E1836" t="s">
        <v>39</v>
      </c>
      <c r="F1836" t="s">
        <v>24</v>
      </c>
      <c r="G1836" t="s">
        <v>26</v>
      </c>
      <c r="H1836" t="s">
        <v>26</v>
      </c>
      <c r="I1836" t="s">
        <v>25</v>
      </c>
      <c r="J1836">
        <v>483</v>
      </c>
      <c r="K1836">
        <v>4</v>
      </c>
      <c r="L1836">
        <v>4</v>
      </c>
      <c r="M1836">
        <v>8</v>
      </c>
      <c r="N1836">
        <v>276</v>
      </c>
      <c r="O1836">
        <v>211</v>
      </c>
      <c r="P1836">
        <v>193</v>
      </c>
      <c r="Q1836">
        <v>103</v>
      </c>
      <c r="R1836">
        <v>61</v>
      </c>
      <c r="S1836">
        <v>19</v>
      </c>
      <c r="T1836">
        <v>1</v>
      </c>
      <c r="U1836">
        <v>477</v>
      </c>
    </row>
    <row r="1837" spans="1:21" x14ac:dyDescent="0.25">
      <c r="A1837">
        <v>2025</v>
      </c>
      <c r="B1837">
        <v>10</v>
      </c>
      <c r="C1837" t="s">
        <v>72</v>
      </c>
      <c r="D1837" t="s">
        <v>22</v>
      </c>
      <c r="E1837" t="s">
        <v>73</v>
      </c>
      <c r="F1837" t="s">
        <v>28</v>
      </c>
      <c r="G1837" t="s">
        <v>25</v>
      </c>
      <c r="H1837" t="s">
        <v>25</v>
      </c>
      <c r="I1837" t="s">
        <v>25</v>
      </c>
      <c r="J1837">
        <v>18487</v>
      </c>
      <c r="K1837">
        <v>43</v>
      </c>
      <c r="L1837">
        <v>97</v>
      </c>
      <c r="M1837">
        <v>140</v>
      </c>
      <c r="N1837">
        <v>3093</v>
      </c>
      <c r="O1837">
        <v>1615</v>
      </c>
      <c r="P1837">
        <v>1265</v>
      </c>
      <c r="Q1837">
        <v>504</v>
      </c>
      <c r="R1837">
        <v>240</v>
      </c>
      <c r="S1837">
        <v>41</v>
      </c>
      <c r="T1837">
        <v>2</v>
      </c>
      <c r="U1837">
        <v>18375</v>
      </c>
    </row>
    <row r="1838" spans="1:21" x14ac:dyDescent="0.25">
      <c r="A1838">
        <v>2025</v>
      </c>
      <c r="B1838">
        <v>10</v>
      </c>
      <c r="C1838" t="s">
        <v>72</v>
      </c>
      <c r="D1838" t="s">
        <v>22</v>
      </c>
      <c r="E1838" t="s">
        <v>73</v>
      </c>
      <c r="F1838" t="s">
        <v>24</v>
      </c>
      <c r="G1838" t="s">
        <v>25</v>
      </c>
      <c r="H1838" t="s">
        <v>25</v>
      </c>
      <c r="I1838" t="s">
        <v>25</v>
      </c>
      <c r="J1838">
        <v>5548</v>
      </c>
      <c r="K1838">
        <v>28</v>
      </c>
      <c r="L1838">
        <v>0</v>
      </c>
      <c r="M1838">
        <v>28</v>
      </c>
      <c r="N1838">
        <v>427</v>
      </c>
      <c r="O1838">
        <v>232</v>
      </c>
      <c r="P1838">
        <v>178</v>
      </c>
      <c r="Q1838">
        <v>64</v>
      </c>
      <c r="R1838">
        <v>37</v>
      </c>
      <c r="S1838">
        <v>6</v>
      </c>
      <c r="T1838">
        <v>1</v>
      </c>
      <c r="U1838">
        <v>5520</v>
      </c>
    </row>
    <row r="1839" spans="1:21" x14ac:dyDescent="0.25">
      <c r="A1839">
        <v>2025</v>
      </c>
      <c r="B1839">
        <v>10</v>
      </c>
      <c r="C1839" t="s">
        <v>72</v>
      </c>
      <c r="D1839" t="s">
        <v>22</v>
      </c>
      <c r="E1839" t="s">
        <v>35</v>
      </c>
      <c r="F1839" t="s">
        <v>24</v>
      </c>
      <c r="G1839" t="s">
        <v>25</v>
      </c>
      <c r="H1839" t="s">
        <v>26</v>
      </c>
      <c r="I1839" t="s">
        <v>26</v>
      </c>
      <c r="J1839">
        <v>55</v>
      </c>
      <c r="K1839">
        <v>0</v>
      </c>
      <c r="L1839">
        <v>0</v>
      </c>
      <c r="M1839">
        <v>0</v>
      </c>
      <c r="N1839">
        <v>30</v>
      </c>
      <c r="O1839">
        <v>26</v>
      </c>
      <c r="P1839">
        <v>25</v>
      </c>
      <c r="Q1839">
        <v>16</v>
      </c>
      <c r="R1839">
        <v>12</v>
      </c>
      <c r="S1839">
        <v>6</v>
      </c>
      <c r="T1839">
        <v>3</v>
      </c>
      <c r="U1839">
        <v>55</v>
      </c>
    </row>
    <row r="1840" spans="1:21" x14ac:dyDescent="0.25">
      <c r="A1840">
        <v>2025</v>
      </c>
      <c r="B1840">
        <v>10</v>
      </c>
      <c r="C1840" t="s">
        <v>72</v>
      </c>
      <c r="D1840" t="s">
        <v>22</v>
      </c>
      <c r="E1840" t="s">
        <v>111</v>
      </c>
      <c r="F1840" t="s">
        <v>24</v>
      </c>
      <c r="G1840" t="s">
        <v>26</v>
      </c>
      <c r="H1840" t="s">
        <v>26</v>
      </c>
      <c r="I1840" t="s">
        <v>25</v>
      </c>
      <c r="J1840">
        <v>128</v>
      </c>
      <c r="K1840">
        <v>2</v>
      </c>
      <c r="L1840">
        <v>0</v>
      </c>
      <c r="M1840">
        <v>2</v>
      </c>
      <c r="N1840">
        <v>52</v>
      </c>
      <c r="O1840">
        <v>28</v>
      </c>
      <c r="P1840">
        <v>28</v>
      </c>
      <c r="Q1840">
        <v>24</v>
      </c>
      <c r="R1840">
        <v>18</v>
      </c>
      <c r="S1840">
        <v>11</v>
      </c>
      <c r="T1840">
        <v>5</v>
      </c>
      <c r="U1840">
        <v>126</v>
      </c>
    </row>
    <row r="1841" spans="1:21" x14ac:dyDescent="0.25">
      <c r="A1841">
        <v>2025</v>
      </c>
      <c r="B1841">
        <v>10</v>
      </c>
      <c r="C1841" t="s">
        <v>72</v>
      </c>
      <c r="D1841" t="s">
        <v>22</v>
      </c>
      <c r="E1841" t="s">
        <v>74</v>
      </c>
      <c r="F1841" t="s">
        <v>28</v>
      </c>
      <c r="G1841" t="s">
        <v>25</v>
      </c>
      <c r="H1841" t="s">
        <v>25</v>
      </c>
      <c r="I1841" t="s">
        <v>25</v>
      </c>
      <c r="J1841">
        <v>5793</v>
      </c>
      <c r="K1841">
        <v>31</v>
      </c>
      <c r="L1841">
        <v>21</v>
      </c>
      <c r="M1841">
        <v>52</v>
      </c>
      <c r="N1841">
        <v>1219</v>
      </c>
      <c r="O1841">
        <v>699</v>
      </c>
      <c r="P1841">
        <v>551</v>
      </c>
      <c r="Q1841">
        <v>233</v>
      </c>
      <c r="R1841">
        <v>116</v>
      </c>
      <c r="S1841">
        <v>22</v>
      </c>
      <c r="T1841">
        <v>4</v>
      </c>
      <c r="U1841">
        <v>5749</v>
      </c>
    </row>
    <row r="1842" spans="1:21" x14ac:dyDescent="0.25">
      <c r="A1842">
        <v>2025</v>
      </c>
      <c r="B1842">
        <v>10</v>
      </c>
      <c r="C1842" t="s">
        <v>72</v>
      </c>
      <c r="D1842" t="s">
        <v>22</v>
      </c>
      <c r="E1842" t="s">
        <v>74</v>
      </c>
      <c r="F1842" t="s">
        <v>24</v>
      </c>
      <c r="G1842" t="s">
        <v>25</v>
      </c>
      <c r="H1842" t="s">
        <v>25</v>
      </c>
      <c r="I1842" t="s">
        <v>25</v>
      </c>
      <c r="J1842">
        <v>308</v>
      </c>
      <c r="K1842">
        <v>5</v>
      </c>
      <c r="L1842">
        <v>1</v>
      </c>
      <c r="M1842">
        <v>6</v>
      </c>
      <c r="N1842">
        <v>29</v>
      </c>
      <c r="O1842">
        <v>22</v>
      </c>
      <c r="P1842">
        <v>19</v>
      </c>
      <c r="Q1842">
        <v>11</v>
      </c>
      <c r="R1842">
        <v>7</v>
      </c>
      <c r="S1842">
        <v>3</v>
      </c>
      <c r="T1842">
        <v>0</v>
      </c>
      <c r="U1842">
        <v>302</v>
      </c>
    </row>
    <row r="1843" spans="1:21" x14ac:dyDescent="0.25">
      <c r="A1843">
        <v>2025</v>
      </c>
      <c r="B1843">
        <v>10</v>
      </c>
      <c r="C1843" t="s">
        <v>72</v>
      </c>
      <c r="D1843" t="s">
        <v>22</v>
      </c>
      <c r="E1843" t="s">
        <v>58</v>
      </c>
      <c r="F1843" t="s">
        <v>28</v>
      </c>
      <c r="G1843" t="s">
        <v>25</v>
      </c>
      <c r="H1843" t="s">
        <v>25</v>
      </c>
      <c r="I1843" t="s">
        <v>25</v>
      </c>
      <c r="J1843">
        <v>30661</v>
      </c>
      <c r="K1843">
        <v>67</v>
      </c>
      <c r="L1843">
        <v>303</v>
      </c>
      <c r="M1843">
        <v>370</v>
      </c>
      <c r="N1843">
        <v>5033</v>
      </c>
      <c r="O1843">
        <v>2857</v>
      </c>
      <c r="P1843">
        <v>2238</v>
      </c>
      <c r="Q1843">
        <v>1057</v>
      </c>
      <c r="R1843">
        <v>505</v>
      </c>
      <c r="S1843">
        <v>92</v>
      </c>
      <c r="T1843">
        <v>11</v>
      </c>
      <c r="U1843">
        <v>30418</v>
      </c>
    </row>
    <row r="1844" spans="1:21" x14ac:dyDescent="0.25">
      <c r="A1844">
        <v>2025</v>
      </c>
      <c r="B1844">
        <v>10</v>
      </c>
      <c r="C1844" t="s">
        <v>72</v>
      </c>
      <c r="D1844" t="s">
        <v>22</v>
      </c>
      <c r="E1844" t="s">
        <v>58</v>
      </c>
      <c r="F1844" t="s">
        <v>24</v>
      </c>
      <c r="G1844" t="s">
        <v>25</v>
      </c>
      <c r="H1844" t="s">
        <v>25</v>
      </c>
      <c r="I1844" t="s">
        <v>25</v>
      </c>
      <c r="J1844">
        <v>3038</v>
      </c>
      <c r="K1844">
        <v>12</v>
      </c>
      <c r="L1844">
        <v>90</v>
      </c>
      <c r="M1844">
        <v>102</v>
      </c>
      <c r="N1844">
        <v>531</v>
      </c>
      <c r="O1844">
        <v>312</v>
      </c>
      <c r="P1844">
        <v>244</v>
      </c>
      <c r="Q1844">
        <v>122</v>
      </c>
      <c r="R1844">
        <v>56</v>
      </c>
      <c r="S1844">
        <v>7</v>
      </c>
      <c r="T1844">
        <v>0</v>
      </c>
      <c r="U1844">
        <v>2989</v>
      </c>
    </row>
    <row r="1845" spans="1:21" x14ac:dyDescent="0.25">
      <c r="A1845">
        <v>2025</v>
      </c>
      <c r="B1845">
        <v>10</v>
      </c>
      <c r="C1845" t="s">
        <v>75</v>
      </c>
      <c r="D1845" t="s">
        <v>22</v>
      </c>
      <c r="E1845" t="s">
        <v>109</v>
      </c>
      <c r="F1845" t="s">
        <v>28</v>
      </c>
      <c r="G1845" t="s">
        <v>25</v>
      </c>
      <c r="H1845" t="s">
        <v>25</v>
      </c>
      <c r="I1845" t="s">
        <v>25</v>
      </c>
      <c r="J1845">
        <v>2727</v>
      </c>
      <c r="K1845">
        <v>0</v>
      </c>
      <c r="L1845">
        <v>29</v>
      </c>
      <c r="M1845">
        <v>29</v>
      </c>
      <c r="N1845">
        <v>0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2726</v>
      </c>
    </row>
    <row r="1846" spans="1:21" x14ac:dyDescent="0.25">
      <c r="A1846">
        <v>2025</v>
      </c>
      <c r="B1846">
        <v>10</v>
      </c>
      <c r="C1846" t="s">
        <v>75</v>
      </c>
      <c r="D1846" t="s">
        <v>22</v>
      </c>
      <c r="E1846" t="s">
        <v>109</v>
      </c>
      <c r="F1846" t="s">
        <v>24</v>
      </c>
      <c r="G1846" t="s">
        <v>25</v>
      </c>
      <c r="H1846" t="s">
        <v>25</v>
      </c>
      <c r="I1846" t="s">
        <v>25</v>
      </c>
      <c r="J1846">
        <v>40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40</v>
      </c>
    </row>
    <row r="1847" spans="1:21" x14ac:dyDescent="0.25">
      <c r="A1847">
        <v>2025</v>
      </c>
      <c r="B1847">
        <v>10</v>
      </c>
      <c r="C1847" t="s">
        <v>75</v>
      </c>
      <c r="D1847" t="s">
        <v>22</v>
      </c>
      <c r="E1847" t="s">
        <v>109</v>
      </c>
      <c r="F1847" t="s">
        <v>29</v>
      </c>
      <c r="G1847" t="s">
        <v>25</v>
      </c>
      <c r="H1847" t="s">
        <v>25</v>
      </c>
      <c r="I1847" t="s">
        <v>25</v>
      </c>
      <c r="J1847">
        <v>193</v>
      </c>
      <c r="K1847">
        <v>0</v>
      </c>
      <c r="L1847">
        <v>0</v>
      </c>
      <c r="M1847">
        <v>0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</row>
    <row r="1848" spans="1:21" x14ac:dyDescent="0.25">
      <c r="A1848">
        <v>2025</v>
      </c>
      <c r="B1848">
        <v>10</v>
      </c>
      <c r="C1848" t="s">
        <v>75</v>
      </c>
      <c r="D1848" t="s">
        <v>22</v>
      </c>
      <c r="E1848" t="s">
        <v>114</v>
      </c>
      <c r="F1848" t="s">
        <v>28</v>
      </c>
      <c r="G1848" t="s">
        <v>25</v>
      </c>
      <c r="H1848" t="s">
        <v>25</v>
      </c>
      <c r="I1848" t="s">
        <v>25</v>
      </c>
      <c r="J1848">
        <v>12405</v>
      </c>
      <c r="K1848">
        <v>5</v>
      </c>
      <c r="L1848">
        <v>80</v>
      </c>
      <c r="M1848">
        <v>85</v>
      </c>
      <c r="N1848">
        <v>8</v>
      </c>
      <c r="O1848">
        <v>5</v>
      </c>
      <c r="P1848">
        <v>5</v>
      </c>
      <c r="Q1848">
        <v>2</v>
      </c>
      <c r="R1848">
        <v>2</v>
      </c>
      <c r="S1848">
        <v>2</v>
      </c>
      <c r="T1848">
        <v>1</v>
      </c>
      <c r="U1848">
        <v>12389</v>
      </c>
    </row>
    <row r="1849" spans="1:21" x14ac:dyDescent="0.25">
      <c r="A1849">
        <v>2025</v>
      </c>
      <c r="B1849">
        <v>10</v>
      </c>
      <c r="C1849" t="s">
        <v>75</v>
      </c>
      <c r="D1849" t="s">
        <v>22</v>
      </c>
      <c r="E1849" t="s">
        <v>114</v>
      </c>
      <c r="F1849" t="s">
        <v>24</v>
      </c>
      <c r="G1849" t="s">
        <v>25</v>
      </c>
      <c r="H1849" t="s">
        <v>25</v>
      </c>
      <c r="I1849" t="s">
        <v>25</v>
      </c>
      <c r="J1849">
        <v>197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197</v>
      </c>
    </row>
    <row r="1850" spans="1:21" x14ac:dyDescent="0.25">
      <c r="A1850">
        <v>2025</v>
      </c>
      <c r="B1850">
        <v>10</v>
      </c>
      <c r="C1850" t="s">
        <v>75</v>
      </c>
      <c r="D1850" t="s">
        <v>22</v>
      </c>
      <c r="E1850" t="s">
        <v>114</v>
      </c>
      <c r="F1850" t="s">
        <v>29</v>
      </c>
      <c r="G1850" t="s">
        <v>25</v>
      </c>
      <c r="H1850" t="s">
        <v>25</v>
      </c>
      <c r="I1850" t="s">
        <v>25</v>
      </c>
      <c r="J1850">
        <v>780</v>
      </c>
      <c r="K1850">
        <v>0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</row>
    <row r="1851" spans="1:21" x14ac:dyDescent="0.25">
      <c r="A1851">
        <v>2025</v>
      </c>
      <c r="B1851">
        <v>10</v>
      </c>
      <c r="C1851" t="s">
        <v>75</v>
      </c>
      <c r="D1851" t="s">
        <v>22</v>
      </c>
      <c r="E1851" t="s">
        <v>23</v>
      </c>
      <c r="F1851" t="s">
        <v>28</v>
      </c>
      <c r="G1851" t="s">
        <v>25</v>
      </c>
      <c r="H1851" t="s">
        <v>25</v>
      </c>
      <c r="I1851" t="s">
        <v>25</v>
      </c>
      <c r="J1851">
        <v>1427</v>
      </c>
      <c r="K1851">
        <v>10</v>
      </c>
      <c r="L1851">
        <v>0</v>
      </c>
      <c r="M1851">
        <v>10</v>
      </c>
      <c r="N1851">
        <v>384</v>
      </c>
      <c r="O1851">
        <v>259</v>
      </c>
      <c r="P1851">
        <v>259</v>
      </c>
      <c r="Q1851">
        <v>181</v>
      </c>
      <c r="R1851">
        <v>152</v>
      </c>
      <c r="S1851">
        <v>86</v>
      </c>
      <c r="T1851">
        <v>29</v>
      </c>
      <c r="U1851">
        <v>1417</v>
      </c>
    </row>
    <row r="1852" spans="1:21" x14ac:dyDescent="0.25">
      <c r="A1852">
        <v>2025</v>
      </c>
      <c r="B1852">
        <v>10</v>
      </c>
      <c r="C1852" t="s">
        <v>75</v>
      </c>
      <c r="D1852" t="s">
        <v>22</v>
      </c>
      <c r="E1852" t="s">
        <v>23</v>
      </c>
      <c r="F1852" t="s">
        <v>24</v>
      </c>
      <c r="G1852" t="s">
        <v>25</v>
      </c>
      <c r="H1852" t="s">
        <v>26</v>
      </c>
      <c r="I1852" t="s">
        <v>25</v>
      </c>
      <c r="J1852">
        <v>1377</v>
      </c>
      <c r="K1852">
        <v>16</v>
      </c>
      <c r="L1852">
        <v>0</v>
      </c>
      <c r="M1852">
        <v>16</v>
      </c>
      <c r="N1852">
        <v>7</v>
      </c>
      <c r="O1852">
        <v>6</v>
      </c>
      <c r="P1852">
        <v>4</v>
      </c>
      <c r="Q1852">
        <v>0</v>
      </c>
      <c r="R1852">
        <v>0</v>
      </c>
      <c r="S1852">
        <v>0</v>
      </c>
      <c r="T1852">
        <v>0</v>
      </c>
      <c r="U1852">
        <v>1361</v>
      </c>
    </row>
    <row r="1853" spans="1:21" x14ac:dyDescent="0.25">
      <c r="A1853">
        <v>2025</v>
      </c>
      <c r="B1853">
        <v>10</v>
      </c>
      <c r="C1853" t="s">
        <v>75</v>
      </c>
      <c r="D1853" t="s">
        <v>22</v>
      </c>
      <c r="E1853" t="s">
        <v>23</v>
      </c>
      <c r="F1853" t="s">
        <v>29</v>
      </c>
      <c r="G1853" t="s">
        <v>25</v>
      </c>
      <c r="H1853" t="s">
        <v>25</v>
      </c>
      <c r="I1853" t="s">
        <v>25</v>
      </c>
      <c r="J1853">
        <v>18</v>
      </c>
      <c r="K1853">
        <v>0</v>
      </c>
      <c r="L1853">
        <v>0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</row>
    <row r="1854" spans="1:21" x14ac:dyDescent="0.25">
      <c r="A1854">
        <v>2025</v>
      </c>
      <c r="B1854">
        <v>10</v>
      </c>
      <c r="C1854" t="s">
        <v>75</v>
      </c>
      <c r="D1854" t="s">
        <v>22</v>
      </c>
      <c r="E1854" t="s">
        <v>39</v>
      </c>
      <c r="F1854" t="s">
        <v>28</v>
      </c>
      <c r="G1854" t="s">
        <v>26</v>
      </c>
      <c r="H1854" t="s">
        <v>26</v>
      </c>
      <c r="I1854" t="s">
        <v>25</v>
      </c>
      <c r="J1854">
        <v>1</v>
      </c>
      <c r="K1854">
        <v>0</v>
      </c>
      <c r="L1854">
        <v>0</v>
      </c>
      <c r="M1854">
        <v>0</v>
      </c>
      <c r="N1854">
        <v>1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1</v>
      </c>
    </row>
    <row r="1855" spans="1:21" x14ac:dyDescent="0.25">
      <c r="A1855">
        <v>2025</v>
      </c>
      <c r="B1855">
        <v>10</v>
      </c>
      <c r="C1855" t="s">
        <v>75</v>
      </c>
      <c r="D1855" t="s">
        <v>22</v>
      </c>
      <c r="E1855" t="s">
        <v>39</v>
      </c>
      <c r="F1855" t="s">
        <v>24</v>
      </c>
      <c r="G1855" t="s">
        <v>26</v>
      </c>
      <c r="H1855" t="s">
        <v>26</v>
      </c>
      <c r="I1855" t="s">
        <v>25</v>
      </c>
      <c r="J1855">
        <v>545</v>
      </c>
      <c r="K1855">
        <v>1</v>
      </c>
      <c r="L1855">
        <v>2</v>
      </c>
      <c r="M1855">
        <v>3</v>
      </c>
      <c r="N1855">
        <v>198</v>
      </c>
      <c r="O1855">
        <v>137</v>
      </c>
      <c r="P1855">
        <v>129</v>
      </c>
      <c r="Q1855">
        <v>100</v>
      </c>
      <c r="R1855">
        <v>76</v>
      </c>
      <c r="S1855">
        <v>44</v>
      </c>
      <c r="T1855">
        <v>10</v>
      </c>
      <c r="U1855">
        <v>544</v>
      </c>
    </row>
    <row r="1856" spans="1:21" x14ac:dyDescent="0.25">
      <c r="A1856">
        <v>2025</v>
      </c>
      <c r="B1856">
        <v>10</v>
      </c>
      <c r="C1856" t="s">
        <v>75</v>
      </c>
      <c r="D1856" t="s">
        <v>22</v>
      </c>
      <c r="E1856" t="s">
        <v>84</v>
      </c>
      <c r="F1856" t="s">
        <v>28</v>
      </c>
      <c r="G1856" t="s">
        <v>25</v>
      </c>
      <c r="H1856" t="s">
        <v>25</v>
      </c>
      <c r="I1856" t="s">
        <v>25</v>
      </c>
      <c r="J1856">
        <v>179</v>
      </c>
      <c r="K1856">
        <v>5</v>
      </c>
      <c r="L1856">
        <v>0</v>
      </c>
      <c r="M1856">
        <v>5</v>
      </c>
      <c r="N1856">
        <v>10</v>
      </c>
      <c r="O1856">
        <v>3</v>
      </c>
      <c r="P1856">
        <v>3</v>
      </c>
      <c r="Q1856">
        <v>1</v>
      </c>
      <c r="R1856">
        <v>0</v>
      </c>
      <c r="S1856">
        <v>0</v>
      </c>
      <c r="T1856">
        <v>0</v>
      </c>
      <c r="U1856">
        <v>174</v>
      </c>
    </row>
    <row r="1857" spans="1:21" x14ac:dyDescent="0.25">
      <c r="A1857">
        <v>2025</v>
      </c>
      <c r="B1857">
        <v>10</v>
      </c>
      <c r="C1857" t="s">
        <v>75</v>
      </c>
      <c r="D1857" t="s">
        <v>22</v>
      </c>
      <c r="E1857" t="s">
        <v>84</v>
      </c>
      <c r="F1857" t="s">
        <v>29</v>
      </c>
      <c r="G1857" t="s">
        <v>25</v>
      </c>
      <c r="H1857" t="s">
        <v>25</v>
      </c>
      <c r="I1857" t="s">
        <v>25</v>
      </c>
      <c r="J1857">
        <v>52</v>
      </c>
      <c r="K1857">
        <v>4</v>
      </c>
      <c r="L1857">
        <v>0</v>
      </c>
      <c r="M1857">
        <v>4</v>
      </c>
      <c r="N1857">
        <v>0</v>
      </c>
      <c r="O1857">
        <v>0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0</v>
      </c>
    </row>
    <row r="1858" spans="1:21" x14ac:dyDescent="0.25">
      <c r="A1858">
        <v>2025</v>
      </c>
      <c r="B1858">
        <v>10</v>
      </c>
      <c r="C1858" t="s">
        <v>75</v>
      </c>
      <c r="D1858" t="s">
        <v>22</v>
      </c>
      <c r="E1858" t="s">
        <v>113</v>
      </c>
      <c r="F1858" t="s">
        <v>28</v>
      </c>
      <c r="G1858" t="s">
        <v>26</v>
      </c>
      <c r="H1858" t="s">
        <v>26</v>
      </c>
      <c r="I1858" t="s">
        <v>25</v>
      </c>
      <c r="J1858">
        <v>10</v>
      </c>
      <c r="K1858">
        <v>0</v>
      </c>
      <c r="L1858">
        <v>0</v>
      </c>
      <c r="M1858">
        <v>0</v>
      </c>
      <c r="N1858">
        <v>1</v>
      </c>
      <c r="O1858">
        <v>1</v>
      </c>
      <c r="P1858">
        <v>1</v>
      </c>
      <c r="Q1858">
        <v>1</v>
      </c>
      <c r="R1858">
        <v>0</v>
      </c>
      <c r="S1858">
        <v>0</v>
      </c>
      <c r="T1858">
        <v>0</v>
      </c>
      <c r="U1858">
        <v>10</v>
      </c>
    </row>
    <row r="1859" spans="1:21" x14ac:dyDescent="0.25">
      <c r="A1859">
        <v>2025</v>
      </c>
      <c r="B1859">
        <v>10</v>
      </c>
      <c r="C1859" t="s">
        <v>75</v>
      </c>
      <c r="D1859" t="s">
        <v>22</v>
      </c>
      <c r="E1859" t="s">
        <v>113</v>
      </c>
      <c r="F1859" t="s">
        <v>24</v>
      </c>
      <c r="G1859" t="s">
        <v>26</v>
      </c>
      <c r="H1859" t="s">
        <v>26</v>
      </c>
      <c r="I1859" t="s">
        <v>25</v>
      </c>
      <c r="J1859">
        <v>555</v>
      </c>
      <c r="K1859">
        <v>1</v>
      </c>
      <c r="L1859">
        <v>0</v>
      </c>
      <c r="M1859">
        <v>1</v>
      </c>
      <c r="N1859">
        <v>98</v>
      </c>
      <c r="O1859">
        <v>35</v>
      </c>
      <c r="P1859">
        <v>35</v>
      </c>
      <c r="Q1859">
        <v>24</v>
      </c>
      <c r="R1859">
        <v>19</v>
      </c>
      <c r="S1859">
        <v>8</v>
      </c>
      <c r="T1859">
        <v>3</v>
      </c>
      <c r="U1859">
        <v>554</v>
      </c>
    </row>
    <row r="1860" spans="1:21" x14ac:dyDescent="0.25">
      <c r="A1860">
        <v>2025</v>
      </c>
      <c r="B1860">
        <v>10</v>
      </c>
      <c r="C1860" t="s">
        <v>75</v>
      </c>
      <c r="D1860" t="s">
        <v>22</v>
      </c>
      <c r="E1860" t="s">
        <v>113</v>
      </c>
      <c r="F1860" t="s">
        <v>29</v>
      </c>
      <c r="G1860" t="s">
        <v>26</v>
      </c>
      <c r="H1860" t="s">
        <v>26</v>
      </c>
      <c r="I1860" t="s">
        <v>25</v>
      </c>
      <c r="J1860">
        <v>5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</row>
    <row r="1861" spans="1:21" x14ac:dyDescent="0.25">
      <c r="A1861">
        <v>2025</v>
      </c>
      <c r="B1861">
        <v>10</v>
      </c>
      <c r="C1861" t="s">
        <v>75</v>
      </c>
      <c r="D1861" t="s">
        <v>22</v>
      </c>
      <c r="E1861" t="s">
        <v>70</v>
      </c>
      <c r="F1861" t="s">
        <v>24</v>
      </c>
      <c r="G1861" t="s">
        <v>26</v>
      </c>
      <c r="H1861" t="s">
        <v>26</v>
      </c>
      <c r="I1861" t="s">
        <v>25</v>
      </c>
      <c r="J1861">
        <v>218</v>
      </c>
      <c r="K1861">
        <v>0</v>
      </c>
      <c r="L1861">
        <v>0</v>
      </c>
      <c r="M1861">
        <v>0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218</v>
      </c>
    </row>
    <row r="1862" spans="1:21" x14ac:dyDescent="0.25">
      <c r="A1862">
        <v>2025</v>
      </c>
      <c r="B1862">
        <v>10</v>
      </c>
      <c r="C1862" t="s">
        <v>75</v>
      </c>
      <c r="D1862" t="s">
        <v>22</v>
      </c>
      <c r="E1862" t="s">
        <v>115</v>
      </c>
      <c r="F1862" t="s">
        <v>28</v>
      </c>
      <c r="G1862" t="s">
        <v>25</v>
      </c>
      <c r="H1862" t="s">
        <v>25</v>
      </c>
      <c r="I1862" t="s">
        <v>25</v>
      </c>
      <c r="J1862">
        <v>316</v>
      </c>
      <c r="K1862">
        <v>0</v>
      </c>
      <c r="L1862">
        <v>0</v>
      </c>
      <c r="M1862">
        <v>0</v>
      </c>
      <c r="N1862">
        <v>2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316</v>
      </c>
    </row>
    <row r="1863" spans="1:21" x14ac:dyDescent="0.25">
      <c r="A1863">
        <v>2025</v>
      </c>
      <c r="B1863">
        <v>10</v>
      </c>
      <c r="C1863" t="s">
        <v>75</v>
      </c>
      <c r="D1863" t="s">
        <v>22</v>
      </c>
      <c r="E1863" t="s">
        <v>115</v>
      </c>
      <c r="F1863" t="s">
        <v>29</v>
      </c>
      <c r="G1863" t="s">
        <v>25</v>
      </c>
      <c r="H1863" t="s">
        <v>25</v>
      </c>
      <c r="I1863" t="s">
        <v>25</v>
      </c>
      <c r="J1863">
        <v>180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</row>
    <row r="1864" spans="1:21" x14ac:dyDescent="0.25">
      <c r="A1864">
        <v>2025</v>
      </c>
      <c r="B1864">
        <v>10</v>
      </c>
      <c r="C1864" t="s">
        <v>75</v>
      </c>
      <c r="D1864" t="s">
        <v>22</v>
      </c>
      <c r="E1864" t="s">
        <v>35</v>
      </c>
      <c r="F1864" t="s">
        <v>24</v>
      </c>
      <c r="G1864" t="s">
        <v>25</v>
      </c>
      <c r="H1864" t="s">
        <v>26</v>
      </c>
      <c r="I1864" t="s">
        <v>26</v>
      </c>
      <c r="J1864">
        <v>38</v>
      </c>
      <c r="K1864">
        <v>1</v>
      </c>
      <c r="L1864">
        <v>2</v>
      </c>
      <c r="M1864">
        <v>3</v>
      </c>
      <c r="N1864">
        <v>14</v>
      </c>
      <c r="O1864">
        <v>14</v>
      </c>
      <c r="P1864">
        <v>14</v>
      </c>
      <c r="Q1864">
        <v>14</v>
      </c>
      <c r="R1864">
        <v>12</v>
      </c>
      <c r="S1864">
        <v>6</v>
      </c>
      <c r="T1864">
        <v>4</v>
      </c>
      <c r="U1864">
        <v>37</v>
      </c>
    </row>
    <row r="1865" spans="1:21" x14ac:dyDescent="0.25">
      <c r="A1865">
        <v>2025</v>
      </c>
      <c r="B1865">
        <v>10</v>
      </c>
      <c r="C1865" t="s">
        <v>75</v>
      </c>
      <c r="D1865" t="s">
        <v>22</v>
      </c>
      <c r="E1865" t="s">
        <v>35</v>
      </c>
      <c r="F1865" t="s">
        <v>29</v>
      </c>
      <c r="G1865" t="s">
        <v>25</v>
      </c>
      <c r="H1865" t="s">
        <v>26</v>
      </c>
      <c r="I1865" t="s">
        <v>26</v>
      </c>
      <c r="J1865">
        <v>1</v>
      </c>
      <c r="K1865">
        <v>1</v>
      </c>
      <c r="L1865">
        <v>0</v>
      </c>
      <c r="M1865">
        <v>1</v>
      </c>
      <c r="N1865">
        <v>0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0</v>
      </c>
    </row>
    <row r="1866" spans="1:21" x14ac:dyDescent="0.25">
      <c r="A1866">
        <v>2025</v>
      </c>
      <c r="B1866">
        <v>10</v>
      </c>
      <c r="C1866" t="s">
        <v>75</v>
      </c>
      <c r="D1866" t="s">
        <v>22</v>
      </c>
      <c r="E1866" t="s">
        <v>111</v>
      </c>
      <c r="F1866" t="s">
        <v>28</v>
      </c>
      <c r="G1866" t="s">
        <v>26</v>
      </c>
      <c r="H1866" t="s">
        <v>26</v>
      </c>
      <c r="I1866" t="s">
        <v>25</v>
      </c>
      <c r="J1866">
        <v>9832</v>
      </c>
      <c r="K1866">
        <v>54</v>
      </c>
      <c r="L1866">
        <v>18</v>
      </c>
      <c r="M1866">
        <v>72</v>
      </c>
      <c r="N1866">
        <v>2126</v>
      </c>
      <c r="O1866">
        <v>1166</v>
      </c>
      <c r="P1866">
        <v>1166</v>
      </c>
      <c r="Q1866">
        <v>848</v>
      </c>
      <c r="R1866">
        <v>654</v>
      </c>
      <c r="S1866">
        <v>320</v>
      </c>
      <c r="T1866">
        <v>108</v>
      </c>
      <c r="U1866">
        <v>9772</v>
      </c>
    </row>
    <row r="1867" spans="1:21" x14ac:dyDescent="0.25">
      <c r="A1867">
        <v>2025</v>
      </c>
      <c r="B1867">
        <v>10</v>
      </c>
      <c r="C1867" t="s">
        <v>75</v>
      </c>
      <c r="D1867" t="s">
        <v>22</v>
      </c>
      <c r="E1867" t="s">
        <v>111</v>
      </c>
      <c r="F1867" t="s">
        <v>24</v>
      </c>
      <c r="G1867" t="s">
        <v>26</v>
      </c>
      <c r="H1867" t="s">
        <v>26</v>
      </c>
      <c r="I1867" t="s">
        <v>25</v>
      </c>
      <c r="J1867">
        <v>920</v>
      </c>
      <c r="K1867">
        <v>9</v>
      </c>
      <c r="L1867">
        <v>2</v>
      </c>
      <c r="M1867">
        <v>11</v>
      </c>
      <c r="N1867">
        <v>322</v>
      </c>
      <c r="O1867">
        <v>158</v>
      </c>
      <c r="P1867">
        <v>158</v>
      </c>
      <c r="Q1867">
        <v>110</v>
      </c>
      <c r="R1867">
        <v>78</v>
      </c>
      <c r="S1867">
        <v>38</v>
      </c>
      <c r="T1867">
        <v>15</v>
      </c>
      <c r="U1867">
        <v>909</v>
      </c>
    </row>
    <row r="1868" spans="1:21" x14ac:dyDescent="0.25">
      <c r="A1868">
        <v>2025</v>
      </c>
      <c r="B1868">
        <v>10</v>
      </c>
      <c r="C1868" t="s">
        <v>75</v>
      </c>
      <c r="D1868" t="s">
        <v>22</v>
      </c>
      <c r="E1868" t="s">
        <v>111</v>
      </c>
      <c r="F1868" t="s">
        <v>29</v>
      </c>
      <c r="G1868" t="s">
        <v>26</v>
      </c>
      <c r="H1868" t="s">
        <v>26</v>
      </c>
      <c r="I1868" t="s">
        <v>25</v>
      </c>
      <c r="J1868">
        <v>769</v>
      </c>
      <c r="K1868">
        <v>4</v>
      </c>
      <c r="L1868">
        <v>0</v>
      </c>
      <c r="M1868">
        <v>4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0</v>
      </c>
    </row>
    <row r="1869" spans="1:21" x14ac:dyDescent="0.25">
      <c r="A1869">
        <v>2025</v>
      </c>
      <c r="B1869">
        <v>10</v>
      </c>
      <c r="C1869" t="s">
        <v>75</v>
      </c>
      <c r="D1869" t="s">
        <v>22</v>
      </c>
      <c r="E1869" t="s">
        <v>110</v>
      </c>
      <c r="F1869" t="s">
        <v>28</v>
      </c>
      <c r="G1869" t="s">
        <v>25</v>
      </c>
      <c r="H1869" t="s">
        <v>25</v>
      </c>
      <c r="I1869" t="s">
        <v>25</v>
      </c>
      <c r="J1869">
        <v>137194</v>
      </c>
      <c r="K1869">
        <v>4814</v>
      </c>
      <c r="L1869">
        <v>792</v>
      </c>
      <c r="M1869">
        <v>5606</v>
      </c>
      <c r="N1869">
        <v>15170</v>
      </c>
      <c r="O1869">
        <v>6707</v>
      </c>
      <c r="P1869">
        <v>6703</v>
      </c>
      <c r="Q1869">
        <v>4332</v>
      </c>
      <c r="R1869">
        <v>3061</v>
      </c>
      <c r="S1869">
        <v>1260</v>
      </c>
      <c r="T1869">
        <v>219</v>
      </c>
      <c r="U1869">
        <v>132215</v>
      </c>
    </row>
    <row r="1870" spans="1:21" x14ac:dyDescent="0.25">
      <c r="A1870">
        <v>2025</v>
      </c>
      <c r="B1870">
        <v>10</v>
      </c>
      <c r="C1870" t="s">
        <v>75</v>
      </c>
      <c r="D1870" t="s">
        <v>22</v>
      </c>
      <c r="E1870" t="s">
        <v>110</v>
      </c>
      <c r="F1870" t="s">
        <v>24</v>
      </c>
      <c r="G1870" t="s">
        <v>25</v>
      </c>
      <c r="H1870" t="s">
        <v>25</v>
      </c>
      <c r="I1870" t="s">
        <v>25</v>
      </c>
      <c r="J1870">
        <v>18422</v>
      </c>
      <c r="K1870">
        <v>227</v>
      </c>
      <c r="L1870">
        <v>15</v>
      </c>
      <c r="M1870">
        <v>242</v>
      </c>
      <c r="N1870">
        <v>1745</v>
      </c>
      <c r="O1870">
        <v>672</v>
      </c>
      <c r="P1870">
        <v>670</v>
      </c>
      <c r="Q1870">
        <v>347</v>
      </c>
      <c r="R1870">
        <v>217</v>
      </c>
      <c r="S1870">
        <v>72</v>
      </c>
      <c r="T1870">
        <v>7</v>
      </c>
      <c r="U1870">
        <v>18191</v>
      </c>
    </row>
    <row r="1871" spans="1:21" x14ac:dyDescent="0.25">
      <c r="A1871">
        <v>2025</v>
      </c>
      <c r="B1871">
        <v>10</v>
      </c>
      <c r="C1871" t="s">
        <v>75</v>
      </c>
      <c r="D1871" t="s">
        <v>22</v>
      </c>
      <c r="E1871" t="s">
        <v>110</v>
      </c>
      <c r="F1871" t="s">
        <v>29</v>
      </c>
      <c r="G1871" t="s">
        <v>25</v>
      </c>
      <c r="H1871" t="s">
        <v>25</v>
      </c>
      <c r="I1871" t="s">
        <v>25</v>
      </c>
      <c r="J1871">
        <v>1432</v>
      </c>
      <c r="K1871">
        <v>22</v>
      </c>
      <c r="L1871">
        <v>0</v>
      </c>
      <c r="M1871">
        <v>22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0</v>
      </c>
    </row>
    <row r="1872" spans="1:21" x14ac:dyDescent="0.25">
      <c r="A1872">
        <v>2025</v>
      </c>
      <c r="B1872">
        <v>10</v>
      </c>
      <c r="C1872" t="s">
        <v>75</v>
      </c>
      <c r="D1872" t="s">
        <v>22</v>
      </c>
      <c r="E1872" t="s">
        <v>42</v>
      </c>
      <c r="F1872" t="s">
        <v>24</v>
      </c>
      <c r="G1872" t="s">
        <v>26</v>
      </c>
      <c r="H1872" t="s">
        <v>26</v>
      </c>
      <c r="I1872" t="s">
        <v>25</v>
      </c>
      <c r="J1872">
        <v>210</v>
      </c>
      <c r="K1872">
        <v>0</v>
      </c>
      <c r="L1872">
        <v>0</v>
      </c>
      <c r="M1872">
        <v>0</v>
      </c>
      <c r="N1872">
        <v>60</v>
      </c>
      <c r="O1872">
        <v>50</v>
      </c>
      <c r="P1872">
        <v>48</v>
      </c>
      <c r="Q1872">
        <v>37</v>
      </c>
      <c r="R1872">
        <v>28</v>
      </c>
      <c r="S1872">
        <v>11</v>
      </c>
      <c r="T1872">
        <v>2</v>
      </c>
      <c r="U1872">
        <v>210</v>
      </c>
    </row>
    <row r="1873" spans="1:21" x14ac:dyDescent="0.25">
      <c r="A1873">
        <v>2025</v>
      </c>
      <c r="B1873">
        <v>10</v>
      </c>
      <c r="C1873" t="s">
        <v>75</v>
      </c>
      <c r="D1873" t="s">
        <v>22</v>
      </c>
      <c r="E1873" t="s">
        <v>116</v>
      </c>
      <c r="F1873" t="s">
        <v>28</v>
      </c>
      <c r="G1873" t="s">
        <v>25</v>
      </c>
      <c r="H1873" t="s">
        <v>25</v>
      </c>
      <c r="I1873" t="s">
        <v>25</v>
      </c>
      <c r="J1873">
        <v>1150</v>
      </c>
      <c r="K1873">
        <v>0</v>
      </c>
      <c r="L1873">
        <v>0</v>
      </c>
      <c r="M1873">
        <v>0</v>
      </c>
      <c r="N1873">
        <v>136</v>
      </c>
      <c r="O1873">
        <v>44</v>
      </c>
      <c r="P1873">
        <v>44</v>
      </c>
      <c r="Q1873">
        <v>26</v>
      </c>
      <c r="R1873">
        <v>23</v>
      </c>
      <c r="S1873">
        <v>5</v>
      </c>
      <c r="T1873">
        <v>1</v>
      </c>
      <c r="U1873">
        <v>1150</v>
      </c>
    </row>
    <row r="1874" spans="1:21" x14ac:dyDescent="0.25">
      <c r="A1874">
        <v>2025</v>
      </c>
      <c r="B1874">
        <v>10</v>
      </c>
      <c r="C1874" t="s">
        <v>75</v>
      </c>
      <c r="D1874" t="s">
        <v>22</v>
      </c>
      <c r="E1874" t="s">
        <v>116</v>
      </c>
      <c r="F1874" t="s">
        <v>24</v>
      </c>
      <c r="G1874" t="s">
        <v>25</v>
      </c>
      <c r="H1874" t="s">
        <v>25</v>
      </c>
      <c r="I1874" t="s">
        <v>25</v>
      </c>
      <c r="J1874">
        <v>32</v>
      </c>
      <c r="K1874">
        <v>0</v>
      </c>
      <c r="L1874">
        <v>0</v>
      </c>
      <c r="M1874">
        <v>0</v>
      </c>
      <c r="N1874">
        <v>31</v>
      </c>
      <c r="O1874">
        <v>24</v>
      </c>
      <c r="P1874">
        <v>24</v>
      </c>
      <c r="Q1874">
        <v>9</v>
      </c>
      <c r="R1874">
        <v>5</v>
      </c>
      <c r="S1874">
        <v>1</v>
      </c>
      <c r="T1874">
        <v>0</v>
      </c>
      <c r="U1874">
        <v>32</v>
      </c>
    </row>
    <row r="1875" spans="1:21" x14ac:dyDescent="0.25">
      <c r="A1875">
        <v>2025</v>
      </c>
      <c r="B1875">
        <v>10</v>
      </c>
      <c r="C1875" t="s">
        <v>75</v>
      </c>
      <c r="D1875" t="s">
        <v>22</v>
      </c>
      <c r="E1875" t="s">
        <v>116</v>
      </c>
      <c r="F1875" t="s">
        <v>29</v>
      </c>
      <c r="G1875" t="s">
        <v>25</v>
      </c>
      <c r="H1875" t="s">
        <v>25</v>
      </c>
      <c r="I1875" t="s">
        <v>25</v>
      </c>
      <c r="J1875">
        <v>17</v>
      </c>
      <c r="K1875">
        <v>0</v>
      </c>
      <c r="L1875">
        <v>0</v>
      </c>
      <c r="M1875">
        <v>0</v>
      </c>
      <c r="N1875">
        <v>0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0</v>
      </c>
    </row>
    <row r="1876" spans="1:21" x14ac:dyDescent="0.25">
      <c r="A1876">
        <v>2025</v>
      </c>
      <c r="B1876">
        <v>10</v>
      </c>
      <c r="C1876" t="s">
        <v>79</v>
      </c>
      <c r="D1876" t="s">
        <v>22</v>
      </c>
      <c r="E1876" t="s">
        <v>31</v>
      </c>
      <c r="F1876" t="s">
        <v>24</v>
      </c>
      <c r="G1876" t="s">
        <v>25</v>
      </c>
      <c r="H1876" t="s">
        <v>25</v>
      </c>
      <c r="I1876" t="s">
        <v>25</v>
      </c>
      <c r="J1876">
        <v>414</v>
      </c>
      <c r="K1876">
        <v>0</v>
      </c>
      <c r="L1876">
        <v>0</v>
      </c>
      <c r="M1876">
        <v>0</v>
      </c>
      <c r="N1876">
        <v>16</v>
      </c>
      <c r="O1876">
        <v>14</v>
      </c>
      <c r="P1876">
        <v>12</v>
      </c>
      <c r="Q1876">
        <v>3</v>
      </c>
      <c r="R1876">
        <v>2</v>
      </c>
      <c r="S1876">
        <v>1</v>
      </c>
      <c r="T1876">
        <v>0</v>
      </c>
      <c r="U1876">
        <v>414</v>
      </c>
    </row>
    <row r="1877" spans="1:21" x14ac:dyDescent="0.25">
      <c r="A1877">
        <v>2025</v>
      </c>
      <c r="B1877">
        <v>10</v>
      </c>
      <c r="C1877" t="s">
        <v>79</v>
      </c>
      <c r="D1877" t="s">
        <v>22</v>
      </c>
      <c r="E1877" t="s">
        <v>32</v>
      </c>
      <c r="F1877" t="s">
        <v>24</v>
      </c>
      <c r="G1877" t="s">
        <v>25</v>
      </c>
      <c r="H1877" t="s">
        <v>25</v>
      </c>
      <c r="I1877" t="s">
        <v>25</v>
      </c>
      <c r="J1877">
        <v>21</v>
      </c>
      <c r="K1877">
        <v>0</v>
      </c>
      <c r="L1877">
        <v>0</v>
      </c>
      <c r="M1877">
        <v>0</v>
      </c>
      <c r="N1877">
        <v>1</v>
      </c>
      <c r="O1877">
        <v>1</v>
      </c>
      <c r="P1877">
        <v>1</v>
      </c>
      <c r="Q1877">
        <v>1</v>
      </c>
      <c r="R1877">
        <v>1</v>
      </c>
      <c r="S1877">
        <v>1</v>
      </c>
      <c r="T1877">
        <v>1</v>
      </c>
      <c r="U1877">
        <v>21</v>
      </c>
    </row>
    <row r="1878" spans="1:21" x14ac:dyDescent="0.25">
      <c r="A1878">
        <v>2025</v>
      </c>
      <c r="B1878">
        <v>10</v>
      </c>
      <c r="C1878" t="s">
        <v>79</v>
      </c>
      <c r="D1878" t="s">
        <v>22</v>
      </c>
      <c r="E1878" t="s">
        <v>34</v>
      </c>
      <c r="F1878" t="s">
        <v>24</v>
      </c>
      <c r="G1878" t="s">
        <v>25</v>
      </c>
      <c r="H1878" t="s">
        <v>26</v>
      </c>
      <c r="I1878" t="s">
        <v>26</v>
      </c>
      <c r="J1878">
        <v>131</v>
      </c>
      <c r="K1878">
        <v>0</v>
      </c>
      <c r="L1878">
        <v>0</v>
      </c>
      <c r="M1878">
        <v>0</v>
      </c>
      <c r="N1878">
        <v>6</v>
      </c>
      <c r="O1878">
        <v>4</v>
      </c>
      <c r="P1878">
        <v>4</v>
      </c>
      <c r="Q1878">
        <v>4</v>
      </c>
      <c r="R1878">
        <v>2</v>
      </c>
      <c r="S1878">
        <v>2</v>
      </c>
      <c r="T1878">
        <v>2</v>
      </c>
      <c r="U1878">
        <v>131</v>
      </c>
    </row>
    <row r="1879" spans="1:21" x14ac:dyDescent="0.25">
      <c r="A1879">
        <v>2025</v>
      </c>
      <c r="B1879">
        <v>10</v>
      </c>
      <c r="C1879" t="s">
        <v>79</v>
      </c>
      <c r="D1879" t="s">
        <v>22</v>
      </c>
      <c r="E1879" t="s">
        <v>23</v>
      </c>
      <c r="F1879" t="s">
        <v>24</v>
      </c>
      <c r="G1879" t="s">
        <v>25</v>
      </c>
      <c r="H1879" t="s">
        <v>25</v>
      </c>
      <c r="I1879" t="s">
        <v>25</v>
      </c>
      <c r="J1879">
        <v>41</v>
      </c>
      <c r="K1879">
        <v>0</v>
      </c>
      <c r="L1879">
        <v>0</v>
      </c>
      <c r="M1879">
        <v>0</v>
      </c>
      <c r="N1879">
        <v>11</v>
      </c>
      <c r="O1879">
        <v>10</v>
      </c>
      <c r="P1879">
        <v>10</v>
      </c>
      <c r="Q1879">
        <v>6</v>
      </c>
      <c r="R1879">
        <v>6</v>
      </c>
      <c r="S1879">
        <v>1</v>
      </c>
      <c r="T1879">
        <v>1</v>
      </c>
      <c r="U1879">
        <v>41</v>
      </c>
    </row>
    <row r="1880" spans="1:21" x14ac:dyDescent="0.25">
      <c r="A1880">
        <v>2025</v>
      </c>
      <c r="B1880">
        <v>10</v>
      </c>
      <c r="C1880" t="s">
        <v>80</v>
      </c>
      <c r="D1880" t="s">
        <v>22</v>
      </c>
      <c r="E1880" t="s">
        <v>31</v>
      </c>
      <c r="F1880" t="s">
        <v>24</v>
      </c>
      <c r="G1880" t="s">
        <v>25</v>
      </c>
      <c r="H1880" t="s">
        <v>25</v>
      </c>
      <c r="I1880" t="s">
        <v>25</v>
      </c>
      <c r="J1880">
        <v>84</v>
      </c>
      <c r="K1880">
        <v>0</v>
      </c>
      <c r="L1880">
        <v>0</v>
      </c>
      <c r="M1880">
        <v>0</v>
      </c>
      <c r="N1880">
        <v>11</v>
      </c>
      <c r="O1880">
        <v>9</v>
      </c>
      <c r="P1880">
        <v>8</v>
      </c>
      <c r="Q1880">
        <v>4</v>
      </c>
      <c r="R1880">
        <v>4</v>
      </c>
      <c r="S1880">
        <v>1</v>
      </c>
      <c r="T1880">
        <v>0</v>
      </c>
      <c r="U1880">
        <v>84</v>
      </c>
    </row>
    <row r="1881" spans="1:21" x14ac:dyDescent="0.25">
      <c r="A1881">
        <v>2025</v>
      </c>
      <c r="B1881">
        <v>10</v>
      </c>
      <c r="C1881" t="s">
        <v>80</v>
      </c>
      <c r="D1881" t="s">
        <v>22</v>
      </c>
      <c r="E1881" t="s">
        <v>102</v>
      </c>
      <c r="F1881" t="s">
        <v>28</v>
      </c>
      <c r="G1881" t="s">
        <v>25</v>
      </c>
      <c r="H1881" t="s">
        <v>25</v>
      </c>
      <c r="I1881" t="s">
        <v>25</v>
      </c>
      <c r="J1881">
        <v>1</v>
      </c>
      <c r="K1881">
        <v>0</v>
      </c>
      <c r="L1881">
        <v>1</v>
      </c>
      <c r="M1881">
        <v>1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</row>
    <row r="1882" spans="1:21" x14ac:dyDescent="0.25">
      <c r="A1882">
        <v>2025</v>
      </c>
      <c r="B1882">
        <v>10</v>
      </c>
      <c r="C1882" t="s">
        <v>80</v>
      </c>
      <c r="D1882" t="s">
        <v>22</v>
      </c>
      <c r="E1882" t="s">
        <v>32</v>
      </c>
      <c r="F1882" t="s">
        <v>28</v>
      </c>
      <c r="G1882" t="s">
        <v>25</v>
      </c>
      <c r="H1882" t="s">
        <v>25</v>
      </c>
      <c r="I1882" t="s">
        <v>25</v>
      </c>
      <c r="J1882">
        <v>149</v>
      </c>
      <c r="K1882">
        <v>0</v>
      </c>
      <c r="L1882">
        <v>3</v>
      </c>
      <c r="M1882">
        <v>3</v>
      </c>
      <c r="N1882">
        <v>62</v>
      </c>
      <c r="O1882">
        <v>44</v>
      </c>
      <c r="P1882">
        <v>36</v>
      </c>
      <c r="Q1882">
        <v>10</v>
      </c>
      <c r="R1882">
        <v>8</v>
      </c>
      <c r="S1882">
        <v>3</v>
      </c>
      <c r="T1882">
        <v>0</v>
      </c>
      <c r="U1882">
        <v>147</v>
      </c>
    </row>
    <row r="1883" spans="1:21" x14ac:dyDescent="0.25">
      <c r="A1883">
        <v>2025</v>
      </c>
      <c r="B1883">
        <v>10</v>
      </c>
      <c r="C1883" t="s">
        <v>80</v>
      </c>
      <c r="D1883" t="s">
        <v>22</v>
      </c>
      <c r="E1883" t="s">
        <v>32</v>
      </c>
      <c r="F1883" t="s">
        <v>24</v>
      </c>
      <c r="G1883" t="s">
        <v>25</v>
      </c>
      <c r="H1883" t="s">
        <v>25</v>
      </c>
      <c r="I1883" t="s">
        <v>25</v>
      </c>
      <c r="J1883">
        <v>1324</v>
      </c>
      <c r="K1883">
        <v>10</v>
      </c>
      <c r="L1883">
        <v>26</v>
      </c>
      <c r="M1883">
        <v>36</v>
      </c>
      <c r="N1883">
        <v>549</v>
      </c>
      <c r="O1883">
        <v>449</v>
      </c>
      <c r="P1883">
        <v>388</v>
      </c>
      <c r="Q1883">
        <v>247</v>
      </c>
      <c r="R1883">
        <v>164</v>
      </c>
      <c r="S1883">
        <v>66</v>
      </c>
      <c r="T1883">
        <v>19</v>
      </c>
      <c r="U1883">
        <v>1289</v>
      </c>
    </row>
    <row r="1884" spans="1:21" x14ac:dyDescent="0.25">
      <c r="A1884">
        <v>2025</v>
      </c>
      <c r="B1884">
        <v>10</v>
      </c>
      <c r="C1884" t="s">
        <v>80</v>
      </c>
      <c r="D1884" t="s">
        <v>22</v>
      </c>
      <c r="E1884" t="s">
        <v>38</v>
      </c>
      <c r="F1884" t="s">
        <v>24</v>
      </c>
      <c r="G1884" t="s">
        <v>25</v>
      </c>
      <c r="H1884" t="s">
        <v>26</v>
      </c>
      <c r="I1884" t="s">
        <v>25</v>
      </c>
      <c r="J1884">
        <v>2</v>
      </c>
      <c r="K1884">
        <v>0</v>
      </c>
      <c r="L1884">
        <v>0</v>
      </c>
      <c r="M1884">
        <v>0</v>
      </c>
      <c r="N1884">
        <v>0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2</v>
      </c>
    </row>
    <row r="1885" spans="1:21" x14ac:dyDescent="0.25">
      <c r="A1885">
        <v>2025</v>
      </c>
      <c r="B1885">
        <v>10</v>
      </c>
      <c r="C1885" t="s">
        <v>80</v>
      </c>
      <c r="D1885" t="s">
        <v>22</v>
      </c>
      <c r="E1885" t="s">
        <v>34</v>
      </c>
      <c r="F1885" t="s">
        <v>28</v>
      </c>
      <c r="G1885" t="s">
        <v>25</v>
      </c>
      <c r="H1885" t="s">
        <v>26</v>
      </c>
      <c r="I1885" t="s">
        <v>26</v>
      </c>
      <c r="J1885">
        <v>1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1</v>
      </c>
    </row>
    <row r="1886" spans="1:21" x14ac:dyDescent="0.25">
      <c r="A1886">
        <v>2025</v>
      </c>
      <c r="B1886">
        <v>10</v>
      </c>
      <c r="C1886" t="s">
        <v>80</v>
      </c>
      <c r="D1886" t="s">
        <v>22</v>
      </c>
      <c r="E1886" t="s">
        <v>76</v>
      </c>
      <c r="F1886" t="s">
        <v>28</v>
      </c>
      <c r="G1886" t="s">
        <v>25</v>
      </c>
      <c r="H1886" t="s">
        <v>26</v>
      </c>
      <c r="I1886" t="s">
        <v>25</v>
      </c>
      <c r="J1886">
        <v>48</v>
      </c>
      <c r="K1886">
        <v>0</v>
      </c>
      <c r="L1886">
        <v>5</v>
      </c>
      <c r="M1886">
        <v>5</v>
      </c>
      <c r="N1886">
        <v>11</v>
      </c>
      <c r="O1886">
        <v>9</v>
      </c>
      <c r="P1886">
        <v>9</v>
      </c>
      <c r="Q1886">
        <v>8</v>
      </c>
      <c r="R1886">
        <v>8</v>
      </c>
      <c r="S1886">
        <v>5</v>
      </c>
      <c r="T1886">
        <v>5</v>
      </c>
      <c r="U1886">
        <v>43</v>
      </c>
    </row>
    <row r="1887" spans="1:21" x14ac:dyDescent="0.25">
      <c r="A1887">
        <v>2025</v>
      </c>
      <c r="B1887">
        <v>10</v>
      </c>
      <c r="C1887" t="s">
        <v>80</v>
      </c>
      <c r="D1887" t="s">
        <v>22</v>
      </c>
      <c r="E1887" t="s">
        <v>81</v>
      </c>
      <c r="F1887" t="s">
        <v>28</v>
      </c>
      <c r="G1887" t="s">
        <v>25</v>
      </c>
      <c r="H1887" t="s">
        <v>26</v>
      </c>
      <c r="I1887" t="s">
        <v>25</v>
      </c>
      <c r="J1887">
        <v>599</v>
      </c>
      <c r="K1887">
        <v>0</v>
      </c>
      <c r="L1887">
        <v>19</v>
      </c>
      <c r="M1887">
        <v>19</v>
      </c>
      <c r="N1887">
        <v>301</v>
      </c>
      <c r="O1887">
        <v>253</v>
      </c>
      <c r="P1887">
        <v>226</v>
      </c>
      <c r="Q1887">
        <v>175</v>
      </c>
      <c r="R1887">
        <v>131</v>
      </c>
      <c r="S1887">
        <v>68</v>
      </c>
      <c r="T1887">
        <v>24</v>
      </c>
      <c r="U1887">
        <v>582</v>
      </c>
    </row>
    <row r="1888" spans="1:21" x14ac:dyDescent="0.25">
      <c r="A1888">
        <v>2025</v>
      </c>
      <c r="B1888">
        <v>10</v>
      </c>
      <c r="C1888" t="s">
        <v>80</v>
      </c>
      <c r="D1888" t="s">
        <v>22</v>
      </c>
      <c r="E1888" t="s">
        <v>82</v>
      </c>
      <c r="F1888" t="s">
        <v>28</v>
      </c>
      <c r="G1888" t="s">
        <v>25</v>
      </c>
      <c r="H1888" t="s">
        <v>26</v>
      </c>
      <c r="I1888" t="s">
        <v>25</v>
      </c>
      <c r="J1888">
        <v>206</v>
      </c>
      <c r="K1888">
        <v>0</v>
      </c>
      <c r="L1888">
        <v>7</v>
      </c>
      <c r="M1888">
        <v>7</v>
      </c>
      <c r="N1888">
        <v>130</v>
      </c>
      <c r="O1888">
        <v>114</v>
      </c>
      <c r="P1888">
        <v>107</v>
      </c>
      <c r="Q1888">
        <v>84</v>
      </c>
      <c r="R1888">
        <v>58</v>
      </c>
      <c r="S1888">
        <v>23</v>
      </c>
      <c r="T1888">
        <v>7</v>
      </c>
      <c r="U1888">
        <v>199</v>
      </c>
    </row>
    <row r="1889" spans="1:21" x14ac:dyDescent="0.25">
      <c r="A1889">
        <v>2025</v>
      </c>
      <c r="B1889">
        <v>10</v>
      </c>
      <c r="C1889" t="s">
        <v>80</v>
      </c>
      <c r="D1889" t="s">
        <v>22</v>
      </c>
      <c r="E1889" t="s">
        <v>83</v>
      </c>
      <c r="F1889" t="s">
        <v>28</v>
      </c>
      <c r="G1889" t="s">
        <v>26</v>
      </c>
      <c r="H1889" t="s">
        <v>26</v>
      </c>
      <c r="I1889" t="s">
        <v>25</v>
      </c>
      <c r="J1889">
        <v>6841</v>
      </c>
      <c r="K1889">
        <v>0</v>
      </c>
      <c r="L1889">
        <v>127</v>
      </c>
      <c r="M1889">
        <v>127</v>
      </c>
      <c r="N1889">
        <v>3378</v>
      </c>
      <c r="O1889">
        <v>2712</v>
      </c>
      <c r="P1889">
        <v>2447</v>
      </c>
      <c r="Q1889">
        <v>1758</v>
      </c>
      <c r="R1889">
        <v>1242</v>
      </c>
      <c r="S1889">
        <v>590</v>
      </c>
      <c r="T1889">
        <v>178</v>
      </c>
      <c r="U1889">
        <v>6728</v>
      </c>
    </row>
    <row r="1890" spans="1:21" x14ac:dyDescent="0.25">
      <c r="A1890">
        <v>2025</v>
      </c>
      <c r="B1890">
        <v>10</v>
      </c>
      <c r="C1890" t="s">
        <v>80</v>
      </c>
      <c r="D1890" t="s">
        <v>22</v>
      </c>
      <c r="E1890" t="s">
        <v>23</v>
      </c>
      <c r="F1890" t="s">
        <v>28</v>
      </c>
      <c r="G1890" t="s">
        <v>25</v>
      </c>
      <c r="H1890" t="s">
        <v>26</v>
      </c>
      <c r="I1890" t="s">
        <v>25</v>
      </c>
      <c r="J1890">
        <v>3302</v>
      </c>
      <c r="K1890">
        <v>0</v>
      </c>
      <c r="L1890">
        <v>132</v>
      </c>
      <c r="M1890">
        <v>132</v>
      </c>
      <c r="N1890">
        <v>1388</v>
      </c>
      <c r="O1890">
        <v>1122</v>
      </c>
      <c r="P1890">
        <v>1031</v>
      </c>
      <c r="Q1890">
        <v>668</v>
      </c>
      <c r="R1890">
        <v>457</v>
      </c>
      <c r="S1890">
        <v>226</v>
      </c>
      <c r="T1890">
        <v>86</v>
      </c>
      <c r="U1890">
        <v>3180</v>
      </c>
    </row>
    <row r="1891" spans="1:21" x14ac:dyDescent="0.25">
      <c r="A1891">
        <v>2025</v>
      </c>
      <c r="B1891">
        <v>10</v>
      </c>
      <c r="C1891" t="s">
        <v>80</v>
      </c>
      <c r="D1891" t="s">
        <v>22</v>
      </c>
      <c r="E1891" t="s">
        <v>23</v>
      </c>
      <c r="F1891" t="s">
        <v>24</v>
      </c>
      <c r="G1891" t="s">
        <v>25</v>
      </c>
      <c r="H1891" t="s">
        <v>26</v>
      </c>
      <c r="I1891" t="s">
        <v>25</v>
      </c>
      <c r="J1891">
        <v>2</v>
      </c>
      <c r="K1891">
        <v>0</v>
      </c>
      <c r="L1891">
        <v>0</v>
      </c>
      <c r="M1891">
        <v>0</v>
      </c>
      <c r="N1891">
        <v>1</v>
      </c>
      <c r="O1891">
        <v>1</v>
      </c>
      <c r="P1891">
        <v>1</v>
      </c>
      <c r="Q1891">
        <v>1</v>
      </c>
      <c r="R1891">
        <v>1</v>
      </c>
      <c r="S1891">
        <v>1</v>
      </c>
      <c r="T1891">
        <v>1</v>
      </c>
      <c r="U1891">
        <v>2</v>
      </c>
    </row>
    <row r="1892" spans="1:21" x14ac:dyDescent="0.25">
      <c r="A1892">
        <v>2025</v>
      </c>
      <c r="B1892">
        <v>10</v>
      </c>
      <c r="C1892" t="s">
        <v>80</v>
      </c>
      <c r="D1892" t="s">
        <v>22</v>
      </c>
      <c r="E1892" t="s">
        <v>84</v>
      </c>
      <c r="F1892" t="s">
        <v>28</v>
      </c>
      <c r="G1892" t="s">
        <v>25</v>
      </c>
      <c r="H1892" t="s">
        <v>26</v>
      </c>
      <c r="I1892" t="s">
        <v>26</v>
      </c>
      <c r="J1892">
        <v>561</v>
      </c>
      <c r="K1892">
        <v>0</v>
      </c>
      <c r="L1892">
        <v>0</v>
      </c>
      <c r="M1892">
        <v>0</v>
      </c>
      <c r="N1892">
        <v>163</v>
      </c>
      <c r="O1892">
        <v>118</v>
      </c>
      <c r="P1892">
        <v>105</v>
      </c>
      <c r="Q1892">
        <v>74</v>
      </c>
      <c r="R1892">
        <v>51</v>
      </c>
      <c r="S1892">
        <v>30</v>
      </c>
      <c r="T1892">
        <v>11</v>
      </c>
      <c r="U1892">
        <v>561</v>
      </c>
    </row>
    <row r="1893" spans="1:21" x14ac:dyDescent="0.25">
      <c r="A1893">
        <v>2025</v>
      </c>
      <c r="B1893">
        <v>10</v>
      </c>
      <c r="C1893" t="s">
        <v>80</v>
      </c>
      <c r="D1893" t="s">
        <v>22</v>
      </c>
      <c r="E1893" t="s">
        <v>40</v>
      </c>
      <c r="F1893" t="s">
        <v>28</v>
      </c>
      <c r="G1893" t="s">
        <v>25</v>
      </c>
      <c r="H1893" t="s">
        <v>26</v>
      </c>
      <c r="I1893" t="s">
        <v>25</v>
      </c>
      <c r="J1893">
        <v>5</v>
      </c>
      <c r="K1893">
        <v>0</v>
      </c>
      <c r="L1893">
        <v>2</v>
      </c>
      <c r="M1893">
        <v>2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3</v>
      </c>
    </row>
    <row r="1894" spans="1:21" x14ac:dyDescent="0.25">
      <c r="A1894">
        <v>2025</v>
      </c>
      <c r="B1894">
        <v>10</v>
      </c>
      <c r="C1894" t="s">
        <v>80</v>
      </c>
      <c r="D1894" t="s">
        <v>22</v>
      </c>
      <c r="E1894" t="s">
        <v>40</v>
      </c>
      <c r="F1894" t="s">
        <v>24</v>
      </c>
      <c r="G1894" t="s">
        <v>25</v>
      </c>
      <c r="H1894" t="s">
        <v>26</v>
      </c>
      <c r="I1894" t="s">
        <v>25</v>
      </c>
      <c r="J1894">
        <v>36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36</v>
      </c>
    </row>
    <row r="1895" spans="1:21" x14ac:dyDescent="0.25">
      <c r="A1895">
        <v>2025</v>
      </c>
      <c r="B1895">
        <v>10</v>
      </c>
      <c r="C1895" t="s">
        <v>80</v>
      </c>
      <c r="D1895" t="s">
        <v>22</v>
      </c>
      <c r="E1895" t="s">
        <v>85</v>
      </c>
      <c r="F1895" t="s">
        <v>28</v>
      </c>
      <c r="G1895" t="s">
        <v>25</v>
      </c>
      <c r="H1895" t="s">
        <v>25</v>
      </c>
      <c r="I1895" t="s">
        <v>25</v>
      </c>
      <c r="J1895">
        <v>8487</v>
      </c>
      <c r="K1895">
        <v>0</v>
      </c>
      <c r="L1895">
        <v>256</v>
      </c>
      <c r="M1895">
        <v>256</v>
      </c>
      <c r="N1895">
        <v>795</v>
      </c>
      <c r="O1895">
        <v>421</v>
      </c>
      <c r="P1895">
        <v>338</v>
      </c>
      <c r="Q1895">
        <v>178</v>
      </c>
      <c r="R1895">
        <v>97</v>
      </c>
      <c r="S1895">
        <v>32</v>
      </c>
      <c r="T1895">
        <v>2</v>
      </c>
      <c r="U1895">
        <v>8287</v>
      </c>
    </row>
    <row r="1896" spans="1:21" x14ac:dyDescent="0.25">
      <c r="A1896">
        <v>2025</v>
      </c>
      <c r="B1896">
        <v>10</v>
      </c>
      <c r="C1896" t="s">
        <v>80</v>
      </c>
      <c r="D1896" t="s">
        <v>22</v>
      </c>
      <c r="E1896" t="s">
        <v>86</v>
      </c>
      <c r="F1896" t="s">
        <v>28</v>
      </c>
      <c r="G1896" t="s">
        <v>25</v>
      </c>
      <c r="H1896" t="s">
        <v>25</v>
      </c>
      <c r="I1896" t="s">
        <v>25</v>
      </c>
      <c r="J1896">
        <v>75</v>
      </c>
      <c r="K1896">
        <v>0</v>
      </c>
      <c r="L1896">
        <v>10</v>
      </c>
      <c r="M1896">
        <v>10</v>
      </c>
      <c r="N1896">
        <v>62</v>
      </c>
      <c r="O1896">
        <v>62</v>
      </c>
      <c r="P1896">
        <v>62</v>
      </c>
      <c r="Q1896">
        <v>61</v>
      </c>
      <c r="R1896">
        <v>57</v>
      </c>
      <c r="S1896">
        <v>49</v>
      </c>
      <c r="T1896">
        <v>30</v>
      </c>
      <c r="U1896">
        <v>65</v>
      </c>
    </row>
    <row r="1897" spans="1:21" x14ac:dyDescent="0.25">
      <c r="A1897">
        <v>2025</v>
      </c>
      <c r="B1897">
        <v>10</v>
      </c>
      <c r="C1897" t="s">
        <v>80</v>
      </c>
      <c r="D1897" t="s">
        <v>22</v>
      </c>
      <c r="E1897" t="s">
        <v>86</v>
      </c>
      <c r="F1897" t="s">
        <v>29</v>
      </c>
      <c r="G1897" t="s">
        <v>25</v>
      </c>
      <c r="H1897" t="s">
        <v>25</v>
      </c>
      <c r="I1897" t="s">
        <v>25</v>
      </c>
      <c r="J1897">
        <v>8</v>
      </c>
      <c r="K1897">
        <v>1</v>
      </c>
      <c r="L1897">
        <v>0</v>
      </c>
      <c r="M1897">
        <v>1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</row>
    <row r="1898" spans="1:21" x14ac:dyDescent="0.25">
      <c r="A1898">
        <v>2025</v>
      </c>
      <c r="B1898">
        <v>10</v>
      </c>
      <c r="C1898" t="s">
        <v>80</v>
      </c>
      <c r="D1898" t="s">
        <v>22</v>
      </c>
      <c r="E1898" t="s">
        <v>35</v>
      </c>
      <c r="F1898" t="s">
        <v>28</v>
      </c>
      <c r="G1898" t="s">
        <v>25</v>
      </c>
      <c r="H1898" t="s">
        <v>26</v>
      </c>
      <c r="I1898" t="s">
        <v>26</v>
      </c>
      <c r="J1898">
        <v>2</v>
      </c>
      <c r="K1898">
        <v>0</v>
      </c>
      <c r="L1898">
        <v>0</v>
      </c>
      <c r="M1898">
        <v>0</v>
      </c>
      <c r="N1898">
        <v>1</v>
      </c>
      <c r="O1898">
        <v>1</v>
      </c>
      <c r="P1898">
        <v>1</v>
      </c>
      <c r="Q1898">
        <v>1</v>
      </c>
      <c r="R1898">
        <v>0</v>
      </c>
      <c r="S1898">
        <v>0</v>
      </c>
      <c r="T1898">
        <v>0</v>
      </c>
      <c r="U1898">
        <v>2</v>
      </c>
    </row>
    <row r="1899" spans="1:21" x14ac:dyDescent="0.25">
      <c r="A1899">
        <v>2025</v>
      </c>
      <c r="B1899">
        <v>10</v>
      </c>
      <c r="C1899" t="s">
        <v>80</v>
      </c>
      <c r="D1899" t="s">
        <v>22</v>
      </c>
      <c r="E1899" t="s">
        <v>35</v>
      </c>
      <c r="F1899" t="s">
        <v>24</v>
      </c>
      <c r="G1899" t="s">
        <v>25</v>
      </c>
      <c r="H1899" t="s">
        <v>26</v>
      </c>
      <c r="I1899" t="s">
        <v>26</v>
      </c>
      <c r="J1899">
        <v>219</v>
      </c>
      <c r="K1899">
        <v>0</v>
      </c>
      <c r="L1899">
        <v>0</v>
      </c>
      <c r="M1899">
        <v>0</v>
      </c>
      <c r="N1899">
        <v>41</v>
      </c>
      <c r="O1899">
        <v>29</v>
      </c>
      <c r="P1899">
        <v>25</v>
      </c>
      <c r="Q1899">
        <v>17</v>
      </c>
      <c r="R1899">
        <v>12</v>
      </c>
      <c r="S1899">
        <v>9</v>
      </c>
      <c r="T1899">
        <v>6</v>
      </c>
      <c r="U1899">
        <v>219</v>
      </c>
    </row>
    <row r="1900" spans="1:21" x14ac:dyDescent="0.25">
      <c r="A1900">
        <v>2025</v>
      </c>
      <c r="B1900">
        <v>10</v>
      </c>
      <c r="C1900" t="s">
        <v>80</v>
      </c>
      <c r="D1900" t="s">
        <v>22</v>
      </c>
      <c r="E1900" t="s">
        <v>87</v>
      </c>
      <c r="F1900" t="s">
        <v>28</v>
      </c>
      <c r="G1900" t="s">
        <v>25</v>
      </c>
      <c r="H1900" t="s">
        <v>25</v>
      </c>
      <c r="I1900" t="s">
        <v>25</v>
      </c>
      <c r="J1900">
        <v>236502</v>
      </c>
      <c r="K1900">
        <v>65</v>
      </c>
      <c r="L1900">
        <v>8126</v>
      </c>
      <c r="M1900">
        <v>8191</v>
      </c>
      <c r="N1900">
        <v>51802</v>
      </c>
      <c r="O1900">
        <v>29773</v>
      </c>
      <c r="P1900">
        <v>23444</v>
      </c>
      <c r="Q1900">
        <v>11566</v>
      </c>
      <c r="R1900">
        <v>6612</v>
      </c>
      <c r="S1900">
        <v>2246</v>
      </c>
      <c r="T1900">
        <v>474</v>
      </c>
      <c r="U1900">
        <v>229638</v>
      </c>
    </row>
    <row r="1901" spans="1:21" x14ac:dyDescent="0.25">
      <c r="A1901">
        <v>2025</v>
      </c>
      <c r="B1901">
        <v>10</v>
      </c>
      <c r="C1901" t="s">
        <v>80</v>
      </c>
      <c r="D1901" t="s">
        <v>22</v>
      </c>
      <c r="E1901" t="s">
        <v>87</v>
      </c>
      <c r="F1901" t="s">
        <v>24</v>
      </c>
      <c r="G1901" t="s">
        <v>25</v>
      </c>
      <c r="H1901" t="s">
        <v>25</v>
      </c>
      <c r="I1901" t="s">
        <v>25</v>
      </c>
      <c r="J1901">
        <v>5947</v>
      </c>
      <c r="K1901">
        <v>121</v>
      </c>
      <c r="L1901">
        <v>81</v>
      </c>
      <c r="M1901">
        <v>202</v>
      </c>
      <c r="N1901">
        <v>1427</v>
      </c>
      <c r="O1901">
        <v>835</v>
      </c>
      <c r="P1901">
        <v>688</v>
      </c>
      <c r="Q1901">
        <v>311</v>
      </c>
      <c r="R1901">
        <v>145</v>
      </c>
      <c r="S1901">
        <v>29</v>
      </c>
      <c r="T1901">
        <v>5</v>
      </c>
      <c r="U1901">
        <v>5765</v>
      </c>
    </row>
    <row r="1902" spans="1:21" x14ac:dyDescent="0.25">
      <c r="A1902">
        <v>2025</v>
      </c>
      <c r="B1902">
        <v>10</v>
      </c>
      <c r="C1902" t="s">
        <v>80</v>
      </c>
      <c r="D1902" t="s">
        <v>22</v>
      </c>
      <c r="E1902" t="s">
        <v>36</v>
      </c>
      <c r="F1902" t="s">
        <v>28</v>
      </c>
      <c r="G1902" t="s">
        <v>25</v>
      </c>
      <c r="H1902" t="s">
        <v>26</v>
      </c>
      <c r="I1902" t="s">
        <v>25</v>
      </c>
      <c r="J1902">
        <v>1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1</v>
      </c>
    </row>
    <row r="1903" spans="1:21" x14ac:dyDescent="0.25">
      <c r="A1903">
        <v>2025</v>
      </c>
      <c r="B1903">
        <v>10</v>
      </c>
      <c r="C1903" t="s">
        <v>80</v>
      </c>
      <c r="D1903" t="s">
        <v>22</v>
      </c>
      <c r="E1903" t="s">
        <v>36</v>
      </c>
      <c r="F1903" t="s">
        <v>24</v>
      </c>
      <c r="G1903" t="s">
        <v>25</v>
      </c>
      <c r="H1903" t="s">
        <v>26</v>
      </c>
      <c r="I1903" t="s">
        <v>25</v>
      </c>
      <c r="J1903">
        <v>114</v>
      </c>
      <c r="K1903">
        <v>0</v>
      </c>
      <c r="L1903">
        <v>0</v>
      </c>
      <c r="M1903">
        <v>0</v>
      </c>
      <c r="N1903">
        <v>32</v>
      </c>
      <c r="O1903">
        <v>27</v>
      </c>
      <c r="P1903">
        <v>26</v>
      </c>
      <c r="Q1903">
        <v>22</v>
      </c>
      <c r="R1903">
        <v>12</v>
      </c>
      <c r="S1903">
        <v>7</v>
      </c>
      <c r="T1903">
        <v>3</v>
      </c>
      <c r="U1903">
        <v>114</v>
      </c>
    </row>
    <row r="1904" spans="1:21" x14ac:dyDescent="0.25">
      <c r="A1904">
        <v>2025</v>
      </c>
      <c r="B1904">
        <v>10</v>
      </c>
      <c r="C1904" t="s">
        <v>80</v>
      </c>
      <c r="D1904" t="s">
        <v>22</v>
      </c>
      <c r="E1904" t="s">
        <v>41</v>
      </c>
      <c r="F1904" t="s">
        <v>24</v>
      </c>
      <c r="G1904" t="s">
        <v>26</v>
      </c>
      <c r="H1904" t="s">
        <v>26</v>
      </c>
      <c r="I1904" t="s">
        <v>25</v>
      </c>
      <c r="J1904">
        <v>2</v>
      </c>
      <c r="K1904">
        <v>0</v>
      </c>
      <c r="L1904">
        <v>0</v>
      </c>
      <c r="M1904">
        <v>0</v>
      </c>
      <c r="N1904">
        <v>1</v>
      </c>
      <c r="O1904">
        <v>1</v>
      </c>
      <c r="P1904">
        <v>1</v>
      </c>
      <c r="Q1904">
        <v>1</v>
      </c>
      <c r="R1904">
        <v>1</v>
      </c>
      <c r="S1904">
        <v>1</v>
      </c>
      <c r="T1904">
        <v>1</v>
      </c>
      <c r="U1904">
        <v>2</v>
      </c>
    </row>
    <row r="1905" spans="1:21" x14ac:dyDescent="0.25">
      <c r="A1905">
        <v>2025</v>
      </c>
      <c r="B1905">
        <v>10</v>
      </c>
      <c r="C1905" t="s">
        <v>88</v>
      </c>
      <c r="D1905" t="s">
        <v>45</v>
      </c>
      <c r="E1905" t="s">
        <v>83</v>
      </c>
      <c r="F1905" t="s">
        <v>28</v>
      </c>
      <c r="G1905" t="s">
        <v>26</v>
      </c>
      <c r="H1905" t="s">
        <v>26</v>
      </c>
      <c r="I1905" t="s">
        <v>25</v>
      </c>
      <c r="J1905">
        <v>495</v>
      </c>
      <c r="K1905">
        <v>0</v>
      </c>
      <c r="L1905">
        <v>0</v>
      </c>
      <c r="M1905">
        <v>0</v>
      </c>
      <c r="N1905">
        <v>171</v>
      </c>
      <c r="O1905">
        <v>129</v>
      </c>
      <c r="P1905">
        <v>113</v>
      </c>
      <c r="Q1905">
        <v>69</v>
      </c>
      <c r="R1905">
        <v>48</v>
      </c>
      <c r="S1905">
        <v>26</v>
      </c>
      <c r="T1905">
        <v>12</v>
      </c>
      <c r="U1905">
        <v>495</v>
      </c>
    </row>
    <row r="1906" spans="1:21" x14ac:dyDescent="0.25">
      <c r="A1906">
        <v>2025</v>
      </c>
      <c r="B1906">
        <v>10</v>
      </c>
      <c r="C1906" t="s">
        <v>88</v>
      </c>
      <c r="D1906" t="s">
        <v>45</v>
      </c>
      <c r="E1906" t="s">
        <v>83</v>
      </c>
      <c r="F1906" t="s">
        <v>24</v>
      </c>
      <c r="G1906" t="s">
        <v>26</v>
      </c>
      <c r="H1906" t="s">
        <v>26</v>
      </c>
      <c r="I1906" t="s">
        <v>25</v>
      </c>
      <c r="J1906">
        <v>123</v>
      </c>
      <c r="K1906">
        <v>0</v>
      </c>
      <c r="L1906">
        <v>0</v>
      </c>
      <c r="M1906">
        <v>0</v>
      </c>
      <c r="N1906">
        <v>66</v>
      </c>
      <c r="O1906">
        <v>55</v>
      </c>
      <c r="P1906">
        <v>52</v>
      </c>
      <c r="Q1906">
        <v>37</v>
      </c>
      <c r="R1906">
        <v>27</v>
      </c>
      <c r="S1906">
        <v>16</v>
      </c>
      <c r="T1906">
        <v>4</v>
      </c>
      <c r="U1906">
        <v>123</v>
      </c>
    </row>
    <row r="1907" spans="1:21" x14ac:dyDescent="0.25">
      <c r="A1907">
        <v>2025</v>
      </c>
      <c r="B1907">
        <v>10</v>
      </c>
      <c r="C1907" t="s">
        <v>89</v>
      </c>
      <c r="D1907" t="s">
        <v>22</v>
      </c>
      <c r="E1907" t="s">
        <v>91</v>
      </c>
      <c r="F1907" t="s">
        <v>28</v>
      </c>
      <c r="G1907" t="s">
        <v>25</v>
      </c>
      <c r="H1907" t="s">
        <v>25</v>
      </c>
      <c r="I1907" t="s">
        <v>25</v>
      </c>
      <c r="J1907">
        <v>3319</v>
      </c>
      <c r="K1907">
        <v>0</v>
      </c>
      <c r="L1907">
        <v>0</v>
      </c>
      <c r="M1907">
        <v>0</v>
      </c>
      <c r="N1907">
        <v>27</v>
      </c>
      <c r="O1907">
        <v>23</v>
      </c>
      <c r="P1907">
        <v>23</v>
      </c>
      <c r="Q1907">
        <v>14</v>
      </c>
      <c r="R1907">
        <v>12</v>
      </c>
      <c r="S1907">
        <v>6</v>
      </c>
      <c r="T1907">
        <v>2</v>
      </c>
      <c r="U1907">
        <v>3319</v>
      </c>
    </row>
    <row r="1908" spans="1:21" x14ac:dyDescent="0.25">
      <c r="A1908">
        <v>2025</v>
      </c>
      <c r="B1908">
        <v>10</v>
      </c>
      <c r="C1908" t="s">
        <v>89</v>
      </c>
      <c r="D1908" t="s">
        <v>22</v>
      </c>
      <c r="E1908" t="s">
        <v>91</v>
      </c>
      <c r="F1908" t="s">
        <v>24</v>
      </c>
      <c r="G1908" t="s">
        <v>25</v>
      </c>
      <c r="H1908" t="s">
        <v>25</v>
      </c>
      <c r="I1908" t="s">
        <v>25</v>
      </c>
      <c r="J1908">
        <v>1540</v>
      </c>
      <c r="K1908">
        <v>0</v>
      </c>
      <c r="L1908">
        <v>0</v>
      </c>
      <c r="M1908">
        <v>0</v>
      </c>
      <c r="N1908">
        <v>26</v>
      </c>
      <c r="O1908">
        <v>24</v>
      </c>
      <c r="P1908">
        <v>23</v>
      </c>
      <c r="Q1908">
        <v>18</v>
      </c>
      <c r="R1908">
        <v>13</v>
      </c>
      <c r="S1908">
        <v>6</v>
      </c>
      <c r="T1908">
        <v>3</v>
      </c>
      <c r="U1908">
        <v>1540</v>
      </c>
    </row>
    <row r="1909" spans="1:21" x14ac:dyDescent="0.25">
      <c r="A1909">
        <v>2025</v>
      </c>
      <c r="B1909">
        <v>10</v>
      </c>
      <c r="C1909" t="s">
        <v>89</v>
      </c>
      <c r="D1909" t="s">
        <v>22</v>
      </c>
      <c r="E1909" t="s">
        <v>92</v>
      </c>
      <c r="F1909" t="s">
        <v>28</v>
      </c>
      <c r="G1909" t="s">
        <v>25</v>
      </c>
      <c r="H1909" t="s">
        <v>25</v>
      </c>
      <c r="I1909" t="s">
        <v>25</v>
      </c>
      <c r="J1909">
        <v>1501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1501</v>
      </c>
    </row>
    <row r="1910" spans="1:21" x14ac:dyDescent="0.25">
      <c r="A1910">
        <v>2025</v>
      </c>
      <c r="B1910">
        <v>10</v>
      </c>
      <c r="C1910" t="s">
        <v>89</v>
      </c>
      <c r="D1910" t="s">
        <v>22</v>
      </c>
      <c r="E1910" t="s">
        <v>92</v>
      </c>
      <c r="F1910" t="s">
        <v>29</v>
      </c>
      <c r="G1910" t="s">
        <v>25</v>
      </c>
      <c r="H1910" t="s">
        <v>25</v>
      </c>
      <c r="I1910" t="s">
        <v>25</v>
      </c>
      <c r="J1910">
        <v>1</v>
      </c>
      <c r="K1910">
        <v>0</v>
      </c>
      <c r="L1910">
        <v>0</v>
      </c>
      <c r="M1910">
        <v>0</v>
      </c>
      <c r="N1910">
        <v>0</v>
      </c>
      <c r="O1910">
        <v>0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0</v>
      </c>
    </row>
    <row r="1911" spans="1:21" x14ac:dyDescent="0.25">
      <c r="A1911">
        <v>2025</v>
      </c>
      <c r="B1911">
        <v>10</v>
      </c>
      <c r="C1911" t="s">
        <v>89</v>
      </c>
      <c r="D1911" t="s">
        <v>22</v>
      </c>
      <c r="E1911" t="s">
        <v>31</v>
      </c>
      <c r="F1911" t="s">
        <v>24</v>
      </c>
      <c r="G1911" t="s">
        <v>25</v>
      </c>
      <c r="H1911" t="s">
        <v>25</v>
      </c>
      <c r="I1911" t="s">
        <v>25</v>
      </c>
      <c r="J1911">
        <v>291</v>
      </c>
      <c r="K1911">
        <v>0</v>
      </c>
      <c r="L1911">
        <v>0</v>
      </c>
      <c r="M1911">
        <v>0</v>
      </c>
      <c r="N1911">
        <v>118</v>
      </c>
      <c r="O1911">
        <v>112</v>
      </c>
      <c r="P1911">
        <v>110</v>
      </c>
      <c r="Q1911">
        <v>106</v>
      </c>
      <c r="R1911">
        <v>102</v>
      </c>
      <c r="S1911">
        <v>35</v>
      </c>
      <c r="T1911">
        <v>11</v>
      </c>
      <c r="U1911">
        <v>291</v>
      </c>
    </row>
    <row r="1912" spans="1:21" x14ac:dyDescent="0.25">
      <c r="A1912">
        <v>2025</v>
      </c>
      <c r="B1912">
        <v>10</v>
      </c>
      <c r="C1912" t="s">
        <v>89</v>
      </c>
      <c r="D1912" t="s">
        <v>22</v>
      </c>
      <c r="E1912" t="s">
        <v>95</v>
      </c>
      <c r="F1912" t="s">
        <v>28</v>
      </c>
      <c r="G1912" t="s">
        <v>25</v>
      </c>
      <c r="H1912" t="s">
        <v>25</v>
      </c>
      <c r="I1912" t="s">
        <v>25</v>
      </c>
      <c r="J1912">
        <v>41</v>
      </c>
      <c r="K1912">
        <v>0</v>
      </c>
      <c r="L1912">
        <v>0</v>
      </c>
      <c r="M1912">
        <v>0</v>
      </c>
      <c r="N1912">
        <v>0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41</v>
      </c>
    </row>
    <row r="1913" spans="1:21" x14ac:dyDescent="0.25">
      <c r="A1913">
        <v>2025</v>
      </c>
      <c r="B1913">
        <v>10</v>
      </c>
      <c r="C1913" t="s">
        <v>89</v>
      </c>
      <c r="D1913" t="s">
        <v>22</v>
      </c>
      <c r="E1913" t="s">
        <v>95</v>
      </c>
      <c r="F1913" t="s">
        <v>24</v>
      </c>
      <c r="G1913" t="s">
        <v>25</v>
      </c>
      <c r="H1913" t="s">
        <v>25</v>
      </c>
      <c r="I1913" t="s">
        <v>25</v>
      </c>
      <c r="J1913">
        <v>82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82</v>
      </c>
    </row>
    <row r="1914" spans="1:21" x14ac:dyDescent="0.25">
      <c r="A1914">
        <v>2025</v>
      </c>
      <c r="B1914">
        <v>10</v>
      </c>
      <c r="C1914" t="s">
        <v>89</v>
      </c>
      <c r="D1914" t="s">
        <v>22</v>
      </c>
      <c r="E1914" t="s">
        <v>23</v>
      </c>
      <c r="F1914" t="s">
        <v>24</v>
      </c>
      <c r="G1914" t="s">
        <v>25</v>
      </c>
      <c r="H1914" t="s">
        <v>25</v>
      </c>
      <c r="I1914" t="s">
        <v>25</v>
      </c>
      <c r="J1914">
        <v>31</v>
      </c>
      <c r="K1914">
        <v>0</v>
      </c>
      <c r="L1914">
        <v>0</v>
      </c>
      <c r="M1914">
        <v>0</v>
      </c>
      <c r="N1914">
        <v>4</v>
      </c>
      <c r="O1914">
        <v>2</v>
      </c>
      <c r="P1914">
        <v>2</v>
      </c>
      <c r="Q1914">
        <v>1</v>
      </c>
      <c r="R1914">
        <v>1</v>
      </c>
      <c r="S1914">
        <v>1</v>
      </c>
      <c r="T1914">
        <v>1</v>
      </c>
      <c r="U1914">
        <v>31</v>
      </c>
    </row>
    <row r="1915" spans="1:21" x14ac:dyDescent="0.25">
      <c r="A1915">
        <v>2025</v>
      </c>
      <c r="B1915">
        <v>10</v>
      </c>
      <c r="C1915" t="s">
        <v>89</v>
      </c>
      <c r="D1915" t="s">
        <v>22</v>
      </c>
      <c r="E1915" t="s">
        <v>103</v>
      </c>
      <c r="F1915" t="s">
        <v>28</v>
      </c>
      <c r="G1915" t="s">
        <v>25</v>
      </c>
      <c r="H1915" t="s">
        <v>25</v>
      </c>
      <c r="I1915" t="s">
        <v>25</v>
      </c>
      <c r="J1915">
        <v>2</v>
      </c>
      <c r="K1915">
        <v>0</v>
      </c>
      <c r="L1915">
        <v>0</v>
      </c>
      <c r="M1915">
        <v>0</v>
      </c>
      <c r="N1915">
        <v>1</v>
      </c>
      <c r="O1915">
        <v>1</v>
      </c>
      <c r="P1915">
        <v>1</v>
      </c>
      <c r="Q1915">
        <v>1</v>
      </c>
      <c r="R1915">
        <v>1</v>
      </c>
      <c r="S1915">
        <v>0</v>
      </c>
      <c r="T1915">
        <v>0</v>
      </c>
      <c r="U1915">
        <v>2</v>
      </c>
    </row>
    <row r="1916" spans="1:21" x14ac:dyDescent="0.25">
      <c r="A1916">
        <v>2025</v>
      </c>
      <c r="B1916">
        <v>10</v>
      </c>
      <c r="C1916" t="s">
        <v>89</v>
      </c>
      <c r="D1916" t="s">
        <v>22</v>
      </c>
      <c r="E1916" t="s">
        <v>107</v>
      </c>
      <c r="F1916" t="s">
        <v>28</v>
      </c>
      <c r="G1916" t="s">
        <v>25</v>
      </c>
      <c r="H1916" t="s">
        <v>25</v>
      </c>
      <c r="I1916" t="s">
        <v>25</v>
      </c>
      <c r="J1916">
        <v>11</v>
      </c>
      <c r="K1916">
        <v>0</v>
      </c>
      <c r="L1916">
        <v>0</v>
      </c>
      <c r="M1916">
        <v>0</v>
      </c>
      <c r="N1916">
        <v>8</v>
      </c>
      <c r="O1916">
        <v>6</v>
      </c>
      <c r="P1916">
        <v>6</v>
      </c>
      <c r="Q1916">
        <v>5</v>
      </c>
      <c r="R1916">
        <v>4</v>
      </c>
      <c r="S1916">
        <v>2</v>
      </c>
      <c r="T1916">
        <v>1</v>
      </c>
      <c r="U1916">
        <v>11</v>
      </c>
    </row>
    <row r="1917" spans="1:21" x14ac:dyDescent="0.25">
      <c r="A1917">
        <v>2025</v>
      </c>
      <c r="B1917">
        <v>10</v>
      </c>
      <c r="C1917" t="s">
        <v>89</v>
      </c>
      <c r="D1917" t="s">
        <v>22</v>
      </c>
      <c r="E1917" t="s">
        <v>97</v>
      </c>
      <c r="F1917" t="s">
        <v>28</v>
      </c>
      <c r="G1917" t="s">
        <v>25</v>
      </c>
      <c r="H1917" t="s">
        <v>25</v>
      </c>
      <c r="I1917" t="s">
        <v>25</v>
      </c>
      <c r="J1917">
        <v>4</v>
      </c>
      <c r="K1917">
        <v>0</v>
      </c>
      <c r="L1917">
        <v>1</v>
      </c>
      <c r="M1917">
        <v>1</v>
      </c>
      <c r="N1917">
        <v>0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4</v>
      </c>
    </row>
    <row r="1918" spans="1:21" x14ac:dyDescent="0.25">
      <c r="A1918">
        <v>2025</v>
      </c>
      <c r="B1918">
        <v>10</v>
      </c>
      <c r="C1918" t="s">
        <v>89</v>
      </c>
      <c r="D1918" t="s">
        <v>22</v>
      </c>
      <c r="E1918" t="s">
        <v>97</v>
      </c>
      <c r="F1918" t="s">
        <v>24</v>
      </c>
      <c r="G1918" t="s">
        <v>25</v>
      </c>
      <c r="H1918" t="s">
        <v>25</v>
      </c>
      <c r="I1918" t="s">
        <v>25</v>
      </c>
      <c r="J1918">
        <v>5</v>
      </c>
      <c r="K1918">
        <v>0</v>
      </c>
      <c r="L1918">
        <v>0</v>
      </c>
      <c r="M1918">
        <v>0</v>
      </c>
      <c r="N1918">
        <v>4</v>
      </c>
      <c r="O1918">
        <v>3</v>
      </c>
      <c r="P1918">
        <v>2</v>
      </c>
      <c r="Q1918">
        <v>1</v>
      </c>
      <c r="R1918">
        <v>0</v>
      </c>
      <c r="S1918">
        <v>0</v>
      </c>
      <c r="T1918">
        <v>0</v>
      </c>
      <c r="U1918">
        <v>5</v>
      </c>
    </row>
    <row r="1919" spans="1:21" x14ac:dyDescent="0.25">
      <c r="A1919">
        <v>2025</v>
      </c>
      <c r="B1919">
        <v>10</v>
      </c>
      <c r="C1919" t="s">
        <v>89</v>
      </c>
      <c r="D1919" t="s">
        <v>22</v>
      </c>
      <c r="F1919" t="s">
        <v>28</v>
      </c>
      <c r="G1919" t="s">
        <v>25</v>
      </c>
      <c r="H1919" t="s">
        <v>25</v>
      </c>
      <c r="I1919" t="s">
        <v>25</v>
      </c>
      <c r="J1919">
        <v>16</v>
      </c>
      <c r="K1919">
        <v>1</v>
      </c>
      <c r="L1919">
        <v>1</v>
      </c>
      <c r="M1919">
        <v>2</v>
      </c>
      <c r="N1919">
        <v>8</v>
      </c>
      <c r="O1919">
        <v>6</v>
      </c>
      <c r="P1919">
        <v>6</v>
      </c>
      <c r="Q1919">
        <v>3</v>
      </c>
      <c r="R1919">
        <v>2</v>
      </c>
      <c r="S1919">
        <v>1</v>
      </c>
      <c r="T1919">
        <v>0</v>
      </c>
      <c r="U1919">
        <v>14</v>
      </c>
    </row>
    <row r="1920" spans="1:21" x14ac:dyDescent="0.25">
      <c r="A1920">
        <v>2025</v>
      </c>
      <c r="B1920">
        <v>10</v>
      </c>
      <c r="C1920" t="s">
        <v>89</v>
      </c>
      <c r="D1920" t="s">
        <v>22</v>
      </c>
      <c r="F1920" t="s">
        <v>29</v>
      </c>
      <c r="G1920" t="s">
        <v>25</v>
      </c>
      <c r="H1920" t="s">
        <v>25</v>
      </c>
      <c r="I1920" t="s">
        <v>25</v>
      </c>
      <c r="J1920">
        <v>2</v>
      </c>
      <c r="K1920">
        <v>0</v>
      </c>
      <c r="L1920">
        <v>0</v>
      </c>
      <c r="M1920">
        <v>0</v>
      </c>
      <c r="N1920">
        <v>0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0</v>
      </c>
    </row>
    <row r="1921" spans="1:21" x14ac:dyDescent="0.25">
      <c r="A1921">
        <v>2025</v>
      </c>
      <c r="B1921">
        <v>10</v>
      </c>
      <c r="C1921" t="s">
        <v>98</v>
      </c>
      <c r="D1921" t="s">
        <v>22</v>
      </c>
      <c r="E1921" t="s">
        <v>31</v>
      </c>
      <c r="F1921" t="s">
        <v>24</v>
      </c>
      <c r="G1921" t="s">
        <v>25</v>
      </c>
      <c r="H1921" t="s">
        <v>25</v>
      </c>
      <c r="I1921" t="s">
        <v>25</v>
      </c>
      <c r="J1921">
        <v>40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40</v>
      </c>
    </row>
    <row r="1922" spans="1:21" x14ac:dyDescent="0.25">
      <c r="A1922">
        <v>2025</v>
      </c>
      <c r="B1922">
        <v>10</v>
      </c>
      <c r="C1922" t="s">
        <v>98</v>
      </c>
      <c r="D1922" t="s">
        <v>22</v>
      </c>
      <c r="E1922" t="s">
        <v>32</v>
      </c>
      <c r="F1922" t="s">
        <v>24</v>
      </c>
      <c r="G1922" t="s">
        <v>25</v>
      </c>
      <c r="H1922" t="s">
        <v>25</v>
      </c>
      <c r="I1922" t="s">
        <v>25</v>
      </c>
      <c r="J1922">
        <v>62</v>
      </c>
      <c r="K1922">
        <v>0</v>
      </c>
      <c r="L1922">
        <v>0</v>
      </c>
      <c r="M1922">
        <v>0</v>
      </c>
      <c r="N1922">
        <v>1</v>
      </c>
      <c r="O1922">
        <v>1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62</v>
      </c>
    </row>
    <row r="1923" spans="1:21" x14ac:dyDescent="0.25">
      <c r="A1923">
        <v>2025</v>
      </c>
      <c r="B1923">
        <v>10</v>
      </c>
      <c r="C1923" t="s">
        <v>99</v>
      </c>
      <c r="D1923" t="s">
        <v>45</v>
      </c>
      <c r="E1923" t="s">
        <v>100</v>
      </c>
      <c r="F1923" t="s">
        <v>28</v>
      </c>
      <c r="G1923" t="s">
        <v>25</v>
      </c>
      <c r="H1923" t="s">
        <v>26</v>
      </c>
      <c r="I1923" t="s">
        <v>25</v>
      </c>
      <c r="J1923">
        <v>1037</v>
      </c>
      <c r="K1923">
        <v>0</v>
      </c>
      <c r="L1923">
        <v>0</v>
      </c>
      <c r="M1923">
        <v>0</v>
      </c>
      <c r="N1923">
        <v>4</v>
      </c>
      <c r="O1923">
        <v>2</v>
      </c>
      <c r="P1923">
        <v>2</v>
      </c>
      <c r="Q1923">
        <v>2</v>
      </c>
      <c r="R1923">
        <v>0</v>
      </c>
      <c r="S1923">
        <v>0</v>
      </c>
      <c r="T1923">
        <v>0</v>
      </c>
      <c r="U1923">
        <v>1037</v>
      </c>
    </row>
    <row r="1924" spans="1:21" x14ac:dyDescent="0.25">
      <c r="A1924">
        <v>2025</v>
      </c>
      <c r="B1924">
        <v>10</v>
      </c>
      <c r="C1924" t="s">
        <v>99</v>
      </c>
      <c r="D1924" t="s">
        <v>45</v>
      </c>
      <c r="E1924" t="s">
        <v>100</v>
      </c>
      <c r="F1924" t="s">
        <v>24</v>
      </c>
      <c r="G1924" t="s">
        <v>25</v>
      </c>
      <c r="H1924" t="s">
        <v>26</v>
      </c>
      <c r="I1924" t="s">
        <v>25</v>
      </c>
      <c r="J1924">
        <v>218</v>
      </c>
      <c r="K1924">
        <v>0</v>
      </c>
      <c r="L1924">
        <v>0</v>
      </c>
      <c r="M1924">
        <v>0</v>
      </c>
      <c r="N1924">
        <v>158</v>
      </c>
      <c r="O1924">
        <v>122</v>
      </c>
      <c r="P1924">
        <v>106</v>
      </c>
      <c r="Q1924">
        <v>61</v>
      </c>
      <c r="R1924">
        <v>41</v>
      </c>
      <c r="S1924">
        <v>20</v>
      </c>
      <c r="T1924">
        <v>3</v>
      </c>
      <c r="U1924">
        <v>218</v>
      </c>
    </row>
    <row r="1925" spans="1:21" x14ac:dyDescent="0.25">
      <c r="A1925">
        <v>2025</v>
      </c>
      <c r="B1925">
        <v>10</v>
      </c>
      <c r="C1925" t="s">
        <v>101</v>
      </c>
      <c r="D1925" t="s">
        <v>22</v>
      </c>
      <c r="E1925" t="s">
        <v>32</v>
      </c>
      <c r="F1925" t="s">
        <v>24</v>
      </c>
      <c r="G1925" t="s">
        <v>25</v>
      </c>
      <c r="H1925" t="s">
        <v>25</v>
      </c>
      <c r="I1925" t="s">
        <v>25</v>
      </c>
      <c r="J1925">
        <v>25</v>
      </c>
      <c r="K1925">
        <v>0</v>
      </c>
      <c r="L1925">
        <v>0</v>
      </c>
      <c r="M1925">
        <v>0</v>
      </c>
      <c r="N1925">
        <v>24</v>
      </c>
      <c r="O1925">
        <v>24</v>
      </c>
      <c r="P1925">
        <v>24</v>
      </c>
      <c r="Q1925">
        <v>24</v>
      </c>
      <c r="R1925">
        <v>22</v>
      </c>
      <c r="S1925">
        <v>16</v>
      </c>
      <c r="T1925">
        <v>8</v>
      </c>
      <c r="U1925">
        <v>25</v>
      </c>
    </row>
    <row r="1926" spans="1:21" x14ac:dyDescent="0.25">
      <c r="A1926">
        <v>2025</v>
      </c>
      <c r="B1926">
        <v>10</v>
      </c>
      <c r="C1926" t="s">
        <v>101</v>
      </c>
      <c r="D1926" t="s">
        <v>22</v>
      </c>
      <c r="E1926" t="s">
        <v>34</v>
      </c>
      <c r="F1926" t="s">
        <v>24</v>
      </c>
      <c r="G1926" t="s">
        <v>25</v>
      </c>
      <c r="H1926" t="s">
        <v>26</v>
      </c>
      <c r="I1926" t="s">
        <v>26</v>
      </c>
      <c r="J1926">
        <v>62</v>
      </c>
      <c r="K1926">
        <v>0</v>
      </c>
      <c r="L1926">
        <v>0</v>
      </c>
      <c r="M1926">
        <v>0</v>
      </c>
      <c r="N1926">
        <v>8</v>
      </c>
      <c r="O1926">
        <v>8</v>
      </c>
      <c r="P1926">
        <v>7</v>
      </c>
      <c r="Q1926">
        <v>6</v>
      </c>
      <c r="R1926">
        <v>6</v>
      </c>
      <c r="S1926">
        <v>3</v>
      </c>
      <c r="T1926">
        <v>3</v>
      </c>
      <c r="U1926">
        <v>62</v>
      </c>
    </row>
    <row r="1927" spans="1:21" x14ac:dyDescent="0.25">
      <c r="A1927">
        <v>2025</v>
      </c>
      <c r="B1927">
        <v>10</v>
      </c>
      <c r="C1927" t="s">
        <v>101</v>
      </c>
      <c r="D1927" t="s">
        <v>22</v>
      </c>
      <c r="E1927" t="s">
        <v>41</v>
      </c>
      <c r="F1927" t="s">
        <v>24</v>
      </c>
      <c r="G1927" t="s">
        <v>26</v>
      </c>
      <c r="H1927" t="s">
        <v>26</v>
      </c>
      <c r="I1927" t="s">
        <v>25</v>
      </c>
      <c r="J1927">
        <v>41</v>
      </c>
      <c r="K1927">
        <v>0</v>
      </c>
      <c r="L1927">
        <v>0</v>
      </c>
      <c r="M1927">
        <v>0</v>
      </c>
      <c r="N1927">
        <v>6</v>
      </c>
      <c r="O1927">
        <v>5</v>
      </c>
      <c r="P1927">
        <v>4</v>
      </c>
      <c r="Q1927">
        <v>3</v>
      </c>
      <c r="R1927">
        <v>1</v>
      </c>
      <c r="S1927">
        <v>1</v>
      </c>
      <c r="T1927">
        <v>0</v>
      </c>
      <c r="U1927">
        <v>41</v>
      </c>
    </row>
    <row r="1928" spans="1:21" x14ac:dyDescent="0.25">
      <c r="A1928">
        <v>2025</v>
      </c>
      <c r="B1928">
        <v>11</v>
      </c>
      <c r="C1928" t="s">
        <v>21</v>
      </c>
      <c r="D1928" t="s">
        <v>22</v>
      </c>
      <c r="E1928" t="s">
        <v>23</v>
      </c>
      <c r="F1928" t="s">
        <v>24</v>
      </c>
      <c r="G1928" t="s">
        <v>25</v>
      </c>
      <c r="H1928" t="s">
        <v>26</v>
      </c>
      <c r="I1928" t="s">
        <v>25</v>
      </c>
      <c r="J1928">
        <v>957</v>
      </c>
      <c r="K1928">
        <v>9</v>
      </c>
      <c r="L1928">
        <v>0</v>
      </c>
      <c r="M1928">
        <v>9</v>
      </c>
      <c r="N1928">
        <v>103</v>
      </c>
      <c r="O1928">
        <v>69</v>
      </c>
      <c r="P1928">
        <v>55</v>
      </c>
      <c r="Q1928">
        <v>32</v>
      </c>
      <c r="R1928">
        <v>23</v>
      </c>
      <c r="S1928">
        <v>6</v>
      </c>
      <c r="T1928">
        <v>1</v>
      </c>
      <c r="U1928">
        <v>948</v>
      </c>
    </row>
    <row r="1929" spans="1:21" x14ac:dyDescent="0.25">
      <c r="A1929">
        <v>2025</v>
      </c>
      <c r="B1929">
        <v>11</v>
      </c>
      <c r="C1929" t="s">
        <v>21</v>
      </c>
      <c r="D1929" t="s">
        <v>22</v>
      </c>
      <c r="E1929" t="s">
        <v>111</v>
      </c>
      <c r="F1929" t="s">
        <v>24</v>
      </c>
      <c r="G1929" t="s">
        <v>26</v>
      </c>
      <c r="H1929" t="s">
        <v>26</v>
      </c>
      <c r="I1929" t="s">
        <v>25</v>
      </c>
      <c r="J1929">
        <v>55</v>
      </c>
      <c r="K1929">
        <v>1</v>
      </c>
      <c r="L1929">
        <v>0</v>
      </c>
      <c r="M1929">
        <v>1</v>
      </c>
      <c r="N1929">
        <v>28</v>
      </c>
      <c r="O1929">
        <v>9</v>
      </c>
      <c r="P1929">
        <v>9</v>
      </c>
      <c r="Q1929">
        <v>8</v>
      </c>
      <c r="R1929">
        <v>3</v>
      </c>
      <c r="S1929">
        <v>0</v>
      </c>
      <c r="T1929">
        <v>0</v>
      </c>
      <c r="U1929">
        <v>54</v>
      </c>
    </row>
    <row r="1930" spans="1:21" x14ac:dyDescent="0.25">
      <c r="A1930">
        <v>2025</v>
      </c>
      <c r="B1930">
        <v>11</v>
      </c>
      <c r="C1930" t="s">
        <v>21</v>
      </c>
      <c r="D1930" t="s">
        <v>22</v>
      </c>
      <c r="E1930" t="s">
        <v>111</v>
      </c>
      <c r="F1930" t="s">
        <v>29</v>
      </c>
      <c r="G1930" t="s">
        <v>26</v>
      </c>
      <c r="H1930" t="s">
        <v>26</v>
      </c>
      <c r="I1930" t="s">
        <v>25</v>
      </c>
      <c r="J1930">
        <v>13</v>
      </c>
      <c r="K1930">
        <v>0</v>
      </c>
      <c r="L1930">
        <v>0</v>
      </c>
      <c r="M1930">
        <v>0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</row>
    <row r="1931" spans="1:21" x14ac:dyDescent="0.25">
      <c r="A1931">
        <v>2025</v>
      </c>
      <c r="B1931">
        <v>11</v>
      </c>
      <c r="C1931" t="s">
        <v>30</v>
      </c>
      <c r="D1931" t="s">
        <v>22</v>
      </c>
      <c r="E1931" t="s">
        <v>31</v>
      </c>
      <c r="F1931" t="s">
        <v>24</v>
      </c>
      <c r="G1931" t="s">
        <v>25</v>
      </c>
      <c r="H1931" t="s">
        <v>25</v>
      </c>
      <c r="I1931" t="s">
        <v>25</v>
      </c>
      <c r="J1931">
        <v>53</v>
      </c>
      <c r="K1931">
        <v>0</v>
      </c>
      <c r="L1931">
        <v>0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53</v>
      </c>
    </row>
    <row r="1932" spans="1:21" x14ac:dyDescent="0.25">
      <c r="A1932">
        <v>2025</v>
      </c>
      <c r="B1932">
        <v>11</v>
      </c>
      <c r="C1932" t="s">
        <v>33</v>
      </c>
      <c r="D1932" t="s">
        <v>22</v>
      </c>
      <c r="E1932" t="s">
        <v>32</v>
      </c>
      <c r="F1932" t="s">
        <v>24</v>
      </c>
      <c r="G1932" t="s">
        <v>25</v>
      </c>
      <c r="H1932" t="s">
        <v>25</v>
      </c>
      <c r="I1932" t="s">
        <v>25</v>
      </c>
      <c r="J1932">
        <v>751</v>
      </c>
      <c r="K1932">
        <v>2</v>
      </c>
      <c r="L1932">
        <v>0</v>
      </c>
      <c r="M1932">
        <v>2</v>
      </c>
      <c r="N1932">
        <v>240</v>
      </c>
      <c r="O1932">
        <v>203</v>
      </c>
      <c r="P1932">
        <v>183</v>
      </c>
      <c r="Q1932">
        <v>146</v>
      </c>
      <c r="R1932">
        <v>113</v>
      </c>
      <c r="S1932">
        <v>62</v>
      </c>
      <c r="T1932">
        <v>20</v>
      </c>
      <c r="U1932">
        <v>749</v>
      </c>
    </row>
    <row r="1933" spans="1:21" x14ac:dyDescent="0.25">
      <c r="A1933">
        <v>2025</v>
      </c>
      <c r="B1933">
        <v>11</v>
      </c>
      <c r="C1933" t="s">
        <v>33</v>
      </c>
      <c r="D1933" t="s">
        <v>22</v>
      </c>
      <c r="E1933" t="s">
        <v>34</v>
      </c>
      <c r="F1933" t="s">
        <v>24</v>
      </c>
      <c r="G1933" t="s">
        <v>25</v>
      </c>
      <c r="H1933" t="s">
        <v>26</v>
      </c>
      <c r="I1933" t="s">
        <v>26</v>
      </c>
      <c r="J1933">
        <v>148</v>
      </c>
      <c r="K1933">
        <v>0</v>
      </c>
      <c r="L1933">
        <v>1</v>
      </c>
      <c r="M1933">
        <v>1</v>
      </c>
      <c r="N1933">
        <v>83</v>
      </c>
      <c r="O1933">
        <v>78</v>
      </c>
      <c r="P1933">
        <v>74</v>
      </c>
      <c r="Q1933">
        <v>63</v>
      </c>
      <c r="R1933">
        <v>53</v>
      </c>
      <c r="S1933">
        <v>26</v>
      </c>
      <c r="T1933">
        <v>14</v>
      </c>
      <c r="U1933">
        <v>147</v>
      </c>
    </row>
    <row r="1934" spans="1:21" x14ac:dyDescent="0.25">
      <c r="A1934">
        <v>2025</v>
      </c>
      <c r="B1934">
        <v>11</v>
      </c>
      <c r="C1934" t="s">
        <v>33</v>
      </c>
      <c r="D1934" t="s">
        <v>22</v>
      </c>
      <c r="E1934" t="s">
        <v>23</v>
      </c>
      <c r="F1934" t="s">
        <v>24</v>
      </c>
      <c r="G1934" t="s">
        <v>25</v>
      </c>
      <c r="H1934" t="s">
        <v>25</v>
      </c>
      <c r="I1934" t="s">
        <v>25</v>
      </c>
      <c r="J1934">
        <v>220</v>
      </c>
      <c r="K1934">
        <v>0</v>
      </c>
      <c r="L1934">
        <v>0</v>
      </c>
      <c r="M1934">
        <v>0</v>
      </c>
      <c r="N1934">
        <v>0</v>
      </c>
      <c r="O1934">
        <v>0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220</v>
      </c>
    </row>
    <row r="1935" spans="1:21" x14ac:dyDescent="0.25">
      <c r="A1935">
        <v>2025</v>
      </c>
      <c r="B1935">
        <v>11</v>
      </c>
      <c r="C1935" t="s">
        <v>33</v>
      </c>
      <c r="D1935" t="s">
        <v>22</v>
      </c>
      <c r="E1935" t="s">
        <v>23</v>
      </c>
      <c r="F1935" t="s">
        <v>24</v>
      </c>
      <c r="G1935" t="s">
        <v>25</v>
      </c>
      <c r="H1935" t="s">
        <v>26</v>
      </c>
      <c r="I1935" t="s">
        <v>25</v>
      </c>
      <c r="J1935">
        <v>58</v>
      </c>
      <c r="K1935">
        <v>0</v>
      </c>
      <c r="L1935">
        <v>0</v>
      </c>
      <c r="M1935">
        <v>0</v>
      </c>
      <c r="N1935">
        <v>8</v>
      </c>
      <c r="O1935">
        <v>8</v>
      </c>
      <c r="P1935">
        <v>8</v>
      </c>
      <c r="Q1935">
        <v>6</v>
      </c>
      <c r="R1935">
        <v>6</v>
      </c>
      <c r="S1935">
        <v>6</v>
      </c>
      <c r="T1935">
        <v>2</v>
      </c>
      <c r="U1935">
        <v>58</v>
      </c>
    </row>
    <row r="1936" spans="1:21" x14ac:dyDescent="0.25">
      <c r="A1936">
        <v>2025</v>
      </c>
      <c r="B1936">
        <v>11</v>
      </c>
      <c r="C1936" t="s">
        <v>33</v>
      </c>
      <c r="D1936" t="s">
        <v>22</v>
      </c>
      <c r="E1936" t="s">
        <v>35</v>
      </c>
      <c r="F1936" t="s">
        <v>24</v>
      </c>
      <c r="G1936" t="s">
        <v>25</v>
      </c>
      <c r="H1936" t="s">
        <v>26</v>
      </c>
      <c r="I1936" t="s">
        <v>26</v>
      </c>
      <c r="J1936">
        <v>47</v>
      </c>
      <c r="K1936">
        <v>0</v>
      </c>
      <c r="L1936">
        <v>0</v>
      </c>
      <c r="M1936">
        <v>0</v>
      </c>
      <c r="N1936">
        <v>43</v>
      </c>
      <c r="O1936">
        <v>40</v>
      </c>
      <c r="P1936">
        <v>40</v>
      </c>
      <c r="Q1936">
        <v>38</v>
      </c>
      <c r="R1936">
        <v>34</v>
      </c>
      <c r="S1936">
        <v>15</v>
      </c>
      <c r="T1936">
        <v>9</v>
      </c>
      <c r="U1936">
        <v>47</v>
      </c>
    </row>
    <row r="1937" spans="1:21" x14ac:dyDescent="0.25">
      <c r="A1937">
        <v>2025</v>
      </c>
      <c r="B1937">
        <v>11</v>
      </c>
      <c r="C1937" t="s">
        <v>33</v>
      </c>
      <c r="D1937" t="s">
        <v>22</v>
      </c>
      <c r="E1937" t="s">
        <v>36</v>
      </c>
      <c r="F1937" t="s">
        <v>24</v>
      </c>
      <c r="G1937" t="s">
        <v>25</v>
      </c>
      <c r="H1937" t="s">
        <v>26</v>
      </c>
      <c r="I1937" t="s">
        <v>25</v>
      </c>
      <c r="J1937">
        <v>453</v>
      </c>
      <c r="K1937">
        <v>0</v>
      </c>
      <c r="L1937">
        <v>0</v>
      </c>
      <c r="M1937">
        <v>0</v>
      </c>
      <c r="N1937">
        <v>59</v>
      </c>
      <c r="O1937">
        <v>47</v>
      </c>
      <c r="P1937">
        <v>42</v>
      </c>
      <c r="Q1937">
        <v>35</v>
      </c>
      <c r="R1937">
        <v>30</v>
      </c>
      <c r="S1937">
        <v>14</v>
      </c>
      <c r="T1937">
        <v>2</v>
      </c>
      <c r="U1937">
        <v>453</v>
      </c>
    </row>
    <row r="1938" spans="1:21" x14ac:dyDescent="0.25">
      <c r="A1938">
        <v>2025</v>
      </c>
      <c r="B1938">
        <v>11</v>
      </c>
      <c r="C1938" t="s">
        <v>37</v>
      </c>
      <c r="D1938" t="s">
        <v>22</v>
      </c>
      <c r="E1938" t="s">
        <v>32</v>
      </c>
      <c r="F1938" t="s">
        <v>28</v>
      </c>
      <c r="G1938" t="s">
        <v>25</v>
      </c>
      <c r="H1938" t="s">
        <v>26</v>
      </c>
      <c r="I1938" t="s">
        <v>25</v>
      </c>
      <c r="J1938">
        <v>20</v>
      </c>
      <c r="K1938">
        <v>4</v>
      </c>
      <c r="L1938">
        <v>1</v>
      </c>
      <c r="M1938">
        <v>5</v>
      </c>
      <c r="N1938">
        <v>3</v>
      </c>
      <c r="O1938">
        <v>2</v>
      </c>
      <c r="P1938">
        <v>1</v>
      </c>
      <c r="Q1938">
        <v>1</v>
      </c>
      <c r="R1938">
        <v>1</v>
      </c>
      <c r="S1938">
        <v>0</v>
      </c>
      <c r="T1938">
        <v>0</v>
      </c>
      <c r="U1938">
        <v>15</v>
      </c>
    </row>
    <row r="1939" spans="1:21" x14ac:dyDescent="0.25">
      <c r="A1939">
        <v>2025</v>
      </c>
      <c r="B1939">
        <v>11</v>
      </c>
      <c r="C1939" t="s">
        <v>37</v>
      </c>
      <c r="D1939" t="s">
        <v>22</v>
      </c>
      <c r="E1939" t="s">
        <v>32</v>
      </c>
      <c r="F1939" t="s">
        <v>24</v>
      </c>
      <c r="G1939" t="s">
        <v>25</v>
      </c>
      <c r="H1939" t="s">
        <v>26</v>
      </c>
      <c r="I1939" t="s">
        <v>25</v>
      </c>
      <c r="J1939">
        <v>1592</v>
      </c>
      <c r="K1939">
        <v>34</v>
      </c>
      <c r="L1939">
        <v>35</v>
      </c>
      <c r="M1939">
        <v>69</v>
      </c>
      <c r="N1939">
        <v>1018</v>
      </c>
      <c r="O1939">
        <v>872</v>
      </c>
      <c r="P1939">
        <v>820</v>
      </c>
      <c r="Q1939">
        <v>646</v>
      </c>
      <c r="R1939">
        <v>483</v>
      </c>
      <c r="S1939">
        <v>238</v>
      </c>
      <c r="T1939">
        <v>72</v>
      </c>
      <c r="U1939">
        <v>1537</v>
      </c>
    </row>
    <row r="1940" spans="1:21" x14ac:dyDescent="0.25">
      <c r="A1940">
        <v>2025</v>
      </c>
      <c r="B1940">
        <v>11</v>
      </c>
      <c r="C1940" t="s">
        <v>37</v>
      </c>
      <c r="D1940" t="s">
        <v>22</v>
      </c>
      <c r="E1940" t="s">
        <v>32</v>
      </c>
      <c r="F1940" t="s">
        <v>29</v>
      </c>
      <c r="G1940" t="s">
        <v>25</v>
      </c>
      <c r="H1940" t="s">
        <v>26</v>
      </c>
      <c r="I1940" t="s">
        <v>25</v>
      </c>
      <c r="J1940">
        <v>1</v>
      </c>
      <c r="K1940">
        <v>1</v>
      </c>
      <c r="L1940">
        <v>0</v>
      </c>
      <c r="M1940">
        <v>1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</row>
    <row r="1941" spans="1:21" x14ac:dyDescent="0.25">
      <c r="A1941">
        <v>2025</v>
      </c>
      <c r="B1941">
        <v>11</v>
      </c>
      <c r="C1941" t="s">
        <v>37</v>
      </c>
      <c r="D1941" t="s">
        <v>22</v>
      </c>
      <c r="E1941" t="s">
        <v>38</v>
      </c>
      <c r="F1941" t="s">
        <v>24</v>
      </c>
      <c r="G1941" t="s">
        <v>25</v>
      </c>
      <c r="H1941" t="s">
        <v>26</v>
      </c>
      <c r="I1941" t="s">
        <v>25</v>
      </c>
      <c r="J1941">
        <v>67</v>
      </c>
      <c r="K1941">
        <v>0</v>
      </c>
      <c r="L1941">
        <v>0</v>
      </c>
      <c r="M1941">
        <v>0</v>
      </c>
      <c r="N1941">
        <v>53</v>
      </c>
      <c r="O1941">
        <v>47</v>
      </c>
      <c r="P1941">
        <v>41</v>
      </c>
      <c r="Q1941">
        <v>31</v>
      </c>
      <c r="R1941">
        <v>19</v>
      </c>
      <c r="S1941">
        <v>9</v>
      </c>
      <c r="T1941">
        <v>3</v>
      </c>
      <c r="U1941">
        <v>67</v>
      </c>
    </row>
    <row r="1942" spans="1:21" x14ac:dyDescent="0.25">
      <c r="A1942">
        <v>2025</v>
      </c>
      <c r="B1942">
        <v>11</v>
      </c>
      <c r="C1942" t="s">
        <v>37</v>
      </c>
      <c r="D1942" t="s">
        <v>22</v>
      </c>
      <c r="E1942" t="s">
        <v>34</v>
      </c>
      <c r="F1942" t="s">
        <v>28</v>
      </c>
      <c r="G1942" t="s">
        <v>25</v>
      </c>
      <c r="H1942" t="s">
        <v>26</v>
      </c>
      <c r="I1942" t="s">
        <v>26</v>
      </c>
      <c r="J1942">
        <v>2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2</v>
      </c>
    </row>
    <row r="1943" spans="1:21" x14ac:dyDescent="0.25">
      <c r="A1943">
        <v>2025</v>
      </c>
      <c r="B1943">
        <v>11</v>
      </c>
      <c r="C1943" t="s">
        <v>37</v>
      </c>
      <c r="D1943" t="s">
        <v>22</v>
      </c>
      <c r="E1943" t="s">
        <v>34</v>
      </c>
      <c r="F1943" t="s">
        <v>24</v>
      </c>
      <c r="G1943" t="s">
        <v>25</v>
      </c>
      <c r="H1943" t="s">
        <v>26</v>
      </c>
      <c r="I1943" t="s">
        <v>26</v>
      </c>
      <c r="J1943">
        <v>311</v>
      </c>
      <c r="K1943">
        <v>4</v>
      </c>
      <c r="L1943">
        <v>3</v>
      </c>
      <c r="M1943">
        <v>7</v>
      </c>
      <c r="N1943">
        <v>196</v>
      </c>
      <c r="O1943">
        <v>174</v>
      </c>
      <c r="P1943">
        <v>163</v>
      </c>
      <c r="Q1943">
        <v>133</v>
      </c>
      <c r="R1943">
        <v>110</v>
      </c>
      <c r="S1943">
        <v>57</v>
      </c>
      <c r="T1943">
        <v>27</v>
      </c>
      <c r="U1943">
        <v>306</v>
      </c>
    </row>
    <row r="1944" spans="1:21" x14ac:dyDescent="0.25">
      <c r="A1944">
        <v>2025</v>
      </c>
      <c r="B1944">
        <v>11</v>
      </c>
      <c r="C1944" t="s">
        <v>37</v>
      </c>
      <c r="D1944" t="s">
        <v>22</v>
      </c>
      <c r="E1944" t="s">
        <v>23</v>
      </c>
      <c r="F1944" t="s">
        <v>28</v>
      </c>
      <c r="G1944" t="s">
        <v>25</v>
      </c>
      <c r="H1944" t="s">
        <v>26</v>
      </c>
      <c r="I1944" t="s">
        <v>25</v>
      </c>
      <c r="J1944">
        <v>4267</v>
      </c>
      <c r="K1944">
        <v>162</v>
      </c>
      <c r="L1944">
        <v>551</v>
      </c>
      <c r="M1944">
        <v>713</v>
      </c>
      <c r="N1944">
        <v>2697</v>
      </c>
      <c r="O1944">
        <v>2382</v>
      </c>
      <c r="P1944">
        <v>2237</v>
      </c>
      <c r="Q1944">
        <v>1804</v>
      </c>
      <c r="R1944">
        <v>1438</v>
      </c>
      <c r="S1944">
        <v>720</v>
      </c>
      <c r="T1944">
        <v>187</v>
      </c>
      <c r="U1944">
        <v>3923</v>
      </c>
    </row>
    <row r="1945" spans="1:21" x14ac:dyDescent="0.25">
      <c r="A1945">
        <v>2025</v>
      </c>
      <c r="B1945">
        <v>11</v>
      </c>
      <c r="C1945" t="s">
        <v>37</v>
      </c>
      <c r="D1945" t="s">
        <v>22</v>
      </c>
      <c r="E1945" t="s">
        <v>23</v>
      </c>
      <c r="F1945" t="s">
        <v>24</v>
      </c>
      <c r="G1945" t="s">
        <v>25</v>
      </c>
      <c r="H1945" t="s">
        <v>26</v>
      </c>
      <c r="I1945" t="s">
        <v>25</v>
      </c>
      <c r="J1945">
        <v>1556</v>
      </c>
      <c r="K1945">
        <v>14</v>
      </c>
      <c r="L1945">
        <v>37</v>
      </c>
      <c r="M1945">
        <v>51</v>
      </c>
      <c r="N1945">
        <v>934</v>
      </c>
      <c r="O1945">
        <v>763</v>
      </c>
      <c r="P1945">
        <v>696</v>
      </c>
      <c r="Q1945">
        <v>498</v>
      </c>
      <c r="R1945">
        <v>349</v>
      </c>
      <c r="S1945">
        <v>130</v>
      </c>
      <c r="T1945">
        <v>37</v>
      </c>
      <c r="U1945">
        <v>1530</v>
      </c>
    </row>
    <row r="1946" spans="1:21" x14ac:dyDescent="0.25">
      <c r="A1946">
        <v>2025</v>
      </c>
      <c r="B1946">
        <v>11</v>
      </c>
      <c r="C1946" t="s">
        <v>37</v>
      </c>
      <c r="D1946" t="s">
        <v>22</v>
      </c>
      <c r="E1946" t="s">
        <v>39</v>
      </c>
      <c r="F1946" t="s">
        <v>28</v>
      </c>
      <c r="G1946" t="s">
        <v>26</v>
      </c>
      <c r="H1946" t="s">
        <v>26</v>
      </c>
      <c r="I1946" t="s">
        <v>25</v>
      </c>
      <c r="J1946">
        <v>14706</v>
      </c>
      <c r="K1946">
        <v>334</v>
      </c>
      <c r="L1946">
        <v>1276</v>
      </c>
      <c r="M1946">
        <v>1610</v>
      </c>
      <c r="N1946">
        <v>9699</v>
      </c>
      <c r="O1946">
        <v>8670</v>
      </c>
      <c r="P1946">
        <v>8219</v>
      </c>
      <c r="Q1946">
        <v>6697</v>
      </c>
      <c r="R1946">
        <v>5262</v>
      </c>
      <c r="S1946">
        <v>2766</v>
      </c>
      <c r="T1946">
        <v>840</v>
      </c>
      <c r="U1946">
        <v>13889</v>
      </c>
    </row>
    <row r="1947" spans="1:21" x14ac:dyDescent="0.25">
      <c r="A1947">
        <v>2025</v>
      </c>
      <c r="B1947">
        <v>11</v>
      </c>
      <c r="C1947" t="s">
        <v>37</v>
      </c>
      <c r="D1947" t="s">
        <v>22</v>
      </c>
      <c r="E1947" t="s">
        <v>39</v>
      </c>
      <c r="F1947" t="s">
        <v>24</v>
      </c>
      <c r="G1947" t="s">
        <v>26</v>
      </c>
      <c r="H1947" t="s">
        <v>26</v>
      </c>
      <c r="I1947" t="s">
        <v>25</v>
      </c>
      <c r="J1947">
        <v>3526</v>
      </c>
      <c r="K1947">
        <v>35</v>
      </c>
      <c r="L1947">
        <v>188</v>
      </c>
      <c r="M1947">
        <v>223</v>
      </c>
      <c r="N1947">
        <v>2491</v>
      </c>
      <c r="O1947">
        <v>2170</v>
      </c>
      <c r="P1947">
        <v>2046</v>
      </c>
      <c r="Q1947">
        <v>1687</v>
      </c>
      <c r="R1947">
        <v>1349</v>
      </c>
      <c r="S1947">
        <v>669</v>
      </c>
      <c r="T1947">
        <v>190</v>
      </c>
      <c r="U1947">
        <v>3426</v>
      </c>
    </row>
    <row r="1948" spans="1:21" x14ac:dyDescent="0.25">
      <c r="A1948">
        <v>2025</v>
      </c>
      <c r="B1948">
        <v>11</v>
      </c>
      <c r="C1948" t="s">
        <v>37</v>
      </c>
      <c r="D1948" t="s">
        <v>22</v>
      </c>
      <c r="E1948" t="s">
        <v>39</v>
      </c>
      <c r="F1948" t="s">
        <v>29</v>
      </c>
      <c r="G1948" t="s">
        <v>26</v>
      </c>
      <c r="H1948" t="s">
        <v>26</v>
      </c>
      <c r="I1948" t="s">
        <v>25</v>
      </c>
      <c r="J1948">
        <v>3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</row>
    <row r="1949" spans="1:21" x14ac:dyDescent="0.25">
      <c r="A1949">
        <v>2025</v>
      </c>
      <c r="B1949">
        <v>11</v>
      </c>
      <c r="C1949" t="s">
        <v>37</v>
      </c>
      <c r="D1949" t="s">
        <v>22</v>
      </c>
      <c r="E1949" t="s">
        <v>40</v>
      </c>
      <c r="F1949" t="s">
        <v>24</v>
      </c>
      <c r="G1949" t="s">
        <v>25</v>
      </c>
      <c r="H1949" t="s">
        <v>26</v>
      </c>
      <c r="I1949" t="s">
        <v>25</v>
      </c>
      <c r="J1949">
        <v>468</v>
      </c>
      <c r="K1949">
        <v>9</v>
      </c>
      <c r="L1949">
        <v>0</v>
      </c>
      <c r="M1949">
        <v>9</v>
      </c>
      <c r="N1949">
        <v>27</v>
      </c>
      <c r="O1949">
        <v>12</v>
      </c>
      <c r="P1949">
        <v>7</v>
      </c>
      <c r="Q1949">
        <v>5</v>
      </c>
      <c r="R1949">
        <v>1</v>
      </c>
      <c r="S1949">
        <v>0</v>
      </c>
      <c r="T1949">
        <v>0</v>
      </c>
      <c r="U1949">
        <v>459</v>
      </c>
    </row>
    <row r="1950" spans="1:21" x14ac:dyDescent="0.25">
      <c r="A1950">
        <v>2025</v>
      </c>
      <c r="B1950">
        <v>11</v>
      </c>
      <c r="C1950" t="s">
        <v>37</v>
      </c>
      <c r="D1950" t="s">
        <v>22</v>
      </c>
      <c r="E1950" t="s">
        <v>35</v>
      </c>
      <c r="F1950" t="s">
        <v>28</v>
      </c>
      <c r="G1950" t="s">
        <v>25</v>
      </c>
      <c r="H1950" t="s">
        <v>26</v>
      </c>
      <c r="I1950" t="s">
        <v>26</v>
      </c>
      <c r="J1950">
        <v>26</v>
      </c>
      <c r="K1950">
        <v>5</v>
      </c>
      <c r="L1950">
        <v>1</v>
      </c>
      <c r="M1950">
        <v>6</v>
      </c>
      <c r="N1950">
        <v>14</v>
      </c>
      <c r="O1950">
        <v>13</v>
      </c>
      <c r="P1950">
        <v>13</v>
      </c>
      <c r="Q1950">
        <v>11</v>
      </c>
      <c r="R1950">
        <v>7</v>
      </c>
      <c r="S1950">
        <v>5</v>
      </c>
      <c r="T1950">
        <v>3</v>
      </c>
      <c r="U1950">
        <v>21</v>
      </c>
    </row>
    <row r="1951" spans="1:21" x14ac:dyDescent="0.25">
      <c r="A1951">
        <v>2025</v>
      </c>
      <c r="B1951">
        <v>11</v>
      </c>
      <c r="C1951" t="s">
        <v>37</v>
      </c>
      <c r="D1951" t="s">
        <v>22</v>
      </c>
      <c r="E1951" t="s">
        <v>35</v>
      </c>
      <c r="F1951" t="s">
        <v>24</v>
      </c>
      <c r="G1951" t="s">
        <v>25</v>
      </c>
      <c r="H1951" t="s">
        <v>26</v>
      </c>
      <c r="I1951" t="s">
        <v>26</v>
      </c>
      <c r="J1951">
        <v>688</v>
      </c>
      <c r="K1951">
        <v>10</v>
      </c>
      <c r="L1951">
        <v>31</v>
      </c>
      <c r="M1951">
        <v>41</v>
      </c>
      <c r="N1951">
        <v>456</v>
      </c>
      <c r="O1951">
        <v>420</v>
      </c>
      <c r="P1951">
        <v>403</v>
      </c>
      <c r="Q1951">
        <v>350</v>
      </c>
      <c r="R1951">
        <v>300</v>
      </c>
      <c r="S1951">
        <v>220</v>
      </c>
      <c r="T1951">
        <v>107</v>
      </c>
      <c r="U1951">
        <v>668</v>
      </c>
    </row>
    <row r="1952" spans="1:21" x14ac:dyDescent="0.25">
      <c r="A1952">
        <v>2025</v>
      </c>
      <c r="B1952">
        <v>11</v>
      </c>
      <c r="C1952" t="s">
        <v>37</v>
      </c>
      <c r="D1952" t="s">
        <v>22</v>
      </c>
      <c r="E1952" t="s">
        <v>111</v>
      </c>
      <c r="F1952" t="s">
        <v>24</v>
      </c>
      <c r="G1952" t="s">
        <v>26</v>
      </c>
      <c r="H1952" t="s">
        <v>26</v>
      </c>
      <c r="I1952" t="s">
        <v>25</v>
      </c>
      <c r="J1952">
        <v>5</v>
      </c>
      <c r="K1952">
        <v>0</v>
      </c>
      <c r="L1952">
        <v>0</v>
      </c>
      <c r="M1952">
        <v>0</v>
      </c>
      <c r="N1952">
        <v>1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5</v>
      </c>
    </row>
    <row r="1953" spans="1:21" x14ac:dyDescent="0.25">
      <c r="A1953">
        <v>2025</v>
      </c>
      <c r="B1953">
        <v>11</v>
      </c>
      <c r="C1953" t="s">
        <v>37</v>
      </c>
      <c r="D1953" t="s">
        <v>22</v>
      </c>
      <c r="E1953" t="s">
        <v>36</v>
      </c>
      <c r="F1953" t="s">
        <v>28</v>
      </c>
      <c r="G1953" t="s">
        <v>25</v>
      </c>
      <c r="H1953" t="s">
        <v>26</v>
      </c>
      <c r="I1953" t="s">
        <v>25</v>
      </c>
      <c r="J1953">
        <v>42</v>
      </c>
      <c r="K1953">
        <v>0</v>
      </c>
      <c r="L1953">
        <v>0</v>
      </c>
      <c r="M1953">
        <v>0</v>
      </c>
      <c r="N1953">
        <v>24</v>
      </c>
      <c r="O1953">
        <v>23</v>
      </c>
      <c r="P1953">
        <v>21</v>
      </c>
      <c r="Q1953">
        <v>17</v>
      </c>
      <c r="R1953">
        <v>13</v>
      </c>
      <c r="S1953">
        <v>5</v>
      </c>
      <c r="T1953">
        <v>2</v>
      </c>
      <c r="U1953">
        <v>42</v>
      </c>
    </row>
    <row r="1954" spans="1:21" x14ac:dyDescent="0.25">
      <c r="A1954">
        <v>2025</v>
      </c>
      <c r="B1954">
        <v>11</v>
      </c>
      <c r="C1954" t="s">
        <v>37</v>
      </c>
      <c r="D1954" t="s">
        <v>22</v>
      </c>
      <c r="E1954" t="s">
        <v>36</v>
      </c>
      <c r="F1954" t="s">
        <v>24</v>
      </c>
      <c r="G1954" t="s">
        <v>25</v>
      </c>
      <c r="H1954" t="s">
        <v>26</v>
      </c>
      <c r="I1954" t="s">
        <v>25</v>
      </c>
      <c r="J1954">
        <v>365</v>
      </c>
      <c r="K1954">
        <v>6</v>
      </c>
      <c r="L1954">
        <v>7</v>
      </c>
      <c r="M1954">
        <v>13</v>
      </c>
      <c r="N1954">
        <v>234</v>
      </c>
      <c r="O1954">
        <v>200</v>
      </c>
      <c r="P1954">
        <v>188</v>
      </c>
      <c r="Q1954">
        <v>143</v>
      </c>
      <c r="R1954">
        <v>109</v>
      </c>
      <c r="S1954">
        <v>40</v>
      </c>
      <c r="T1954">
        <v>12</v>
      </c>
      <c r="U1954">
        <v>357</v>
      </c>
    </row>
    <row r="1955" spans="1:21" x14ac:dyDescent="0.25">
      <c r="A1955">
        <v>2025</v>
      </c>
      <c r="B1955">
        <v>11</v>
      </c>
      <c r="C1955" t="s">
        <v>37</v>
      </c>
      <c r="D1955" t="s">
        <v>22</v>
      </c>
      <c r="E1955" t="s">
        <v>36</v>
      </c>
      <c r="F1955" t="s">
        <v>29</v>
      </c>
      <c r="G1955" t="s">
        <v>25</v>
      </c>
      <c r="H1955" t="s">
        <v>26</v>
      </c>
      <c r="I1955" t="s">
        <v>25</v>
      </c>
      <c r="J1955">
        <v>2</v>
      </c>
      <c r="K1955">
        <v>1</v>
      </c>
      <c r="L1955">
        <v>0</v>
      </c>
      <c r="M1955">
        <v>1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</row>
    <row r="1956" spans="1:21" x14ac:dyDescent="0.25">
      <c r="A1956">
        <v>2025</v>
      </c>
      <c r="B1956">
        <v>11</v>
      </c>
      <c r="C1956" t="s">
        <v>37</v>
      </c>
      <c r="D1956" t="s">
        <v>22</v>
      </c>
      <c r="E1956" t="s">
        <v>41</v>
      </c>
      <c r="F1956" t="s">
        <v>24</v>
      </c>
      <c r="G1956" t="s">
        <v>26</v>
      </c>
      <c r="H1956" t="s">
        <v>26</v>
      </c>
      <c r="I1956" t="s">
        <v>25</v>
      </c>
      <c r="J1956">
        <v>353</v>
      </c>
      <c r="K1956">
        <v>0</v>
      </c>
      <c r="L1956">
        <v>4</v>
      </c>
      <c r="M1956">
        <v>4</v>
      </c>
      <c r="N1956">
        <v>273</v>
      </c>
      <c r="O1956">
        <v>233</v>
      </c>
      <c r="P1956">
        <v>216</v>
      </c>
      <c r="Q1956">
        <v>176</v>
      </c>
      <c r="R1956">
        <v>138</v>
      </c>
      <c r="S1956">
        <v>64</v>
      </c>
      <c r="T1956">
        <v>11</v>
      </c>
      <c r="U1956">
        <v>351</v>
      </c>
    </row>
    <row r="1957" spans="1:21" x14ac:dyDescent="0.25">
      <c r="A1957">
        <v>2025</v>
      </c>
      <c r="B1957">
        <v>11</v>
      </c>
      <c r="C1957" t="s">
        <v>37</v>
      </c>
      <c r="D1957" t="s">
        <v>22</v>
      </c>
      <c r="E1957" t="s">
        <v>41</v>
      </c>
      <c r="F1957" t="s">
        <v>29</v>
      </c>
      <c r="G1957" t="s">
        <v>26</v>
      </c>
      <c r="H1957" t="s">
        <v>26</v>
      </c>
      <c r="I1957" t="s">
        <v>25</v>
      </c>
      <c r="J1957">
        <v>1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</row>
    <row r="1958" spans="1:21" x14ac:dyDescent="0.25">
      <c r="A1958">
        <v>2025</v>
      </c>
      <c r="B1958">
        <v>11</v>
      </c>
      <c r="C1958" t="s">
        <v>37</v>
      </c>
      <c r="D1958" t="s">
        <v>22</v>
      </c>
      <c r="E1958" t="s">
        <v>42</v>
      </c>
      <c r="F1958" t="s">
        <v>24</v>
      </c>
      <c r="G1958" t="s">
        <v>26</v>
      </c>
      <c r="H1958" t="s">
        <v>26</v>
      </c>
      <c r="I1958" t="s">
        <v>25</v>
      </c>
      <c r="J1958">
        <v>402</v>
      </c>
      <c r="K1958">
        <v>0</v>
      </c>
      <c r="L1958">
        <v>3</v>
      </c>
      <c r="M1958">
        <v>3</v>
      </c>
      <c r="N1958">
        <v>269</v>
      </c>
      <c r="O1958">
        <v>218</v>
      </c>
      <c r="P1958">
        <v>204</v>
      </c>
      <c r="Q1958">
        <v>157</v>
      </c>
      <c r="R1958">
        <v>118</v>
      </c>
      <c r="S1958">
        <v>45</v>
      </c>
      <c r="T1958">
        <v>7</v>
      </c>
      <c r="U1958">
        <v>399</v>
      </c>
    </row>
    <row r="1959" spans="1:21" x14ac:dyDescent="0.25">
      <c r="A1959">
        <v>2025</v>
      </c>
      <c r="B1959">
        <v>11</v>
      </c>
      <c r="C1959" t="s">
        <v>43</v>
      </c>
      <c r="D1959" t="s">
        <v>22</v>
      </c>
      <c r="E1959" t="s">
        <v>32</v>
      </c>
      <c r="F1959" t="s">
        <v>24</v>
      </c>
      <c r="G1959" t="s">
        <v>25</v>
      </c>
      <c r="H1959" t="s">
        <v>25</v>
      </c>
      <c r="I1959" t="s">
        <v>25</v>
      </c>
      <c r="J1959">
        <v>280</v>
      </c>
      <c r="K1959">
        <v>11</v>
      </c>
      <c r="L1959">
        <v>0</v>
      </c>
      <c r="M1959">
        <v>11</v>
      </c>
      <c r="N1959">
        <v>15</v>
      </c>
      <c r="O1959">
        <v>14</v>
      </c>
      <c r="P1959">
        <v>14</v>
      </c>
      <c r="Q1959">
        <v>14</v>
      </c>
      <c r="R1959">
        <v>13</v>
      </c>
      <c r="S1959">
        <v>10</v>
      </c>
      <c r="T1959">
        <v>3</v>
      </c>
      <c r="U1959">
        <v>269</v>
      </c>
    </row>
    <row r="1960" spans="1:21" x14ac:dyDescent="0.25">
      <c r="A1960">
        <v>2025</v>
      </c>
      <c r="B1960">
        <v>11</v>
      </c>
      <c r="C1960" t="s">
        <v>43</v>
      </c>
      <c r="D1960" t="s">
        <v>22</v>
      </c>
      <c r="E1960" t="s">
        <v>34</v>
      </c>
      <c r="F1960" t="s">
        <v>24</v>
      </c>
      <c r="G1960" t="s">
        <v>25</v>
      </c>
      <c r="H1960" t="s">
        <v>26</v>
      </c>
      <c r="I1960" t="s">
        <v>26</v>
      </c>
      <c r="J1960">
        <v>44</v>
      </c>
      <c r="K1960">
        <v>0</v>
      </c>
      <c r="L1960">
        <v>0</v>
      </c>
      <c r="M1960">
        <v>0</v>
      </c>
      <c r="N1960">
        <v>16</v>
      </c>
      <c r="O1960">
        <v>16</v>
      </c>
      <c r="P1960">
        <v>15</v>
      </c>
      <c r="Q1960">
        <v>13</v>
      </c>
      <c r="R1960">
        <v>12</v>
      </c>
      <c r="S1960">
        <v>11</v>
      </c>
      <c r="T1960">
        <v>5</v>
      </c>
      <c r="U1960">
        <v>44</v>
      </c>
    </row>
    <row r="1961" spans="1:21" x14ac:dyDescent="0.25">
      <c r="A1961">
        <v>2025</v>
      </c>
      <c r="B1961">
        <v>11</v>
      </c>
      <c r="C1961" t="s">
        <v>43</v>
      </c>
      <c r="D1961" t="s">
        <v>22</v>
      </c>
      <c r="E1961" t="s">
        <v>23</v>
      </c>
      <c r="F1961" t="s">
        <v>24</v>
      </c>
      <c r="G1961" t="s">
        <v>25</v>
      </c>
      <c r="H1961" t="s">
        <v>26</v>
      </c>
      <c r="I1961" t="s">
        <v>25</v>
      </c>
      <c r="J1961">
        <v>245</v>
      </c>
      <c r="K1961">
        <v>3</v>
      </c>
      <c r="L1961">
        <v>0</v>
      </c>
      <c r="M1961">
        <v>3</v>
      </c>
      <c r="N1961">
        <v>56</v>
      </c>
      <c r="O1961">
        <v>34</v>
      </c>
      <c r="P1961">
        <v>28</v>
      </c>
      <c r="Q1961">
        <v>10</v>
      </c>
      <c r="R1961">
        <v>2</v>
      </c>
      <c r="S1961">
        <v>1</v>
      </c>
      <c r="T1961">
        <v>0</v>
      </c>
      <c r="U1961">
        <v>242</v>
      </c>
    </row>
    <row r="1962" spans="1:21" x14ac:dyDescent="0.25">
      <c r="A1962">
        <v>2025</v>
      </c>
      <c r="B1962">
        <v>11</v>
      </c>
      <c r="C1962" t="s">
        <v>43</v>
      </c>
      <c r="D1962" t="s">
        <v>22</v>
      </c>
      <c r="E1962" t="s">
        <v>35</v>
      </c>
      <c r="F1962" t="s">
        <v>24</v>
      </c>
      <c r="G1962" t="s">
        <v>25</v>
      </c>
      <c r="H1962" t="s">
        <v>26</v>
      </c>
      <c r="I1962" t="s">
        <v>26</v>
      </c>
      <c r="J1962">
        <v>16</v>
      </c>
      <c r="K1962">
        <v>0</v>
      </c>
      <c r="L1962">
        <v>0</v>
      </c>
      <c r="M1962">
        <v>0</v>
      </c>
      <c r="N1962">
        <v>3</v>
      </c>
      <c r="O1962">
        <v>3</v>
      </c>
      <c r="P1962">
        <v>3</v>
      </c>
      <c r="Q1962">
        <v>3</v>
      </c>
      <c r="R1962">
        <v>3</v>
      </c>
      <c r="S1962">
        <v>3</v>
      </c>
      <c r="T1962">
        <v>3</v>
      </c>
      <c r="U1962">
        <v>16</v>
      </c>
    </row>
    <row r="1963" spans="1:21" x14ac:dyDescent="0.25">
      <c r="A1963">
        <v>2025</v>
      </c>
      <c r="B1963">
        <v>11</v>
      </c>
      <c r="C1963" t="s">
        <v>44</v>
      </c>
      <c r="D1963" t="s">
        <v>45</v>
      </c>
      <c r="E1963" t="s">
        <v>46</v>
      </c>
      <c r="F1963" t="s">
        <v>24</v>
      </c>
      <c r="G1963" t="s">
        <v>25</v>
      </c>
      <c r="H1963" t="s">
        <v>26</v>
      </c>
      <c r="I1963" t="s">
        <v>26</v>
      </c>
      <c r="J1963">
        <v>23</v>
      </c>
      <c r="K1963">
        <v>0</v>
      </c>
      <c r="L1963">
        <v>3</v>
      </c>
      <c r="M1963">
        <v>3</v>
      </c>
      <c r="N1963">
        <v>7</v>
      </c>
      <c r="O1963">
        <v>7</v>
      </c>
      <c r="P1963">
        <v>6</v>
      </c>
      <c r="Q1963">
        <v>4</v>
      </c>
      <c r="R1963">
        <v>3</v>
      </c>
      <c r="S1963">
        <v>2</v>
      </c>
      <c r="T1963">
        <v>1</v>
      </c>
      <c r="U1963">
        <v>22</v>
      </c>
    </row>
    <row r="1964" spans="1:21" x14ac:dyDescent="0.25">
      <c r="A1964">
        <v>2025</v>
      </c>
      <c r="B1964">
        <v>11</v>
      </c>
      <c r="C1964" t="s">
        <v>47</v>
      </c>
      <c r="D1964" t="s">
        <v>45</v>
      </c>
      <c r="E1964" t="s">
        <v>48</v>
      </c>
      <c r="F1964" t="s">
        <v>28</v>
      </c>
      <c r="G1964" t="s">
        <v>26</v>
      </c>
      <c r="H1964" t="s">
        <v>26</v>
      </c>
      <c r="I1964" t="s">
        <v>25</v>
      </c>
      <c r="J1964">
        <v>17</v>
      </c>
      <c r="K1964">
        <v>0</v>
      </c>
      <c r="L1964">
        <v>0</v>
      </c>
      <c r="M1964">
        <v>0</v>
      </c>
      <c r="N1964">
        <v>14</v>
      </c>
      <c r="O1964">
        <v>12</v>
      </c>
      <c r="P1964">
        <v>11</v>
      </c>
      <c r="Q1964">
        <v>10</v>
      </c>
      <c r="R1964">
        <v>8</v>
      </c>
      <c r="S1964">
        <v>1</v>
      </c>
      <c r="T1964">
        <v>1</v>
      </c>
      <c r="U1964">
        <v>17</v>
      </c>
    </row>
    <row r="1965" spans="1:21" x14ac:dyDescent="0.25">
      <c r="A1965">
        <v>2025</v>
      </c>
      <c r="B1965">
        <v>11</v>
      </c>
      <c r="C1965" t="s">
        <v>47</v>
      </c>
      <c r="D1965" t="s">
        <v>45</v>
      </c>
      <c r="E1965" t="s">
        <v>48</v>
      </c>
      <c r="F1965" t="s">
        <v>24</v>
      </c>
      <c r="G1965" t="s">
        <v>26</v>
      </c>
      <c r="H1965" t="s">
        <v>26</v>
      </c>
      <c r="I1965" t="s">
        <v>25</v>
      </c>
      <c r="J1965">
        <v>3600</v>
      </c>
      <c r="K1965">
        <v>261</v>
      </c>
      <c r="L1965">
        <v>223</v>
      </c>
      <c r="M1965">
        <v>484</v>
      </c>
      <c r="N1965">
        <v>901</v>
      </c>
      <c r="O1965">
        <v>887</v>
      </c>
      <c r="P1965">
        <v>881</v>
      </c>
      <c r="Q1965">
        <v>615</v>
      </c>
      <c r="R1965">
        <v>509</v>
      </c>
      <c r="S1965">
        <v>249</v>
      </c>
      <c r="T1965">
        <v>71</v>
      </c>
      <c r="U1965">
        <v>3310</v>
      </c>
    </row>
    <row r="1966" spans="1:21" x14ac:dyDescent="0.25">
      <c r="A1966">
        <v>2025</v>
      </c>
      <c r="B1966">
        <v>11</v>
      </c>
      <c r="C1966" t="s">
        <v>49</v>
      </c>
      <c r="D1966" t="s">
        <v>45</v>
      </c>
      <c r="E1966" t="s">
        <v>50</v>
      </c>
      <c r="F1966" t="s">
        <v>28</v>
      </c>
      <c r="G1966" t="s">
        <v>25</v>
      </c>
      <c r="H1966" t="s">
        <v>26</v>
      </c>
      <c r="I1966" t="s">
        <v>25</v>
      </c>
      <c r="J1966">
        <v>439</v>
      </c>
      <c r="K1966">
        <v>11</v>
      </c>
      <c r="L1966">
        <v>11</v>
      </c>
      <c r="M1966">
        <v>22</v>
      </c>
      <c r="N1966">
        <v>322</v>
      </c>
      <c r="O1966">
        <v>294</v>
      </c>
      <c r="P1966">
        <v>287</v>
      </c>
      <c r="Q1966">
        <v>248</v>
      </c>
      <c r="R1966">
        <v>208</v>
      </c>
      <c r="S1966">
        <v>122</v>
      </c>
      <c r="T1966">
        <v>46</v>
      </c>
      <c r="U1966">
        <v>424</v>
      </c>
    </row>
    <row r="1967" spans="1:21" x14ac:dyDescent="0.25">
      <c r="A1967">
        <v>2025</v>
      </c>
      <c r="B1967">
        <v>11</v>
      </c>
      <c r="C1967" t="s">
        <v>49</v>
      </c>
      <c r="D1967" t="s">
        <v>45</v>
      </c>
      <c r="E1967" t="s">
        <v>50</v>
      </c>
      <c r="F1967" t="s">
        <v>24</v>
      </c>
      <c r="G1967" t="s">
        <v>25</v>
      </c>
      <c r="H1967" t="s">
        <v>26</v>
      </c>
      <c r="I1967" t="s">
        <v>25</v>
      </c>
      <c r="J1967">
        <v>52</v>
      </c>
      <c r="K1967">
        <v>0</v>
      </c>
      <c r="L1967">
        <v>2</v>
      </c>
      <c r="M1967">
        <v>2</v>
      </c>
      <c r="N1967">
        <v>26</v>
      </c>
      <c r="O1967">
        <v>25</v>
      </c>
      <c r="P1967">
        <v>23</v>
      </c>
      <c r="Q1967">
        <v>18</v>
      </c>
      <c r="R1967">
        <v>13</v>
      </c>
      <c r="S1967">
        <v>8</v>
      </c>
      <c r="T1967">
        <v>4</v>
      </c>
      <c r="U1967">
        <v>51</v>
      </c>
    </row>
    <row r="1968" spans="1:21" x14ac:dyDescent="0.25">
      <c r="A1968">
        <v>2025</v>
      </c>
      <c r="B1968">
        <v>11</v>
      </c>
      <c r="C1968" t="s">
        <v>51</v>
      </c>
      <c r="D1968" t="s">
        <v>22</v>
      </c>
      <c r="E1968" t="s">
        <v>31</v>
      </c>
      <c r="F1968" t="s">
        <v>24</v>
      </c>
      <c r="G1968" t="s">
        <v>25</v>
      </c>
      <c r="H1968" t="s">
        <v>25</v>
      </c>
      <c r="I1968" t="s">
        <v>25</v>
      </c>
      <c r="J1968">
        <v>170</v>
      </c>
      <c r="K1968">
        <v>0</v>
      </c>
      <c r="L1968">
        <v>0</v>
      </c>
      <c r="M1968">
        <v>0</v>
      </c>
      <c r="N1968">
        <v>3</v>
      </c>
      <c r="O1968">
        <v>3</v>
      </c>
      <c r="P1968">
        <v>3</v>
      </c>
      <c r="Q1968">
        <v>2</v>
      </c>
      <c r="R1968">
        <v>2</v>
      </c>
      <c r="S1968">
        <v>0</v>
      </c>
      <c r="T1968">
        <v>0</v>
      </c>
      <c r="U1968">
        <v>170</v>
      </c>
    </row>
    <row r="1969" spans="1:21" x14ac:dyDescent="0.25">
      <c r="A1969">
        <v>2025</v>
      </c>
      <c r="B1969">
        <v>11</v>
      </c>
      <c r="C1969" t="s">
        <v>51</v>
      </c>
      <c r="D1969" t="s">
        <v>22</v>
      </c>
      <c r="E1969" t="s">
        <v>34</v>
      </c>
      <c r="F1969" t="s">
        <v>24</v>
      </c>
      <c r="G1969" t="s">
        <v>25</v>
      </c>
      <c r="H1969" t="s">
        <v>26</v>
      </c>
      <c r="I1969" t="s">
        <v>26</v>
      </c>
      <c r="J1969">
        <v>118</v>
      </c>
      <c r="K1969">
        <v>2</v>
      </c>
      <c r="L1969">
        <v>1</v>
      </c>
      <c r="M1969">
        <v>3</v>
      </c>
      <c r="N1969">
        <v>7</v>
      </c>
      <c r="O1969">
        <v>3</v>
      </c>
      <c r="P1969">
        <v>3</v>
      </c>
      <c r="Q1969">
        <v>3</v>
      </c>
      <c r="R1969">
        <v>0</v>
      </c>
      <c r="S1969">
        <v>0</v>
      </c>
      <c r="T1969">
        <v>0</v>
      </c>
      <c r="U1969">
        <v>116</v>
      </c>
    </row>
    <row r="1970" spans="1:21" x14ac:dyDescent="0.25">
      <c r="A1970">
        <v>2025</v>
      </c>
      <c r="B1970">
        <v>11</v>
      </c>
      <c r="C1970" t="s">
        <v>52</v>
      </c>
      <c r="D1970" t="s">
        <v>22</v>
      </c>
      <c r="E1970" t="s">
        <v>31</v>
      </c>
      <c r="F1970" t="s">
        <v>24</v>
      </c>
      <c r="G1970" t="s">
        <v>25</v>
      </c>
      <c r="H1970" t="s">
        <v>25</v>
      </c>
      <c r="I1970" t="s">
        <v>25</v>
      </c>
      <c r="J1970">
        <v>108</v>
      </c>
      <c r="K1970">
        <v>0</v>
      </c>
      <c r="L1970">
        <v>0</v>
      </c>
      <c r="M1970">
        <v>0</v>
      </c>
      <c r="N1970">
        <v>1</v>
      </c>
      <c r="O1970">
        <v>1</v>
      </c>
      <c r="P1970">
        <v>1</v>
      </c>
      <c r="Q1970">
        <v>0</v>
      </c>
      <c r="R1970">
        <v>0</v>
      </c>
      <c r="S1970">
        <v>0</v>
      </c>
      <c r="T1970">
        <v>0</v>
      </c>
      <c r="U1970">
        <v>108</v>
      </c>
    </row>
    <row r="1971" spans="1:21" x14ac:dyDescent="0.25">
      <c r="A1971">
        <v>2025</v>
      </c>
      <c r="B1971">
        <v>11</v>
      </c>
      <c r="C1971" t="s">
        <v>52</v>
      </c>
      <c r="D1971" t="s">
        <v>22</v>
      </c>
      <c r="E1971" t="s">
        <v>32</v>
      </c>
      <c r="F1971" t="s">
        <v>24</v>
      </c>
      <c r="G1971" t="s">
        <v>25</v>
      </c>
      <c r="H1971" t="s">
        <v>26</v>
      </c>
      <c r="I1971" t="s">
        <v>25</v>
      </c>
      <c r="J1971">
        <v>475</v>
      </c>
      <c r="K1971">
        <v>0</v>
      </c>
      <c r="L1971">
        <v>0</v>
      </c>
      <c r="M1971">
        <v>0</v>
      </c>
      <c r="N1971">
        <v>127</v>
      </c>
      <c r="O1971">
        <v>110</v>
      </c>
      <c r="P1971">
        <v>100</v>
      </c>
      <c r="Q1971">
        <v>69</v>
      </c>
      <c r="R1971">
        <v>51</v>
      </c>
      <c r="S1971">
        <v>29</v>
      </c>
      <c r="T1971">
        <v>6</v>
      </c>
      <c r="U1971">
        <v>475</v>
      </c>
    </row>
    <row r="1972" spans="1:21" x14ac:dyDescent="0.25">
      <c r="A1972">
        <v>2025</v>
      </c>
      <c r="B1972">
        <v>11</v>
      </c>
      <c r="C1972" t="s">
        <v>52</v>
      </c>
      <c r="D1972" t="s">
        <v>22</v>
      </c>
      <c r="E1972" t="s">
        <v>34</v>
      </c>
      <c r="F1972" t="s">
        <v>24</v>
      </c>
      <c r="G1972" t="s">
        <v>25</v>
      </c>
      <c r="H1972" t="s">
        <v>26</v>
      </c>
      <c r="I1972" t="s">
        <v>26</v>
      </c>
      <c r="J1972">
        <v>155</v>
      </c>
      <c r="K1972">
        <v>1</v>
      </c>
      <c r="L1972">
        <v>0</v>
      </c>
      <c r="M1972">
        <v>1</v>
      </c>
      <c r="N1972">
        <v>26</v>
      </c>
      <c r="O1972">
        <v>21</v>
      </c>
      <c r="P1972">
        <v>19</v>
      </c>
      <c r="Q1972">
        <v>9</v>
      </c>
      <c r="R1972">
        <v>7</v>
      </c>
      <c r="S1972">
        <v>4</v>
      </c>
      <c r="T1972">
        <v>3</v>
      </c>
      <c r="U1972">
        <v>154</v>
      </c>
    </row>
    <row r="1973" spans="1:21" x14ac:dyDescent="0.25">
      <c r="A1973">
        <v>2025</v>
      </c>
      <c r="B1973">
        <v>11</v>
      </c>
      <c r="C1973" t="s">
        <v>52</v>
      </c>
      <c r="D1973" t="s">
        <v>22</v>
      </c>
      <c r="E1973" t="s">
        <v>23</v>
      </c>
      <c r="F1973" t="s">
        <v>24</v>
      </c>
      <c r="G1973" t="s">
        <v>25</v>
      </c>
      <c r="H1973" t="s">
        <v>26</v>
      </c>
      <c r="I1973" t="s">
        <v>25</v>
      </c>
      <c r="J1973">
        <v>219</v>
      </c>
      <c r="K1973">
        <v>0</v>
      </c>
      <c r="L1973">
        <v>0</v>
      </c>
      <c r="M1973">
        <v>0</v>
      </c>
      <c r="N1973">
        <v>1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219</v>
      </c>
    </row>
    <row r="1974" spans="1:21" x14ac:dyDescent="0.25">
      <c r="A1974">
        <v>2025</v>
      </c>
      <c r="B1974">
        <v>11</v>
      </c>
      <c r="C1974" t="s">
        <v>52</v>
      </c>
      <c r="D1974" t="s">
        <v>22</v>
      </c>
      <c r="E1974" t="s">
        <v>23</v>
      </c>
      <c r="F1974" t="s">
        <v>29</v>
      </c>
      <c r="G1974" t="s">
        <v>25</v>
      </c>
      <c r="H1974" t="s">
        <v>26</v>
      </c>
      <c r="I1974" t="s">
        <v>25</v>
      </c>
      <c r="J1974">
        <v>1</v>
      </c>
      <c r="K1974">
        <v>0</v>
      </c>
      <c r="L1974">
        <v>0</v>
      </c>
      <c r="M1974">
        <v>0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</row>
    <row r="1975" spans="1:21" x14ac:dyDescent="0.25">
      <c r="A1975">
        <v>2025</v>
      </c>
      <c r="B1975">
        <v>11</v>
      </c>
      <c r="C1975" t="s">
        <v>52</v>
      </c>
      <c r="D1975" t="s">
        <v>22</v>
      </c>
      <c r="E1975" t="s">
        <v>41</v>
      </c>
      <c r="F1975" t="s">
        <v>24</v>
      </c>
      <c r="G1975" t="s">
        <v>26</v>
      </c>
      <c r="H1975" t="s">
        <v>26</v>
      </c>
      <c r="I1975" t="s">
        <v>25</v>
      </c>
      <c r="J1975">
        <v>461</v>
      </c>
      <c r="K1975">
        <v>1</v>
      </c>
      <c r="L1975">
        <v>0</v>
      </c>
      <c r="M1975">
        <v>1</v>
      </c>
      <c r="N1975">
        <v>250</v>
      </c>
      <c r="O1975">
        <v>221</v>
      </c>
      <c r="P1975">
        <v>209</v>
      </c>
      <c r="Q1975">
        <v>161</v>
      </c>
      <c r="R1975">
        <v>121</v>
      </c>
      <c r="S1975">
        <v>58</v>
      </c>
      <c r="T1975">
        <v>15</v>
      </c>
      <c r="U1975">
        <v>460</v>
      </c>
    </row>
    <row r="1976" spans="1:21" x14ac:dyDescent="0.25">
      <c r="A1976">
        <v>2025</v>
      </c>
      <c r="B1976">
        <v>11</v>
      </c>
      <c r="C1976" t="s">
        <v>53</v>
      </c>
      <c r="D1976" t="s">
        <v>22</v>
      </c>
      <c r="E1976" t="s">
        <v>54</v>
      </c>
      <c r="F1976" t="s">
        <v>24</v>
      </c>
      <c r="G1976" t="s">
        <v>25</v>
      </c>
      <c r="H1976" t="s">
        <v>26</v>
      </c>
      <c r="I1976" t="s">
        <v>25</v>
      </c>
      <c r="J1976">
        <v>726</v>
      </c>
      <c r="K1976">
        <v>5</v>
      </c>
      <c r="L1976">
        <v>0</v>
      </c>
      <c r="M1976">
        <v>5</v>
      </c>
      <c r="N1976">
        <v>59</v>
      </c>
      <c r="O1976">
        <v>43</v>
      </c>
      <c r="P1976">
        <v>31</v>
      </c>
      <c r="Q1976">
        <v>22</v>
      </c>
      <c r="R1976">
        <v>11</v>
      </c>
      <c r="S1976">
        <v>0</v>
      </c>
      <c r="T1976">
        <v>0</v>
      </c>
      <c r="U1976">
        <v>721</v>
      </c>
    </row>
    <row r="1977" spans="1:21" x14ac:dyDescent="0.25">
      <c r="A1977">
        <v>2025</v>
      </c>
      <c r="B1977">
        <v>11</v>
      </c>
      <c r="C1977" t="s">
        <v>53</v>
      </c>
      <c r="D1977" t="s">
        <v>22</v>
      </c>
      <c r="E1977" t="s">
        <v>55</v>
      </c>
      <c r="F1977" t="s">
        <v>28</v>
      </c>
      <c r="G1977" t="s">
        <v>25</v>
      </c>
      <c r="H1977" t="s">
        <v>26</v>
      </c>
      <c r="I1977" t="s">
        <v>25</v>
      </c>
      <c r="J1977">
        <v>6</v>
      </c>
      <c r="K1977">
        <v>0</v>
      </c>
      <c r="L1977">
        <v>6</v>
      </c>
      <c r="M1977">
        <v>6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0</v>
      </c>
    </row>
    <row r="1978" spans="1:21" x14ac:dyDescent="0.25">
      <c r="A1978">
        <v>2025</v>
      </c>
      <c r="B1978">
        <v>11</v>
      </c>
      <c r="C1978" t="s">
        <v>53</v>
      </c>
      <c r="D1978" t="s">
        <v>22</v>
      </c>
      <c r="E1978" t="s">
        <v>55</v>
      </c>
      <c r="F1978" t="s">
        <v>24</v>
      </c>
      <c r="G1978" t="s">
        <v>25</v>
      </c>
      <c r="H1978" t="s">
        <v>26</v>
      </c>
      <c r="I1978" t="s">
        <v>25</v>
      </c>
      <c r="J1978">
        <v>2</v>
      </c>
      <c r="K1978">
        <v>0</v>
      </c>
      <c r="L1978">
        <v>0</v>
      </c>
      <c r="M1978">
        <v>0</v>
      </c>
      <c r="N1978">
        <v>1</v>
      </c>
      <c r="O1978">
        <v>1</v>
      </c>
      <c r="P1978">
        <v>1</v>
      </c>
      <c r="Q1978">
        <v>0</v>
      </c>
      <c r="R1978">
        <v>0</v>
      </c>
      <c r="S1978">
        <v>0</v>
      </c>
      <c r="T1978">
        <v>0</v>
      </c>
      <c r="U1978">
        <v>2</v>
      </c>
    </row>
    <row r="1979" spans="1:21" x14ac:dyDescent="0.25">
      <c r="A1979">
        <v>2025</v>
      </c>
      <c r="B1979">
        <v>11</v>
      </c>
      <c r="C1979" t="s">
        <v>53</v>
      </c>
      <c r="D1979" t="s">
        <v>22</v>
      </c>
      <c r="E1979" t="s">
        <v>23</v>
      </c>
      <c r="F1979" t="s">
        <v>28</v>
      </c>
      <c r="G1979" t="s">
        <v>25</v>
      </c>
      <c r="H1979" t="s">
        <v>26</v>
      </c>
      <c r="I1979" t="s">
        <v>25</v>
      </c>
      <c r="J1979">
        <v>35437</v>
      </c>
      <c r="K1979">
        <v>0</v>
      </c>
      <c r="L1979">
        <v>4323</v>
      </c>
      <c r="M1979">
        <v>4323</v>
      </c>
      <c r="N1979">
        <v>6132</v>
      </c>
      <c r="O1979">
        <v>3568</v>
      </c>
      <c r="P1979">
        <v>2819</v>
      </c>
      <c r="Q1979">
        <v>1353</v>
      </c>
      <c r="R1979">
        <v>632</v>
      </c>
      <c r="S1979">
        <v>70</v>
      </c>
      <c r="T1979">
        <v>2</v>
      </c>
      <c r="U1979">
        <v>31964</v>
      </c>
    </row>
    <row r="1980" spans="1:21" x14ac:dyDescent="0.25">
      <c r="A1980">
        <v>2025</v>
      </c>
      <c r="B1980">
        <v>11</v>
      </c>
      <c r="C1980" t="s">
        <v>53</v>
      </c>
      <c r="D1980" t="s">
        <v>22</v>
      </c>
      <c r="E1980" t="s">
        <v>23</v>
      </c>
      <c r="F1980" t="s">
        <v>24</v>
      </c>
      <c r="G1980" t="s">
        <v>25</v>
      </c>
      <c r="H1980" t="s">
        <v>26</v>
      </c>
      <c r="I1980" t="s">
        <v>25</v>
      </c>
      <c r="J1980">
        <v>60</v>
      </c>
      <c r="K1980">
        <v>0</v>
      </c>
      <c r="L1980">
        <v>3</v>
      </c>
      <c r="M1980">
        <v>3</v>
      </c>
      <c r="N1980">
        <v>31</v>
      </c>
      <c r="O1980">
        <v>25</v>
      </c>
      <c r="P1980">
        <v>23</v>
      </c>
      <c r="Q1980">
        <v>21</v>
      </c>
      <c r="R1980">
        <v>16</v>
      </c>
      <c r="S1980">
        <v>10</v>
      </c>
      <c r="T1980">
        <v>6</v>
      </c>
      <c r="U1980">
        <v>58</v>
      </c>
    </row>
    <row r="1981" spans="1:21" x14ac:dyDescent="0.25">
      <c r="A1981">
        <v>2025</v>
      </c>
      <c r="B1981">
        <v>11</v>
      </c>
      <c r="C1981" t="s">
        <v>53</v>
      </c>
      <c r="D1981" t="s">
        <v>22</v>
      </c>
      <c r="E1981" t="s">
        <v>23</v>
      </c>
      <c r="F1981" t="s">
        <v>29</v>
      </c>
      <c r="G1981" t="s">
        <v>25</v>
      </c>
      <c r="H1981" t="s">
        <v>26</v>
      </c>
      <c r="I1981" t="s">
        <v>25</v>
      </c>
      <c r="J1981">
        <v>1</v>
      </c>
      <c r="K1981">
        <v>1</v>
      </c>
      <c r="L1981">
        <v>0</v>
      </c>
      <c r="M1981">
        <v>1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</row>
    <row r="1982" spans="1:21" x14ac:dyDescent="0.25">
      <c r="A1982">
        <v>2025</v>
      </c>
      <c r="B1982">
        <v>11</v>
      </c>
      <c r="C1982" t="s">
        <v>53</v>
      </c>
      <c r="D1982" t="s">
        <v>22</v>
      </c>
      <c r="E1982" t="s">
        <v>56</v>
      </c>
      <c r="F1982" t="s">
        <v>28</v>
      </c>
      <c r="G1982" t="s">
        <v>25</v>
      </c>
      <c r="H1982" t="s">
        <v>26</v>
      </c>
      <c r="I1982" t="s">
        <v>25</v>
      </c>
      <c r="J1982">
        <v>2832</v>
      </c>
      <c r="K1982">
        <v>0</v>
      </c>
      <c r="L1982">
        <v>625</v>
      </c>
      <c r="M1982">
        <v>625</v>
      </c>
      <c r="N1982">
        <v>680</v>
      </c>
      <c r="O1982">
        <v>461</v>
      </c>
      <c r="P1982">
        <v>396</v>
      </c>
      <c r="Q1982">
        <v>219</v>
      </c>
      <c r="R1982">
        <v>98</v>
      </c>
      <c r="S1982">
        <v>10</v>
      </c>
      <c r="T1982">
        <v>0</v>
      </c>
      <c r="U1982">
        <v>2435</v>
      </c>
    </row>
    <row r="1983" spans="1:21" x14ac:dyDescent="0.25">
      <c r="A1983">
        <v>2025</v>
      </c>
      <c r="B1983">
        <v>11</v>
      </c>
      <c r="C1983" t="s">
        <v>53</v>
      </c>
      <c r="D1983" t="s">
        <v>22</v>
      </c>
      <c r="E1983" t="s">
        <v>39</v>
      </c>
      <c r="F1983" t="s">
        <v>24</v>
      </c>
      <c r="G1983" t="s">
        <v>26</v>
      </c>
      <c r="H1983" t="s">
        <v>26</v>
      </c>
      <c r="I1983" t="s">
        <v>25</v>
      </c>
      <c r="J1983">
        <v>843</v>
      </c>
      <c r="K1983">
        <v>4</v>
      </c>
      <c r="L1983">
        <v>9</v>
      </c>
      <c r="M1983">
        <v>13</v>
      </c>
      <c r="N1983">
        <v>351</v>
      </c>
      <c r="O1983">
        <v>299</v>
      </c>
      <c r="P1983">
        <v>287</v>
      </c>
      <c r="Q1983">
        <v>258</v>
      </c>
      <c r="R1983">
        <v>201</v>
      </c>
      <c r="S1983">
        <v>80</v>
      </c>
      <c r="T1983">
        <v>35</v>
      </c>
      <c r="U1983">
        <v>836</v>
      </c>
    </row>
    <row r="1984" spans="1:21" x14ac:dyDescent="0.25">
      <c r="A1984">
        <v>2025</v>
      </c>
      <c r="B1984">
        <v>11</v>
      </c>
      <c r="C1984" t="s">
        <v>53</v>
      </c>
      <c r="D1984" t="s">
        <v>22</v>
      </c>
      <c r="E1984" t="s">
        <v>35</v>
      </c>
      <c r="F1984" t="s">
        <v>24</v>
      </c>
      <c r="G1984" t="s">
        <v>25</v>
      </c>
      <c r="H1984" t="s">
        <v>26</v>
      </c>
      <c r="I1984" t="s">
        <v>26</v>
      </c>
      <c r="J1984">
        <v>179</v>
      </c>
      <c r="K1984">
        <v>2</v>
      </c>
      <c r="L1984">
        <v>5</v>
      </c>
      <c r="M1984">
        <v>7</v>
      </c>
      <c r="N1984">
        <v>132</v>
      </c>
      <c r="O1984">
        <v>119</v>
      </c>
      <c r="P1984">
        <v>114</v>
      </c>
      <c r="Q1984">
        <v>104</v>
      </c>
      <c r="R1984">
        <v>90</v>
      </c>
      <c r="S1984">
        <v>60</v>
      </c>
      <c r="T1984">
        <v>40</v>
      </c>
      <c r="U1984">
        <v>173</v>
      </c>
    </row>
    <row r="1985" spans="1:21" x14ac:dyDescent="0.25">
      <c r="A1985">
        <v>2025</v>
      </c>
      <c r="B1985">
        <v>11</v>
      </c>
      <c r="C1985" t="s">
        <v>53</v>
      </c>
      <c r="D1985" t="s">
        <v>22</v>
      </c>
      <c r="E1985" t="s">
        <v>57</v>
      </c>
      <c r="F1985" t="s">
        <v>28</v>
      </c>
      <c r="G1985" t="s">
        <v>25</v>
      </c>
      <c r="H1985" t="s">
        <v>26</v>
      </c>
      <c r="I1985" t="s">
        <v>26</v>
      </c>
      <c r="J1985">
        <v>17</v>
      </c>
      <c r="K1985">
        <v>0</v>
      </c>
      <c r="L1985">
        <v>0</v>
      </c>
      <c r="M1985">
        <v>0</v>
      </c>
      <c r="N1985">
        <v>4</v>
      </c>
      <c r="O1985">
        <v>2</v>
      </c>
      <c r="P1985">
        <v>1</v>
      </c>
      <c r="Q1985">
        <v>1</v>
      </c>
      <c r="R1985">
        <v>1</v>
      </c>
      <c r="S1985">
        <v>1</v>
      </c>
      <c r="T1985">
        <v>0</v>
      </c>
      <c r="U1985">
        <v>17</v>
      </c>
    </row>
    <row r="1986" spans="1:21" x14ac:dyDescent="0.25">
      <c r="A1986">
        <v>2025</v>
      </c>
      <c r="B1986">
        <v>11</v>
      </c>
      <c r="C1986" t="s">
        <v>53</v>
      </c>
      <c r="D1986" t="s">
        <v>22</v>
      </c>
      <c r="E1986" t="s">
        <v>58</v>
      </c>
      <c r="F1986" t="s">
        <v>28</v>
      </c>
      <c r="G1986" t="s">
        <v>25</v>
      </c>
      <c r="H1986" t="s">
        <v>25</v>
      </c>
      <c r="I1986" t="s">
        <v>25</v>
      </c>
      <c r="J1986">
        <v>3980</v>
      </c>
      <c r="K1986">
        <v>0</v>
      </c>
      <c r="L1986">
        <v>312</v>
      </c>
      <c r="M1986">
        <v>312</v>
      </c>
      <c r="N1986">
        <v>620</v>
      </c>
      <c r="O1986">
        <v>261</v>
      </c>
      <c r="P1986">
        <v>187</v>
      </c>
      <c r="Q1986">
        <v>81</v>
      </c>
      <c r="R1986">
        <v>33</v>
      </c>
      <c r="S1986">
        <v>5</v>
      </c>
      <c r="T1986">
        <v>0</v>
      </c>
      <c r="U1986">
        <v>3765</v>
      </c>
    </row>
    <row r="1987" spans="1:21" x14ac:dyDescent="0.25">
      <c r="A1987">
        <v>2025</v>
      </c>
      <c r="B1987">
        <v>11</v>
      </c>
      <c r="C1987" t="s">
        <v>53</v>
      </c>
      <c r="D1987" t="s">
        <v>22</v>
      </c>
      <c r="E1987" t="s">
        <v>58</v>
      </c>
      <c r="F1987" t="s">
        <v>24</v>
      </c>
      <c r="G1987" t="s">
        <v>25</v>
      </c>
      <c r="H1987" t="s">
        <v>25</v>
      </c>
      <c r="I1987" t="s">
        <v>25</v>
      </c>
      <c r="J1987">
        <v>3</v>
      </c>
      <c r="K1987">
        <v>0</v>
      </c>
      <c r="L1987">
        <v>0</v>
      </c>
      <c r="M1987">
        <v>0</v>
      </c>
      <c r="N1987">
        <v>2</v>
      </c>
      <c r="O1987">
        <v>2</v>
      </c>
      <c r="P1987">
        <v>2</v>
      </c>
      <c r="Q1987">
        <v>2</v>
      </c>
      <c r="R1987">
        <v>2</v>
      </c>
      <c r="S1987">
        <v>2</v>
      </c>
      <c r="T1987">
        <v>2</v>
      </c>
      <c r="U1987">
        <v>3</v>
      </c>
    </row>
    <row r="1988" spans="1:21" x14ac:dyDescent="0.25">
      <c r="A1988">
        <v>2025</v>
      </c>
      <c r="B1988">
        <v>11</v>
      </c>
      <c r="C1988" t="s">
        <v>53</v>
      </c>
      <c r="D1988" t="s">
        <v>22</v>
      </c>
      <c r="E1988" t="s">
        <v>59</v>
      </c>
      <c r="F1988" t="s">
        <v>28</v>
      </c>
      <c r="G1988" t="s">
        <v>25</v>
      </c>
      <c r="H1988" t="s">
        <v>25</v>
      </c>
      <c r="I1988" t="s">
        <v>25</v>
      </c>
      <c r="J1988">
        <v>74652</v>
      </c>
      <c r="K1988">
        <v>0</v>
      </c>
      <c r="L1988">
        <v>4452</v>
      </c>
      <c r="M1988">
        <v>4452</v>
      </c>
      <c r="N1988">
        <v>8193</v>
      </c>
      <c r="O1988">
        <v>3888</v>
      </c>
      <c r="P1988">
        <v>2871</v>
      </c>
      <c r="Q1988">
        <v>1109</v>
      </c>
      <c r="R1988">
        <v>417</v>
      </c>
      <c r="S1988">
        <v>52</v>
      </c>
      <c r="T1988">
        <v>5</v>
      </c>
      <c r="U1988">
        <v>71486</v>
      </c>
    </row>
    <row r="1989" spans="1:21" x14ac:dyDescent="0.25">
      <c r="A1989">
        <v>2025</v>
      </c>
      <c r="B1989">
        <v>11</v>
      </c>
      <c r="C1989" t="s">
        <v>53</v>
      </c>
      <c r="D1989" t="s">
        <v>22</v>
      </c>
      <c r="E1989" t="s">
        <v>60</v>
      </c>
      <c r="F1989" t="s">
        <v>28</v>
      </c>
      <c r="G1989" t="s">
        <v>25</v>
      </c>
      <c r="H1989" t="s">
        <v>25</v>
      </c>
      <c r="I1989" t="s">
        <v>25</v>
      </c>
      <c r="J1989">
        <v>36335</v>
      </c>
      <c r="K1989">
        <v>0</v>
      </c>
      <c r="L1989">
        <v>1206</v>
      </c>
      <c r="M1989">
        <v>1206</v>
      </c>
      <c r="N1989">
        <v>4363</v>
      </c>
      <c r="O1989">
        <v>1769</v>
      </c>
      <c r="P1989">
        <v>1163</v>
      </c>
      <c r="Q1989">
        <v>343</v>
      </c>
      <c r="R1989">
        <v>124</v>
      </c>
      <c r="S1989">
        <v>9</v>
      </c>
      <c r="T1989">
        <v>0</v>
      </c>
      <c r="U1989">
        <v>35452</v>
      </c>
    </row>
    <row r="1990" spans="1:21" x14ac:dyDescent="0.25">
      <c r="A1990">
        <v>2025</v>
      </c>
      <c r="B1990">
        <v>11</v>
      </c>
      <c r="C1990" t="s">
        <v>61</v>
      </c>
      <c r="D1990" t="s">
        <v>22</v>
      </c>
      <c r="E1990" t="s">
        <v>31</v>
      </c>
      <c r="F1990" t="s">
        <v>28</v>
      </c>
      <c r="G1990" t="s">
        <v>25</v>
      </c>
      <c r="H1990" t="s">
        <v>26</v>
      </c>
      <c r="I1990" t="s">
        <v>25</v>
      </c>
      <c r="J1990">
        <v>400</v>
      </c>
      <c r="K1990">
        <v>1</v>
      </c>
      <c r="L1990">
        <v>0</v>
      </c>
      <c r="M1990">
        <v>1</v>
      </c>
      <c r="N1990">
        <v>89</v>
      </c>
      <c r="O1990">
        <v>54</v>
      </c>
      <c r="P1990">
        <v>44</v>
      </c>
      <c r="Q1990">
        <v>27</v>
      </c>
      <c r="R1990">
        <v>16</v>
      </c>
      <c r="S1990">
        <v>5</v>
      </c>
      <c r="T1990">
        <v>4</v>
      </c>
      <c r="U1990">
        <v>399</v>
      </c>
    </row>
    <row r="1991" spans="1:21" x14ac:dyDescent="0.25">
      <c r="A1991">
        <v>2025</v>
      </c>
      <c r="B1991">
        <v>11</v>
      </c>
      <c r="C1991" t="s">
        <v>61</v>
      </c>
      <c r="D1991" t="s">
        <v>22</v>
      </c>
      <c r="E1991" t="s">
        <v>31</v>
      </c>
      <c r="F1991" t="s">
        <v>24</v>
      </c>
      <c r="G1991" t="s">
        <v>25</v>
      </c>
      <c r="H1991" t="s">
        <v>26</v>
      </c>
      <c r="I1991" t="s">
        <v>25</v>
      </c>
      <c r="J1991">
        <v>851</v>
      </c>
      <c r="K1991">
        <v>0</v>
      </c>
      <c r="L1991">
        <v>0</v>
      </c>
      <c r="M1991">
        <v>0</v>
      </c>
      <c r="N1991">
        <v>205</v>
      </c>
      <c r="O1991">
        <v>141</v>
      </c>
      <c r="P1991">
        <v>121</v>
      </c>
      <c r="Q1991">
        <v>85</v>
      </c>
      <c r="R1991">
        <v>56</v>
      </c>
      <c r="S1991">
        <v>22</v>
      </c>
      <c r="T1991">
        <v>4</v>
      </c>
      <c r="U1991">
        <v>851</v>
      </c>
    </row>
    <row r="1992" spans="1:21" x14ac:dyDescent="0.25">
      <c r="A1992">
        <v>2025</v>
      </c>
      <c r="B1992">
        <v>11</v>
      </c>
      <c r="C1992" t="s">
        <v>61</v>
      </c>
      <c r="D1992" t="s">
        <v>22</v>
      </c>
      <c r="E1992" t="s">
        <v>32</v>
      </c>
      <c r="F1992" t="s">
        <v>28</v>
      </c>
      <c r="G1992" t="s">
        <v>25</v>
      </c>
      <c r="H1992" t="s">
        <v>26</v>
      </c>
      <c r="I1992" t="s">
        <v>25</v>
      </c>
      <c r="J1992">
        <v>145</v>
      </c>
      <c r="K1992">
        <v>0</v>
      </c>
      <c r="L1992">
        <v>0</v>
      </c>
      <c r="M1992">
        <v>0</v>
      </c>
      <c r="N1992">
        <v>19</v>
      </c>
      <c r="O1992">
        <v>11</v>
      </c>
      <c r="P1992">
        <v>11</v>
      </c>
      <c r="Q1992">
        <v>9</v>
      </c>
      <c r="R1992">
        <v>7</v>
      </c>
      <c r="S1992">
        <v>1</v>
      </c>
      <c r="T1992">
        <v>0</v>
      </c>
      <c r="U1992">
        <v>145</v>
      </c>
    </row>
    <row r="1993" spans="1:21" x14ac:dyDescent="0.25">
      <c r="A1993">
        <v>2025</v>
      </c>
      <c r="B1993">
        <v>11</v>
      </c>
      <c r="C1993" t="s">
        <v>61</v>
      </c>
      <c r="D1993" t="s">
        <v>22</v>
      </c>
      <c r="E1993" t="s">
        <v>32</v>
      </c>
      <c r="F1993" t="s">
        <v>24</v>
      </c>
      <c r="G1993" t="s">
        <v>25</v>
      </c>
      <c r="H1993" t="s">
        <v>26</v>
      </c>
      <c r="I1993" t="s">
        <v>25</v>
      </c>
      <c r="J1993">
        <v>1378</v>
      </c>
      <c r="K1993">
        <v>5</v>
      </c>
      <c r="L1993">
        <v>2</v>
      </c>
      <c r="M1993">
        <v>7</v>
      </c>
      <c r="N1993">
        <v>555</v>
      </c>
      <c r="O1993">
        <v>441</v>
      </c>
      <c r="P1993">
        <v>390</v>
      </c>
      <c r="Q1993">
        <v>297</v>
      </c>
      <c r="R1993">
        <v>214</v>
      </c>
      <c r="S1993">
        <v>81</v>
      </c>
      <c r="T1993">
        <v>29</v>
      </c>
      <c r="U1993">
        <v>1371</v>
      </c>
    </row>
    <row r="1994" spans="1:21" x14ac:dyDescent="0.25">
      <c r="A1994">
        <v>2025</v>
      </c>
      <c r="B1994">
        <v>11</v>
      </c>
      <c r="C1994" t="s">
        <v>61</v>
      </c>
      <c r="D1994" t="s">
        <v>22</v>
      </c>
      <c r="E1994" t="s">
        <v>38</v>
      </c>
      <c r="F1994" t="s">
        <v>24</v>
      </c>
      <c r="G1994" t="s">
        <v>25</v>
      </c>
      <c r="H1994" t="s">
        <v>26</v>
      </c>
      <c r="I1994" t="s">
        <v>25</v>
      </c>
      <c r="J1994">
        <v>12</v>
      </c>
      <c r="K1994">
        <v>0</v>
      </c>
      <c r="L1994">
        <v>0</v>
      </c>
      <c r="M1994">
        <v>0</v>
      </c>
      <c r="N1994">
        <v>8</v>
      </c>
      <c r="O1994">
        <v>6</v>
      </c>
      <c r="P1994">
        <v>5</v>
      </c>
      <c r="Q1994">
        <v>4</v>
      </c>
      <c r="R1994">
        <v>1</v>
      </c>
      <c r="S1994">
        <v>1</v>
      </c>
      <c r="T1994">
        <v>1</v>
      </c>
      <c r="U1994">
        <v>12</v>
      </c>
    </row>
    <row r="1995" spans="1:21" x14ac:dyDescent="0.25">
      <c r="A1995">
        <v>2025</v>
      </c>
      <c r="B1995">
        <v>11</v>
      </c>
      <c r="C1995" t="s">
        <v>61</v>
      </c>
      <c r="D1995" t="s">
        <v>22</v>
      </c>
      <c r="E1995" t="s">
        <v>34</v>
      </c>
      <c r="F1995" t="s">
        <v>28</v>
      </c>
      <c r="G1995" t="s">
        <v>25</v>
      </c>
      <c r="H1995" t="s">
        <v>26</v>
      </c>
      <c r="I1995" t="s">
        <v>26</v>
      </c>
      <c r="J1995">
        <v>3</v>
      </c>
      <c r="K1995">
        <v>0</v>
      </c>
      <c r="L1995">
        <v>0</v>
      </c>
      <c r="M1995">
        <v>0</v>
      </c>
      <c r="N1995">
        <v>0</v>
      </c>
      <c r="O1995">
        <v>0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3</v>
      </c>
    </row>
    <row r="1996" spans="1:21" x14ac:dyDescent="0.25">
      <c r="A1996">
        <v>2025</v>
      </c>
      <c r="B1996">
        <v>11</v>
      </c>
      <c r="C1996" t="s">
        <v>61</v>
      </c>
      <c r="D1996" t="s">
        <v>22</v>
      </c>
      <c r="E1996" t="s">
        <v>34</v>
      </c>
      <c r="F1996" t="s">
        <v>24</v>
      </c>
      <c r="G1996" t="s">
        <v>25</v>
      </c>
      <c r="H1996" t="s">
        <v>26</v>
      </c>
      <c r="I1996" t="s">
        <v>26</v>
      </c>
      <c r="J1996">
        <v>320</v>
      </c>
      <c r="K1996">
        <v>2</v>
      </c>
      <c r="L1996">
        <v>1</v>
      </c>
      <c r="M1996">
        <v>3</v>
      </c>
      <c r="N1996">
        <v>81</v>
      </c>
      <c r="O1996">
        <v>62</v>
      </c>
      <c r="P1996">
        <v>57</v>
      </c>
      <c r="Q1996">
        <v>47</v>
      </c>
      <c r="R1996">
        <v>35</v>
      </c>
      <c r="S1996">
        <v>16</v>
      </c>
      <c r="T1996">
        <v>7</v>
      </c>
      <c r="U1996">
        <v>317</v>
      </c>
    </row>
    <row r="1997" spans="1:21" x14ac:dyDescent="0.25">
      <c r="A1997">
        <v>2025</v>
      </c>
      <c r="B1997">
        <v>11</v>
      </c>
      <c r="C1997" t="s">
        <v>61</v>
      </c>
      <c r="D1997" t="s">
        <v>22</v>
      </c>
      <c r="E1997" t="s">
        <v>23</v>
      </c>
      <c r="F1997" t="s">
        <v>28</v>
      </c>
      <c r="G1997" t="s">
        <v>25</v>
      </c>
      <c r="H1997" t="s">
        <v>26</v>
      </c>
      <c r="I1997" t="s">
        <v>25</v>
      </c>
      <c r="J1997">
        <v>1353</v>
      </c>
      <c r="K1997">
        <v>3</v>
      </c>
      <c r="L1997">
        <v>15</v>
      </c>
      <c r="M1997">
        <v>18</v>
      </c>
      <c r="N1997">
        <v>212</v>
      </c>
      <c r="O1997">
        <v>137</v>
      </c>
      <c r="P1997">
        <v>114</v>
      </c>
      <c r="Q1997">
        <v>65</v>
      </c>
      <c r="R1997">
        <v>39</v>
      </c>
      <c r="S1997">
        <v>14</v>
      </c>
      <c r="T1997">
        <v>8</v>
      </c>
      <c r="U1997">
        <v>1343</v>
      </c>
    </row>
    <row r="1998" spans="1:21" x14ac:dyDescent="0.25">
      <c r="A1998">
        <v>2025</v>
      </c>
      <c r="B1998">
        <v>11</v>
      </c>
      <c r="C1998" t="s">
        <v>61</v>
      </c>
      <c r="D1998" t="s">
        <v>22</v>
      </c>
      <c r="E1998" t="s">
        <v>23</v>
      </c>
      <c r="F1998" t="s">
        <v>24</v>
      </c>
      <c r="G1998" t="s">
        <v>25</v>
      </c>
      <c r="H1998" t="s">
        <v>26</v>
      </c>
      <c r="I1998" t="s">
        <v>25</v>
      </c>
      <c r="J1998">
        <v>510</v>
      </c>
      <c r="K1998">
        <v>2</v>
      </c>
      <c r="L1998">
        <v>0</v>
      </c>
      <c r="M1998">
        <v>2</v>
      </c>
      <c r="N1998">
        <v>86</v>
      </c>
      <c r="O1998">
        <v>71</v>
      </c>
      <c r="P1998">
        <v>66</v>
      </c>
      <c r="Q1998">
        <v>51</v>
      </c>
      <c r="R1998">
        <v>37</v>
      </c>
      <c r="S1998">
        <v>17</v>
      </c>
      <c r="T1998">
        <v>5</v>
      </c>
      <c r="U1998">
        <v>508</v>
      </c>
    </row>
    <row r="1999" spans="1:21" x14ac:dyDescent="0.25">
      <c r="A1999">
        <v>2025</v>
      </c>
      <c r="B1999">
        <v>11</v>
      </c>
      <c r="C1999" t="s">
        <v>61</v>
      </c>
      <c r="D1999" t="s">
        <v>22</v>
      </c>
      <c r="E1999" t="s">
        <v>39</v>
      </c>
      <c r="F1999" t="s">
        <v>28</v>
      </c>
      <c r="G1999" t="s">
        <v>26</v>
      </c>
      <c r="H1999" t="s">
        <v>26</v>
      </c>
      <c r="I1999" t="s">
        <v>25</v>
      </c>
      <c r="J1999">
        <v>68</v>
      </c>
      <c r="K1999">
        <v>1</v>
      </c>
      <c r="L1999">
        <v>0</v>
      </c>
      <c r="M1999">
        <v>1</v>
      </c>
      <c r="N1999">
        <v>8</v>
      </c>
      <c r="O1999">
        <v>7</v>
      </c>
      <c r="P1999">
        <v>5</v>
      </c>
      <c r="Q1999">
        <v>4</v>
      </c>
      <c r="R1999">
        <v>3</v>
      </c>
      <c r="S1999">
        <v>3</v>
      </c>
      <c r="T1999">
        <v>0</v>
      </c>
      <c r="U1999">
        <v>67</v>
      </c>
    </row>
    <row r="2000" spans="1:21" x14ac:dyDescent="0.25">
      <c r="A2000">
        <v>2025</v>
      </c>
      <c r="B2000">
        <v>11</v>
      </c>
      <c r="C2000" t="s">
        <v>61</v>
      </c>
      <c r="D2000" t="s">
        <v>22</v>
      </c>
      <c r="E2000" t="s">
        <v>39</v>
      </c>
      <c r="F2000" t="s">
        <v>24</v>
      </c>
      <c r="G2000" t="s">
        <v>26</v>
      </c>
      <c r="H2000" t="s">
        <v>26</v>
      </c>
      <c r="I2000" t="s">
        <v>25</v>
      </c>
      <c r="J2000">
        <v>668</v>
      </c>
      <c r="K2000">
        <v>9</v>
      </c>
      <c r="L2000">
        <v>3</v>
      </c>
      <c r="M2000">
        <v>12</v>
      </c>
      <c r="N2000">
        <v>269</v>
      </c>
      <c r="O2000">
        <v>223</v>
      </c>
      <c r="P2000">
        <v>214</v>
      </c>
      <c r="Q2000">
        <v>191</v>
      </c>
      <c r="R2000">
        <v>160</v>
      </c>
      <c r="S2000">
        <v>87</v>
      </c>
      <c r="T2000">
        <v>35</v>
      </c>
      <c r="U2000">
        <v>657</v>
      </c>
    </row>
    <row r="2001" spans="1:21" x14ac:dyDescent="0.25">
      <c r="A2001">
        <v>2025</v>
      </c>
      <c r="B2001">
        <v>11</v>
      </c>
      <c r="C2001" t="s">
        <v>61</v>
      </c>
      <c r="D2001" t="s">
        <v>22</v>
      </c>
      <c r="E2001" t="s">
        <v>40</v>
      </c>
      <c r="F2001" t="s">
        <v>28</v>
      </c>
      <c r="G2001" t="s">
        <v>25</v>
      </c>
      <c r="H2001" t="s">
        <v>26</v>
      </c>
      <c r="I2001" t="s">
        <v>25</v>
      </c>
      <c r="J2001">
        <v>320</v>
      </c>
      <c r="K2001">
        <v>0</v>
      </c>
      <c r="L2001">
        <v>0</v>
      </c>
      <c r="M2001">
        <v>0</v>
      </c>
      <c r="N2001">
        <v>22</v>
      </c>
      <c r="O2001">
        <v>13</v>
      </c>
      <c r="P2001">
        <v>11</v>
      </c>
      <c r="Q2001">
        <v>8</v>
      </c>
      <c r="R2001">
        <v>8</v>
      </c>
      <c r="S2001">
        <v>4</v>
      </c>
      <c r="T2001">
        <v>2</v>
      </c>
      <c r="U2001">
        <v>320</v>
      </c>
    </row>
    <row r="2002" spans="1:21" x14ac:dyDescent="0.25">
      <c r="A2002">
        <v>2025</v>
      </c>
      <c r="B2002">
        <v>11</v>
      </c>
      <c r="C2002" t="s">
        <v>61</v>
      </c>
      <c r="D2002" t="s">
        <v>22</v>
      </c>
      <c r="E2002" t="s">
        <v>35</v>
      </c>
      <c r="F2002" t="s">
        <v>28</v>
      </c>
      <c r="G2002" t="s">
        <v>25</v>
      </c>
      <c r="H2002" t="s">
        <v>26</v>
      </c>
      <c r="I2002" t="s">
        <v>26</v>
      </c>
      <c r="J2002">
        <v>58</v>
      </c>
      <c r="K2002">
        <v>1</v>
      </c>
      <c r="L2002">
        <v>0</v>
      </c>
      <c r="M2002">
        <v>1</v>
      </c>
      <c r="N2002">
        <v>2</v>
      </c>
      <c r="O2002">
        <v>2</v>
      </c>
      <c r="P2002">
        <v>2</v>
      </c>
      <c r="Q2002">
        <v>2</v>
      </c>
      <c r="R2002">
        <v>2</v>
      </c>
      <c r="S2002">
        <v>0</v>
      </c>
      <c r="T2002">
        <v>0</v>
      </c>
      <c r="U2002">
        <v>57</v>
      </c>
    </row>
    <row r="2003" spans="1:21" x14ac:dyDescent="0.25">
      <c r="A2003">
        <v>2025</v>
      </c>
      <c r="B2003">
        <v>11</v>
      </c>
      <c r="C2003" t="s">
        <v>61</v>
      </c>
      <c r="D2003" t="s">
        <v>22</v>
      </c>
      <c r="E2003" t="s">
        <v>35</v>
      </c>
      <c r="F2003" t="s">
        <v>24</v>
      </c>
      <c r="G2003" t="s">
        <v>25</v>
      </c>
      <c r="H2003" t="s">
        <v>26</v>
      </c>
      <c r="I2003" t="s">
        <v>26</v>
      </c>
      <c r="J2003">
        <v>685</v>
      </c>
      <c r="K2003">
        <v>5</v>
      </c>
      <c r="L2003">
        <v>3</v>
      </c>
      <c r="M2003">
        <v>8</v>
      </c>
      <c r="N2003">
        <v>318</v>
      </c>
      <c r="O2003">
        <v>280</v>
      </c>
      <c r="P2003">
        <v>266</v>
      </c>
      <c r="Q2003">
        <v>217</v>
      </c>
      <c r="R2003">
        <v>185</v>
      </c>
      <c r="S2003">
        <v>137</v>
      </c>
      <c r="T2003">
        <v>73</v>
      </c>
      <c r="U2003">
        <v>677</v>
      </c>
    </row>
    <row r="2004" spans="1:21" x14ac:dyDescent="0.25">
      <c r="A2004">
        <v>2025</v>
      </c>
      <c r="B2004">
        <v>11</v>
      </c>
      <c r="C2004" t="s">
        <v>61</v>
      </c>
      <c r="D2004" t="s">
        <v>22</v>
      </c>
      <c r="E2004" t="s">
        <v>36</v>
      </c>
      <c r="F2004" t="s">
        <v>28</v>
      </c>
      <c r="G2004" t="s">
        <v>25</v>
      </c>
      <c r="H2004" t="s">
        <v>26</v>
      </c>
      <c r="I2004" t="s">
        <v>25</v>
      </c>
      <c r="J2004">
        <v>1637</v>
      </c>
      <c r="K2004">
        <v>5</v>
      </c>
      <c r="L2004">
        <v>85</v>
      </c>
      <c r="M2004">
        <v>90</v>
      </c>
      <c r="N2004">
        <v>347</v>
      </c>
      <c r="O2004">
        <v>225</v>
      </c>
      <c r="P2004">
        <v>183</v>
      </c>
      <c r="Q2004">
        <v>92</v>
      </c>
      <c r="R2004">
        <v>54</v>
      </c>
      <c r="S2004">
        <v>21</v>
      </c>
      <c r="T2004">
        <v>2</v>
      </c>
      <c r="U2004">
        <v>1581</v>
      </c>
    </row>
    <row r="2005" spans="1:21" x14ac:dyDescent="0.25">
      <c r="A2005">
        <v>2025</v>
      </c>
      <c r="B2005">
        <v>11</v>
      </c>
      <c r="C2005" t="s">
        <v>61</v>
      </c>
      <c r="D2005" t="s">
        <v>22</v>
      </c>
      <c r="E2005" t="s">
        <v>36</v>
      </c>
      <c r="F2005" t="s">
        <v>24</v>
      </c>
      <c r="G2005" t="s">
        <v>25</v>
      </c>
      <c r="H2005" t="s">
        <v>26</v>
      </c>
      <c r="I2005" t="s">
        <v>25</v>
      </c>
      <c r="J2005">
        <v>906</v>
      </c>
      <c r="K2005">
        <v>5</v>
      </c>
      <c r="L2005">
        <v>7</v>
      </c>
      <c r="M2005">
        <v>12</v>
      </c>
      <c r="N2005">
        <v>382</v>
      </c>
      <c r="O2005">
        <v>321</v>
      </c>
      <c r="P2005">
        <v>300</v>
      </c>
      <c r="Q2005">
        <v>233</v>
      </c>
      <c r="R2005">
        <v>175</v>
      </c>
      <c r="S2005">
        <v>71</v>
      </c>
      <c r="T2005">
        <v>17</v>
      </c>
      <c r="U2005">
        <v>895</v>
      </c>
    </row>
    <row r="2006" spans="1:21" x14ac:dyDescent="0.25">
      <c r="A2006">
        <v>2025</v>
      </c>
      <c r="B2006">
        <v>11</v>
      </c>
      <c r="C2006" t="s">
        <v>61</v>
      </c>
      <c r="D2006" t="s">
        <v>22</v>
      </c>
      <c r="E2006" t="s">
        <v>41</v>
      </c>
      <c r="F2006" t="s">
        <v>28</v>
      </c>
      <c r="G2006" t="s">
        <v>26</v>
      </c>
      <c r="H2006" t="s">
        <v>26</v>
      </c>
      <c r="I2006" t="s">
        <v>25</v>
      </c>
      <c r="J2006">
        <v>1027</v>
      </c>
      <c r="K2006">
        <v>0</v>
      </c>
      <c r="L2006">
        <v>25</v>
      </c>
      <c r="M2006">
        <v>25</v>
      </c>
      <c r="N2006">
        <v>485</v>
      </c>
      <c r="O2006">
        <v>401</v>
      </c>
      <c r="P2006">
        <v>375</v>
      </c>
      <c r="Q2006">
        <v>300</v>
      </c>
      <c r="R2006">
        <v>228</v>
      </c>
      <c r="S2006">
        <v>87</v>
      </c>
      <c r="T2006">
        <v>12</v>
      </c>
      <c r="U2006">
        <v>1020</v>
      </c>
    </row>
    <row r="2007" spans="1:21" x14ac:dyDescent="0.25">
      <c r="A2007">
        <v>2025</v>
      </c>
      <c r="B2007">
        <v>11</v>
      </c>
      <c r="C2007" t="s">
        <v>61</v>
      </c>
      <c r="D2007" t="s">
        <v>22</v>
      </c>
      <c r="E2007" t="s">
        <v>41</v>
      </c>
      <c r="F2007" t="s">
        <v>24</v>
      </c>
      <c r="G2007" t="s">
        <v>26</v>
      </c>
      <c r="H2007" t="s">
        <v>26</v>
      </c>
      <c r="I2007" t="s">
        <v>25</v>
      </c>
      <c r="J2007">
        <v>970</v>
      </c>
      <c r="K2007">
        <v>1</v>
      </c>
      <c r="L2007">
        <v>7</v>
      </c>
      <c r="M2007">
        <v>8</v>
      </c>
      <c r="N2007">
        <v>562</v>
      </c>
      <c r="O2007">
        <v>506</v>
      </c>
      <c r="P2007">
        <v>482</v>
      </c>
      <c r="Q2007">
        <v>397</v>
      </c>
      <c r="R2007">
        <v>308</v>
      </c>
      <c r="S2007">
        <v>132</v>
      </c>
      <c r="T2007">
        <v>23</v>
      </c>
      <c r="U2007">
        <v>966</v>
      </c>
    </row>
    <row r="2008" spans="1:21" x14ac:dyDescent="0.25">
      <c r="A2008">
        <v>2025</v>
      </c>
      <c r="B2008">
        <v>11</v>
      </c>
      <c r="C2008" t="s">
        <v>62</v>
      </c>
      <c r="D2008" t="s">
        <v>22</v>
      </c>
      <c r="E2008" t="s">
        <v>40</v>
      </c>
      <c r="F2008" t="s">
        <v>28</v>
      </c>
      <c r="G2008" t="s">
        <v>25</v>
      </c>
      <c r="H2008" t="s">
        <v>25</v>
      </c>
      <c r="I2008" t="s">
        <v>25</v>
      </c>
      <c r="J2008">
        <v>10128</v>
      </c>
      <c r="K2008">
        <v>9</v>
      </c>
      <c r="L2008">
        <v>77</v>
      </c>
      <c r="M2008">
        <v>86</v>
      </c>
      <c r="N2008">
        <v>14</v>
      </c>
      <c r="O2008">
        <v>2</v>
      </c>
      <c r="P2008">
        <v>1</v>
      </c>
      <c r="Q2008">
        <v>1</v>
      </c>
      <c r="R2008">
        <v>1</v>
      </c>
      <c r="S2008">
        <v>0</v>
      </c>
      <c r="T2008">
        <v>0</v>
      </c>
      <c r="U2008">
        <v>10059</v>
      </c>
    </row>
    <row r="2009" spans="1:21" x14ac:dyDescent="0.25">
      <c r="A2009">
        <v>2025</v>
      </c>
      <c r="B2009">
        <v>11</v>
      </c>
      <c r="C2009" t="s">
        <v>62</v>
      </c>
      <c r="D2009" t="s">
        <v>22</v>
      </c>
      <c r="E2009" t="s">
        <v>40</v>
      </c>
      <c r="F2009" t="s">
        <v>24</v>
      </c>
      <c r="G2009" t="s">
        <v>25</v>
      </c>
      <c r="H2009" t="s">
        <v>25</v>
      </c>
      <c r="I2009" t="s">
        <v>25</v>
      </c>
      <c r="J2009">
        <v>26</v>
      </c>
      <c r="K2009">
        <v>0</v>
      </c>
      <c r="L2009">
        <v>0</v>
      </c>
      <c r="M2009">
        <v>0</v>
      </c>
      <c r="N2009">
        <v>0</v>
      </c>
      <c r="O2009">
        <v>0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26</v>
      </c>
    </row>
    <row r="2010" spans="1:21" x14ac:dyDescent="0.25">
      <c r="A2010">
        <v>2025</v>
      </c>
      <c r="B2010">
        <v>11</v>
      </c>
      <c r="C2010" t="s">
        <v>63</v>
      </c>
      <c r="D2010" t="s">
        <v>45</v>
      </c>
      <c r="E2010" t="s">
        <v>112</v>
      </c>
      <c r="F2010" t="s">
        <v>28</v>
      </c>
      <c r="G2010" t="s">
        <v>25</v>
      </c>
      <c r="H2010" t="s">
        <v>25</v>
      </c>
      <c r="I2010" t="s">
        <v>25</v>
      </c>
      <c r="J2010">
        <v>1515</v>
      </c>
      <c r="K2010">
        <v>15</v>
      </c>
      <c r="L2010">
        <v>8</v>
      </c>
      <c r="M2010">
        <v>23</v>
      </c>
      <c r="N2010">
        <v>387</v>
      </c>
      <c r="O2010">
        <v>316</v>
      </c>
      <c r="P2010">
        <v>315</v>
      </c>
      <c r="Q2010">
        <v>206</v>
      </c>
      <c r="R2010">
        <v>173</v>
      </c>
      <c r="S2010">
        <v>91</v>
      </c>
      <c r="T2010">
        <v>44</v>
      </c>
      <c r="U2010">
        <v>1497</v>
      </c>
    </row>
    <row r="2011" spans="1:21" x14ac:dyDescent="0.25">
      <c r="A2011">
        <v>2025</v>
      </c>
      <c r="B2011">
        <v>11</v>
      </c>
      <c r="C2011" t="s">
        <v>63</v>
      </c>
      <c r="D2011" t="s">
        <v>45</v>
      </c>
      <c r="E2011" t="s">
        <v>112</v>
      </c>
      <c r="F2011" t="s">
        <v>29</v>
      </c>
      <c r="G2011" t="s">
        <v>25</v>
      </c>
      <c r="H2011" t="s">
        <v>25</v>
      </c>
      <c r="I2011" t="s">
        <v>25</v>
      </c>
      <c r="J2011">
        <v>65</v>
      </c>
      <c r="K2011">
        <v>0</v>
      </c>
      <c r="L2011">
        <v>0</v>
      </c>
      <c r="M2011">
        <v>0</v>
      </c>
      <c r="N2011">
        <v>0</v>
      </c>
      <c r="O2011">
        <v>0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0</v>
      </c>
    </row>
    <row r="2012" spans="1:21" x14ac:dyDescent="0.25">
      <c r="A2012">
        <v>2025</v>
      </c>
      <c r="B2012">
        <v>11</v>
      </c>
      <c r="C2012" t="s">
        <v>63</v>
      </c>
      <c r="D2012" t="s">
        <v>45</v>
      </c>
      <c r="E2012" t="s">
        <v>64</v>
      </c>
      <c r="F2012" t="s">
        <v>24</v>
      </c>
      <c r="G2012" t="s">
        <v>25</v>
      </c>
      <c r="H2012" t="s">
        <v>25</v>
      </c>
      <c r="I2012" t="s">
        <v>25</v>
      </c>
      <c r="J2012">
        <v>103</v>
      </c>
      <c r="K2012">
        <v>0</v>
      </c>
      <c r="L2012">
        <v>0</v>
      </c>
      <c r="M2012">
        <v>0</v>
      </c>
      <c r="N2012">
        <v>18</v>
      </c>
      <c r="O2012">
        <v>16</v>
      </c>
      <c r="P2012">
        <v>15</v>
      </c>
      <c r="Q2012">
        <v>14</v>
      </c>
      <c r="R2012">
        <v>7</v>
      </c>
      <c r="S2012">
        <v>3</v>
      </c>
      <c r="T2012">
        <v>1</v>
      </c>
      <c r="U2012">
        <v>103</v>
      </c>
    </row>
    <row r="2013" spans="1:21" x14ac:dyDescent="0.25">
      <c r="A2013">
        <v>2025</v>
      </c>
      <c r="B2013">
        <v>11</v>
      </c>
      <c r="C2013" t="s">
        <v>66</v>
      </c>
      <c r="D2013" t="s">
        <v>22</v>
      </c>
      <c r="E2013" t="s">
        <v>32</v>
      </c>
      <c r="F2013" t="s">
        <v>24</v>
      </c>
      <c r="G2013" t="s">
        <v>25</v>
      </c>
      <c r="H2013" t="s">
        <v>25</v>
      </c>
      <c r="I2013" t="s">
        <v>25</v>
      </c>
      <c r="J2013">
        <v>850</v>
      </c>
      <c r="K2013">
        <v>2</v>
      </c>
      <c r="L2013">
        <v>1</v>
      </c>
      <c r="M2013">
        <v>3</v>
      </c>
      <c r="N2013">
        <v>214</v>
      </c>
      <c r="O2013">
        <v>151</v>
      </c>
      <c r="P2013">
        <v>140</v>
      </c>
      <c r="Q2013">
        <v>102</v>
      </c>
      <c r="R2013">
        <v>60</v>
      </c>
      <c r="S2013">
        <v>26</v>
      </c>
      <c r="T2013">
        <v>12</v>
      </c>
      <c r="U2013">
        <v>848</v>
      </c>
    </row>
    <row r="2014" spans="1:21" x14ac:dyDescent="0.25">
      <c r="A2014">
        <v>2025</v>
      </c>
      <c r="B2014">
        <v>11</v>
      </c>
      <c r="C2014" t="s">
        <v>66</v>
      </c>
      <c r="D2014" t="s">
        <v>22</v>
      </c>
      <c r="E2014" t="s">
        <v>34</v>
      </c>
      <c r="F2014" t="s">
        <v>24</v>
      </c>
      <c r="G2014" t="s">
        <v>25</v>
      </c>
      <c r="H2014" t="s">
        <v>26</v>
      </c>
      <c r="I2014" t="s">
        <v>26</v>
      </c>
      <c r="J2014">
        <v>59</v>
      </c>
      <c r="K2014">
        <v>0</v>
      </c>
      <c r="L2014">
        <v>2</v>
      </c>
      <c r="M2014">
        <v>2</v>
      </c>
      <c r="N2014">
        <v>21</v>
      </c>
      <c r="O2014">
        <v>19</v>
      </c>
      <c r="P2014">
        <v>18</v>
      </c>
      <c r="Q2014">
        <v>13</v>
      </c>
      <c r="R2014">
        <v>9</v>
      </c>
      <c r="S2014">
        <v>3</v>
      </c>
      <c r="T2014">
        <v>2</v>
      </c>
      <c r="U2014">
        <v>58</v>
      </c>
    </row>
    <row r="2015" spans="1:21" x14ac:dyDescent="0.25">
      <c r="A2015">
        <v>2025</v>
      </c>
      <c r="B2015">
        <v>11</v>
      </c>
      <c r="C2015" t="s">
        <v>66</v>
      </c>
      <c r="D2015" t="s">
        <v>22</v>
      </c>
      <c r="E2015" t="s">
        <v>23</v>
      </c>
      <c r="F2015" t="s">
        <v>24</v>
      </c>
      <c r="G2015" t="s">
        <v>25</v>
      </c>
      <c r="H2015" t="s">
        <v>25</v>
      </c>
      <c r="I2015" t="s">
        <v>25</v>
      </c>
      <c r="J2015">
        <v>1</v>
      </c>
      <c r="K2015">
        <v>0</v>
      </c>
      <c r="L2015">
        <v>0</v>
      </c>
      <c r="M2015">
        <v>0</v>
      </c>
      <c r="N2015">
        <v>0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1</v>
      </c>
    </row>
    <row r="2016" spans="1:21" x14ac:dyDescent="0.25">
      <c r="A2016">
        <v>2025</v>
      </c>
      <c r="B2016">
        <v>11</v>
      </c>
      <c r="C2016" t="s">
        <v>66</v>
      </c>
      <c r="D2016" t="s">
        <v>22</v>
      </c>
      <c r="E2016" t="s">
        <v>23</v>
      </c>
      <c r="F2016" t="s">
        <v>24</v>
      </c>
      <c r="G2016" t="s">
        <v>25</v>
      </c>
      <c r="H2016" t="s">
        <v>26</v>
      </c>
      <c r="I2016" t="s">
        <v>25</v>
      </c>
      <c r="J2016">
        <v>58</v>
      </c>
      <c r="K2016">
        <v>0</v>
      </c>
      <c r="L2016">
        <v>0</v>
      </c>
      <c r="M2016">
        <v>0</v>
      </c>
      <c r="N2016">
        <v>21</v>
      </c>
      <c r="O2016">
        <v>19</v>
      </c>
      <c r="P2016">
        <v>18</v>
      </c>
      <c r="Q2016">
        <v>13</v>
      </c>
      <c r="R2016">
        <v>9</v>
      </c>
      <c r="S2016">
        <v>3</v>
      </c>
      <c r="T2016">
        <v>2</v>
      </c>
      <c r="U2016">
        <v>58</v>
      </c>
    </row>
    <row r="2017" spans="1:21" x14ac:dyDescent="0.25">
      <c r="A2017">
        <v>2025</v>
      </c>
      <c r="B2017">
        <v>11</v>
      </c>
      <c r="C2017" t="s">
        <v>67</v>
      </c>
      <c r="D2017" t="s">
        <v>22</v>
      </c>
      <c r="E2017" t="s">
        <v>68</v>
      </c>
      <c r="F2017" t="s">
        <v>28</v>
      </c>
      <c r="G2017" t="s">
        <v>25</v>
      </c>
      <c r="H2017" t="s">
        <v>25</v>
      </c>
      <c r="I2017" t="s">
        <v>25</v>
      </c>
      <c r="J2017">
        <v>1206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1206</v>
      </c>
    </row>
    <row r="2018" spans="1:21" x14ac:dyDescent="0.25">
      <c r="A2018">
        <v>2025</v>
      </c>
      <c r="B2018">
        <v>11</v>
      </c>
      <c r="C2018" t="s">
        <v>67</v>
      </c>
      <c r="D2018" t="s">
        <v>22</v>
      </c>
      <c r="E2018" t="s">
        <v>68</v>
      </c>
      <c r="F2018" t="s">
        <v>24</v>
      </c>
      <c r="G2018" t="s">
        <v>25</v>
      </c>
      <c r="H2018" t="s">
        <v>25</v>
      </c>
      <c r="I2018" t="s">
        <v>25</v>
      </c>
      <c r="J2018">
        <v>85</v>
      </c>
      <c r="K2018">
        <v>0</v>
      </c>
      <c r="L2018">
        <v>0</v>
      </c>
      <c r="M2018">
        <v>0</v>
      </c>
      <c r="N2018">
        <v>0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85</v>
      </c>
    </row>
    <row r="2019" spans="1:21" x14ac:dyDescent="0.25">
      <c r="A2019">
        <v>2025</v>
      </c>
      <c r="B2019">
        <v>11</v>
      </c>
      <c r="C2019" t="s">
        <v>69</v>
      </c>
      <c r="D2019" t="s">
        <v>22</v>
      </c>
      <c r="E2019" t="s">
        <v>32</v>
      </c>
      <c r="F2019" t="s">
        <v>28</v>
      </c>
      <c r="G2019" t="s">
        <v>25</v>
      </c>
      <c r="H2019" t="s">
        <v>26</v>
      </c>
      <c r="I2019" t="s">
        <v>25</v>
      </c>
      <c r="J2019">
        <v>92</v>
      </c>
      <c r="K2019">
        <v>0</v>
      </c>
      <c r="L2019">
        <v>0</v>
      </c>
      <c r="M2019">
        <v>0</v>
      </c>
      <c r="N2019">
        <v>2</v>
      </c>
      <c r="O2019">
        <v>1</v>
      </c>
      <c r="P2019">
        <v>1</v>
      </c>
      <c r="Q2019">
        <v>0</v>
      </c>
      <c r="R2019">
        <v>0</v>
      </c>
      <c r="S2019">
        <v>0</v>
      </c>
      <c r="T2019">
        <v>0</v>
      </c>
      <c r="U2019">
        <v>92</v>
      </c>
    </row>
    <row r="2020" spans="1:21" x14ac:dyDescent="0.25">
      <c r="A2020">
        <v>2025</v>
      </c>
      <c r="B2020">
        <v>11</v>
      </c>
      <c r="C2020" t="s">
        <v>69</v>
      </c>
      <c r="D2020" t="s">
        <v>22</v>
      </c>
      <c r="E2020" t="s">
        <v>32</v>
      </c>
      <c r="F2020" t="s">
        <v>24</v>
      </c>
      <c r="G2020" t="s">
        <v>25</v>
      </c>
      <c r="H2020" t="s">
        <v>26</v>
      </c>
      <c r="I2020" t="s">
        <v>25</v>
      </c>
      <c r="J2020">
        <v>1741</v>
      </c>
      <c r="K2020">
        <v>9</v>
      </c>
      <c r="L2020">
        <v>28</v>
      </c>
      <c r="M2020">
        <v>37</v>
      </c>
      <c r="N2020">
        <v>336</v>
      </c>
      <c r="O2020">
        <v>270</v>
      </c>
      <c r="P2020">
        <v>255</v>
      </c>
      <c r="Q2020">
        <v>204</v>
      </c>
      <c r="R2020">
        <v>175</v>
      </c>
      <c r="S2020">
        <v>115</v>
      </c>
      <c r="T2020">
        <v>22</v>
      </c>
      <c r="U2020">
        <v>1719</v>
      </c>
    </row>
    <row r="2021" spans="1:21" x14ac:dyDescent="0.25">
      <c r="A2021">
        <v>2025</v>
      </c>
      <c r="B2021">
        <v>11</v>
      </c>
      <c r="C2021" t="s">
        <v>69</v>
      </c>
      <c r="D2021" t="s">
        <v>22</v>
      </c>
      <c r="E2021" t="s">
        <v>38</v>
      </c>
      <c r="F2021" t="s">
        <v>24</v>
      </c>
      <c r="G2021" t="s">
        <v>25</v>
      </c>
      <c r="H2021" t="s">
        <v>25</v>
      </c>
      <c r="I2021" t="s">
        <v>25</v>
      </c>
      <c r="J2021">
        <v>278</v>
      </c>
      <c r="K2021">
        <v>1</v>
      </c>
      <c r="L2021">
        <v>1</v>
      </c>
      <c r="M2021">
        <v>2</v>
      </c>
      <c r="N2021">
        <v>196</v>
      </c>
      <c r="O2021">
        <v>169</v>
      </c>
      <c r="P2021">
        <v>156</v>
      </c>
      <c r="Q2021">
        <v>112</v>
      </c>
      <c r="R2021">
        <v>64</v>
      </c>
      <c r="S2021">
        <v>16</v>
      </c>
      <c r="T2021">
        <v>7</v>
      </c>
      <c r="U2021">
        <v>277</v>
      </c>
    </row>
    <row r="2022" spans="1:21" x14ac:dyDescent="0.25">
      <c r="A2022">
        <v>2025</v>
      </c>
      <c r="B2022">
        <v>11</v>
      </c>
      <c r="C2022" t="s">
        <v>69</v>
      </c>
      <c r="D2022" t="s">
        <v>22</v>
      </c>
      <c r="E2022" t="s">
        <v>38</v>
      </c>
      <c r="F2022" t="s">
        <v>24</v>
      </c>
      <c r="G2022" t="s">
        <v>25</v>
      </c>
      <c r="H2022" t="s">
        <v>26</v>
      </c>
      <c r="I2022" t="s">
        <v>25</v>
      </c>
      <c r="J2022">
        <v>9</v>
      </c>
      <c r="K2022">
        <v>0</v>
      </c>
      <c r="L2022">
        <v>0</v>
      </c>
      <c r="M2022">
        <v>0</v>
      </c>
      <c r="N2022">
        <v>3</v>
      </c>
      <c r="O2022">
        <v>3</v>
      </c>
      <c r="P2022">
        <v>3</v>
      </c>
      <c r="Q2022">
        <v>3</v>
      </c>
      <c r="R2022">
        <v>3</v>
      </c>
      <c r="S2022">
        <v>3</v>
      </c>
      <c r="T2022">
        <v>3</v>
      </c>
      <c r="U2022">
        <v>9</v>
      </c>
    </row>
    <row r="2023" spans="1:21" x14ac:dyDescent="0.25">
      <c r="A2023">
        <v>2025</v>
      </c>
      <c r="B2023">
        <v>11</v>
      </c>
      <c r="C2023" t="s">
        <v>69</v>
      </c>
      <c r="D2023" t="s">
        <v>22</v>
      </c>
      <c r="E2023" t="s">
        <v>34</v>
      </c>
      <c r="F2023" t="s">
        <v>24</v>
      </c>
      <c r="G2023" t="s">
        <v>25</v>
      </c>
      <c r="H2023" t="s">
        <v>26</v>
      </c>
      <c r="I2023" t="s">
        <v>26</v>
      </c>
      <c r="J2023">
        <v>159</v>
      </c>
      <c r="K2023">
        <v>0</v>
      </c>
      <c r="L2023">
        <v>0</v>
      </c>
      <c r="M2023">
        <v>0</v>
      </c>
      <c r="N2023">
        <v>19</v>
      </c>
      <c r="O2023">
        <v>14</v>
      </c>
      <c r="P2023">
        <v>12</v>
      </c>
      <c r="Q2023">
        <v>9</v>
      </c>
      <c r="R2023">
        <v>8</v>
      </c>
      <c r="S2023">
        <v>6</v>
      </c>
      <c r="T2023">
        <v>3</v>
      </c>
      <c r="U2023">
        <v>159</v>
      </c>
    </row>
    <row r="2024" spans="1:21" x14ac:dyDescent="0.25">
      <c r="A2024">
        <v>2025</v>
      </c>
      <c r="B2024">
        <v>11</v>
      </c>
      <c r="C2024" t="s">
        <v>69</v>
      </c>
      <c r="D2024" t="s">
        <v>22</v>
      </c>
      <c r="E2024" t="s">
        <v>23</v>
      </c>
      <c r="F2024" t="s">
        <v>28</v>
      </c>
      <c r="G2024" t="s">
        <v>25</v>
      </c>
      <c r="H2024" t="s">
        <v>26</v>
      </c>
      <c r="I2024" t="s">
        <v>25</v>
      </c>
      <c r="J2024">
        <v>10973</v>
      </c>
      <c r="K2024">
        <v>27</v>
      </c>
      <c r="L2024">
        <v>145</v>
      </c>
      <c r="M2024">
        <v>172</v>
      </c>
      <c r="N2024">
        <v>18</v>
      </c>
      <c r="O2024">
        <v>13</v>
      </c>
      <c r="P2024">
        <v>13</v>
      </c>
      <c r="Q2024">
        <v>7</v>
      </c>
      <c r="R2024">
        <v>2</v>
      </c>
      <c r="S2024">
        <v>0</v>
      </c>
      <c r="T2024">
        <v>0</v>
      </c>
      <c r="U2024">
        <v>10824</v>
      </c>
    </row>
    <row r="2025" spans="1:21" x14ac:dyDescent="0.25">
      <c r="A2025">
        <v>2025</v>
      </c>
      <c r="B2025">
        <v>11</v>
      </c>
      <c r="C2025" t="s">
        <v>69</v>
      </c>
      <c r="D2025" t="s">
        <v>22</v>
      </c>
      <c r="E2025" t="s">
        <v>23</v>
      </c>
      <c r="F2025" t="s">
        <v>24</v>
      </c>
      <c r="G2025" t="s">
        <v>25</v>
      </c>
      <c r="H2025" t="s">
        <v>26</v>
      </c>
      <c r="I2025" t="s">
        <v>25</v>
      </c>
      <c r="J2025">
        <v>1174</v>
      </c>
      <c r="K2025">
        <v>44</v>
      </c>
      <c r="L2025">
        <v>40</v>
      </c>
      <c r="M2025">
        <v>84</v>
      </c>
      <c r="N2025">
        <v>332</v>
      </c>
      <c r="O2025">
        <v>292</v>
      </c>
      <c r="P2025">
        <v>276</v>
      </c>
      <c r="Q2025">
        <v>225</v>
      </c>
      <c r="R2025">
        <v>157</v>
      </c>
      <c r="S2025">
        <v>30</v>
      </c>
      <c r="T2025">
        <v>16</v>
      </c>
      <c r="U2025">
        <v>1108</v>
      </c>
    </row>
    <row r="2026" spans="1:21" x14ac:dyDescent="0.25">
      <c r="A2026">
        <v>2025</v>
      </c>
      <c r="B2026">
        <v>11</v>
      </c>
      <c r="C2026" t="s">
        <v>69</v>
      </c>
      <c r="D2026" t="s">
        <v>22</v>
      </c>
      <c r="E2026" t="s">
        <v>39</v>
      </c>
      <c r="F2026" t="s">
        <v>28</v>
      </c>
      <c r="G2026" t="s">
        <v>26</v>
      </c>
      <c r="H2026" t="s">
        <v>26</v>
      </c>
      <c r="I2026" t="s">
        <v>25</v>
      </c>
      <c r="J2026">
        <v>49</v>
      </c>
      <c r="K2026">
        <v>0</v>
      </c>
      <c r="L2026">
        <v>0</v>
      </c>
      <c r="M2026">
        <v>0</v>
      </c>
      <c r="N2026">
        <v>1</v>
      </c>
      <c r="O2026">
        <v>1</v>
      </c>
      <c r="P2026">
        <v>1</v>
      </c>
      <c r="Q2026">
        <v>1</v>
      </c>
      <c r="R2026">
        <v>1</v>
      </c>
      <c r="S2026">
        <v>0</v>
      </c>
      <c r="T2026">
        <v>0</v>
      </c>
      <c r="U2026">
        <v>49</v>
      </c>
    </row>
    <row r="2027" spans="1:21" x14ac:dyDescent="0.25">
      <c r="A2027">
        <v>2025</v>
      </c>
      <c r="B2027">
        <v>11</v>
      </c>
      <c r="C2027" t="s">
        <v>69</v>
      </c>
      <c r="D2027" t="s">
        <v>22</v>
      </c>
      <c r="E2027" t="s">
        <v>39</v>
      </c>
      <c r="F2027" t="s">
        <v>24</v>
      </c>
      <c r="G2027" t="s">
        <v>26</v>
      </c>
      <c r="H2027" t="s">
        <v>26</v>
      </c>
      <c r="I2027" t="s">
        <v>25</v>
      </c>
      <c r="J2027">
        <v>1139</v>
      </c>
      <c r="K2027">
        <v>48</v>
      </c>
      <c r="L2027">
        <v>158</v>
      </c>
      <c r="M2027">
        <v>206</v>
      </c>
      <c r="N2027">
        <v>271</v>
      </c>
      <c r="O2027">
        <v>207</v>
      </c>
      <c r="P2027">
        <v>182</v>
      </c>
      <c r="Q2027">
        <v>125</v>
      </c>
      <c r="R2027">
        <v>88</v>
      </c>
      <c r="S2027">
        <v>37</v>
      </c>
      <c r="T2027">
        <v>7</v>
      </c>
      <c r="U2027">
        <v>1000</v>
      </c>
    </row>
    <row r="2028" spans="1:21" x14ac:dyDescent="0.25">
      <c r="A2028">
        <v>2025</v>
      </c>
      <c r="B2028">
        <v>11</v>
      </c>
      <c r="C2028" t="s">
        <v>69</v>
      </c>
      <c r="D2028" t="s">
        <v>22</v>
      </c>
      <c r="E2028" t="s">
        <v>39</v>
      </c>
      <c r="F2028" t="s">
        <v>29</v>
      </c>
      <c r="G2028" t="s">
        <v>26</v>
      </c>
      <c r="H2028" t="s">
        <v>26</v>
      </c>
      <c r="I2028" t="s">
        <v>25</v>
      </c>
      <c r="J2028">
        <v>2</v>
      </c>
      <c r="K2028">
        <v>2</v>
      </c>
      <c r="L2028">
        <v>0</v>
      </c>
      <c r="M2028">
        <v>2</v>
      </c>
      <c r="N2028">
        <v>0</v>
      </c>
      <c r="O2028">
        <v>0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0</v>
      </c>
    </row>
    <row r="2029" spans="1:21" x14ac:dyDescent="0.25">
      <c r="A2029">
        <v>2025</v>
      </c>
      <c r="B2029">
        <v>11</v>
      </c>
      <c r="C2029" t="s">
        <v>69</v>
      </c>
      <c r="D2029" t="s">
        <v>22</v>
      </c>
      <c r="E2029" t="s">
        <v>40</v>
      </c>
      <c r="F2029" t="s">
        <v>28</v>
      </c>
      <c r="G2029" t="s">
        <v>25</v>
      </c>
      <c r="H2029" t="s">
        <v>26</v>
      </c>
      <c r="I2029" t="s">
        <v>25</v>
      </c>
      <c r="J2029">
        <v>12194</v>
      </c>
      <c r="K2029">
        <v>36</v>
      </c>
      <c r="L2029">
        <v>120</v>
      </c>
      <c r="M2029">
        <v>156</v>
      </c>
      <c r="N2029">
        <v>16</v>
      </c>
      <c r="O2029">
        <v>8</v>
      </c>
      <c r="P2029">
        <v>5</v>
      </c>
      <c r="Q2029">
        <v>2</v>
      </c>
      <c r="R2029">
        <v>2</v>
      </c>
      <c r="S2029">
        <v>1</v>
      </c>
      <c r="T2029">
        <v>1</v>
      </c>
      <c r="U2029">
        <v>12070</v>
      </c>
    </row>
    <row r="2030" spans="1:21" x14ac:dyDescent="0.25">
      <c r="A2030">
        <v>2025</v>
      </c>
      <c r="B2030">
        <v>11</v>
      </c>
      <c r="C2030" t="s">
        <v>69</v>
      </c>
      <c r="D2030" t="s">
        <v>22</v>
      </c>
      <c r="E2030" t="s">
        <v>40</v>
      </c>
      <c r="F2030" t="s">
        <v>24</v>
      </c>
      <c r="G2030" t="s">
        <v>25</v>
      </c>
      <c r="H2030" t="s">
        <v>26</v>
      </c>
      <c r="I2030" t="s">
        <v>25</v>
      </c>
      <c r="J2030">
        <v>992</v>
      </c>
      <c r="K2030">
        <v>3</v>
      </c>
      <c r="L2030">
        <v>10</v>
      </c>
      <c r="M2030">
        <v>13</v>
      </c>
      <c r="N2030">
        <v>100</v>
      </c>
      <c r="O2030">
        <v>14</v>
      </c>
      <c r="P2030">
        <v>11</v>
      </c>
      <c r="Q2030">
        <v>6</v>
      </c>
      <c r="R2030">
        <v>3</v>
      </c>
      <c r="S2030">
        <v>0</v>
      </c>
      <c r="T2030">
        <v>0</v>
      </c>
      <c r="U2030">
        <v>981</v>
      </c>
    </row>
    <row r="2031" spans="1:21" x14ac:dyDescent="0.25">
      <c r="A2031">
        <v>2025</v>
      </c>
      <c r="B2031">
        <v>11</v>
      </c>
      <c r="C2031" t="s">
        <v>69</v>
      </c>
      <c r="D2031" t="s">
        <v>22</v>
      </c>
      <c r="E2031" t="s">
        <v>40</v>
      </c>
      <c r="F2031" t="s">
        <v>29</v>
      </c>
      <c r="G2031" t="s">
        <v>25</v>
      </c>
      <c r="H2031" t="s">
        <v>26</v>
      </c>
      <c r="I2031" t="s">
        <v>25</v>
      </c>
      <c r="J2031">
        <v>1</v>
      </c>
      <c r="K2031">
        <v>0</v>
      </c>
      <c r="L2031">
        <v>0</v>
      </c>
      <c r="M2031">
        <v>0</v>
      </c>
      <c r="N2031">
        <v>0</v>
      </c>
      <c r="O2031">
        <v>0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0</v>
      </c>
    </row>
    <row r="2032" spans="1:21" x14ac:dyDescent="0.25">
      <c r="A2032">
        <v>2025</v>
      </c>
      <c r="B2032">
        <v>11</v>
      </c>
      <c r="C2032" t="s">
        <v>69</v>
      </c>
      <c r="D2032" t="s">
        <v>22</v>
      </c>
      <c r="E2032" t="s">
        <v>113</v>
      </c>
      <c r="F2032" t="s">
        <v>28</v>
      </c>
      <c r="G2032" t="s">
        <v>26</v>
      </c>
      <c r="H2032" t="s">
        <v>26</v>
      </c>
      <c r="I2032" t="s">
        <v>25</v>
      </c>
      <c r="J2032">
        <v>1</v>
      </c>
      <c r="K2032">
        <v>0</v>
      </c>
      <c r="L2032">
        <v>0</v>
      </c>
      <c r="M2032">
        <v>0</v>
      </c>
      <c r="N2032">
        <v>0</v>
      </c>
      <c r="O2032">
        <v>0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1</v>
      </c>
    </row>
    <row r="2033" spans="1:21" x14ac:dyDescent="0.25">
      <c r="A2033">
        <v>2025</v>
      </c>
      <c r="B2033">
        <v>11</v>
      </c>
      <c r="C2033" t="s">
        <v>69</v>
      </c>
      <c r="D2033" t="s">
        <v>22</v>
      </c>
      <c r="E2033" t="s">
        <v>113</v>
      </c>
      <c r="F2033" t="s">
        <v>24</v>
      </c>
      <c r="G2033" t="s">
        <v>26</v>
      </c>
      <c r="H2033" t="s">
        <v>26</v>
      </c>
      <c r="I2033" t="s">
        <v>25</v>
      </c>
      <c r="J2033">
        <v>69</v>
      </c>
      <c r="K2033">
        <v>1</v>
      </c>
      <c r="L2033">
        <v>3</v>
      </c>
      <c r="M2033">
        <v>4</v>
      </c>
      <c r="N2033">
        <v>21</v>
      </c>
      <c r="O2033">
        <v>16</v>
      </c>
      <c r="P2033">
        <v>16</v>
      </c>
      <c r="Q2033">
        <v>15</v>
      </c>
      <c r="R2033">
        <v>10</v>
      </c>
      <c r="S2033">
        <v>6</v>
      </c>
      <c r="T2033">
        <v>2</v>
      </c>
      <c r="U2033">
        <v>66</v>
      </c>
    </row>
    <row r="2034" spans="1:21" x14ac:dyDescent="0.25">
      <c r="A2034">
        <v>2025</v>
      </c>
      <c r="B2034">
        <v>11</v>
      </c>
      <c r="C2034" t="s">
        <v>69</v>
      </c>
      <c r="D2034" t="s">
        <v>22</v>
      </c>
      <c r="E2034" t="s">
        <v>113</v>
      </c>
      <c r="F2034" t="s">
        <v>29</v>
      </c>
      <c r="G2034" t="s">
        <v>26</v>
      </c>
      <c r="H2034" t="s">
        <v>26</v>
      </c>
      <c r="I2034" t="s">
        <v>25</v>
      </c>
      <c r="J2034">
        <v>6</v>
      </c>
      <c r="K2034">
        <v>0</v>
      </c>
      <c r="L2034">
        <v>0</v>
      </c>
      <c r="M2034">
        <v>0</v>
      </c>
      <c r="N2034">
        <v>0</v>
      </c>
      <c r="O2034">
        <v>0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0</v>
      </c>
    </row>
    <row r="2035" spans="1:21" x14ac:dyDescent="0.25">
      <c r="A2035">
        <v>2025</v>
      </c>
      <c r="B2035">
        <v>11</v>
      </c>
      <c r="C2035" t="s">
        <v>69</v>
      </c>
      <c r="D2035" t="s">
        <v>22</v>
      </c>
      <c r="E2035" t="s">
        <v>70</v>
      </c>
      <c r="F2035" t="s">
        <v>28</v>
      </c>
      <c r="G2035" t="s">
        <v>26</v>
      </c>
      <c r="H2035" t="s">
        <v>26</v>
      </c>
      <c r="I2035" t="s">
        <v>25</v>
      </c>
      <c r="J2035">
        <v>1</v>
      </c>
      <c r="K2035">
        <v>0</v>
      </c>
      <c r="L2035">
        <v>0</v>
      </c>
      <c r="M2035">
        <v>0</v>
      </c>
      <c r="N2035">
        <v>0</v>
      </c>
      <c r="O2035">
        <v>0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1</v>
      </c>
    </row>
    <row r="2036" spans="1:21" x14ac:dyDescent="0.25">
      <c r="A2036">
        <v>2025</v>
      </c>
      <c r="B2036">
        <v>11</v>
      </c>
      <c r="C2036" t="s">
        <v>69</v>
      </c>
      <c r="D2036" t="s">
        <v>22</v>
      </c>
      <c r="E2036" t="s">
        <v>70</v>
      </c>
      <c r="F2036" t="s">
        <v>24</v>
      </c>
      <c r="G2036" t="s">
        <v>26</v>
      </c>
      <c r="H2036" t="s">
        <v>26</v>
      </c>
      <c r="I2036" t="s">
        <v>25</v>
      </c>
      <c r="J2036">
        <v>621</v>
      </c>
      <c r="K2036">
        <v>1</v>
      </c>
      <c r="L2036">
        <v>2</v>
      </c>
      <c r="M2036">
        <v>3</v>
      </c>
      <c r="N2036">
        <v>95</v>
      </c>
      <c r="O2036">
        <v>77</v>
      </c>
      <c r="P2036">
        <v>70</v>
      </c>
      <c r="Q2036">
        <v>58</v>
      </c>
      <c r="R2036">
        <v>47</v>
      </c>
      <c r="S2036">
        <v>17</v>
      </c>
      <c r="T2036">
        <v>8</v>
      </c>
      <c r="U2036">
        <v>618</v>
      </c>
    </row>
    <row r="2037" spans="1:21" x14ac:dyDescent="0.25">
      <c r="A2037">
        <v>2025</v>
      </c>
      <c r="B2037">
        <v>11</v>
      </c>
      <c r="C2037" t="s">
        <v>69</v>
      </c>
      <c r="D2037" t="s">
        <v>22</v>
      </c>
      <c r="E2037" t="s">
        <v>35</v>
      </c>
      <c r="F2037" t="s">
        <v>28</v>
      </c>
      <c r="G2037" t="s">
        <v>25</v>
      </c>
      <c r="H2037" t="s">
        <v>26</v>
      </c>
      <c r="I2037" t="s">
        <v>26</v>
      </c>
      <c r="J2037">
        <v>1</v>
      </c>
      <c r="K2037">
        <v>0</v>
      </c>
      <c r="L2037">
        <v>0</v>
      </c>
      <c r="M2037">
        <v>0</v>
      </c>
      <c r="N2037">
        <v>0</v>
      </c>
      <c r="O2037">
        <v>0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1</v>
      </c>
    </row>
    <row r="2038" spans="1:21" x14ac:dyDescent="0.25">
      <c r="A2038">
        <v>2025</v>
      </c>
      <c r="B2038">
        <v>11</v>
      </c>
      <c r="C2038" t="s">
        <v>69</v>
      </c>
      <c r="D2038" t="s">
        <v>22</v>
      </c>
      <c r="E2038" t="s">
        <v>35</v>
      </c>
      <c r="F2038" t="s">
        <v>24</v>
      </c>
      <c r="G2038" t="s">
        <v>25</v>
      </c>
      <c r="H2038" t="s">
        <v>26</v>
      </c>
      <c r="I2038" t="s">
        <v>26</v>
      </c>
      <c r="J2038">
        <v>298</v>
      </c>
      <c r="K2038">
        <v>0</v>
      </c>
      <c r="L2038">
        <v>0</v>
      </c>
      <c r="M2038">
        <v>0</v>
      </c>
      <c r="N2038">
        <v>100</v>
      </c>
      <c r="O2038">
        <v>81</v>
      </c>
      <c r="P2038">
        <v>73</v>
      </c>
      <c r="Q2038">
        <v>59</v>
      </c>
      <c r="R2038">
        <v>50</v>
      </c>
      <c r="S2038">
        <v>28</v>
      </c>
      <c r="T2038">
        <v>16</v>
      </c>
      <c r="U2038">
        <v>298</v>
      </c>
    </row>
    <row r="2039" spans="1:21" x14ac:dyDescent="0.25">
      <c r="A2039">
        <v>2025</v>
      </c>
      <c r="B2039">
        <v>11</v>
      </c>
      <c r="C2039" t="s">
        <v>69</v>
      </c>
      <c r="D2039" t="s">
        <v>22</v>
      </c>
      <c r="E2039" t="s">
        <v>41</v>
      </c>
      <c r="F2039" t="s">
        <v>28</v>
      </c>
      <c r="G2039" t="s">
        <v>26</v>
      </c>
      <c r="H2039" t="s">
        <v>26</v>
      </c>
      <c r="I2039" t="s">
        <v>25</v>
      </c>
      <c r="J2039">
        <v>12</v>
      </c>
      <c r="K2039">
        <v>0</v>
      </c>
      <c r="L2039">
        <v>0</v>
      </c>
      <c r="M2039">
        <v>0</v>
      </c>
      <c r="N2039">
        <v>1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12</v>
      </c>
    </row>
    <row r="2040" spans="1:21" x14ac:dyDescent="0.25">
      <c r="A2040">
        <v>2025</v>
      </c>
      <c r="B2040">
        <v>11</v>
      </c>
      <c r="C2040" t="s">
        <v>69</v>
      </c>
      <c r="D2040" t="s">
        <v>22</v>
      </c>
      <c r="E2040" t="s">
        <v>41</v>
      </c>
      <c r="F2040" t="s">
        <v>24</v>
      </c>
      <c r="G2040" t="s">
        <v>26</v>
      </c>
      <c r="H2040" t="s">
        <v>26</v>
      </c>
      <c r="I2040" t="s">
        <v>25</v>
      </c>
      <c r="J2040">
        <v>317</v>
      </c>
      <c r="K2040">
        <v>1</v>
      </c>
      <c r="L2040">
        <v>15</v>
      </c>
      <c r="M2040">
        <v>16</v>
      </c>
      <c r="N2040">
        <v>73</v>
      </c>
      <c r="O2040">
        <v>66</v>
      </c>
      <c r="P2040">
        <v>66</v>
      </c>
      <c r="Q2040">
        <v>62</v>
      </c>
      <c r="R2040">
        <v>60</v>
      </c>
      <c r="S2040">
        <v>32</v>
      </c>
      <c r="T2040">
        <v>10</v>
      </c>
      <c r="U2040">
        <v>309</v>
      </c>
    </row>
    <row r="2041" spans="1:21" x14ac:dyDescent="0.25">
      <c r="A2041">
        <v>2025</v>
      </c>
      <c r="B2041">
        <v>11</v>
      </c>
      <c r="C2041" t="s">
        <v>71</v>
      </c>
      <c r="D2041" t="s">
        <v>22</v>
      </c>
      <c r="E2041" t="s">
        <v>34</v>
      </c>
      <c r="F2041" t="s">
        <v>24</v>
      </c>
      <c r="G2041" t="s">
        <v>25</v>
      </c>
      <c r="H2041" t="s">
        <v>26</v>
      </c>
      <c r="I2041" t="s">
        <v>26</v>
      </c>
      <c r="J2041">
        <v>43</v>
      </c>
      <c r="K2041">
        <v>0</v>
      </c>
      <c r="L2041">
        <v>0</v>
      </c>
      <c r="M2041">
        <v>0</v>
      </c>
      <c r="N2041">
        <v>14</v>
      </c>
      <c r="O2041">
        <v>14</v>
      </c>
      <c r="P2041">
        <v>13</v>
      </c>
      <c r="Q2041">
        <v>11</v>
      </c>
      <c r="R2041">
        <v>10</v>
      </c>
      <c r="S2041">
        <v>9</v>
      </c>
      <c r="T2041">
        <v>3</v>
      </c>
      <c r="U2041">
        <v>43</v>
      </c>
    </row>
    <row r="2042" spans="1:21" x14ac:dyDescent="0.25">
      <c r="A2042">
        <v>2025</v>
      </c>
      <c r="B2042">
        <v>11</v>
      </c>
      <c r="C2042" t="s">
        <v>71</v>
      </c>
      <c r="D2042" t="s">
        <v>22</v>
      </c>
      <c r="E2042" t="s">
        <v>35</v>
      </c>
      <c r="F2042" t="s">
        <v>24</v>
      </c>
      <c r="G2042" t="s">
        <v>25</v>
      </c>
      <c r="H2042" t="s">
        <v>26</v>
      </c>
      <c r="I2042" t="s">
        <v>26</v>
      </c>
      <c r="J2042">
        <v>15</v>
      </c>
      <c r="K2042">
        <v>0</v>
      </c>
      <c r="L2042">
        <v>0</v>
      </c>
      <c r="M2042">
        <v>0</v>
      </c>
      <c r="N2042">
        <v>2</v>
      </c>
      <c r="O2042">
        <v>2</v>
      </c>
      <c r="P2042">
        <v>2</v>
      </c>
      <c r="Q2042">
        <v>2</v>
      </c>
      <c r="R2042">
        <v>2</v>
      </c>
      <c r="S2042">
        <v>2</v>
      </c>
      <c r="T2042">
        <v>2</v>
      </c>
      <c r="U2042">
        <v>15</v>
      </c>
    </row>
    <row r="2043" spans="1:21" x14ac:dyDescent="0.25">
      <c r="A2043">
        <v>2025</v>
      </c>
      <c r="B2043">
        <v>11</v>
      </c>
      <c r="C2043" t="s">
        <v>72</v>
      </c>
      <c r="D2043" t="s">
        <v>22</v>
      </c>
      <c r="E2043" t="s">
        <v>54</v>
      </c>
      <c r="F2043" t="s">
        <v>24</v>
      </c>
      <c r="G2043" t="s">
        <v>25</v>
      </c>
      <c r="H2043" t="s">
        <v>25</v>
      </c>
      <c r="I2043" t="s">
        <v>25</v>
      </c>
      <c r="J2043">
        <v>807</v>
      </c>
      <c r="K2043">
        <v>1</v>
      </c>
      <c r="L2043">
        <v>12</v>
      </c>
      <c r="M2043">
        <v>13</v>
      </c>
      <c r="N2043">
        <v>197</v>
      </c>
      <c r="O2043">
        <v>117</v>
      </c>
      <c r="P2043">
        <v>93</v>
      </c>
      <c r="Q2043">
        <v>43</v>
      </c>
      <c r="R2043">
        <v>21</v>
      </c>
      <c r="S2043">
        <v>0</v>
      </c>
      <c r="T2043">
        <v>0</v>
      </c>
      <c r="U2043">
        <v>799</v>
      </c>
    </row>
    <row r="2044" spans="1:21" x14ac:dyDescent="0.25">
      <c r="A2044">
        <v>2025</v>
      </c>
      <c r="B2044">
        <v>11</v>
      </c>
      <c r="C2044" t="s">
        <v>72</v>
      </c>
      <c r="D2044" t="s">
        <v>22</v>
      </c>
      <c r="E2044" t="s">
        <v>55</v>
      </c>
      <c r="F2044" t="s">
        <v>24</v>
      </c>
      <c r="G2044" t="s">
        <v>25</v>
      </c>
      <c r="H2044" t="s">
        <v>25</v>
      </c>
      <c r="I2044" t="s">
        <v>25</v>
      </c>
      <c r="J2044">
        <v>2</v>
      </c>
      <c r="K2044">
        <v>0</v>
      </c>
      <c r="L2044">
        <v>0</v>
      </c>
      <c r="M2044">
        <v>0</v>
      </c>
      <c r="N2044">
        <v>0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2</v>
      </c>
    </row>
    <row r="2045" spans="1:21" x14ac:dyDescent="0.25">
      <c r="A2045">
        <v>2025</v>
      </c>
      <c r="B2045">
        <v>11</v>
      </c>
      <c r="C2045" t="s">
        <v>72</v>
      </c>
      <c r="D2045" t="s">
        <v>22</v>
      </c>
      <c r="E2045" t="s">
        <v>23</v>
      </c>
      <c r="F2045" t="s">
        <v>28</v>
      </c>
      <c r="G2045" t="s">
        <v>25</v>
      </c>
      <c r="H2045" t="s">
        <v>26</v>
      </c>
      <c r="I2045" t="s">
        <v>25</v>
      </c>
      <c r="J2045">
        <v>25781</v>
      </c>
      <c r="K2045">
        <v>67</v>
      </c>
      <c r="L2045">
        <v>378</v>
      </c>
      <c r="M2045">
        <v>445</v>
      </c>
      <c r="N2045">
        <v>5062</v>
      </c>
      <c r="O2045">
        <v>3026</v>
      </c>
      <c r="P2045">
        <v>2398</v>
      </c>
      <c r="Q2045">
        <v>1120</v>
      </c>
      <c r="R2045">
        <v>536</v>
      </c>
      <c r="S2045">
        <v>86</v>
      </c>
      <c r="T2045">
        <v>6</v>
      </c>
      <c r="U2045">
        <v>25493</v>
      </c>
    </row>
    <row r="2046" spans="1:21" x14ac:dyDescent="0.25">
      <c r="A2046">
        <v>2025</v>
      </c>
      <c r="B2046">
        <v>11</v>
      </c>
      <c r="C2046" t="s">
        <v>72</v>
      </c>
      <c r="D2046" t="s">
        <v>22</v>
      </c>
      <c r="E2046" t="s">
        <v>23</v>
      </c>
      <c r="F2046" t="s">
        <v>24</v>
      </c>
      <c r="G2046" t="s">
        <v>25</v>
      </c>
      <c r="H2046" t="s">
        <v>26</v>
      </c>
      <c r="I2046" t="s">
        <v>25</v>
      </c>
      <c r="J2046">
        <v>3229</v>
      </c>
      <c r="K2046">
        <v>4</v>
      </c>
      <c r="L2046">
        <v>53</v>
      </c>
      <c r="M2046">
        <v>57</v>
      </c>
      <c r="N2046">
        <v>552</v>
      </c>
      <c r="O2046">
        <v>315</v>
      </c>
      <c r="P2046">
        <v>251</v>
      </c>
      <c r="Q2046">
        <v>130</v>
      </c>
      <c r="R2046">
        <v>46</v>
      </c>
      <c r="S2046">
        <v>8</v>
      </c>
      <c r="T2046">
        <v>1</v>
      </c>
      <c r="U2046">
        <v>3195</v>
      </c>
    </row>
    <row r="2047" spans="1:21" x14ac:dyDescent="0.25">
      <c r="A2047">
        <v>2025</v>
      </c>
      <c r="B2047">
        <v>11</v>
      </c>
      <c r="C2047" t="s">
        <v>72</v>
      </c>
      <c r="D2047" t="s">
        <v>22</v>
      </c>
      <c r="E2047" t="s">
        <v>23</v>
      </c>
      <c r="F2047" t="s">
        <v>29</v>
      </c>
      <c r="G2047" t="s">
        <v>25</v>
      </c>
      <c r="H2047" t="s">
        <v>26</v>
      </c>
      <c r="I2047" t="s">
        <v>25</v>
      </c>
      <c r="J2047">
        <v>4</v>
      </c>
      <c r="K2047">
        <v>0</v>
      </c>
      <c r="L2047">
        <v>0</v>
      </c>
      <c r="M2047">
        <v>0</v>
      </c>
      <c r="N2047">
        <v>0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</row>
    <row r="2048" spans="1:21" x14ac:dyDescent="0.25">
      <c r="A2048">
        <v>2025</v>
      </c>
      <c r="B2048">
        <v>11</v>
      </c>
      <c r="C2048" t="s">
        <v>72</v>
      </c>
      <c r="D2048" t="s">
        <v>22</v>
      </c>
      <c r="E2048" t="s">
        <v>39</v>
      </c>
      <c r="F2048" t="s">
        <v>24</v>
      </c>
      <c r="G2048" t="s">
        <v>26</v>
      </c>
      <c r="H2048" t="s">
        <v>26</v>
      </c>
      <c r="I2048" t="s">
        <v>25</v>
      </c>
      <c r="J2048">
        <v>425</v>
      </c>
      <c r="K2048">
        <v>2</v>
      </c>
      <c r="L2048">
        <v>5</v>
      </c>
      <c r="M2048">
        <v>7</v>
      </c>
      <c r="N2048">
        <v>228</v>
      </c>
      <c r="O2048">
        <v>174</v>
      </c>
      <c r="P2048">
        <v>153</v>
      </c>
      <c r="Q2048">
        <v>100</v>
      </c>
      <c r="R2048">
        <v>79</v>
      </c>
      <c r="S2048">
        <v>35</v>
      </c>
      <c r="T2048">
        <v>2</v>
      </c>
      <c r="U2048">
        <v>421</v>
      </c>
    </row>
    <row r="2049" spans="1:21" x14ac:dyDescent="0.25">
      <c r="A2049">
        <v>2025</v>
      </c>
      <c r="B2049">
        <v>11</v>
      </c>
      <c r="C2049" t="s">
        <v>72</v>
      </c>
      <c r="D2049" t="s">
        <v>22</v>
      </c>
      <c r="E2049" t="s">
        <v>73</v>
      </c>
      <c r="F2049" t="s">
        <v>28</v>
      </c>
      <c r="G2049" t="s">
        <v>25</v>
      </c>
      <c r="H2049" t="s">
        <v>25</v>
      </c>
      <c r="I2049" t="s">
        <v>25</v>
      </c>
      <c r="J2049">
        <v>15379</v>
      </c>
      <c r="K2049">
        <v>29</v>
      </c>
      <c r="L2049">
        <v>58</v>
      </c>
      <c r="M2049">
        <v>87</v>
      </c>
      <c r="N2049">
        <v>2333</v>
      </c>
      <c r="O2049">
        <v>1201</v>
      </c>
      <c r="P2049">
        <v>878</v>
      </c>
      <c r="Q2049">
        <v>297</v>
      </c>
      <c r="R2049">
        <v>129</v>
      </c>
      <c r="S2049">
        <v>22</v>
      </c>
      <c r="T2049">
        <v>1</v>
      </c>
      <c r="U2049">
        <v>15309</v>
      </c>
    </row>
    <row r="2050" spans="1:21" x14ac:dyDescent="0.25">
      <c r="A2050">
        <v>2025</v>
      </c>
      <c r="B2050">
        <v>11</v>
      </c>
      <c r="C2050" t="s">
        <v>72</v>
      </c>
      <c r="D2050" t="s">
        <v>22</v>
      </c>
      <c r="E2050" t="s">
        <v>73</v>
      </c>
      <c r="F2050" t="s">
        <v>24</v>
      </c>
      <c r="G2050" t="s">
        <v>25</v>
      </c>
      <c r="H2050" t="s">
        <v>25</v>
      </c>
      <c r="I2050" t="s">
        <v>25</v>
      </c>
      <c r="J2050">
        <v>4330</v>
      </c>
      <c r="K2050">
        <v>42</v>
      </c>
      <c r="L2050">
        <v>0</v>
      </c>
      <c r="M2050">
        <v>42</v>
      </c>
      <c r="N2050">
        <v>356</v>
      </c>
      <c r="O2050">
        <v>193</v>
      </c>
      <c r="P2050">
        <v>134</v>
      </c>
      <c r="Q2050">
        <v>44</v>
      </c>
      <c r="R2050">
        <v>13</v>
      </c>
      <c r="S2050">
        <v>3</v>
      </c>
      <c r="T2050">
        <v>3</v>
      </c>
      <c r="U2050">
        <v>4288</v>
      </c>
    </row>
    <row r="2051" spans="1:21" x14ac:dyDescent="0.25">
      <c r="A2051">
        <v>2025</v>
      </c>
      <c r="B2051">
        <v>11</v>
      </c>
      <c r="C2051" t="s">
        <v>72</v>
      </c>
      <c r="D2051" t="s">
        <v>22</v>
      </c>
      <c r="E2051" t="s">
        <v>35</v>
      </c>
      <c r="F2051" t="s">
        <v>24</v>
      </c>
      <c r="G2051" t="s">
        <v>25</v>
      </c>
      <c r="H2051" t="s">
        <v>26</v>
      </c>
      <c r="I2051" t="s">
        <v>26</v>
      </c>
      <c r="J2051">
        <v>45</v>
      </c>
      <c r="K2051">
        <v>9</v>
      </c>
      <c r="L2051">
        <v>0</v>
      </c>
      <c r="M2051">
        <v>9</v>
      </c>
      <c r="N2051">
        <v>16</v>
      </c>
      <c r="O2051">
        <v>9</v>
      </c>
      <c r="P2051">
        <v>8</v>
      </c>
      <c r="Q2051">
        <v>5</v>
      </c>
      <c r="R2051">
        <v>5</v>
      </c>
      <c r="S2051">
        <v>5</v>
      </c>
      <c r="T2051">
        <v>2</v>
      </c>
      <c r="U2051">
        <v>36</v>
      </c>
    </row>
    <row r="2052" spans="1:21" x14ac:dyDescent="0.25">
      <c r="A2052">
        <v>2025</v>
      </c>
      <c r="B2052">
        <v>11</v>
      </c>
      <c r="C2052" t="s">
        <v>72</v>
      </c>
      <c r="D2052" t="s">
        <v>22</v>
      </c>
      <c r="E2052" t="s">
        <v>111</v>
      </c>
      <c r="F2052" t="s">
        <v>24</v>
      </c>
      <c r="G2052" t="s">
        <v>26</v>
      </c>
      <c r="H2052" t="s">
        <v>26</v>
      </c>
      <c r="I2052" t="s">
        <v>25</v>
      </c>
      <c r="J2052">
        <v>145</v>
      </c>
      <c r="K2052">
        <v>0</v>
      </c>
      <c r="L2052">
        <v>0</v>
      </c>
      <c r="M2052">
        <v>0</v>
      </c>
      <c r="N2052">
        <v>57</v>
      </c>
      <c r="O2052">
        <v>40</v>
      </c>
      <c r="P2052">
        <v>40</v>
      </c>
      <c r="Q2052">
        <v>35</v>
      </c>
      <c r="R2052">
        <v>22</v>
      </c>
      <c r="S2052">
        <v>11</v>
      </c>
      <c r="T2052">
        <v>1</v>
      </c>
      <c r="U2052">
        <v>145</v>
      </c>
    </row>
    <row r="2053" spans="1:21" x14ac:dyDescent="0.25">
      <c r="A2053">
        <v>2025</v>
      </c>
      <c r="B2053">
        <v>11</v>
      </c>
      <c r="C2053" t="s">
        <v>72</v>
      </c>
      <c r="D2053" t="s">
        <v>22</v>
      </c>
      <c r="E2053" t="s">
        <v>74</v>
      </c>
      <c r="F2053" t="s">
        <v>28</v>
      </c>
      <c r="G2053" t="s">
        <v>25</v>
      </c>
      <c r="H2053" t="s">
        <v>25</v>
      </c>
      <c r="I2053" t="s">
        <v>25</v>
      </c>
      <c r="J2053">
        <v>4145</v>
      </c>
      <c r="K2053">
        <v>30</v>
      </c>
      <c r="L2053">
        <v>11</v>
      </c>
      <c r="M2053">
        <v>41</v>
      </c>
      <c r="N2053">
        <v>954</v>
      </c>
      <c r="O2053">
        <v>530</v>
      </c>
      <c r="P2053">
        <v>412</v>
      </c>
      <c r="Q2053">
        <v>185</v>
      </c>
      <c r="R2053">
        <v>80</v>
      </c>
      <c r="S2053">
        <v>15</v>
      </c>
      <c r="T2053">
        <v>1</v>
      </c>
      <c r="U2053">
        <v>4107</v>
      </c>
    </row>
    <row r="2054" spans="1:21" x14ac:dyDescent="0.25">
      <c r="A2054">
        <v>2025</v>
      </c>
      <c r="B2054">
        <v>11</v>
      </c>
      <c r="C2054" t="s">
        <v>72</v>
      </c>
      <c r="D2054" t="s">
        <v>22</v>
      </c>
      <c r="E2054" t="s">
        <v>74</v>
      </c>
      <c r="F2054" t="s">
        <v>24</v>
      </c>
      <c r="G2054" t="s">
        <v>25</v>
      </c>
      <c r="H2054" t="s">
        <v>25</v>
      </c>
      <c r="I2054" t="s">
        <v>25</v>
      </c>
      <c r="J2054">
        <v>233</v>
      </c>
      <c r="K2054">
        <v>2</v>
      </c>
      <c r="L2054">
        <v>0</v>
      </c>
      <c r="M2054">
        <v>2</v>
      </c>
      <c r="N2054">
        <v>15</v>
      </c>
      <c r="O2054">
        <v>10</v>
      </c>
      <c r="P2054">
        <v>9</v>
      </c>
      <c r="Q2054">
        <v>8</v>
      </c>
      <c r="R2054">
        <v>6</v>
      </c>
      <c r="S2054">
        <v>2</v>
      </c>
      <c r="T2054">
        <v>0</v>
      </c>
      <c r="U2054">
        <v>231</v>
      </c>
    </row>
    <row r="2055" spans="1:21" x14ac:dyDescent="0.25">
      <c r="A2055">
        <v>2025</v>
      </c>
      <c r="B2055">
        <v>11</v>
      </c>
      <c r="C2055" t="s">
        <v>72</v>
      </c>
      <c r="D2055" t="s">
        <v>22</v>
      </c>
      <c r="E2055" t="s">
        <v>58</v>
      </c>
      <c r="F2055" t="s">
        <v>28</v>
      </c>
      <c r="G2055" t="s">
        <v>25</v>
      </c>
      <c r="H2055" t="s">
        <v>25</v>
      </c>
      <c r="I2055" t="s">
        <v>25</v>
      </c>
      <c r="J2055">
        <v>24818</v>
      </c>
      <c r="K2055">
        <v>50</v>
      </c>
      <c r="L2055">
        <v>222</v>
      </c>
      <c r="M2055">
        <v>272</v>
      </c>
      <c r="N2055">
        <v>3520</v>
      </c>
      <c r="O2055">
        <v>1905</v>
      </c>
      <c r="P2055">
        <v>1492</v>
      </c>
      <c r="Q2055">
        <v>680</v>
      </c>
      <c r="R2055">
        <v>286</v>
      </c>
      <c r="S2055">
        <v>49</v>
      </c>
      <c r="T2055">
        <v>1</v>
      </c>
      <c r="U2055">
        <v>24645</v>
      </c>
    </row>
    <row r="2056" spans="1:21" x14ac:dyDescent="0.25">
      <c r="A2056">
        <v>2025</v>
      </c>
      <c r="B2056">
        <v>11</v>
      </c>
      <c r="C2056" t="s">
        <v>72</v>
      </c>
      <c r="D2056" t="s">
        <v>22</v>
      </c>
      <c r="E2056" t="s">
        <v>58</v>
      </c>
      <c r="F2056" t="s">
        <v>24</v>
      </c>
      <c r="G2056" t="s">
        <v>25</v>
      </c>
      <c r="H2056" t="s">
        <v>25</v>
      </c>
      <c r="I2056" t="s">
        <v>25</v>
      </c>
      <c r="J2056">
        <v>3090</v>
      </c>
      <c r="K2056">
        <v>26</v>
      </c>
      <c r="L2056">
        <v>56</v>
      </c>
      <c r="M2056">
        <v>82</v>
      </c>
      <c r="N2056">
        <v>475</v>
      </c>
      <c r="O2056">
        <v>286</v>
      </c>
      <c r="P2056">
        <v>237</v>
      </c>
      <c r="Q2056">
        <v>106</v>
      </c>
      <c r="R2056">
        <v>48</v>
      </c>
      <c r="S2056">
        <v>10</v>
      </c>
      <c r="T2056">
        <v>0</v>
      </c>
      <c r="U2056">
        <v>3020</v>
      </c>
    </row>
    <row r="2057" spans="1:21" x14ac:dyDescent="0.25">
      <c r="A2057">
        <v>2025</v>
      </c>
      <c r="B2057">
        <v>11</v>
      </c>
      <c r="C2057" t="s">
        <v>72</v>
      </c>
      <c r="D2057" t="s">
        <v>22</v>
      </c>
      <c r="E2057" t="s">
        <v>110</v>
      </c>
      <c r="F2057" t="s">
        <v>24</v>
      </c>
      <c r="G2057" t="s">
        <v>25</v>
      </c>
      <c r="H2057" t="s">
        <v>25</v>
      </c>
      <c r="I2057" t="s">
        <v>25</v>
      </c>
      <c r="J2057">
        <v>4</v>
      </c>
      <c r="K2057">
        <v>0</v>
      </c>
      <c r="L2057">
        <v>3</v>
      </c>
      <c r="M2057">
        <v>3</v>
      </c>
      <c r="N2057">
        <v>0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4</v>
      </c>
    </row>
    <row r="2058" spans="1:21" x14ac:dyDescent="0.25">
      <c r="A2058">
        <v>2025</v>
      </c>
      <c r="B2058">
        <v>11</v>
      </c>
      <c r="C2058" t="s">
        <v>75</v>
      </c>
      <c r="D2058" t="s">
        <v>22</v>
      </c>
      <c r="E2058" t="s">
        <v>114</v>
      </c>
      <c r="F2058" t="s">
        <v>28</v>
      </c>
      <c r="G2058" t="s">
        <v>25</v>
      </c>
      <c r="H2058" t="s">
        <v>25</v>
      </c>
      <c r="I2058" t="s">
        <v>25</v>
      </c>
      <c r="J2058">
        <v>15599</v>
      </c>
      <c r="K2058">
        <v>15</v>
      </c>
      <c r="L2058">
        <v>41</v>
      </c>
      <c r="M2058">
        <v>56</v>
      </c>
      <c r="N2058">
        <v>4200</v>
      </c>
      <c r="O2058">
        <v>1273</v>
      </c>
      <c r="P2058">
        <v>1270</v>
      </c>
      <c r="Q2058">
        <v>522</v>
      </c>
      <c r="R2058">
        <v>274</v>
      </c>
      <c r="S2058">
        <v>59</v>
      </c>
      <c r="T2058">
        <v>10</v>
      </c>
      <c r="U2058">
        <v>15583</v>
      </c>
    </row>
    <row r="2059" spans="1:21" x14ac:dyDescent="0.25">
      <c r="A2059">
        <v>2025</v>
      </c>
      <c r="B2059">
        <v>11</v>
      </c>
      <c r="C2059" t="s">
        <v>75</v>
      </c>
      <c r="D2059" t="s">
        <v>22</v>
      </c>
      <c r="E2059" t="s">
        <v>114</v>
      </c>
      <c r="F2059" t="s">
        <v>24</v>
      </c>
      <c r="G2059" t="s">
        <v>25</v>
      </c>
      <c r="H2059" t="s">
        <v>25</v>
      </c>
      <c r="I2059" t="s">
        <v>25</v>
      </c>
      <c r="J2059">
        <v>883</v>
      </c>
      <c r="K2059">
        <v>0</v>
      </c>
      <c r="L2059">
        <v>0</v>
      </c>
      <c r="M2059">
        <v>0</v>
      </c>
      <c r="N2059">
        <v>130</v>
      </c>
      <c r="O2059">
        <v>49</v>
      </c>
      <c r="P2059">
        <v>49</v>
      </c>
      <c r="Q2059">
        <v>24</v>
      </c>
      <c r="R2059">
        <v>16</v>
      </c>
      <c r="S2059">
        <v>3</v>
      </c>
      <c r="T2059">
        <v>0</v>
      </c>
      <c r="U2059">
        <v>883</v>
      </c>
    </row>
    <row r="2060" spans="1:21" x14ac:dyDescent="0.25">
      <c r="A2060">
        <v>2025</v>
      </c>
      <c r="B2060">
        <v>11</v>
      </c>
      <c r="C2060" t="s">
        <v>75</v>
      </c>
      <c r="D2060" t="s">
        <v>22</v>
      </c>
      <c r="E2060" t="s">
        <v>114</v>
      </c>
      <c r="F2060" t="s">
        <v>29</v>
      </c>
      <c r="G2060" t="s">
        <v>25</v>
      </c>
      <c r="H2060" t="s">
        <v>25</v>
      </c>
      <c r="I2060" t="s">
        <v>25</v>
      </c>
      <c r="J2060">
        <v>1107</v>
      </c>
      <c r="K2060">
        <v>2</v>
      </c>
      <c r="L2060">
        <v>0</v>
      </c>
      <c r="M2060">
        <v>2</v>
      </c>
      <c r="N2060">
        <v>0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0</v>
      </c>
    </row>
    <row r="2061" spans="1:21" x14ac:dyDescent="0.25">
      <c r="A2061">
        <v>2025</v>
      </c>
      <c r="B2061">
        <v>11</v>
      </c>
      <c r="C2061" t="s">
        <v>75</v>
      </c>
      <c r="D2061" t="s">
        <v>22</v>
      </c>
      <c r="E2061" t="s">
        <v>23</v>
      </c>
      <c r="F2061" t="s">
        <v>28</v>
      </c>
      <c r="G2061" t="s">
        <v>25</v>
      </c>
      <c r="H2061" t="s">
        <v>25</v>
      </c>
      <c r="I2061" t="s">
        <v>25</v>
      </c>
      <c r="J2061">
        <v>1605</v>
      </c>
      <c r="K2061">
        <v>20</v>
      </c>
      <c r="L2061">
        <v>16</v>
      </c>
      <c r="M2061">
        <v>36</v>
      </c>
      <c r="N2061">
        <v>530</v>
      </c>
      <c r="O2061">
        <v>349</v>
      </c>
      <c r="P2061">
        <v>349</v>
      </c>
      <c r="Q2061">
        <v>256</v>
      </c>
      <c r="R2061">
        <v>211</v>
      </c>
      <c r="S2061">
        <v>117</v>
      </c>
      <c r="T2061">
        <v>43</v>
      </c>
      <c r="U2061">
        <v>1581</v>
      </c>
    </row>
    <row r="2062" spans="1:21" x14ac:dyDescent="0.25">
      <c r="A2062">
        <v>2025</v>
      </c>
      <c r="B2062">
        <v>11</v>
      </c>
      <c r="C2062" t="s">
        <v>75</v>
      </c>
      <c r="D2062" t="s">
        <v>22</v>
      </c>
      <c r="E2062" t="s">
        <v>23</v>
      </c>
      <c r="F2062" t="s">
        <v>24</v>
      </c>
      <c r="G2062" t="s">
        <v>25</v>
      </c>
      <c r="H2062" t="s">
        <v>26</v>
      </c>
      <c r="I2062" t="s">
        <v>25</v>
      </c>
      <c r="J2062">
        <v>754</v>
      </c>
      <c r="K2062">
        <v>9</v>
      </c>
      <c r="L2062">
        <v>0</v>
      </c>
      <c r="M2062">
        <v>9</v>
      </c>
      <c r="N2062">
        <v>8</v>
      </c>
      <c r="O2062">
        <v>8</v>
      </c>
      <c r="P2062">
        <v>7</v>
      </c>
      <c r="Q2062">
        <v>2</v>
      </c>
      <c r="R2062">
        <v>2</v>
      </c>
      <c r="S2062">
        <v>0</v>
      </c>
      <c r="T2062">
        <v>0</v>
      </c>
      <c r="U2062">
        <v>745</v>
      </c>
    </row>
    <row r="2063" spans="1:21" x14ac:dyDescent="0.25">
      <c r="A2063">
        <v>2025</v>
      </c>
      <c r="B2063">
        <v>11</v>
      </c>
      <c r="C2063" t="s">
        <v>75</v>
      </c>
      <c r="D2063" t="s">
        <v>22</v>
      </c>
      <c r="E2063" t="s">
        <v>23</v>
      </c>
      <c r="F2063" t="s">
        <v>29</v>
      </c>
      <c r="G2063" t="s">
        <v>25</v>
      </c>
      <c r="H2063" t="s">
        <v>25</v>
      </c>
      <c r="I2063" t="s">
        <v>25</v>
      </c>
      <c r="J2063">
        <v>18</v>
      </c>
      <c r="K2063">
        <v>0</v>
      </c>
      <c r="L2063">
        <v>0</v>
      </c>
      <c r="M2063">
        <v>0</v>
      </c>
      <c r="N2063">
        <v>0</v>
      </c>
      <c r="O2063">
        <v>0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0</v>
      </c>
    </row>
    <row r="2064" spans="1:21" x14ac:dyDescent="0.25">
      <c r="A2064">
        <v>2025</v>
      </c>
      <c r="B2064">
        <v>11</v>
      </c>
      <c r="C2064" t="s">
        <v>75</v>
      </c>
      <c r="D2064" t="s">
        <v>22</v>
      </c>
      <c r="E2064" t="s">
        <v>39</v>
      </c>
      <c r="F2064" t="s">
        <v>24</v>
      </c>
      <c r="G2064" t="s">
        <v>26</v>
      </c>
      <c r="H2064" t="s">
        <v>26</v>
      </c>
      <c r="I2064" t="s">
        <v>25</v>
      </c>
      <c r="J2064">
        <v>577</v>
      </c>
      <c r="K2064">
        <v>10</v>
      </c>
      <c r="L2064">
        <v>0</v>
      </c>
      <c r="M2064">
        <v>10</v>
      </c>
      <c r="N2064">
        <v>224</v>
      </c>
      <c r="O2064">
        <v>146</v>
      </c>
      <c r="P2064">
        <v>143</v>
      </c>
      <c r="Q2064">
        <v>105</v>
      </c>
      <c r="R2064">
        <v>73</v>
      </c>
      <c r="S2064">
        <v>24</v>
      </c>
      <c r="T2064">
        <v>12</v>
      </c>
      <c r="U2064">
        <v>567</v>
      </c>
    </row>
    <row r="2065" spans="1:21" x14ac:dyDescent="0.25">
      <c r="A2065">
        <v>2025</v>
      </c>
      <c r="B2065">
        <v>11</v>
      </c>
      <c r="C2065" t="s">
        <v>75</v>
      </c>
      <c r="D2065" t="s">
        <v>22</v>
      </c>
      <c r="E2065" t="s">
        <v>39</v>
      </c>
      <c r="F2065" t="s">
        <v>29</v>
      </c>
      <c r="G2065" t="s">
        <v>26</v>
      </c>
      <c r="H2065" t="s">
        <v>26</v>
      </c>
      <c r="I2065" t="s">
        <v>25</v>
      </c>
      <c r="J2065">
        <v>2</v>
      </c>
      <c r="K2065">
        <v>0</v>
      </c>
      <c r="L2065">
        <v>0</v>
      </c>
      <c r="M2065">
        <v>0</v>
      </c>
      <c r="N2065">
        <v>0</v>
      </c>
      <c r="O2065">
        <v>0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0</v>
      </c>
    </row>
    <row r="2066" spans="1:21" x14ac:dyDescent="0.25">
      <c r="A2066">
        <v>2025</v>
      </c>
      <c r="B2066">
        <v>11</v>
      </c>
      <c r="C2066" t="s">
        <v>75</v>
      </c>
      <c r="D2066" t="s">
        <v>22</v>
      </c>
      <c r="E2066" t="s">
        <v>84</v>
      </c>
      <c r="F2066" t="s">
        <v>28</v>
      </c>
      <c r="G2066" t="s">
        <v>25</v>
      </c>
      <c r="H2066" t="s">
        <v>25</v>
      </c>
      <c r="I2066" t="s">
        <v>25</v>
      </c>
      <c r="J2066">
        <v>183</v>
      </c>
      <c r="K2066">
        <v>12</v>
      </c>
      <c r="L2066">
        <v>8</v>
      </c>
      <c r="M2066">
        <v>20</v>
      </c>
      <c r="N2066">
        <v>36</v>
      </c>
      <c r="O2066">
        <v>19</v>
      </c>
      <c r="P2066">
        <v>19</v>
      </c>
      <c r="Q2066">
        <v>16</v>
      </c>
      <c r="R2066">
        <v>12</v>
      </c>
      <c r="S2066">
        <v>7</v>
      </c>
      <c r="T2066">
        <v>3</v>
      </c>
      <c r="U2066">
        <v>165</v>
      </c>
    </row>
    <row r="2067" spans="1:21" x14ac:dyDescent="0.25">
      <c r="A2067">
        <v>2025</v>
      </c>
      <c r="B2067">
        <v>11</v>
      </c>
      <c r="C2067" t="s">
        <v>75</v>
      </c>
      <c r="D2067" t="s">
        <v>22</v>
      </c>
      <c r="E2067" t="s">
        <v>84</v>
      </c>
      <c r="F2067" t="s">
        <v>29</v>
      </c>
      <c r="G2067" t="s">
        <v>25</v>
      </c>
      <c r="H2067" t="s">
        <v>25</v>
      </c>
      <c r="I2067" t="s">
        <v>25</v>
      </c>
      <c r="J2067">
        <v>40</v>
      </c>
      <c r="K2067">
        <v>11</v>
      </c>
      <c r="L2067">
        <v>0</v>
      </c>
      <c r="M2067">
        <v>11</v>
      </c>
      <c r="N2067">
        <v>0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0</v>
      </c>
    </row>
    <row r="2068" spans="1:21" x14ac:dyDescent="0.25">
      <c r="A2068">
        <v>2025</v>
      </c>
      <c r="B2068">
        <v>11</v>
      </c>
      <c r="C2068" t="s">
        <v>75</v>
      </c>
      <c r="D2068" t="s">
        <v>22</v>
      </c>
      <c r="E2068" t="s">
        <v>113</v>
      </c>
      <c r="F2068" t="s">
        <v>28</v>
      </c>
      <c r="G2068" t="s">
        <v>26</v>
      </c>
      <c r="H2068" t="s">
        <v>26</v>
      </c>
      <c r="I2068" t="s">
        <v>25</v>
      </c>
      <c r="J2068">
        <v>4</v>
      </c>
      <c r="K2068">
        <v>0</v>
      </c>
      <c r="L2068">
        <v>0</v>
      </c>
      <c r="M2068">
        <v>0</v>
      </c>
      <c r="N2068">
        <v>1</v>
      </c>
      <c r="O2068">
        <v>1</v>
      </c>
      <c r="P2068">
        <v>1</v>
      </c>
      <c r="Q2068">
        <v>1</v>
      </c>
      <c r="R2068">
        <v>1</v>
      </c>
      <c r="S2068">
        <v>1</v>
      </c>
      <c r="T2068">
        <v>1</v>
      </c>
      <c r="U2068">
        <v>4</v>
      </c>
    </row>
    <row r="2069" spans="1:21" x14ac:dyDescent="0.25">
      <c r="A2069">
        <v>2025</v>
      </c>
      <c r="B2069">
        <v>11</v>
      </c>
      <c r="C2069" t="s">
        <v>75</v>
      </c>
      <c r="D2069" t="s">
        <v>22</v>
      </c>
      <c r="E2069" t="s">
        <v>113</v>
      </c>
      <c r="F2069" t="s">
        <v>24</v>
      </c>
      <c r="G2069" t="s">
        <v>26</v>
      </c>
      <c r="H2069" t="s">
        <v>26</v>
      </c>
      <c r="I2069" t="s">
        <v>25</v>
      </c>
      <c r="J2069">
        <v>701</v>
      </c>
      <c r="K2069">
        <v>1</v>
      </c>
      <c r="L2069">
        <v>2</v>
      </c>
      <c r="M2069">
        <v>3</v>
      </c>
      <c r="N2069">
        <v>137</v>
      </c>
      <c r="O2069">
        <v>80</v>
      </c>
      <c r="P2069">
        <v>80</v>
      </c>
      <c r="Q2069">
        <v>64</v>
      </c>
      <c r="R2069">
        <v>41</v>
      </c>
      <c r="S2069">
        <v>25</v>
      </c>
      <c r="T2069">
        <v>12</v>
      </c>
      <c r="U2069">
        <v>700</v>
      </c>
    </row>
    <row r="2070" spans="1:21" x14ac:dyDescent="0.25">
      <c r="A2070">
        <v>2025</v>
      </c>
      <c r="B2070">
        <v>11</v>
      </c>
      <c r="C2070" t="s">
        <v>75</v>
      </c>
      <c r="D2070" t="s">
        <v>22</v>
      </c>
      <c r="E2070" t="s">
        <v>113</v>
      </c>
      <c r="F2070" t="s">
        <v>29</v>
      </c>
      <c r="G2070" t="s">
        <v>26</v>
      </c>
      <c r="H2070" t="s">
        <v>26</v>
      </c>
      <c r="I2070" t="s">
        <v>25</v>
      </c>
      <c r="J2070">
        <v>10</v>
      </c>
      <c r="K2070">
        <v>0</v>
      </c>
      <c r="L2070">
        <v>0</v>
      </c>
      <c r="M2070">
        <v>0</v>
      </c>
      <c r="N2070">
        <v>0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0</v>
      </c>
    </row>
    <row r="2071" spans="1:21" x14ac:dyDescent="0.25">
      <c r="A2071">
        <v>2025</v>
      </c>
      <c r="B2071">
        <v>11</v>
      </c>
      <c r="C2071" t="s">
        <v>75</v>
      </c>
      <c r="D2071" t="s">
        <v>22</v>
      </c>
      <c r="E2071" t="s">
        <v>70</v>
      </c>
      <c r="F2071" t="s">
        <v>24</v>
      </c>
      <c r="G2071" t="s">
        <v>26</v>
      </c>
      <c r="H2071" t="s">
        <v>26</v>
      </c>
      <c r="I2071" t="s">
        <v>25</v>
      </c>
      <c r="J2071">
        <v>163</v>
      </c>
      <c r="K2071">
        <v>0</v>
      </c>
      <c r="L2071">
        <v>0</v>
      </c>
      <c r="M2071">
        <v>0</v>
      </c>
      <c r="N2071">
        <v>2</v>
      </c>
      <c r="O2071">
        <v>2</v>
      </c>
      <c r="P2071">
        <v>2</v>
      </c>
      <c r="Q2071">
        <v>1</v>
      </c>
      <c r="R2071">
        <v>0</v>
      </c>
      <c r="S2071">
        <v>0</v>
      </c>
      <c r="T2071">
        <v>0</v>
      </c>
      <c r="U2071">
        <v>163</v>
      </c>
    </row>
    <row r="2072" spans="1:21" x14ac:dyDescent="0.25">
      <c r="A2072">
        <v>2025</v>
      </c>
      <c r="B2072">
        <v>11</v>
      </c>
      <c r="C2072" t="s">
        <v>75</v>
      </c>
      <c r="D2072" t="s">
        <v>22</v>
      </c>
      <c r="E2072" t="s">
        <v>115</v>
      </c>
      <c r="F2072" t="s">
        <v>28</v>
      </c>
      <c r="G2072" t="s">
        <v>25</v>
      </c>
      <c r="H2072" t="s">
        <v>25</v>
      </c>
      <c r="I2072" t="s">
        <v>25</v>
      </c>
      <c r="J2072">
        <v>144</v>
      </c>
      <c r="K2072">
        <v>0</v>
      </c>
      <c r="L2072">
        <v>0</v>
      </c>
      <c r="M2072">
        <v>0</v>
      </c>
      <c r="N2072">
        <v>25</v>
      </c>
      <c r="O2072">
        <v>8</v>
      </c>
      <c r="P2072">
        <v>8</v>
      </c>
      <c r="Q2072">
        <v>1</v>
      </c>
      <c r="R2072">
        <v>0</v>
      </c>
      <c r="S2072">
        <v>0</v>
      </c>
      <c r="T2072">
        <v>0</v>
      </c>
      <c r="U2072">
        <v>144</v>
      </c>
    </row>
    <row r="2073" spans="1:21" x14ac:dyDescent="0.25">
      <c r="A2073">
        <v>2025</v>
      </c>
      <c r="B2073">
        <v>11</v>
      </c>
      <c r="C2073" t="s">
        <v>75</v>
      </c>
      <c r="D2073" t="s">
        <v>22</v>
      </c>
      <c r="E2073" t="s">
        <v>115</v>
      </c>
      <c r="F2073" t="s">
        <v>29</v>
      </c>
      <c r="G2073" t="s">
        <v>25</v>
      </c>
      <c r="H2073" t="s">
        <v>25</v>
      </c>
      <c r="I2073" t="s">
        <v>25</v>
      </c>
      <c r="J2073">
        <v>86</v>
      </c>
      <c r="K2073">
        <v>0</v>
      </c>
      <c r="L2073">
        <v>0</v>
      </c>
      <c r="M2073">
        <v>0</v>
      </c>
      <c r="N2073">
        <v>0</v>
      </c>
      <c r="O2073">
        <v>0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0</v>
      </c>
    </row>
    <row r="2074" spans="1:21" x14ac:dyDescent="0.25">
      <c r="A2074">
        <v>2025</v>
      </c>
      <c r="B2074">
        <v>11</v>
      </c>
      <c r="C2074" t="s">
        <v>75</v>
      </c>
      <c r="D2074" t="s">
        <v>22</v>
      </c>
      <c r="E2074" t="s">
        <v>35</v>
      </c>
      <c r="F2074" t="s">
        <v>24</v>
      </c>
      <c r="G2074" t="s">
        <v>25</v>
      </c>
      <c r="H2074" t="s">
        <v>26</v>
      </c>
      <c r="I2074" t="s">
        <v>26</v>
      </c>
      <c r="J2074">
        <v>34</v>
      </c>
      <c r="K2074">
        <v>7</v>
      </c>
      <c r="L2074">
        <v>6</v>
      </c>
      <c r="M2074">
        <v>13</v>
      </c>
      <c r="N2074">
        <v>13</v>
      </c>
      <c r="O2074">
        <v>13</v>
      </c>
      <c r="P2074">
        <v>13</v>
      </c>
      <c r="Q2074">
        <v>13</v>
      </c>
      <c r="R2074">
        <v>13</v>
      </c>
      <c r="S2074">
        <v>11</v>
      </c>
      <c r="T2074">
        <v>6</v>
      </c>
      <c r="U2074">
        <v>23</v>
      </c>
    </row>
    <row r="2075" spans="1:21" x14ac:dyDescent="0.25">
      <c r="A2075">
        <v>2025</v>
      </c>
      <c r="B2075">
        <v>11</v>
      </c>
      <c r="C2075" t="s">
        <v>75</v>
      </c>
      <c r="D2075" t="s">
        <v>22</v>
      </c>
      <c r="E2075" t="s">
        <v>111</v>
      </c>
      <c r="F2075" t="s">
        <v>28</v>
      </c>
      <c r="G2075" t="s">
        <v>26</v>
      </c>
      <c r="H2075" t="s">
        <v>26</v>
      </c>
      <c r="I2075" t="s">
        <v>25</v>
      </c>
      <c r="J2075">
        <v>11482</v>
      </c>
      <c r="K2075">
        <v>31</v>
      </c>
      <c r="L2075">
        <v>68</v>
      </c>
      <c r="M2075">
        <v>99</v>
      </c>
      <c r="N2075">
        <v>2954</v>
      </c>
      <c r="O2075">
        <v>1821</v>
      </c>
      <c r="P2075">
        <v>1821</v>
      </c>
      <c r="Q2075">
        <v>1296</v>
      </c>
      <c r="R2075">
        <v>963</v>
      </c>
      <c r="S2075">
        <v>451</v>
      </c>
      <c r="T2075">
        <v>153</v>
      </c>
      <c r="U2075">
        <v>11424</v>
      </c>
    </row>
    <row r="2076" spans="1:21" x14ac:dyDescent="0.25">
      <c r="A2076">
        <v>2025</v>
      </c>
      <c r="B2076">
        <v>11</v>
      </c>
      <c r="C2076" t="s">
        <v>75</v>
      </c>
      <c r="D2076" t="s">
        <v>22</v>
      </c>
      <c r="E2076" t="s">
        <v>111</v>
      </c>
      <c r="F2076" t="s">
        <v>24</v>
      </c>
      <c r="G2076" t="s">
        <v>26</v>
      </c>
      <c r="H2076" t="s">
        <v>26</v>
      </c>
      <c r="I2076" t="s">
        <v>25</v>
      </c>
      <c r="J2076">
        <v>1116</v>
      </c>
      <c r="K2076">
        <v>2</v>
      </c>
      <c r="L2076">
        <v>3</v>
      </c>
      <c r="M2076">
        <v>5</v>
      </c>
      <c r="N2076">
        <v>445</v>
      </c>
      <c r="O2076">
        <v>283</v>
      </c>
      <c r="P2076">
        <v>283</v>
      </c>
      <c r="Q2076">
        <v>218</v>
      </c>
      <c r="R2076">
        <v>160</v>
      </c>
      <c r="S2076">
        <v>84</v>
      </c>
      <c r="T2076">
        <v>23</v>
      </c>
      <c r="U2076">
        <v>1113</v>
      </c>
    </row>
    <row r="2077" spans="1:21" x14ac:dyDescent="0.25">
      <c r="A2077">
        <v>2025</v>
      </c>
      <c r="B2077">
        <v>11</v>
      </c>
      <c r="C2077" t="s">
        <v>75</v>
      </c>
      <c r="D2077" t="s">
        <v>22</v>
      </c>
      <c r="E2077" t="s">
        <v>111</v>
      </c>
      <c r="F2077" t="s">
        <v>29</v>
      </c>
      <c r="G2077" t="s">
        <v>26</v>
      </c>
      <c r="H2077" t="s">
        <v>26</v>
      </c>
      <c r="I2077" t="s">
        <v>25</v>
      </c>
      <c r="J2077">
        <v>999</v>
      </c>
      <c r="K2077">
        <v>10</v>
      </c>
      <c r="L2077">
        <v>0</v>
      </c>
      <c r="M2077">
        <v>10</v>
      </c>
      <c r="N2077">
        <v>0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0</v>
      </c>
    </row>
    <row r="2078" spans="1:21" x14ac:dyDescent="0.25">
      <c r="A2078">
        <v>2025</v>
      </c>
      <c r="B2078">
        <v>11</v>
      </c>
      <c r="C2078" t="s">
        <v>75</v>
      </c>
      <c r="D2078" t="s">
        <v>22</v>
      </c>
      <c r="E2078" t="s">
        <v>110</v>
      </c>
      <c r="F2078" t="s">
        <v>28</v>
      </c>
      <c r="G2078" t="s">
        <v>25</v>
      </c>
      <c r="H2078" t="s">
        <v>25</v>
      </c>
      <c r="I2078" t="s">
        <v>25</v>
      </c>
      <c r="J2078">
        <v>153433</v>
      </c>
      <c r="K2078">
        <v>2936</v>
      </c>
      <c r="L2078">
        <v>1600</v>
      </c>
      <c r="M2078">
        <v>4536</v>
      </c>
      <c r="N2078">
        <v>24230</v>
      </c>
      <c r="O2078">
        <v>11323</v>
      </c>
      <c r="P2078">
        <v>11298</v>
      </c>
      <c r="Q2078">
        <v>7276</v>
      </c>
      <c r="R2078">
        <v>5168</v>
      </c>
      <c r="S2078">
        <v>2228</v>
      </c>
      <c r="T2078">
        <v>467</v>
      </c>
      <c r="U2078">
        <v>149986</v>
      </c>
    </row>
    <row r="2079" spans="1:21" x14ac:dyDescent="0.25">
      <c r="A2079">
        <v>2025</v>
      </c>
      <c r="B2079">
        <v>11</v>
      </c>
      <c r="C2079" t="s">
        <v>75</v>
      </c>
      <c r="D2079" t="s">
        <v>22</v>
      </c>
      <c r="E2079" t="s">
        <v>110</v>
      </c>
      <c r="F2079" t="s">
        <v>24</v>
      </c>
      <c r="G2079" t="s">
        <v>25</v>
      </c>
      <c r="H2079" t="s">
        <v>25</v>
      </c>
      <c r="I2079" t="s">
        <v>25</v>
      </c>
      <c r="J2079">
        <v>21264</v>
      </c>
      <c r="K2079">
        <v>337</v>
      </c>
      <c r="L2079">
        <v>118</v>
      </c>
      <c r="M2079">
        <v>455</v>
      </c>
      <c r="N2079">
        <v>2686</v>
      </c>
      <c r="O2079">
        <v>1053</v>
      </c>
      <c r="P2079">
        <v>1051</v>
      </c>
      <c r="Q2079">
        <v>580</v>
      </c>
      <c r="R2079">
        <v>362</v>
      </c>
      <c r="S2079">
        <v>121</v>
      </c>
      <c r="T2079">
        <v>26</v>
      </c>
      <c r="U2079">
        <v>20891</v>
      </c>
    </row>
    <row r="2080" spans="1:21" x14ac:dyDescent="0.25">
      <c r="A2080">
        <v>2025</v>
      </c>
      <c r="B2080">
        <v>11</v>
      </c>
      <c r="C2080" t="s">
        <v>75</v>
      </c>
      <c r="D2080" t="s">
        <v>22</v>
      </c>
      <c r="E2080" t="s">
        <v>110</v>
      </c>
      <c r="F2080" t="s">
        <v>29</v>
      </c>
      <c r="G2080" t="s">
        <v>25</v>
      </c>
      <c r="H2080" t="s">
        <v>25</v>
      </c>
      <c r="I2080" t="s">
        <v>25</v>
      </c>
      <c r="J2080">
        <v>2091</v>
      </c>
      <c r="K2080">
        <v>58</v>
      </c>
      <c r="L2080">
        <v>0</v>
      </c>
      <c r="M2080">
        <v>58</v>
      </c>
      <c r="N2080">
        <v>0</v>
      </c>
      <c r="O2080">
        <v>0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0</v>
      </c>
    </row>
    <row r="2081" spans="1:21" x14ac:dyDescent="0.25">
      <c r="A2081">
        <v>2025</v>
      </c>
      <c r="B2081">
        <v>11</v>
      </c>
      <c r="C2081" t="s">
        <v>75</v>
      </c>
      <c r="D2081" t="s">
        <v>22</v>
      </c>
      <c r="E2081" t="s">
        <v>42</v>
      </c>
      <c r="F2081" t="s">
        <v>24</v>
      </c>
      <c r="G2081" t="s">
        <v>26</v>
      </c>
      <c r="H2081" t="s">
        <v>26</v>
      </c>
      <c r="I2081" t="s">
        <v>25</v>
      </c>
      <c r="J2081">
        <v>136</v>
      </c>
      <c r="K2081">
        <v>0</v>
      </c>
      <c r="L2081">
        <v>0</v>
      </c>
      <c r="M2081">
        <v>0</v>
      </c>
      <c r="N2081">
        <v>50</v>
      </c>
      <c r="O2081">
        <v>42</v>
      </c>
      <c r="P2081">
        <v>42</v>
      </c>
      <c r="Q2081">
        <v>30</v>
      </c>
      <c r="R2081">
        <v>21</v>
      </c>
      <c r="S2081">
        <v>11</v>
      </c>
      <c r="T2081">
        <v>6</v>
      </c>
      <c r="U2081">
        <v>136</v>
      </c>
    </row>
    <row r="2082" spans="1:21" x14ac:dyDescent="0.25">
      <c r="A2082">
        <v>2025</v>
      </c>
      <c r="B2082">
        <v>11</v>
      </c>
      <c r="C2082" t="s">
        <v>75</v>
      </c>
      <c r="D2082" t="s">
        <v>22</v>
      </c>
      <c r="E2082" t="s">
        <v>116</v>
      </c>
      <c r="F2082" t="s">
        <v>28</v>
      </c>
      <c r="G2082" t="s">
        <v>25</v>
      </c>
      <c r="H2082" t="s">
        <v>25</v>
      </c>
      <c r="I2082" t="s">
        <v>25</v>
      </c>
      <c r="J2082">
        <v>3259</v>
      </c>
      <c r="K2082">
        <v>77</v>
      </c>
      <c r="L2082">
        <v>13</v>
      </c>
      <c r="M2082">
        <v>90</v>
      </c>
      <c r="N2082">
        <v>271</v>
      </c>
      <c r="O2082">
        <v>103</v>
      </c>
      <c r="P2082">
        <v>103</v>
      </c>
      <c r="Q2082">
        <v>54</v>
      </c>
      <c r="R2082">
        <v>33</v>
      </c>
      <c r="S2082">
        <v>9</v>
      </c>
      <c r="T2082">
        <v>0</v>
      </c>
      <c r="U2082">
        <v>3179</v>
      </c>
    </row>
    <row r="2083" spans="1:21" x14ac:dyDescent="0.25">
      <c r="A2083">
        <v>2025</v>
      </c>
      <c r="B2083">
        <v>11</v>
      </c>
      <c r="C2083" t="s">
        <v>75</v>
      </c>
      <c r="D2083" t="s">
        <v>22</v>
      </c>
      <c r="E2083" t="s">
        <v>116</v>
      </c>
      <c r="F2083" t="s">
        <v>24</v>
      </c>
      <c r="G2083" t="s">
        <v>25</v>
      </c>
      <c r="H2083" t="s">
        <v>25</v>
      </c>
      <c r="I2083" t="s">
        <v>25</v>
      </c>
      <c r="J2083">
        <v>62</v>
      </c>
      <c r="K2083">
        <v>0</v>
      </c>
      <c r="L2083">
        <v>0</v>
      </c>
      <c r="M2083">
        <v>0</v>
      </c>
      <c r="N2083">
        <v>57</v>
      </c>
      <c r="O2083">
        <v>37</v>
      </c>
      <c r="P2083">
        <v>37</v>
      </c>
      <c r="Q2083">
        <v>15</v>
      </c>
      <c r="R2083">
        <v>11</v>
      </c>
      <c r="S2083">
        <v>2</v>
      </c>
      <c r="T2083">
        <v>1</v>
      </c>
      <c r="U2083">
        <v>62</v>
      </c>
    </row>
    <row r="2084" spans="1:21" x14ac:dyDescent="0.25">
      <c r="A2084">
        <v>2025</v>
      </c>
      <c r="B2084">
        <v>11</v>
      </c>
      <c r="C2084" t="s">
        <v>75</v>
      </c>
      <c r="D2084" t="s">
        <v>22</v>
      </c>
      <c r="E2084" t="s">
        <v>116</v>
      </c>
      <c r="F2084" t="s">
        <v>29</v>
      </c>
      <c r="G2084" t="s">
        <v>25</v>
      </c>
      <c r="H2084" t="s">
        <v>25</v>
      </c>
      <c r="I2084" t="s">
        <v>25</v>
      </c>
      <c r="J2084">
        <v>78</v>
      </c>
      <c r="K2084">
        <v>0</v>
      </c>
      <c r="L2084">
        <v>0</v>
      </c>
      <c r="M2084">
        <v>0</v>
      </c>
      <c r="N2084">
        <v>0</v>
      </c>
      <c r="O2084">
        <v>0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0</v>
      </c>
    </row>
    <row r="2085" spans="1:21" x14ac:dyDescent="0.25">
      <c r="A2085">
        <v>2025</v>
      </c>
      <c r="B2085">
        <v>11</v>
      </c>
      <c r="C2085" t="s">
        <v>75</v>
      </c>
      <c r="D2085" t="s">
        <v>22</v>
      </c>
      <c r="F2085" t="s">
        <v>28</v>
      </c>
      <c r="G2085" t="s">
        <v>25</v>
      </c>
      <c r="H2085" t="s">
        <v>25</v>
      </c>
      <c r="I2085" t="s">
        <v>25</v>
      </c>
      <c r="J2085">
        <v>15</v>
      </c>
      <c r="K2085">
        <v>0</v>
      </c>
      <c r="L2085">
        <v>0</v>
      </c>
      <c r="M2085">
        <v>0</v>
      </c>
      <c r="N2085">
        <v>0</v>
      </c>
      <c r="O2085">
        <v>0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15</v>
      </c>
    </row>
    <row r="2086" spans="1:21" x14ac:dyDescent="0.25">
      <c r="A2086">
        <v>2025</v>
      </c>
      <c r="B2086">
        <v>11</v>
      </c>
      <c r="C2086" t="s">
        <v>75</v>
      </c>
      <c r="D2086" t="s">
        <v>22</v>
      </c>
      <c r="F2086" t="s">
        <v>29</v>
      </c>
      <c r="G2086" t="s">
        <v>25</v>
      </c>
      <c r="H2086" t="s">
        <v>25</v>
      </c>
      <c r="I2086" t="s">
        <v>25</v>
      </c>
      <c r="J2086">
        <v>8</v>
      </c>
      <c r="K2086">
        <v>0</v>
      </c>
      <c r="L2086">
        <v>0</v>
      </c>
      <c r="M2086">
        <v>0</v>
      </c>
      <c r="N2086">
        <v>0</v>
      </c>
      <c r="O2086">
        <v>0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0</v>
      </c>
    </row>
    <row r="2087" spans="1:21" x14ac:dyDescent="0.25">
      <c r="A2087">
        <v>2025</v>
      </c>
      <c r="B2087">
        <v>11</v>
      </c>
      <c r="C2087" t="s">
        <v>79</v>
      </c>
      <c r="D2087" t="s">
        <v>22</v>
      </c>
      <c r="E2087" t="s">
        <v>31</v>
      </c>
      <c r="F2087" t="s">
        <v>24</v>
      </c>
      <c r="G2087" t="s">
        <v>25</v>
      </c>
      <c r="H2087" t="s">
        <v>25</v>
      </c>
      <c r="I2087" t="s">
        <v>25</v>
      </c>
      <c r="J2087">
        <v>599</v>
      </c>
      <c r="K2087">
        <v>0</v>
      </c>
      <c r="L2087">
        <v>0</v>
      </c>
      <c r="M2087">
        <v>0</v>
      </c>
      <c r="N2087">
        <v>150</v>
      </c>
      <c r="O2087">
        <v>129</v>
      </c>
      <c r="P2087">
        <v>118</v>
      </c>
      <c r="Q2087">
        <v>87</v>
      </c>
      <c r="R2087">
        <v>53</v>
      </c>
      <c r="S2087">
        <v>12</v>
      </c>
      <c r="T2087">
        <v>0</v>
      </c>
      <c r="U2087">
        <v>599</v>
      </c>
    </row>
    <row r="2088" spans="1:21" x14ac:dyDescent="0.25">
      <c r="A2088">
        <v>2025</v>
      </c>
      <c r="B2088">
        <v>11</v>
      </c>
      <c r="C2088" t="s">
        <v>79</v>
      </c>
      <c r="D2088" t="s">
        <v>22</v>
      </c>
      <c r="E2088" t="s">
        <v>32</v>
      </c>
      <c r="F2088" t="s">
        <v>24</v>
      </c>
      <c r="G2088" t="s">
        <v>25</v>
      </c>
      <c r="H2088" t="s">
        <v>25</v>
      </c>
      <c r="I2088" t="s">
        <v>25</v>
      </c>
      <c r="J2088">
        <v>28</v>
      </c>
      <c r="K2088">
        <v>0</v>
      </c>
      <c r="L2088">
        <v>0</v>
      </c>
      <c r="M2088">
        <v>0</v>
      </c>
      <c r="N2088">
        <v>0</v>
      </c>
      <c r="O2088">
        <v>0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28</v>
      </c>
    </row>
    <row r="2089" spans="1:21" x14ac:dyDescent="0.25">
      <c r="A2089">
        <v>2025</v>
      </c>
      <c r="B2089">
        <v>11</v>
      </c>
      <c r="C2089" t="s">
        <v>79</v>
      </c>
      <c r="D2089" t="s">
        <v>22</v>
      </c>
      <c r="E2089" t="s">
        <v>34</v>
      </c>
      <c r="F2089" t="s">
        <v>24</v>
      </c>
      <c r="G2089" t="s">
        <v>25</v>
      </c>
      <c r="H2089" t="s">
        <v>26</v>
      </c>
      <c r="I2089" t="s">
        <v>26</v>
      </c>
      <c r="J2089">
        <v>141</v>
      </c>
      <c r="K2089">
        <v>2</v>
      </c>
      <c r="L2089">
        <v>0</v>
      </c>
      <c r="M2089">
        <v>2</v>
      </c>
      <c r="N2089">
        <v>5</v>
      </c>
      <c r="O2089">
        <v>3</v>
      </c>
      <c r="P2089">
        <v>3</v>
      </c>
      <c r="Q2089">
        <v>3</v>
      </c>
      <c r="R2089">
        <v>0</v>
      </c>
      <c r="S2089">
        <v>0</v>
      </c>
      <c r="T2089">
        <v>0</v>
      </c>
      <c r="U2089">
        <v>139</v>
      </c>
    </row>
    <row r="2090" spans="1:21" x14ac:dyDescent="0.25">
      <c r="A2090">
        <v>2025</v>
      </c>
      <c r="B2090">
        <v>11</v>
      </c>
      <c r="C2090" t="s">
        <v>79</v>
      </c>
      <c r="D2090" t="s">
        <v>22</v>
      </c>
      <c r="E2090" t="s">
        <v>23</v>
      </c>
      <c r="F2090" t="s">
        <v>24</v>
      </c>
      <c r="G2090" t="s">
        <v>25</v>
      </c>
      <c r="H2090" t="s">
        <v>25</v>
      </c>
      <c r="I2090" t="s">
        <v>25</v>
      </c>
      <c r="J2090">
        <v>57</v>
      </c>
      <c r="K2090">
        <v>0</v>
      </c>
      <c r="L2090">
        <v>0</v>
      </c>
      <c r="M2090">
        <v>0</v>
      </c>
      <c r="N2090">
        <v>28</v>
      </c>
      <c r="O2090">
        <v>21</v>
      </c>
      <c r="P2090">
        <v>18</v>
      </c>
      <c r="Q2090">
        <v>8</v>
      </c>
      <c r="R2090">
        <v>4</v>
      </c>
      <c r="S2090">
        <v>0</v>
      </c>
      <c r="T2090">
        <v>0</v>
      </c>
      <c r="U2090">
        <v>57</v>
      </c>
    </row>
    <row r="2091" spans="1:21" x14ac:dyDescent="0.25">
      <c r="A2091">
        <v>2025</v>
      </c>
      <c r="B2091">
        <v>11</v>
      </c>
      <c r="C2091" t="s">
        <v>80</v>
      </c>
      <c r="D2091" t="s">
        <v>22</v>
      </c>
      <c r="E2091" t="s">
        <v>31</v>
      </c>
      <c r="F2091" t="s">
        <v>24</v>
      </c>
      <c r="G2091" t="s">
        <v>25</v>
      </c>
      <c r="H2091" t="s">
        <v>25</v>
      </c>
      <c r="I2091" t="s">
        <v>25</v>
      </c>
      <c r="J2091">
        <v>115</v>
      </c>
      <c r="K2091">
        <v>0</v>
      </c>
      <c r="L2091">
        <v>0</v>
      </c>
      <c r="M2091">
        <v>0</v>
      </c>
      <c r="N2091">
        <v>13</v>
      </c>
      <c r="O2091">
        <v>9</v>
      </c>
      <c r="P2091">
        <v>8</v>
      </c>
      <c r="Q2091">
        <v>7</v>
      </c>
      <c r="R2091">
        <v>6</v>
      </c>
      <c r="S2091">
        <v>6</v>
      </c>
      <c r="T2091">
        <v>2</v>
      </c>
      <c r="U2091">
        <v>115</v>
      </c>
    </row>
    <row r="2092" spans="1:21" x14ac:dyDescent="0.25">
      <c r="A2092">
        <v>2025</v>
      </c>
      <c r="B2092">
        <v>11</v>
      </c>
      <c r="C2092" t="s">
        <v>80</v>
      </c>
      <c r="D2092" t="s">
        <v>22</v>
      </c>
      <c r="E2092" t="s">
        <v>32</v>
      </c>
      <c r="F2092" t="s">
        <v>28</v>
      </c>
      <c r="G2092" t="s">
        <v>25</v>
      </c>
      <c r="H2092" t="s">
        <v>25</v>
      </c>
      <c r="I2092" t="s">
        <v>25</v>
      </c>
      <c r="J2092">
        <v>26</v>
      </c>
      <c r="K2092">
        <v>0</v>
      </c>
      <c r="L2092">
        <v>0</v>
      </c>
      <c r="M2092">
        <v>0</v>
      </c>
      <c r="N2092">
        <v>12</v>
      </c>
      <c r="O2092">
        <v>10</v>
      </c>
      <c r="P2092">
        <v>9</v>
      </c>
      <c r="Q2092">
        <v>8</v>
      </c>
      <c r="R2092">
        <v>6</v>
      </c>
      <c r="S2092">
        <v>4</v>
      </c>
      <c r="T2092">
        <v>1</v>
      </c>
      <c r="U2092">
        <v>26</v>
      </c>
    </row>
    <row r="2093" spans="1:21" x14ac:dyDescent="0.25">
      <c r="A2093">
        <v>2025</v>
      </c>
      <c r="B2093">
        <v>11</v>
      </c>
      <c r="C2093" t="s">
        <v>80</v>
      </c>
      <c r="D2093" t="s">
        <v>22</v>
      </c>
      <c r="E2093" t="s">
        <v>32</v>
      </c>
      <c r="F2093" t="s">
        <v>24</v>
      </c>
      <c r="G2093" t="s">
        <v>25</v>
      </c>
      <c r="H2093" t="s">
        <v>25</v>
      </c>
      <c r="I2093" t="s">
        <v>25</v>
      </c>
      <c r="J2093">
        <v>1414</v>
      </c>
      <c r="K2093">
        <v>7</v>
      </c>
      <c r="L2093">
        <v>26</v>
      </c>
      <c r="M2093">
        <v>33</v>
      </c>
      <c r="N2093">
        <v>534</v>
      </c>
      <c r="O2093">
        <v>421</v>
      </c>
      <c r="P2093">
        <v>354</v>
      </c>
      <c r="Q2093">
        <v>217</v>
      </c>
      <c r="R2093">
        <v>131</v>
      </c>
      <c r="S2093">
        <v>43</v>
      </c>
      <c r="T2093">
        <v>11</v>
      </c>
      <c r="U2093">
        <v>1385</v>
      </c>
    </row>
    <row r="2094" spans="1:21" x14ac:dyDescent="0.25">
      <c r="A2094">
        <v>2025</v>
      </c>
      <c r="B2094">
        <v>11</v>
      </c>
      <c r="C2094" t="s">
        <v>80</v>
      </c>
      <c r="D2094" t="s">
        <v>22</v>
      </c>
      <c r="E2094" t="s">
        <v>38</v>
      </c>
      <c r="F2094" t="s">
        <v>24</v>
      </c>
      <c r="G2094" t="s">
        <v>25</v>
      </c>
      <c r="H2094" t="s">
        <v>26</v>
      </c>
      <c r="I2094" t="s">
        <v>25</v>
      </c>
      <c r="J2094">
        <v>3</v>
      </c>
      <c r="K2094">
        <v>0</v>
      </c>
      <c r="L2094">
        <v>0</v>
      </c>
      <c r="M2094">
        <v>0</v>
      </c>
      <c r="N2094">
        <v>1</v>
      </c>
      <c r="O2094">
        <v>1</v>
      </c>
      <c r="P2094">
        <v>1</v>
      </c>
      <c r="Q2094">
        <v>1</v>
      </c>
      <c r="R2094">
        <v>1</v>
      </c>
      <c r="S2094">
        <v>1</v>
      </c>
      <c r="T2094">
        <v>1</v>
      </c>
      <c r="U2094">
        <v>3</v>
      </c>
    </row>
    <row r="2095" spans="1:21" x14ac:dyDescent="0.25">
      <c r="A2095">
        <v>2025</v>
      </c>
      <c r="B2095">
        <v>11</v>
      </c>
      <c r="C2095" t="s">
        <v>80</v>
      </c>
      <c r="D2095" t="s">
        <v>22</v>
      </c>
      <c r="E2095" t="s">
        <v>34</v>
      </c>
      <c r="F2095" t="s">
        <v>28</v>
      </c>
      <c r="G2095" t="s">
        <v>25</v>
      </c>
      <c r="H2095" t="s">
        <v>26</v>
      </c>
      <c r="I2095" t="s">
        <v>26</v>
      </c>
      <c r="J2095">
        <v>18</v>
      </c>
      <c r="K2095">
        <v>0</v>
      </c>
      <c r="L2095">
        <v>0</v>
      </c>
      <c r="M2095">
        <v>0</v>
      </c>
      <c r="N2095">
        <v>15</v>
      </c>
      <c r="O2095">
        <v>14</v>
      </c>
      <c r="P2095">
        <v>10</v>
      </c>
      <c r="Q2095">
        <v>6</v>
      </c>
      <c r="R2095">
        <v>4</v>
      </c>
      <c r="S2095">
        <v>2</v>
      </c>
      <c r="T2095">
        <v>1</v>
      </c>
      <c r="U2095">
        <v>18</v>
      </c>
    </row>
    <row r="2096" spans="1:21" x14ac:dyDescent="0.25">
      <c r="A2096">
        <v>2025</v>
      </c>
      <c r="B2096">
        <v>11</v>
      </c>
      <c r="C2096" t="s">
        <v>80</v>
      </c>
      <c r="D2096" t="s">
        <v>22</v>
      </c>
      <c r="E2096" t="s">
        <v>76</v>
      </c>
      <c r="F2096" t="s">
        <v>28</v>
      </c>
      <c r="G2096" t="s">
        <v>25</v>
      </c>
      <c r="H2096" t="s">
        <v>26</v>
      </c>
      <c r="I2096" t="s">
        <v>25</v>
      </c>
      <c r="J2096">
        <v>40</v>
      </c>
      <c r="K2096">
        <v>0</v>
      </c>
      <c r="L2096">
        <v>2</v>
      </c>
      <c r="M2096">
        <v>2</v>
      </c>
      <c r="N2096">
        <v>19</v>
      </c>
      <c r="O2096">
        <v>18</v>
      </c>
      <c r="P2096">
        <v>17</v>
      </c>
      <c r="Q2096">
        <v>16</v>
      </c>
      <c r="R2096">
        <v>14</v>
      </c>
      <c r="S2096">
        <v>9</v>
      </c>
      <c r="T2096">
        <v>6</v>
      </c>
      <c r="U2096">
        <v>40</v>
      </c>
    </row>
    <row r="2097" spans="1:21" x14ac:dyDescent="0.25">
      <c r="A2097">
        <v>2025</v>
      </c>
      <c r="B2097">
        <v>11</v>
      </c>
      <c r="C2097" t="s">
        <v>80</v>
      </c>
      <c r="D2097" t="s">
        <v>22</v>
      </c>
      <c r="E2097" t="s">
        <v>76</v>
      </c>
      <c r="F2097" t="s">
        <v>24</v>
      </c>
      <c r="G2097" t="s">
        <v>25</v>
      </c>
      <c r="H2097" t="s">
        <v>26</v>
      </c>
      <c r="I2097" t="s">
        <v>25</v>
      </c>
      <c r="J2097">
        <v>1</v>
      </c>
      <c r="K2097">
        <v>0</v>
      </c>
      <c r="L2097">
        <v>0</v>
      </c>
      <c r="M2097">
        <v>0</v>
      </c>
      <c r="N2097">
        <v>1</v>
      </c>
      <c r="O2097">
        <v>1</v>
      </c>
      <c r="P2097">
        <v>1</v>
      </c>
      <c r="Q2097">
        <v>1</v>
      </c>
      <c r="R2097">
        <v>0</v>
      </c>
      <c r="S2097">
        <v>0</v>
      </c>
      <c r="T2097">
        <v>0</v>
      </c>
      <c r="U2097">
        <v>1</v>
      </c>
    </row>
    <row r="2098" spans="1:21" x14ac:dyDescent="0.25">
      <c r="A2098">
        <v>2025</v>
      </c>
      <c r="B2098">
        <v>11</v>
      </c>
      <c r="C2098" t="s">
        <v>80</v>
      </c>
      <c r="D2098" t="s">
        <v>22</v>
      </c>
      <c r="E2098" t="s">
        <v>76</v>
      </c>
      <c r="F2098" t="s">
        <v>29</v>
      </c>
      <c r="G2098" t="s">
        <v>25</v>
      </c>
      <c r="H2098" t="s">
        <v>26</v>
      </c>
      <c r="I2098" t="s">
        <v>25</v>
      </c>
      <c r="J2098">
        <v>1</v>
      </c>
      <c r="K2098">
        <v>0</v>
      </c>
      <c r="L2098">
        <v>0</v>
      </c>
      <c r="M2098">
        <v>0</v>
      </c>
      <c r="N2098">
        <v>0</v>
      </c>
      <c r="O2098">
        <v>0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0</v>
      </c>
    </row>
    <row r="2099" spans="1:21" x14ac:dyDescent="0.25">
      <c r="A2099">
        <v>2025</v>
      </c>
      <c r="B2099">
        <v>11</v>
      </c>
      <c r="C2099" t="s">
        <v>80</v>
      </c>
      <c r="D2099" t="s">
        <v>22</v>
      </c>
      <c r="E2099" t="s">
        <v>81</v>
      </c>
      <c r="F2099" t="s">
        <v>28</v>
      </c>
      <c r="G2099" t="s">
        <v>25</v>
      </c>
      <c r="H2099" t="s">
        <v>26</v>
      </c>
      <c r="I2099" t="s">
        <v>25</v>
      </c>
      <c r="J2099">
        <v>555</v>
      </c>
      <c r="K2099">
        <v>0</v>
      </c>
      <c r="L2099">
        <v>7</v>
      </c>
      <c r="M2099">
        <v>7</v>
      </c>
      <c r="N2099">
        <v>273</v>
      </c>
      <c r="O2099">
        <v>226</v>
      </c>
      <c r="P2099">
        <v>198</v>
      </c>
      <c r="Q2099">
        <v>141</v>
      </c>
      <c r="R2099">
        <v>105</v>
      </c>
      <c r="S2099">
        <v>56</v>
      </c>
      <c r="T2099">
        <v>18</v>
      </c>
      <c r="U2099">
        <v>549</v>
      </c>
    </row>
    <row r="2100" spans="1:21" x14ac:dyDescent="0.25">
      <c r="A2100">
        <v>2025</v>
      </c>
      <c r="B2100">
        <v>11</v>
      </c>
      <c r="C2100" t="s">
        <v>80</v>
      </c>
      <c r="D2100" t="s">
        <v>22</v>
      </c>
      <c r="E2100" t="s">
        <v>82</v>
      </c>
      <c r="F2100" t="s">
        <v>28</v>
      </c>
      <c r="G2100" t="s">
        <v>25</v>
      </c>
      <c r="H2100" t="s">
        <v>26</v>
      </c>
      <c r="I2100" t="s">
        <v>25</v>
      </c>
      <c r="J2100">
        <v>238</v>
      </c>
      <c r="K2100">
        <v>0</v>
      </c>
      <c r="L2100">
        <v>8</v>
      </c>
      <c r="M2100">
        <v>8</v>
      </c>
      <c r="N2100">
        <v>125</v>
      </c>
      <c r="O2100">
        <v>108</v>
      </c>
      <c r="P2100">
        <v>98</v>
      </c>
      <c r="Q2100">
        <v>67</v>
      </c>
      <c r="R2100">
        <v>48</v>
      </c>
      <c r="S2100">
        <v>18</v>
      </c>
      <c r="T2100">
        <v>7</v>
      </c>
      <c r="U2100">
        <v>236</v>
      </c>
    </row>
    <row r="2101" spans="1:21" x14ac:dyDescent="0.25">
      <c r="A2101">
        <v>2025</v>
      </c>
      <c r="B2101">
        <v>11</v>
      </c>
      <c r="C2101" t="s">
        <v>80</v>
      </c>
      <c r="D2101" t="s">
        <v>22</v>
      </c>
      <c r="E2101" t="s">
        <v>83</v>
      </c>
      <c r="F2101" t="s">
        <v>28</v>
      </c>
      <c r="G2101" t="s">
        <v>26</v>
      </c>
      <c r="H2101" t="s">
        <v>26</v>
      </c>
      <c r="I2101" t="s">
        <v>25</v>
      </c>
      <c r="J2101">
        <v>6579</v>
      </c>
      <c r="K2101">
        <v>0</v>
      </c>
      <c r="L2101">
        <v>64</v>
      </c>
      <c r="M2101">
        <v>64</v>
      </c>
      <c r="N2101">
        <v>3326</v>
      </c>
      <c r="O2101">
        <v>2745</v>
      </c>
      <c r="P2101">
        <v>2488</v>
      </c>
      <c r="Q2101">
        <v>1799</v>
      </c>
      <c r="R2101">
        <v>1339</v>
      </c>
      <c r="S2101">
        <v>715</v>
      </c>
      <c r="T2101">
        <v>284</v>
      </c>
      <c r="U2101">
        <v>6557</v>
      </c>
    </row>
    <row r="2102" spans="1:21" x14ac:dyDescent="0.25">
      <c r="A2102">
        <v>2025</v>
      </c>
      <c r="B2102">
        <v>11</v>
      </c>
      <c r="C2102" t="s">
        <v>80</v>
      </c>
      <c r="D2102" t="s">
        <v>22</v>
      </c>
      <c r="E2102" t="s">
        <v>23</v>
      </c>
      <c r="F2102" t="s">
        <v>28</v>
      </c>
      <c r="G2102" t="s">
        <v>25</v>
      </c>
      <c r="H2102" t="s">
        <v>26</v>
      </c>
      <c r="I2102" t="s">
        <v>25</v>
      </c>
      <c r="J2102">
        <v>3273</v>
      </c>
      <c r="K2102">
        <v>0</v>
      </c>
      <c r="L2102">
        <v>90</v>
      </c>
      <c r="M2102">
        <v>90</v>
      </c>
      <c r="N2102">
        <v>1284</v>
      </c>
      <c r="O2102">
        <v>1010</v>
      </c>
      <c r="P2102">
        <v>929</v>
      </c>
      <c r="Q2102">
        <v>663</v>
      </c>
      <c r="R2102">
        <v>482</v>
      </c>
      <c r="S2102">
        <v>252</v>
      </c>
      <c r="T2102">
        <v>90</v>
      </c>
      <c r="U2102">
        <v>3200</v>
      </c>
    </row>
    <row r="2103" spans="1:21" x14ac:dyDescent="0.25">
      <c r="A2103">
        <v>2025</v>
      </c>
      <c r="B2103">
        <v>11</v>
      </c>
      <c r="C2103" t="s">
        <v>80</v>
      </c>
      <c r="D2103" t="s">
        <v>22</v>
      </c>
      <c r="E2103" t="s">
        <v>84</v>
      </c>
      <c r="F2103" t="s">
        <v>28</v>
      </c>
      <c r="G2103" t="s">
        <v>25</v>
      </c>
      <c r="H2103" t="s">
        <v>26</v>
      </c>
      <c r="I2103" t="s">
        <v>26</v>
      </c>
      <c r="J2103">
        <v>562</v>
      </c>
      <c r="K2103">
        <v>0</v>
      </c>
      <c r="L2103">
        <v>0</v>
      </c>
      <c r="M2103">
        <v>0</v>
      </c>
      <c r="N2103">
        <v>177</v>
      </c>
      <c r="O2103">
        <v>144</v>
      </c>
      <c r="P2103">
        <v>126</v>
      </c>
      <c r="Q2103">
        <v>96</v>
      </c>
      <c r="R2103">
        <v>73</v>
      </c>
      <c r="S2103">
        <v>43</v>
      </c>
      <c r="T2103">
        <v>19</v>
      </c>
      <c r="U2103">
        <v>562</v>
      </c>
    </row>
    <row r="2104" spans="1:21" x14ac:dyDescent="0.25">
      <c r="A2104">
        <v>2025</v>
      </c>
      <c r="B2104">
        <v>11</v>
      </c>
      <c r="C2104" t="s">
        <v>80</v>
      </c>
      <c r="D2104" t="s">
        <v>22</v>
      </c>
      <c r="E2104" t="s">
        <v>40</v>
      </c>
      <c r="F2104" t="s">
        <v>28</v>
      </c>
      <c r="G2104" t="s">
        <v>25</v>
      </c>
      <c r="H2104" t="s">
        <v>26</v>
      </c>
      <c r="I2104" t="s">
        <v>25</v>
      </c>
      <c r="J2104">
        <v>10</v>
      </c>
      <c r="K2104">
        <v>0</v>
      </c>
      <c r="L2104">
        <v>5</v>
      </c>
      <c r="M2104">
        <v>5</v>
      </c>
      <c r="N2104">
        <v>3</v>
      </c>
      <c r="O2104">
        <v>2</v>
      </c>
      <c r="P2104">
        <v>2</v>
      </c>
      <c r="Q2104">
        <v>1</v>
      </c>
      <c r="R2104">
        <v>0</v>
      </c>
      <c r="S2104">
        <v>0</v>
      </c>
      <c r="T2104">
        <v>0</v>
      </c>
      <c r="U2104">
        <v>7</v>
      </c>
    </row>
    <row r="2105" spans="1:21" x14ac:dyDescent="0.25">
      <c r="A2105">
        <v>2025</v>
      </c>
      <c r="B2105">
        <v>11</v>
      </c>
      <c r="C2105" t="s">
        <v>80</v>
      </c>
      <c r="D2105" t="s">
        <v>22</v>
      </c>
      <c r="E2105" t="s">
        <v>40</v>
      </c>
      <c r="F2105" t="s">
        <v>24</v>
      </c>
      <c r="G2105" t="s">
        <v>25</v>
      </c>
      <c r="H2105" t="s">
        <v>26</v>
      </c>
      <c r="I2105" t="s">
        <v>25</v>
      </c>
      <c r="J2105">
        <v>50</v>
      </c>
      <c r="K2105">
        <v>0</v>
      </c>
      <c r="L2105">
        <v>0</v>
      </c>
      <c r="M2105">
        <v>0</v>
      </c>
      <c r="N2105">
        <v>0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50</v>
      </c>
    </row>
    <row r="2106" spans="1:21" x14ac:dyDescent="0.25">
      <c r="A2106">
        <v>2025</v>
      </c>
      <c r="B2106">
        <v>11</v>
      </c>
      <c r="C2106" t="s">
        <v>80</v>
      </c>
      <c r="D2106" t="s">
        <v>22</v>
      </c>
      <c r="E2106" t="s">
        <v>85</v>
      </c>
      <c r="F2106" t="s">
        <v>28</v>
      </c>
      <c r="G2106" t="s">
        <v>25</v>
      </c>
      <c r="H2106" t="s">
        <v>25</v>
      </c>
      <c r="I2106" t="s">
        <v>25</v>
      </c>
      <c r="J2106">
        <v>6517</v>
      </c>
      <c r="K2106">
        <v>0</v>
      </c>
      <c r="L2106">
        <v>132</v>
      </c>
      <c r="M2106">
        <v>132</v>
      </c>
      <c r="N2106">
        <v>598</v>
      </c>
      <c r="O2106">
        <v>312</v>
      </c>
      <c r="P2106">
        <v>228</v>
      </c>
      <c r="Q2106">
        <v>101</v>
      </c>
      <c r="R2106">
        <v>50</v>
      </c>
      <c r="S2106">
        <v>12</v>
      </c>
      <c r="T2106">
        <v>4</v>
      </c>
      <c r="U2106">
        <v>6412</v>
      </c>
    </row>
    <row r="2107" spans="1:21" x14ac:dyDescent="0.25">
      <c r="A2107">
        <v>2025</v>
      </c>
      <c r="B2107">
        <v>11</v>
      </c>
      <c r="C2107" t="s">
        <v>80</v>
      </c>
      <c r="D2107" t="s">
        <v>22</v>
      </c>
      <c r="E2107" t="s">
        <v>86</v>
      </c>
      <c r="F2107" t="s">
        <v>28</v>
      </c>
      <c r="G2107" t="s">
        <v>25</v>
      </c>
      <c r="H2107" t="s">
        <v>25</v>
      </c>
      <c r="I2107" t="s">
        <v>25</v>
      </c>
      <c r="J2107">
        <v>230</v>
      </c>
      <c r="K2107">
        <v>0</v>
      </c>
      <c r="L2107">
        <v>97</v>
      </c>
      <c r="M2107">
        <v>97</v>
      </c>
      <c r="N2107">
        <v>113</v>
      </c>
      <c r="O2107">
        <v>112</v>
      </c>
      <c r="P2107">
        <v>112</v>
      </c>
      <c r="Q2107">
        <v>109</v>
      </c>
      <c r="R2107">
        <v>102</v>
      </c>
      <c r="S2107">
        <v>82</v>
      </c>
      <c r="T2107">
        <v>56</v>
      </c>
      <c r="U2107">
        <v>133</v>
      </c>
    </row>
    <row r="2108" spans="1:21" x14ac:dyDescent="0.25">
      <c r="A2108">
        <v>2025</v>
      </c>
      <c r="B2108">
        <v>11</v>
      </c>
      <c r="C2108" t="s">
        <v>80</v>
      </c>
      <c r="D2108" t="s">
        <v>22</v>
      </c>
      <c r="E2108" t="s">
        <v>86</v>
      </c>
      <c r="F2108" t="s">
        <v>29</v>
      </c>
      <c r="G2108" t="s">
        <v>25</v>
      </c>
      <c r="H2108" t="s">
        <v>25</v>
      </c>
      <c r="I2108" t="s">
        <v>25</v>
      </c>
      <c r="J2108">
        <v>26</v>
      </c>
      <c r="K2108">
        <v>5</v>
      </c>
      <c r="L2108">
        <v>0</v>
      </c>
      <c r="M2108">
        <v>5</v>
      </c>
      <c r="N2108">
        <v>0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0</v>
      </c>
    </row>
    <row r="2109" spans="1:21" x14ac:dyDescent="0.25">
      <c r="A2109">
        <v>2025</v>
      </c>
      <c r="B2109">
        <v>11</v>
      </c>
      <c r="C2109" t="s">
        <v>80</v>
      </c>
      <c r="D2109" t="s">
        <v>22</v>
      </c>
      <c r="E2109" t="s">
        <v>35</v>
      </c>
      <c r="F2109" t="s">
        <v>28</v>
      </c>
      <c r="G2109" t="s">
        <v>25</v>
      </c>
      <c r="H2109" t="s">
        <v>26</v>
      </c>
      <c r="I2109" t="s">
        <v>26</v>
      </c>
      <c r="J2109">
        <v>1</v>
      </c>
      <c r="K2109">
        <v>0</v>
      </c>
      <c r="L2109">
        <v>0</v>
      </c>
      <c r="M2109">
        <v>0</v>
      </c>
      <c r="N2109">
        <v>1</v>
      </c>
      <c r="O2109">
        <v>1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1</v>
      </c>
    </row>
    <row r="2110" spans="1:21" x14ac:dyDescent="0.25">
      <c r="A2110">
        <v>2025</v>
      </c>
      <c r="B2110">
        <v>11</v>
      </c>
      <c r="C2110" t="s">
        <v>80</v>
      </c>
      <c r="D2110" t="s">
        <v>22</v>
      </c>
      <c r="E2110" t="s">
        <v>35</v>
      </c>
      <c r="F2110" t="s">
        <v>24</v>
      </c>
      <c r="G2110" t="s">
        <v>25</v>
      </c>
      <c r="H2110" t="s">
        <v>26</v>
      </c>
      <c r="I2110" t="s">
        <v>26</v>
      </c>
      <c r="J2110">
        <v>233</v>
      </c>
      <c r="K2110">
        <v>1</v>
      </c>
      <c r="L2110">
        <v>0</v>
      </c>
      <c r="M2110">
        <v>1</v>
      </c>
      <c r="N2110">
        <v>48</v>
      </c>
      <c r="O2110">
        <v>40</v>
      </c>
      <c r="P2110">
        <v>39</v>
      </c>
      <c r="Q2110">
        <v>32</v>
      </c>
      <c r="R2110">
        <v>29</v>
      </c>
      <c r="S2110">
        <v>22</v>
      </c>
      <c r="T2110">
        <v>8</v>
      </c>
      <c r="U2110">
        <v>232</v>
      </c>
    </row>
    <row r="2111" spans="1:21" x14ac:dyDescent="0.25">
      <c r="A2111">
        <v>2025</v>
      </c>
      <c r="B2111">
        <v>11</v>
      </c>
      <c r="C2111" t="s">
        <v>80</v>
      </c>
      <c r="D2111" t="s">
        <v>22</v>
      </c>
      <c r="E2111" t="s">
        <v>87</v>
      </c>
      <c r="F2111" t="s">
        <v>28</v>
      </c>
      <c r="G2111" t="s">
        <v>25</v>
      </c>
      <c r="H2111" t="s">
        <v>25</v>
      </c>
      <c r="I2111" t="s">
        <v>25</v>
      </c>
      <c r="J2111">
        <v>223868</v>
      </c>
      <c r="K2111">
        <v>100</v>
      </c>
      <c r="L2111">
        <v>7908</v>
      </c>
      <c r="M2111">
        <v>8008</v>
      </c>
      <c r="N2111">
        <v>48188</v>
      </c>
      <c r="O2111">
        <v>27395</v>
      </c>
      <c r="P2111">
        <v>21528</v>
      </c>
      <c r="Q2111">
        <v>10546</v>
      </c>
      <c r="R2111">
        <v>5951</v>
      </c>
      <c r="S2111">
        <v>1801</v>
      </c>
      <c r="T2111">
        <v>334</v>
      </c>
      <c r="U2111">
        <v>217218</v>
      </c>
    </row>
    <row r="2112" spans="1:21" x14ac:dyDescent="0.25">
      <c r="A2112">
        <v>2025</v>
      </c>
      <c r="B2112">
        <v>11</v>
      </c>
      <c r="C2112" t="s">
        <v>80</v>
      </c>
      <c r="D2112" t="s">
        <v>22</v>
      </c>
      <c r="E2112" t="s">
        <v>87</v>
      </c>
      <c r="F2112" t="s">
        <v>24</v>
      </c>
      <c r="G2112" t="s">
        <v>25</v>
      </c>
      <c r="H2112" t="s">
        <v>25</v>
      </c>
      <c r="I2112" t="s">
        <v>25</v>
      </c>
      <c r="J2112">
        <v>5693</v>
      </c>
      <c r="K2112">
        <v>176</v>
      </c>
      <c r="L2112">
        <v>120</v>
      </c>
      <c r="M2112">
        <v>296</v>
      </c>
      <c r="N2112">
        <v>1236</v>
      </c>
      <c r="O2112">
        <v>699</v>
      </c>
      <c r="P2112">
        <v>540</v>
      </c>
      <c r="Q2112">
        <v>204</v>
      </c>
      <c r="R2112">
        <v>82</v>
      </c>
      <c r="S2112">
        <v>12</v>
      </c>
      <c r="T2112">
        <v>1</v>
      </c>
      <c r="U2112">
        <v>5425</v>
      </c>
    </row>
    <row r="2113" spans="1:21" x14ac:dyDescent="0.25">
      <c r="A2113">
        <v>2025</v>
      </c>
      <c r="B2113">
        <v>11</v>
      </c>
      <c r="C2113" t="s">
        <v>80</v>
      </c>
      <c r="D2113" t="s">
        <v>22</v>
      </c>
      <c r="E2113" t="s">
        <v>36</v>
      </c>
      <c r="F2113" t="s">
        <v>24</v>
      </c>
      <c r="G2113" t="s">
        <v>25</v>
      </c>
      <c r="H2113" t="s">
        <v>26</v>
      </c>
      <c r="I2113" t="s">
        <v>25</v>
      </c>
      <c r="J2113">
        <v>157</v>
      </c>
      <c r="K2113">
        <v>0</v>
      </c>
      <c r="L2113">
        <v>1</v>
      </c>
      <c r="M2113">
        <v>1</v>
      </c>
      <c r="N2113">
        <v>58</v>
      </c>
      <c r="O2113">
        <v>47</v>
      </c>
      <c r="P2113">
        <v>45</v>
      </c>
      <c r="Q2113">
        <v>38</v>
      </c>
      <c r="R2113">
        <v>29</v>
      </c>
      <c r="S2113">
        <v>15</v>
      </c>
      <c r="T2113">
        <v>5</v>
      </c>
      <c r="U2113">
        <v>156</v>
      </c>
    </row>
    <row r="2114" spans="1:21" x14ac:dyDescent="0.25">
      <c r="A2114">
        <v>2025</v>
      </c>
      <c r="B2114">
        <v>11</v>
      </c>
      <c r="C2114" t="s">
        <v>80</v>
      </c>
      <c r="D2114" t="s">
        <v>22</v>
      </c>
      <c r="E2114" t="s">
        <v>41</v>
      </c>
      <c r="F2114" t="s">
        <v>24</v>
      </c>
      <c r="G2114" t="s">
        <v>26</v>
      </c>
      <c r="H2114" t="s">
        <v>26</v>
      </c>
      <c r="I2114" t="s">
        <v>25</v>
      </c>
      <c r="J2114">
        <v>2</v>
      </c>
      <c r="K2114">
        <v>0</v>
      </c>
      <c r="L2114">
        <v>0</v>
      </c>
      <c r="M2114">
        <v>0</v>
      </c>
      <c r="N2114">
        <v>1</v>
      </c>
      <c r="O2114">
        <v>1</v>
      </c>
      <c r="P2114">
        <v>1</v>
      </c>
      <c r="Q2114">
        <v>0</v>
      </c>
      <c r="R2114">
        <v>0</v>
      </c>
      <c r="S2114">
        <v>0</v>
      </c>
      <c r="T2114">
        <v>0</v>
      </c>
      <c r="U2114">
        <v>2</v>
      </c>
    </row>
    <row r="2115" spans="1:21" x14ac:dyDescent="0.25">
      <c r="A2115">
        <v>2025</v>
      </c>
      <c r="B2115">
        <v>11</v>
      </c>
      <c r="C2115" t="s">
        <v>88</v>
      </c>
      <c r="D2115" t="s">
        <v>45</v>
      </c>
      <c r="E2115" t="s">
        <v>83</v>
      </c>
      <c r="F2115" t="s">
        <v>28</v>
      </c>
      <c r="G2115" t="s">
        <v>26</v>
      </c>
      <c r="H2115" t="s">
        <v>26</v>
      </c>
      <c r="I2115" t="s">
        <v>25</v>
      </c>
      <c r="J2115">
        <v>422</v>
      </c>
      <c r="K2115">
        <v>0</v>
      </c>
      <c r="L2115">
        <v>0</v>
      </c>
      <c r="M2115">
        <v>0</v>
      </c>
      <c r="N2115">
        <v>124</v>
      </c>
      <c r="O2115">
        <v>80</v>
      </c>
      <c r="P2115">
        <v>68</v>
      </c>
      <c r="Q2115">
        <v>39</v>
      </c>
      <c r="R2115">
        <v>24</v>
      </c>
      <c r="S2115">
        <v>15</v>
      </c>
      <c r="T2115">
        <v>4</v>
      </c>
      <c r="U2115">
        <v>422</v>
      </c>
    </row>
    <row r="2116" spans="1:21" x14ac:dyDescent="0.25">
      <c r="A2116">
        <v>2025</v>
      </c>
      <c r="B2116">
        <v>11</v>
      </c>
      <c r="C2116" t="s">
        <v>88</v>
      </c>
      <c r="D2116" t="s">
        <v>45</v>
      </c>
      <c r="E2116" t="s">
        <v>83</v>
      </c>
      <c r="F2116" t="s">
        <v>24</v>
      </c>
      <c r="G2116" t="s">
        <v>26</v>
      </c>
      <c r="H2116" t="s">
        <v>26</v>
      </c>
      <c r="I2116" t="s">
        <v>25</v>
      </c>
      <c r="J2116">
        <v>113</v>
      </c>
      <c r="K2116">
        <v>0</v>
      </c>
      <c r="L2116">
        <v>2</v>
      </c>
      <c r="M2116">
        <v>2</v>
      </c>
      <c r="N2116">
        <v>68</v>
      </c>
      <c r="O2116">
        <v>57</v>
      </c>
      <c r="P2116">
        <v>49</v>
      </c>
      <c r="Q2116">
        <v>36</v>
      </c>
      <c r="R2116">
        <v>24</v>
      </c>
      <c r="S2116">
        <v>14</v>
      </c>
      <c r="T2116">
        <v>2</v>
      </c>
      <c r="U2116">
        <v>113</v>
      </c>
    </row>
    <row r="2117" spans="1:21" x14ac:dyDescent="0.25">
      <c r="A2117">
        <v>2025</v>
      </c>
      <c r="B2117">
        <v>11</v>
      </c>
      <c r="C2117" t="s">
        <v>88</v>
      </c>
      <c r="D2117" t="s">
        <v>45</v>
      </c>
      <c r="E2117" t="s">
        <v>83</v>
      </c>
      <c r="F2117" t="s">
        <v>29</v>
      </c>
      <c r="G2117" t="s">
        <v>26</v>
      </c>
      <c r="H2117" t="s">
        <v>26</v>
      </c>
      <c r="I2117" t="s">
        <v>25</v>
      </c>
      <c r="J2117">
        <v>1</v>
      </c>
      <c r="K2117">
        <v>0</v>
      </c>
      <c r="L2117">
        <v>0</v>
      </c>
      <c r="M2117">
        <v>0</v>
      </c>
      <c r="N2117">
        <v>0</v>
      </c>
      <c r="O2117">
        <v>0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0</v>
      </c>
    </row>
    <row r="2118" spans="1:21" x14ac:dyDescent="0.25">
      <c r="A2118">
        <v>2025</v>
      </c>
      <c r="B2118">
        <v>11</v>
      </c>
      <c r="C2118" t="s">
        <v>89</v>
      </c>
      <c r="D2118" t="s">
        <v>22</v>
      </c>
      <c r="E2118" t="s">
        <v>91</v>
      </c>
      <c r="F2118" t="s">
        <v>28</v>
      </c>
      <c r="G2118" t="s">
        <v>25</v>
      </c>
      <c r="H2118" t="s">
        <v>25</v>
      </c>
      <c r="I2118" t="s">
        <v>25</v>
      </c>
      <c r="J2118">
        <v>3419</v>
      </c>
      <c r="K2118">
        <v>2</v>
      </c>
      <c r="L2118">
        <v>0</v>
      </c>
      <c r="M2118">
        <v>2</v>
      </c>
      <c r="N2118">
        <v>118</v>
      </c>
      <c r="O2118">
        <v>98</v>
      </c>
      <c r="P2118">
        <v>89</v>
      </c>
      <c r="Q2118">
        <v>62</v>
      </c>
      <c r="R2118">
        <v>25</v>
      </c>
      <c r="S2118">
        <v>5</v>
      </c>
      <c r="T2118">
        <v>1</v>
      </c>
      <c r="U2118">
        <v>3417</v>
      </c>
    </row>
    <row r="2119" spans="1:21" x14ac:dyDescent="0.25">
      <c r="A2119">
        <v>2025</v>
      </c>
      <c r="B2119">
        <v>11</v>
      </c>
      <c r="C2119" t="s">
        <v>89</v>
      </c>
      <c r="D2119" t="s">
        <v>22</v>
      </c>
      <c r="E2119" t="s">
        <v>91</v>
      </c>
      <c r="F2119" t="s">
        <v>24</v>
      </c>
      <c r="G2119" t="s">
        <v>25</v>
      </c>
      <c r="H2119" t="s">
        <v>25</v>
      </c>
      <c r="I2119" t="s">
        <v>25</v>
      </c>
      <c r="J2119">
        <v>1295</v>
      </c>
      <c r="K2119">
        <v>0</v>
      </c>
      <c r="L2119">
        <v>0</v>
      </c>
      <c r="M2119">
        <v>0</v>
      </c>
      <c r="N2119">
        <v>4</v>
      </c>
      <c r="O2119">
        <v>2</v>
      </c>
      <c r="P2119">
        <v>2</v>
      </c>
      <c r="Q2119">
        <v>1</v>
      </c>
      <c r="R2119">
        <v>1</v>
      </c>
      <c r="S2119">
        <v>0</v>
      </c>
      <c r="T2119">
        <v>0</v>
      </c>
      <c r="U2119">
        <v>1295</v>
      </c>
    </row>
    <row r="2120" spans="1:21" x14ac:dyDescent="0.25">
      <c r="A2120">
        <v>2025</v>
      </c>
      <c r="B2120">
        <v>11</v>
      </c>
      <c r="C2120" t="s">
        <v>89</v>
      </c>
      <c r="D2120" t="s">
        <v>22</v>
      </c>
      <c r="E2120" t="s">
        <v>91</v>
      </c>
      <c r="F2120" t="s">
        <v>29</v>
      </c>
      <c r="G2120" t="s">
        <v>25</v>
      </c>
      <c r="H2120" t="s">
        <v>25</v>
      </c>
      <c r="I2120" t="s">
        <v>25</v>
      </c>
      <c r="J2120">
        <v>1</v>
      </c>
      <c r="K2120">
        <v>0</v>
      </c>
      <c r="L2120">
        <v>0</v>
      </c>
      <c r="M2120">
        <v>0</v>
      </c>
      <c r="N2120">
        <v>0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0</v>
      </c>
    </row>
    <row r="2121" spans="1:21" x14ac:dyDescent="0.25">
      <c r="A2121">
        <v>2025</v>
      </c>
      <c r="B2121">
        <v>11</v>
      </c>
      <c r="C2121" t="s">
        <v>89</v>
      </c>
      <c r="D2121" t="s">
        <v>22</v>
      </c>
      <c r="E2121" t="s">
        <v>92</v>
      </c>
      <c r="F2121" t="s">
        <v>28</v>
      </c>
      <c r="G2121" t="s">
        <v>25</v>
      </c>
      <c r="H2121" t="s">
        <v>25</v>
      </c>
      <c r="I2121" t="s">
        <v>25</v>
      </c>
      <c r="J2121">
        <v>2072</v>
      </c>
      <c r="K2121">
        <v>0</v>
      </c>
      <c r="L2121">
        <v>0</v>
      </c>
      <c r="M2121">
        <v>0</v>
      </c>
      <c r="N2121">
        <v>0</v>
      </c>
      <c r="O2121">
        <v>0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2072</v>
      </c>
    </row>
    <row r="2122" spans="1:21" x14ac:dyDescent="0.25">
      <c r="A2122">
        <v>2025</v>
      </c>
      <c r="B2122">
        <v>11</v>
      </c>
      <c r="C2122" t="s">
        <v>89</v>
      </c>
      <c r="D2122" t="s">
        <v>22</v>
      </c>
      <c r="E2122" t="s">
        <v>31</v>
      </c>
      <c r="F2122" t="s">
        <v>24</v>
      </c>
      <c r="G2122" t="s">
        <v>25</v>
      </c>
      <c r="H2122" t="s">
        <v>25</v>
      </c>
      <c r="I2122" t="s">
        <v>25</v>
      </c>
      <c r="J2122">
        <v>17</v>
      </c>
      <c r="K2122">
        <v>0</v>
      </c>
      <c r="L2122">
        <v>0</v>
      </c>
      <c r="M2122">
        <v>0</v>
      </c>
      <c r="N2122">
        <v>8</v>
      </c>
      <c r="O2122">
        <v>8</v>
      </c>
      <c r="P2122">
        <v>8</v>
      </c>
      <c r="Q2122">
        <v>8</v>
      </c>
      <c r="R2122">
        <v>8</v>
      </c>
      <c r="S2122">
        <v>6</v>
      </c>
      <c r="T2122">
        <v>0</v>
      </c>
      <c r="U2122">
        <v>17</v>
      </c>
    </row>
    <row r="2123" spans="1:21" x14ac:dyDescent="0.25">
      <c r="A2123">
        <v>2025</v>
      </c>
      <c r="B2123">
        <v>11</v>
      </c>
      <c r="C2123" t="s">
        <v>89</v>
      </c>
      <c r="D2123" t="s">
        <v>22</v>
      </c>
      <c r="E2123" t="s">
        <v>93</v>
      </c>
      <c r="F2123" t="s">
        <v>28</v>
      </c>
      <c r="G2123" t="s">
        <v>25</v>
      </c>
      <c r="H2123" t="s">
        <v>25</v>
      </c>
      <c r="I2123" t="s">
        <v>25</v>
      </c>
      <c r="J2123">
        <v>4</v>
      </c>
      <c r="K2123">
        <v>0</v>
      </c>
      <c r="L2123">
        <v>0</v>
      </c>
      <c r="M2123">
        <v>0</v>
      </c>
      <c r="N2123">
        <v>2</v>
      </c>
      <c r="O2123">
        <v>2</v>
      </c>
      <c r="P2123">
        <v>2</v>
      </c>
      <c r="Q2123">
        <v>2</v>
      </c>
      <c r="R2123">
        <v>2</v>
      </c>
      <c r="S2123">
        <v>1</v>
      </c>
      <c r="T2123">
        <v>0</v>
      </c>
      <c r="U2123">
        <v>4</v>
      </c>
    </row>
    <row r="2124" spans="1:21" x14ac:dyDescent="0.25">
      <c r="A2124">
        <v>2025</v>
      </c>
      <c r="B2124">
        <v>11</v>
      </c>
      <c r="C2124" t="s">
        <v>89</v>
      </c>
      <c r="D2124" t="s">
        <v>22</v>
      </c>
      <c r="E2124" t="s">
        <v>38</v>
      </c>
      <c r="F2124" t="s">
        <v>24</v>
      </c>
      <c r="G2124" t="s">
        <v>25</v>
      </c>
      <c r="H2124" t="s">
        <v>25</v>
      </c>
      <c r="I2124" t="s">
        <v>25</v>
      </c>
      <c r="J2124">
        <v>7</v>
      </c>
      <c r="K2124">
        <v>0</v>
      </c>
      <c r="L2124">
        <v>0</v>
      </c>
      <c r="M2124">
        <v>0</v>
      </c>
      <c r="N2124">
        <v>2</v>
      </c>
      <c r="O2124">
        <v>2</v>
      </c>
      <c r="P2124">
        <v>2</v>
      </c>
      <c r="Q2124">
        <v>1</v>
      </c>
      <c r="R2124">
        <v>1</v>
      </c>
      <c r="S2124">
        <v>0</v>
      </c>
      <c r="T2124">
        <v>0</v>
      </c>
      <c r="U2124">
        <v>7</v>
      </c>
    </row>
    <row r="2125" spans="1:21" x14ac:dyDescent="0.25">
      <c r="A2125">
        <v>2025</v>
      </c>
      <c r="B2125">
        <v>11</v>
      </c>
      <c r="C2125" t="s">
        <v>89</v>
      </c>
      <c r="D2125" t="s">
        <v>22</v>
      </c>
      <c r="E2125" t="s">
        <v>95</v>
      </c>
      <c r="F2125" t="s">
        <v>28</v>
      </c>
      <c r="G2125" t="s">
        <v>25</v>
      </c>
      <c r="H2125" t="s">
        <v>25</v>
      </c>
      <c r="I2125" t="s">
        <v>25</v>
      </c>
      <c r="J2125">
        <v>57</v>
      </c>
      <c r="K2125">
        <v>0</v>
      </c>
      <c r="L2125">
        <v>0</v>
      </c>
      <c r="M2125">
        <v>0</v>
      </c>
      <c r="N2125">
        <v>0</v>
      </c>
      <c r="O2125">
        <v>0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57</v>
      </c>
    </row>
    <row r="2126" spans="1:21" x14ac:dyDescent="0.25">
      <c r="A2126">
        <v>2025</v>
      </c>
      <c r="B2126">
        <v>11</v>
      </c>
      <c r="C2126" t="s">
        <v>89</v>
      </c>
      <c r="D2126" t="s">
        <v>22</v>
      </c>
      <c r="E2126" t="s">
        <v>95</v>
      </c>
      <c r="F2126" t="s">
        <v>24</v>
      </c>
      <c r="G2126" t="s">
        <v>25</v>
      </c>
      <c r="H2126" t="s">
        <v>25</v>
      </c>
      <c r="I2126" t="s">
        <v>25</v>
      </c>
      <c r="J2126">
        <v>114</v>
      </c>
      <c r="K2126">
        <v>0</v>
      </c>
      <c r="L2126">
        <v>0</v>
      </c>
      <c r="M2126">
        <v>0</v>
      </c>
      <c r="N2126">
        <v>0</v>
      </c>
      <c r="O2126">
        <v>0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114</v>
      </c>
    </row>
    <row r="2127" spans="1:21" x14ac:dyDescent="0.25">
      <c r="A2127">
        <v>2025</v>
      </c>
      <c r="B2127">
        <v>11</v>
      </c>
      <c r="C2127" t="s">
        <v>89</v>
      </c>
      <c r="D2127" t="s">
        <v>22</v>
      </c>
      <c r="E2127" t="s">
        <v>23</v>
      </c>
      <c r="F2127" t="s">
        <v>24</v>
      </c>
      <c r="G2127" t="s">
        <v>25</v>
      </c>
      <c r="H2127" t="s">
        <v>25</v>
      </c>
      <c r="I2127" t="s">
        <v>25</v>
      </c>
      <c r="J2127">
        <v>42</v>
      </c>
      <c r="K2127">
        <v>0</v>
      </c>
      <c r="L2127">
        <v>0</v>
      </c>
      <c r="M2127">
        <v>0</v>
      </c>
      <c r="N2127">
        <v>2</v>
      </c>
      <c r="O2127">
        <v>1</v>
      </c>
      <c r="P2127">
        <v>1</v>
      </c>
      <c r="Q2127">
        <v>0</v>
      </c>
      <c r="R2127">
        <v>0</v>
      </c>
      <c r="S2127">
        <v>0</v>
      </c>
      <c r="T2127">
        <v>0</v>
      </c>
      <c r="U2127">
        <v>42</v>
      </c>
    </row>
    <row r="2128" spans="1:21" x14ac:dyDescent="0.25">
      <c r="A2128">
        <v>2025</v>
      </c>
      <c r="B2128">
        <v>11</v>
      </c>
      <c r="C2128" t="s">
        <v>89</v>
      </c>
      <c r="D2128" t="s">
        <v>22</v>
      </c>
      <c r="F2128" t="s">
        <v>28</v>
      </c>
      <c r="G2128" t="s">
        <v>25</v>
      </c>
      <c r="H2128" t="s">
        <v>25</v>
      </c>
      <c r="I2128" t="s">
        <v>25</v>
      </c>
      <c r="J2128">
        <v>10</v>
      </c>
      <c r="K2128">
        <v>0</v>
      </c>
      <c r="L2128">
        <v>2</v>
      </c>
      <c r="M2128">
        <v>2</v>
      </c>
      <c r="N2128">
        <v>2</v>
      </c>
      <c r="O2128">
        <v>2</v>
      </c>
      <c r="P2128">
        <v>2</v>
      </c>
      <c r="Q2128">
        <v>1</v>
      </c>
      <c r="R2128">
        <v>1</v>
      </c>
      <c r="S2128">
        <v>1</v>
      </c>
      <c r="T2128">
        <v>0</v>
      </c>
      <c r="U2128">
        <v>8</v>
      </c>
    </row>
    <row r="2129" spans="1:21" x14ac:dyDescent="0.25">
      <c r="A2129">
        <v>2025</v>
      </c>
      <c r="B2129">
        <v>11</v>
      </c>
      <c r="C2129" t="s">
        <v>89</v>
      </c>
      <c r="D2129" t="s">
        <v>22</v>
      </c>
      <c r="F2129" t="s">
        <v>29</v>
      </c>
      <c r="G2129" t="s">
        <v>25</v>
      </c>
      <c r="H2129" t="s">
        <v>25</v>
      </c>
      <c r="I2129" t="s">
        <v>25</v>
      </c>
      <c r="J2129">
        <v>1</v>
      </c>
      <c r="K2129">
        <v>0</v>
      </c>
      <c r="L2129">
        <v>0</v>
      </c>
      <c r="M2129">
        <v>0</v>
      </c>
      <c r="N2129">
        <v>0</v>
      </c>
      <c r="O2129">
        <v>0</v>
      </c>
      <c r="P2129">
        <v>0</v>
      </c>
      <c r="Q2129">
        <v>0</v>
      </c>
      <c r="R2129">
        <v>0</v>
      </c>
      <c r="S2129">
        <v>0</v>
      </c>
      <c r="T2129">
        <v>0</v>
      </c>
      <c r="U2129">
        <v>0</v>
      </c>
    </row>
    <row r="2130" spans="1:21" x14ac:dyDescent="0.25">
      <c r="A2130">
        <v>2025</v>
      </c>
      <c r="B2130">
        <v>11</v>
      </c>
      <c r="C2130" t="s">
        <v>98</v>
      </c>
      <c r="D2130" t="s">
        <v>22</v>
      </c>
      <c r="E2130" t="s">
        <v>31</v>
      </c>
      <c r="F2130" t="s">
        <v>24</v>
      </c>
      <c r="G2130" t="s">
        <v>25</v>
      </c>
      <c r="H2130" t="s">
        <v>25</v>
      </c>
      <c r="I2130" t="s">
        <v>25</v>
      </c>
      <c r="J2130">
        <v>55</v>
      </c>
      <c r="K2130">
        <v>0</v>
      </c>
      <c r="L2130">
        <v>0</v>
      </c>
      <c r="M2130">
        <v>0</v>
      </c>
      <c r="N2130">
        <v>0</v>
      </c>
      <c r="O2130">
        <v>0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55</v>
      </c>
    </row>
    <row r="2131" spans="1:21" x14ac:dyDescent="0.25">
      <c r="A2131">
        <v>2025</v>
      </c>
      <c r="B2131">
        <v>11</v>
      </c>
      <c r="C2131" t="s">
        <v>98</v>
      </c>
      <c r="D2131" t="s">
        <v>22</v>
      </c>
      <c r="E2131" t="s">
        <v>32</v>
      </c>
      <c r="F2131" t="s">
        <v>24</v>
      </c>
      <c r="G2131" t="s">
        <v>25</v>
      </c>
      <c r="H2131" t="s">
        <v>25</v>
      </c>
      <c r="I2131" t="s">
        <v>25</v>
      </c>
      <c r="J2131">
        <v>81</v>
      </c>
      <c r="K2131">
        <v>0</v>
      </c>
      <c r="L2131">
        <v>0</v>
      </c>
      <c r="M2131">
        <v>0</v>
      </c>
      <c r="N2131">
        <v>1</v>
      </c>
      <c r="O2131">
        <v>1</v>
      </c>
      <c r="P2131">
        <v>1</v>
      </c>
      <c r="Q2131">
        <v>1</v>
      </c>
      <c r="R2131">
        <v>0</v>
      </c>
      <c r="S2131">
        <v>0</v>
      </c>
      <c r="T2131">
        <v>0</v>
      </c>
      <c r="U2131">
        <v>81</v>
      </c>
    </row>
    <row r="2132" spans="1:21" x14ac:dyDescent="0.25">
      <c r="A2132">
        <v>2025</v>
      </c>
      <c r="B2132">
        <v>11</v>
      </c>
      <c r="C2132" t="s">
        <v>99</v>
      </c>
      <c r="D2132" t="s">
        <v>45</v>
      </c>
      <c r="E2132" t="s">
        <v>100</v>
      </c>
      <c r="F2132" t="s">
        <v>28</v>
      </c>
      <c r="G2132" t="s">
        <v>25</v>
      </c>
      <c r="H2132" t="s">
        <v>26</v>
      </c>
      <c r="I2132" t="s">
        <v>25</v>
      </c>
      <c r="J2132">
        <v>1427</v>
      </c>
      <c r="K2132">
        <v>0</v>
      </c>
      <c r="L2132">
        <v>0</v>
      </c>
      <c r="M2132">
        <v>0</v>
      </c>
      <c r="N2132">
        <v>1</v>
      </c>
      <c r="O2132">
        <v>1</v>
      </c>
      <c r="P2132">
        <v>1</v>
      </c>
      <c r="Q2132">
        <v>1</v>
      </c>
      <c r="R2132">
        <v>0</v>
      </c>
      <c r="S2132">
        <v>0</v>
      </c>
      <c r="T2132">
        <v>0</v>
      </c>
      <c r="U2132">
        <v>1427</v>
      </c>
    </row>
    <row r="2133" spans="1:21" x14ac:dyDescent="0.25">
      <c r="A2133">
        <v>2025</v>
      </c>
      <c r="B2133">
        <v>11</v>
      </c>
      <c r="C2133" t="s">
        <v>99</v>
      </c>
      <c r="D2133" t="s">
        <v>45</v>
      </c>
      <c r="E2133" t="s">
        <v>100</v>
      </c>
      <c r="F2133" t="s">
        <v>24</v>
      </c>
      <c r="G2133" t="s">
        <v>25</v>
      </c>
      <c r="H2133" t="s">
        <v>26</v>
      </c>
      <c r="I2133" t="s">
        <v>25</v>
      </c>
      <c r="J2133">
        <v>302</v>
      </c>
      <c r="K2133">
        <v>0</v>
      </c>
      <c r="L2133">
        <v>9</v>
      </c>
      <c r="M2133">
        <v>9</v>
      </c>
      <c r="N2133">
        <v>199</v>
      </c>
      <c r="O2133">
        <v>182</v>
      </c>
      <c r="P2133">
        <v>171</v>
      </c>
      <c r="Q2133">
        <v>140</v>
      </c>
      <c r="R2133">
        <v>96</v>
      </c>
      <c r="S2133">
        <v>35</v>
      </c>
      <c r="T2133">
        <v>4</v>
      </c>
      <c r="U2133">
        <v>302</v>
      </c>
    </row>
    <row r="2134" spans="1:21" x14ac:dyDescent="0.25">
      <c r="A2134">
        <v>2025</v>
      </c>
      <c r="B2134">
        <v>11</v>
      </c>
      <c r="C2134" t="s">
        <v>101</v>
      </c>
      <c r="D2134" t="s">
        <v>22</v>
      </c>
      <c r="E2134" t="s">
        <v>32</v>
      </c>
      <c r="F2134" t="s">
        <v>24</v>
      </c>
      <c r="G2134" t="s">
        <v>25</v>
      </c>
      <c r="H2134" t="s">
        <v>25</v>
      </c>
      <c r="I2134" t="s">
        <v>25</v>
      </c>
      <c r="J2134">
        <v>22</v>
      </c>
      <c r="K2134">
        <v>0</v>
      </c>
      <c r="L2134">
        <v>0</v>
      </c>
      <c r="M2134">
        <v>0</v>
      </c>
      <c r="N2134">
        <v>21</v>
      </c>
      <c r="O2134">
        <v>20</v>
      </c>
      <c r="P2134">
        <v>20</v>
      </c>
      <c r="Q2134">
        <v>19</v>
      </c>
      <c r="R2134">
        <v>15</v>
      </c>
      <c r="S2134">
        <v>10</v>
      </c>
      <c r="T2134">
        <v>3</v>
      </c>
      <c r="U2134">
        <v>22</v>
      </c>
    </row>
    <row r="2135" spans="1:21" x14ac:dyDescent="0.25">
      <c r="A2135">
        <v>2025</v>
      </c>
      <c r="B2135">
        <v>11</v>
      </c>
      <c r="C2135" t="s">
        <v>101</v>
      </c>
      <c r="D2135" t="s">
        <v>22</v>
      </c>
      <c r="E2135" t="s">
        <v>34</v>
      </c>
      <c r="F2135" t="s">
        <v>24</v>
      </c>
      <c r="G2135" t="s">
        <v>25</v>
      </c>
      <c r="H2135" t="s">
        <v>26</v>
      </c>
      <c r="I2135" t="s">
        <v>26</v>
      </c>
      <c r="J2135">
        <v>42</v>
      </c>
      <c r="K2135">
        <v>0</v>
      </c>
      <c r="L2135">
        <v>0</v>
      </c>
      <c r="M2135">
        <v>0</v>
      </c>
      <c r="N2135">
        <v>5</v>
      </c>
      <c r="O2135">
        <v>5</v>
      </c>
      <c r="P2135">
        <v>5</v>
      </c>
      <c r="Q2135">
        <v>5</v>
      </c>
      <c r="R2135">
        <v>4</v>
      </c>
      <c r="S2135">
        <v>4</v>
      </c>
      <c r="T2135">
        <v>3</v>
      </c>
      <c r="U2135">
        <v>42</v>
      </c>
    </row>
    <row r="2136" spans="1:21" x14ac:dyDescent="0.25">
      <c r="A2136">
        <v>2025</v>
      </c>
      <c r="B2136">
        <v>11</v>
      </c>
      <c r="C2136" t="s">
        <v>101</v>
      </c>
      <c r="D2136" t="s">
        <v>22</v>
      </c>
      <c r="E2136" t="s">
        <v>41</v>
      </c>
      <c r="F2136" t="s">
        <v>24</v>
      </c>
      <c r="G2136" t="s">
        <v>26</v>
      </c>
      <c r="H2136" t="s">
        <v>26</v>
      </c>
      <c r="I2136" t="s">
        <v>25</v>
      </c>
      <c r="J2136">
        <v>58</v>
      </c>
      <c r="K2136">
        <v>0</v>
      </c>
      <c r="L2136">
        <v>0</v>
      </c>
      <c r="M2136">
        <v>0</v>
      </c>
      <c r="N2136">
        <v>3</v>
      </c>
      <c r="O2136">
        <v>3</v>
      </c>
      <c r="P2136">
        <v>3</v>
      </c>
      <c r="Q2136">
        <v>3</v>
      </c>
      <c r="R2136">
        <v>2</v>
      </c>
      <c r="S2136">
        <v>0</v>
      </c>
      <c r="T2136">
        <v>0</v>
      </c>
      <c r="U2136">
        <v>58</v>
      </c>
    </row>
    <row r="2137" spans="1:21" x14ac:dyDescent="0.25">
      <c r="A2137">
        <v>2025</v>
      </c>
      <c r="B2137">
        <v>12</v>
      </c>
      <c r="C2137" t="s">
        <v>21</v>
      </c>
      <c r="D2137" t="s">
        <v>22</v>
      </c>
      <c r="E2137" t="s">
        <v>23</v>
      </c>
      <c r="F2137" t="s">
        <v>24</v>
      </c>
      <c r="G2137" t="s">
        <v>25</v>
      </c>
      <c r="H2137" t="s">
        <v>26</v>
      </c>
      <c r="I2137" t="s">
        <v>25</v>
      </c>
      <c r="J2137">
        <v>1410</v>
      </c>
      <c r="K2137">
        <v>17</v>
      </c>
      <c r="L2137">
        <v>0</v>
      </c>
      <c r="M2137">
        <v>17</v>
      </c>
      <c r="N2137">
        <v>113</v>
      </c>
      <c r="O2137">
        <v>60</v>
      </c>
      <c r="P2137">
        <v>45</v>
      </c>
      <c r="Q2137">
        <v>24</v>
      </c>
      <c r="R2137">
        <v>18</v>
      </c>
      <c r="S2137">
        <v>6</v>
      </c>
      <c r="T2137">
        <v>0</v>
      </c>
      <c r="U2137">
        <v>1393</v>
      </c>
    </row>
    <row r="2138" spans="1:21" x14ac:dyDescent="0.25">
      <c r="A2138">
        <v>2025</v>
      </c>
      <c r="B2138">
        <v>12</v>
      </c>
      <c r="C2138" t="s">
        <v>21</v>
      </c>
      <c r="D2138" t="s">
        <v>22</v>
      </c>
      <c r="E2138" t="s">
        <v>111</v>
      </c>
      <c r="F2138" t="s">
        <v>24</v>
      </c>
      <c r="G2138" t="s">
        <v>26</v>
      </c>
      <c r="H2138" t="s">
        <v>26</v>
      </c>
      <c r="I2138" t="s">
        <v>25</v>
      </c>
      <c r="J2138">
        <v>13</v>
      </c>
      <c r="K2138">
        <v>0</v>
      </c>
      <c r="L2138">
        <v>0</v>
      </c>
      <c r="M2138">
        <v>0</v>
      </c>
      <c r="N2138">
        <v>6</v>
      </c>
      <c r="O2138">
        <v>1</v>
      </c>
      <c r="P2138">
        <v>1</v>
      </c>
      <c r="Q2138">
        <v>1</v>
      </c>
      <c r="R2138">
        <v>1</v>
      </c>
      <c r="S2138">
        <v>1</v>
      </c>
      <c r="T2138">
        <v>0</v>
      </c>
      <c r="U2138">
        <v>13</v>
      </c>
    </row>
    <row r="2139" spans="1:21" x14ac:dyDescent="0.25">
      <c r="A2139">
        <v>2025</v>
      </c>
      <c r="B2139">
        <v>12</v>
      </c>
      <c r="C2139" t="s">
        <v>21</v>
      </c>
      <c r="D2139" t="s">
        <v>22</v>
      </c>
      <c r="E2139" t="s">
        <v>111</v>
      </c>
      <c r="F2139" t="s">
        <v>29</v>
      </c>
      <c r="G2139" t="s">
        <v>26</v>
      </c>
      <c r="H2139" t="s">
        <v>26</v>
      </c>
      <c r="I2139" t="s">
        <v>25</v>
      </c>
      <c r="J2139">
        <v>1</v>
      </c>
      <c r="K2139">
        <v>0</v>
      </c>
      <c r="L2139">
        <v>0</v>
      </c>
      <c r="M2139">
        <v>0</v>
      </c>
      <c r="N2139">
        <v>0</v>
      </c>
      <c r="O2139">
        <v>0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0</v>
      </c>
    </row>
    <row r="2140" spans="1:21" x14ac:dyDescent="0.25">
      <c r="A2140">
        <v>2025</v>
      </c>
      <c r="B2140">
        <v>12</v>
      </c>
      <c r="C2140" t="s">
        <v>21</v>
      </c>
      <c r="D2140" t="s">
        <v>22</v>
      </c>
      <c r="E2140" t="s">
        <v>27</v>
      </c>
      <c r="F2140" t="s">
        <v>24</v>
      </c>
      <c r="G2140" t="s">
        <v>26</v>
      </c>
      <c r="H2140" t="s">
        <v>26</v>
      </c>
      <c r="I2140" t="s">
        <v>25</v>
      </c>
      <c r="J2140">
        <v>98</v>
      </c>
      <c r="K2140">
        <v>0</v>
      </c>
      <c r="L2140">
        <v>0</v>
      </c>
      <c r="M2140">
        <v>0</v>
      </c>
      <c r="N2140">
        <v>5</v>
      </c>
      <c r="O2140">
        <v>0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98</v>
      </c>
    </row>
    <row r="2141" spans="1:21" x14ac:dyDescent="0.25">
      <c r="A2141">
        <v>2025</v>
      </c>
      <c r="B2141">
        <v>12</v>
      </c>
      <c r="C2141" t="s">
        <v>30</v>
      </c>
      <c r="D2141" t="s">
        <v>22</v>
      </c>
      <c r="E2141" t="s">
        <v>31</v>
      </c>
      <c r="F2141" t="s">
        <v>24</v>
      </c>
      <c r="G2141" t="s">
        <v>25</v>
      </c>
      <c r="H2141" t="s">
        <v>25</v>
      </c>
      <c r="I2141" t="s">
        <v>25</v>
      </c>
      <c r="J2141">
        <v>61</v>
      </c>
      <c r="K2141">
        <v>0</v>
      </c>
      <c r="L2141">
        <v>0</v>
      </c>
      <c r="M2141">
        <v>0</v>
      </c>
      <c r="N2141">
        <v>1</v>
      </c>
      <c r="O2141">
        <v>1</v>
      </c>
      <c r="P2141">
        <v>1</v>
      </c>
      <c r="Q2141">
        <v>1</v>
      </c>
      <c r="R2141">
        <v>0</v>
      </c>
      <c r="S2141">
        <v>0</v>
      </c>
      <c r="T2141">
        <v>0</v>
      </c>
      <c r="U2141">
        <v>61</v>
      </c>
    </row>
    <row r="2142" spans="1:21" x14ac:dyDescent="0.25">
      <c r="A2142">
        <v>2025</v>
      </c>
      <c r="B2142">
        <v>12</v>
      </c>
      <c r="C2142" t="s">
        <v>33</v>
      </c>
      <c r="D2142" t="s">
        <v>22</v>
      </c>
      <c r="E2142" t="s">
        <v>32</v>
      </c>
      <c r="F2142" t="s">
        <v>24</v>
      </c>
      <c r="G2142" t="s">
        <v>25</v>
      </c>
      <c r="H2142" t="s">
        <v>25</v>
      </c>
      <c r="I2142" t="s">
        <v>25</v>
      </c>
      <c r="J2142">
        <v>678</v>
      </c>
      <c r="K2142">
        <v>0</v>
      </c>
      <c r="L2142">
        <v>0</v>
      </c>
      <c r="M2142">
        <v>0</v>
      </c>
      <c r="N2142">
        <v>94</v>
      </c>
      <c r="O2142">
        <v>73</v>
      </c>
      <c r="P2142">
        <v>65</v>
      </c>
      <c r="Q2142">
        <v>45</v>
      </c>
      <c r="R2142">
        <v>35</v>
      </c>
      <c r="S2142">
        <v>17</v>
      </c>
      <c r="T2142">
        <v>2</v>
      </c>
      <c r="U2142">
        <v>678</v>
      </c>
    </row>
    <row r="2143" spans="1:21" x14ac:dyDescent="0.25">
      <c r="A2143">
        <v>2025</v>
      </c>
      <c r="B2143">
        <v>12</v>
      </c>
      <c r="C2143" t="s">
        <v>33</v>
      </c>
      <c r="D2143" t="s">
        <v>22</v>
      </c>
      <c r="E2143" t="s">
        <v>34</v>
      </c>
      <c r="F2143" t="s">
        <v>24</v>
      </c>
      <c r="G2143" t="s">
        <v>25</v>
      </c>
      <c r="H2143" t="s">
        <v>26</v>
      </c>
      <c r="I2143" t="s">
        <v>26</v>
      </c>
      <c r="J2143">
        <v>183</v>
      </c>
      <c r="K2143">
        <v>0</v>
      </c>
      <c r="L2143">
        <v>0</v>
      </c>
      <c r="M2143">
        <v>0</v>
      </c>
      <c r="N2143">
        <v>57</v>
      </c>
      <c r="O2143">
        <v>50</v>
      </c>
      <c r="P2143">
        <v>46</v>
      </c>
      <c r="Q2143">
        <v>39</v>
      </c>
      <c r="R2143">
        <v>33</v>
      </c>
      <c r="S2143">
        <v>22</v>
      </c>
      <c r="T2143">
        <v>8</v>
      </c>
      <c r="U2143">
        <v>183</v>
      </c>
    </row>
    <row r="2144" spans="1:21" x14ac:dyDescent="0.25">
      <c r="A2144">
        <v>2025</v>
      </c>
      <c r="B2144">
        <v>12</v>
      </c>
      <c r="C2144" t="s">
        <v>33</v>
      </c>
      <c r="D2144" t="s">
        <v>22</v>
      </c>
      <c r="E2144" t="s">
        <v>23</v>
      </c>
      <c r="F2144" t="s">
        <v>24</v>
      </c>
      <c r="G2144" t="s">
        <v>25</v>
      </c>
      <c r="H2144" t="s">
        <v>25</v>
      </c>
      <c r="I2144" t="s">
        <v>25</v>
      </c>
      <c r="J2144">
        <v>245</v>
      </c>
      <c r="K2144">
        <v>0</v>
      </c>
      <c r="L2144">
        <v>0</v>
      </c>
      <c r="M2144">
        <v>0</v>
      </c>
      <c r="N2144">
        <v>0</v>
      </c>
      <c r="O2144">
        <v>0</v>
      </c>
      <c r="P2144">
        <v>0</v>
      </c>
      <c r="Q2144">
        <v>0</v>
      </c>
      <c r="R2144">
        <v>0</v>
      </c>
      <c r="S2144">
        <v>0</v>
      </c>
      <c r="T2144">
        <v>0</v>
      </c>
      <c r="U2144">
        <v>245</v>
      </c>
    </row>
    <row r="2145" spans="1:21" x14ac:dyDescent="0.25">
      <c r="A2145">
        <v>2025</v>
      </c>
      <c r="B2145">
        <v>12</v>
      </c>
      <c r="C2145" t="s">
        <v>33</v>
      </c>
      <c r="D2145" t="s">
        <v>22</v>
      </c>
      <c r="E2145" t="s">
        <v>23</v>
      </c>
      <c r="F2145" t="s">
        <v>24</v>
      </c>
      <c r="G2145" t="s">
        <v>25</v>
      </c>
      <c r="H2145" t="s">
        <v>26</v>
      </c>
      <c r="I2145" t="s">
        <v>25</v>
      </c>
      <c r="J2145">
        <v>61</v>
      </c>
      <c r="K2145">
        <v>0</v>
      </c>
      <c r="L2145">
        <v>0</v>
      </c>
      <c r="M2145">
        <v>0</v>
      </c>
      <c r="N2145">
        <v>11</v>
      </c>
      <c r="O2145">
        <v>11</v>
      </c>
      <c r="P2145">
        <v>11</v>
      </c>
      <c r="Q2145">
        <v>11</v>
      </c>
      <c r="R2145">
        <v>8</v>
      </c>
      <c r="S2145">
        <v>3</v>
      </c>
      <c r="T2145">
        <v>0</v>
      </c>
      <c r="U2145">
        <v>61</v>
      </c>
    </row>
    <row r="2146" spans="1:21" x14ac:dyDescent="0.25">
      <c r="A2146">
        <v>2025</v>
      </c>
      <c r="B2146">
        <v>12</v>
      </c>
      <c r="C2146" t="s">
        <v>33</v>
      </c>
      <c r="D2146" t="s">
        <v>22</v>
      </c>
      <c r="E2146" t="s">
        <v>35</v>
      </c>
      <c r="F2146" t="s">
        <v>24</v>
      </c>
      <c r="G2146" t="s">
        <v>25</v>
      </c>
      <c r="H2146" t="s">
        <v>26</v>
      </c>
      <c r="I2146" t="s">
        <v>26</v>
      </c>
      <c r="J2146">
        <v>44</v>
      </c>
      <c r="K2146">
        <v>0</v>
      </c>
      <c r="L2146">
        <v>0</v>
      </c>
      <c r="M2146">
        <v>0</v>
      </c>
      <c r="N2146">
        <v>22</v>
      </c>
      <c r="O2146">
        <v>19</v>
      </c>
      <c r="P2146">
        <v>17</v>
      </c>
      <c r="Q2146">
        <v>15</v>
      </c>
      <c r="R2146">
        <v>13</v>
      </c>
      <c r="S2146">
        <v>10</v>
      </c>
      <c r="T2146">
        <v>5</v>
      </c>
      <c r="U2146">
        <v>44</v>
      </c>
    </row>
    <row r="2147" spans="1:21" x14ac:dyDescent="0.25">
      <c r="A2147">
        <v>2025</v>
      </c>
      <c r="B2147">
        <v>12</v>
      </c>
      <c r="C2147" t="s">
        <v>33</v>
      </c>
      <c r="D2147" t="s">
        <v>22</v>
      </c>
      <c r="E2147" t="s">
        <v>36</v>
      </c>
      <c r="F2147" t="s">
        <v>24</v>
      </c>
      <c r="G2147" t="s">
        <v>25</v>
      </c>
      <c r="H2147" t="s">
        <v>26</v>
      </c>
      <c r="I2147" t="s">
        <v>25</v>
      </c>
      <c r="J2147">
        <v>658</v>
      </c>
      <c r="K2147">
        <v>0</v>
      </c>
      <c r="L2147">
        <v>0</v>
      </c>
      <c r="M2147">
        <v>0</v>
      </c>
      <c r="N2147">
        <v>185</v>
      </c>
      <c r="O2147">
        <v>153</v>
      </c>
      <c r="P2147">
        <v>147</v>
      </c>
      <c r="Q2147">
        <v>109</v>
      </c>
      <c r="R2147">
        <v>74</v>
      </c>
      <c r="S2147">
        <v>32</v>
      </c>
      <c r="T2147">
        <v>16</v>
      </c>
      <c r="U2147">
        <v>658</v>
      </c>
    </row>
    <row r="2148" spans="1:21" x14ac:dyDescent="0.25">
      <c r="A2148">
        <v>2025</v>
      </c>
      <c r="B2148">
        <v>12</v>
      </c>
      <c r="C2148" t="s">
        <v>33</v>
      </c>
      <c r="D2148" t="s">
        <v>22</v>
      </c>
      <c r="E2148" t="s">
        <v>41</v>
      </c>
      <c r="F2148" t="s">
        <v>24</v>
      </c>
      <c r="G2148" t="s">
        <v>26</v>
      </c>
      <c r="H2148" t="s">
        <v>26</v>
      </c>
      <c r="I2148" t="s">
        <v>25</v>
      </c>
      <c r="J2148">
        <v>108</v>
      </c>
      <c r="K2148">
        <v>0</v>
      </c>
      <c r="L2148">
        <v>0</v>
      </c>
      <c r="M2148">
        <v>0</v>
      </c>
      <c r="N2148">
        <v>15</v>
      </c>
      <c r="O2148">
        <v>12</v>
      </c>
      <c r="P2148">
        <v>11</v>
      </c>
      <c r="Q2148">
        <v>7</v>
      </c>
      <c r="R2148">
        <v>4</v>
      </c>
      <c r="S2148">
        <v>2</v>
      </c>
      <c r="T2148">
        <v>0</v>
      </c>
      <c r="U2148">
        <v>108</v>
      </c>
    </row>
    <row r="2149" spans="1:21" x14ac:dyDescent="0.25">
      <c r="A2149">
        <v>2025</v>
      </c>
      <c r="B2149">
        <v>12</v>
      </c>
      <c r="C2149" t="s">
        <v>37</v>
      </c>
      <c r="D2149" t="s">
        <v>22</v>
      </c>
      <c r="E2149" t="s">
        <v>32</v>
      </c>
      <c r="F2149" t="s">
        <v>24</v>
      </c>
      <c r="G2149" t="s">
        <v>25</v>
      </c>
      <c r="H2149" t="s">
        <v>26</v>
      </c>
      <c r="I2149" t="s">
        <v>25</v>
      </c>
      <c r="J2149">
        <v>1666</v>
      </c>
      <c r="K2149">
        <v>40</v>
      </c>
      <c r="L2149">
        <v>58</v>
      </c>
      <c r="M2149">
        <v>98</v>
      </c>
      <c r="N2149">
        <v>866</v>
      </c>
      <c r="O2149">
        <v>762</v>
      </c>
      <c r="P2149">
        <v>718</v>
      </c>
      <c r="Q2149">
        <v>579</v>
      </c>
      <c r="R2149">
        <v>429</v>
      </c>
      <c r="S2149">
        <v>235</v>
      </c>
      <c r="T2149">
        <v>73</v>
      </c>
      <c r="U2149">
        <v>1594</v>
      </c>
    </row>
    <row r="2150" spans="1:21" x14ac:dyDescent="0.25">
      <c r="A2150">
        <v>2025</v>
      </c>
      <c r="B2150">
        <v>12</v>
      </c>
      <c r="C2150" t="s">
        <v>37</v>
      </c>
      <c r="D2150" t="s">
        <v>22</v>
      </c>
      <c r="E2150" t="s">
        <v>38</v>
      </c>
      <c r="F2150" t="s">
        <v>28</v>
      </c>
      <c r="G2150" t="s">
        <v>25</v>
      </c>
      <c r="H2150" t="s">
        <v>26</v>
      </c>
      <c r="I2150" t="s">
        <v>25</v>
      </c>
      <c r="J2150">
        <v>2</v>
      </c>
      <c r="K2150">
        <v>0</v>
      </c>
      <c r="L2150">
        <v>0</v>
      </c>
      <c r="M2150">
        <v>0</v>
      </c>
      <c r="N2150">
        <v>1</v>
      </c>
      <c r="O2150">
        <v>1</v>
      </c>
      <c r="P2150">
        <v>1</v>
      </c>
      <c r="Q2150">
        <v>1</v>
      </c>
      <c r="R2150">
        <v>1</v>
      </c>
      <c r="S2150">
        <v>0</v>
      </c>
      <c r="T2150">
        <v>0</v>
      </c>
      <c r="U2150">
        <v>2</v>
      </c>
    </row>
    <row r="2151" spans="1:21" x14ac:dyDescent="0.25">
      <c r="A2151">
        <v>2025</v>
      </c>
      <c r="B2151">
        <v>12</v>
      </c>
      <c r="C2151" t="s">
        <v>37</v>
      </c>
      <c r="D2151" t="s">
        <v>22</v>
      </c>
      <c r="E2151" t="s">
        <v>38</v>
      </c>
      <c r="F2151" t="s">
        <v>24</v>
      </c>
      <c r="G2151" t="s">
        <v>25</v>
      </c>
      <c r="H2151" t="s">
        <v>26</v>
      </c>
      <c r="I2151" t="s">
        <v>25</v>
      </c>
      <c r="J2151">
        <v>136</v>
      </c>
      <c r="K2151">
        <v>2</v>
      </c>
      <c r="L2151">
        <v>13</v>
      </c>
      <c r="M2151">
        <v>15</v>
      </c>
      <c r="N2151">
        <v>69</v>
      </c>
      <c r="O2151">
        <v>54</v>
      </c>
      <c r="P2151">
        <v>53</v>
      </c>
      <c r="Q2151">
        <v>36</v>
      </c>
      <c r="R2151">
        <v>29</v>
      </c>
      <c r="S2151">
        <v>17</v>
      </c>
      <c r="T2151">
        <v>6</v>
      </c>
      <c r="U2151">
        <v>127</v>
      </c>
    </row>
    <row r="2152" spans="1:21" x14ac:dyDescent="0.25">
      <c r="A2152">
        <v>2025</v>
      </c>
      <c r="B2152">
        <v>12</v>
      </c>
      <c r="C2152" t="s">
        <v>37</v>
      </c>
      <c r="D2152" t="s">
        <v>22</v>
      </c>
      <c r="E2152" t="s">
        <v>34</v>
      </c>
      <c r="F2152" t="s">
        <v>28</v>
      </c>
      <c r="G2152" t="s">
        <v>25</v>
      </c>
      <c r="H2152" t="s">
        <v>26</v>
      </c>
      <c r="I2152" t="s">
        <v>26</v>
      </c>
      <c r="J2152">
        <v>1</v>
      </c>
      <c r="K2152">
        <v>0</v>
      </c>
      <c r="L2152">
        <v>0</v>
      </c>
      <c r="M2152">
        <v>0</v>
      </c>
      <c r="N2152">
        <v>1</v>
      </c>
      <c r="O2152">
        <v>1</v>
      </c>
      <c r="P2152">
        <v>1</v>
      </c>
      <c r="Q2152">
        <v>1</v>
      </c>
      <c r="R2152">
        <v>1</v>
      </c>
      <c r="S2152">
        <v>1</v>
      </c>
      <c r="T2152">
        <v>1</v>
      </c>
      <c r="U2152">
        <v>1</v>
      </c>
    </row>
    <row r="2153" spans="1:21" x14ac:dyDescent="0.25">
      <c r="A2153">
        <v>2025</v>
      </c>
      <c r="B2153">
        <v>12</v>
      </c>
      <c r="C2153" t="s">
        <v>37</v>
      </c>
      <c r="D2153" t="s">
        <v>22</v>
      </c>
      <c r="E2153" t="s">
        <v>34</v>
      </c>
      <c r="F2153" t="s">
        <v>24</v>
      </c>
      <c r="G2153" t="s">
        <v>25</v>
      </c>
      <c r="H2153" t="s">
        <v>26</v>
      </c>
      <c r="I2153" t="s">
        <v>26</v>
      </c>
      <c r="J2153">
        <v>365</v>
      </c>
      <c r="K2153">
        <v>2</v>
      </c>
      <c r="L2153">
        <v>5</v>
      </c>
      <c r="M2153">
        <v>7</v>
      </c>
      <c r="N2153">
        <v>177</v>
      </c>
      <c r="O2153">
        <v>160</v>
      </c>
      <c r="P2153">
        <v>152</v>
      </c>
      <c r="Q2153">
        <v>116</v>
      </c>
      <c r="R2153">
        <v>92</v>
      </c>
      <c r="S2153">
        <v>45</v>
      </c>
      <c r="T2153">
        <v>23</v>
      </c>
      <c r="U2153">
        <v>362</v>
      </c>
    </row>
    <row r="2154" spans="1:21" x14ac:dyDescent="0.25">
      <c r="A2154">
        <v>2025</v>
      </c>
      <c r="B2154">
        <v>12</v>
      </c>
      <c r="C2154" t="s">
        <v>37</v>
      </c>
      <c r="D2154" t="s">
        <v>22</v>
      </c>
      <c r="E2154" t="s">
        <v>23</v>
      </c>
      <c r="F2154" t="s">
        <v>28</v>
      </c>
      <c r="G2154" t="s">
        <v>25</v>
      </c>
      <c r="H2154" t="s">
        <v>26</v>
      </c>
      <c r="I2154" t="s">
        <v>25</v>
      </c>
      <c r="J2154">
        <v>4358</v>
      </c>
      <c r="K2154">
        <v>221</v>
      </c>
      <c r="L2154">
        <v>504</v>
      </c>
      <c r="M2154">
        <v>725</v>
      </c>
      <c r="N2154">
        <v>2424</v>
      </c>
      <c r="O2154">
        <v>2079</v>
      </c>
      <c r="P2154">
        <v>1949</v>
      </c>
      <c r="Q2154">
        <v>1523</v>
      </c>
      <c r="R2154">
        <v>1210</v>
      </c>
      <c r="S2154">
        <v>550</v>
      </c>
      <c r="T2154">
        <v>157</v>
      </c>
      <c r="U2154">
        <v>3990</v>
      </c>
    </row>
    <row r="2155" spans="1:21" x14ac:dyDescent="0.25">
      <c r="A2155">
        <v>2025</v>
      </c>
      <c r="B2155">
        <v>12</v>
      </c>
      <c r="C2155" t="s">
        <v>37</v>
      </c>
      <c r="D2155" t="s">
        <v>22</v>
      </c>
      <c r="E2155" t="s">
        <v>23</v>
      </c>
      <c r="F2155" t="s">
        <v>24</v>
      </c>
      <c r="G2155" t="s">
        <v>25</v>
      </c>
      <c r="H2155" t="s">
        <v>26</v>
      </c>
      <c r="I2155" t="s">
        <v>25</v>
      </c>
      <c r="J2155">
        <v>1447</v>
      </c>
      <c r="K2155">
        <v>17</v>
      </c>
      <c r="L2155">
        <v>43</v>
      </c>
      <c r="M2155">
        <v>60</v>
      </c>
      <c r="N2155">
        <v>659</v>
      </c>
      <c r="O2155">
        <v>488</v>
      </c>
      <c r="P2155">
        <v>440</v>
      </c>
      <c r="Q2155">
        <v>291</v>
      </c>
      <c r="R2155">
        <v>187</v>
      </c>
      <c r="S2155">
        <v>71</v>
      </c>
      <c r="T2155">
        <v>19</v>
      </c>
      <c r="U2155">
        <v>1410</v>
      </c>
    </row>
    <row r="2156" spans="1:21" x14ac:dyDescent="0.25">
      <c r="A2156">
        <v>2025</v>
      </c>
      <c r="B2156">
        <v>12</v>
      </c>
      <c r="C2156" t="s">
        <v>37</v>
      </c>
      <c r="D2156" t="s">
        <v>22</v>
      </c>
      <c r="E2156" t="s">
        <v>39</v>
      </c>
      <c r="F2156" t="s">
        <v>28</v>
      </c>
      <c r="G2156" t="s">
        <v>26</v>
      </c>
      <c r="H2156" t="s">
        <v>26</v>
      </c>
      <c r="I2156" t="s">
        <v>25</v>
      </c>
      <c r="J2156">
        <v>15967</v>
      </c>
      <c r="K2156">
        <v>323</v>
      </c>
      <c r="L2156">
        <v>1350</v>
      </c>
      <c r="M2156">
        <v>1673</v>
      </c>
      <c r="N2156">
        <v>8901</v>
      </c>
      <c r="O2156">
        <v>7712</v>
      </c>
      <c r="P2156">
        <v>7224</v>
      </c>
      <c r="Q2156">
        <v>5781</v>
      </c>
      <c r="R2156">
        <v>4471</v>
      </c>
      <c r="S2156">
        <v>2137</v>
      </c>
      <c r="T2156">
        <v>591</v>
      </c>
      <c r="U2156">
        <v>15158</v>
      </c>
    </row>
    <row r="2157" spans="1:21" x14ac:dyDescent="0.25">
      <c r="A2157">
        <v>2025</v>
      </c>
      <c r="B2157">
        <v>12</v>
      </c>
      <c r="C2157" t="s">
        <v>37</v>
      </c>
      <c r="D2157" t="s">
        <v>22</v>
      </c>
      <c r="E2157" t="s">
        <v>39</v>
      </c>
      <c r="F2157" t="s">
        <v>24</v>
      </c>
      <c r="G2157" t="s">
        <v>26</v>
      </c>
      <c r="H2157" t="s">
        <v>26</v>
      </c>
      <c r="I2157" t="s">
        <v>25</v>
      </c>
      <c r="J2157">
        <v>4143</v>
      </c>
      <c r="K2157">
        <v>22</v>
      </c>
      <c r="L2157">
        <v>201</v>
      </c>
      <c r="M2157">
        <v>223</v>
      </c>
      <c r="N2157">
        <v>2606</v>
      </c>
      <c r="O2157">
        <v>2276</v>
      </c>
      <c r="P2157">
        <v>2145</v>
      </c>
      <c r="Q2157">
        <v>1720</v>
      </c>
      <c r="R2157">
        <v>1354</v>
      </c>
      <c r="S2157">
        <v>637</v>
      </c>
      <c r="T2157">
        <v>188</v>
      </c>
      <c r="U2157">
        <v>4030</v>
      </c>
    </row>
    <row r="2158" spans="1:21" x14ac:dyDescent="0.25">
      <c r="A2158">
        <v>2025</v>
      </c>
      <c r="B2158">
        <v>12</v>
      </c>
      <c r="C2158" t="s">
        <v>37</v>
      </c>
      <c r="D2158" t="s">
        <v>22</v>
      </c>
      <c r="E2158" t="s">
        <v>39</v>
      </c>
      <c r="F2158" t="s">
        <v>29</v>
      </c>
      <c r="G2158" t="s">
        <v>26</v>
      </c>
      <c r="H2158" t="s">
        <v>26</v>
      </c>
      <c r="I2158" t="s">
        <v>25</v>
      </c>
      <c r="J2158">
        <v>7</v>
      </c>
      <c r="K2158">
        <v>0</v>
      </c>
      <c r="L2158">
        <v>0</v>
      </c>
      <c r="M2158">
        <v>0</v>
      </c>
      <c r="N2158">
        <v>0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0</v>
      </c>
    </row>
    <row r="2159" spans="1:21" x14ac:dyDescent="0.25">
      <c r="A2159">
        <v>2025</v>
      </c>
      <c r="B2159">
        <v>12</v>
      </c>
      <c r="C2159" t="s">
        <v>37</v>
      </c>
      <c r="D2159" t="s">
        <v>22</v>
      </c>
      <c r="E2159" t="s">
        <v>40</v>
      </c>
      <c r="F2159" t="s">
        <v>24</v>
      </c>
      <c r="G2159" t="s">
        <v>25</v>
      </c>
      <c r="H2159" t="s">
        <v>26</v>
      </c>
      <c r="I2159" t="s">
        <v>25</v>
      </c>
      <c r="J2159">
        <v>519</v>
      </c>
      <c r="K2159">
        <v>19</v>
      </c>
      <c r="L2159">
        <v>0</v>
      </c>
      <c r="M2159">
        <v>19</v>
      </c>
      <c r="N2159">
        <v>28</v>
      </c>
      <c r="O2159">
        <v>12</v>
      </c>
      <c r="P2159">
        <v>9</v>
      </c>
      <c r="Q2159">
        <v>4</v>
      </c>
      <c r="R2159">
        <v>0</v>
      </c>
      <c r="S2159">
        <v>0</v>
      </c>
      <c r="T2159">
        <v>0</v>
      </c>
      <c r="U2159">
        <v>500</v>
      </c>
    </row>
    <row r="2160" spans="1:21" x14ac:dyDescent="0.25">
      <c r="A2160">
        <v>2025</v>
      </c>
      <c r="B2160">
        <v>12</v>
      </c>
      <c r="C2160" t="s">
        <v>37</v>
      </c>
      <c r="D2160" t="s">
        <v>22</v>
      </c>
      <c r="E2160" t="s">
        <v>35</v>
      </c>
      <c r="F2160" t="s">
        <v>28</v>
      </c>
      <c r="G2160" t="s">
        <v>25</v>
      </c>
      <c r="H2160" t="s">
        <v>26</v>
      </c>
      <c r="I2160" t="s">
        <v>26</v>
      </c>
      <c r="J2160">
        <v>13</v>
      </c>
      <c r="K2160">
        <v>0</v>
      </c>
      <c r="L2160">
        <v>2</v>
      </c>
      <c r="M2160">
        <v>2</v>
      </c>
      <c r="N2160">
        <v>8</v>
      </c>
      <c r="O2160">
        <v>8</v>
      </c>
      <c r="P2160">
        <v>8</v>
      </c>
      <c r="Q2160">
        <v>7</v>
      </c>
      <c r="R2160">
        <v>5</v>
      </c>
      <c r="S2160">
        <v>4</v>
      </c>
      <c r="T2160">
        <v>0</v>
      </c>
      <c r="U2160">
        <v>11</v>
      </c>
    </row>
    <row r="2161" spans="1:21" x14ac:dyDescent="0.25">
      <c r="A2161">
        <v>2025</v>
      </c>
      <c r="B2161">
        <v>12</v>
      </c>
      <c r="C2161" t="s">
        <v>37</v>
      </c>
      <c r="D2161" t="s">
        <v>22</v>
      </c>
      <c r="E2161" t="s">
        <v>35</v>
      </c>
      <c r="F2161" t="s">
        <v>24</v>
      </c>
      <c r="G2161" t="s">
        <v>25</v>
      </c>
      <c r="H2161" t="s">
        <v>26</v>
      </c>
      <c r="I2161" t="s">
        <v>26</v>
      </c>
      <c r="J2161">
        <v>676</v>
      </c>
      <c r="K2161">
        <v>9</v>
      </c>
      <c r="L2161">
        <v>27</v>
      </c>
      <c r="M2161">
        <v>36</v>
      </c>
      <c r="N2161">
        <v>334</v>
      </c>
      <c r="O2161">
        <v>292</v>
      </c>
      <c r="P2161">
        <v>281</v>
      </c>
      <c r="Q2161">
        <v>233</v>
      </c>
      <c r="R2161">
        <v>189</v>
      </c>
      <c r="S2161">
        <v>131</v>
      </c>
      <c r="T2161">
        <v>60</v>
      </c>
      <c r="U2161">
        <v>660</v>
      </c>
    </row>
    <row r="2162" spans="1:21" x14ac:dyDescent="0.25">
      <c r="A2162">
        <v>2025</v>
      </c>
      <c r="B2162">
        <v>12</v>
      </c>
      <c r="C2162" t="s">
        <v>37</v>
      </c>
      <c r="D2162" t="s">
        <v>22</v>
      </c>
      <c r="E2162" t="s">
        <v>36</v>
      </c>
      <c r="F2162" t="s">
        <v>28</v>
      </c>
      <c r="G2162" t="s">
        <v>25</v>
      </c>
      <c r="H2162" t="s">
        <v>26</v>
      </c>
      <c r="I2162" t="s">
        <v>25</v>
      </c>
      <c r="J2162">
        <v>30</v>
      </c>
      <c r="K2162">
        <v>0</v>
      </c>
      <c r="L2162">
        <v>3</v>
      </c>
      <c r="M2162">
        <v>3</v>
      </c>
      <c r="N2162">
        <v>19</v>
      </c>
      <c r="O2162">
        <v>17</v>
      </c>
      <c r="P2162">
        <v>16</v>
      </c>
      <c r="Q2162">
        <v>13</v>
      </c>
      <c r="R2162">
        <v>7</v>
      </c>
      <c r="S2162">
        <v>6</v>
      </c>
      <c r="T2162">
        <v>0</v>
      </c>
      <c r="U2162">
        <v>30</v>
      </c>
    </row>
    <row r="2163" spans="1:21" x14ac:dyDescent="0.25">
      <c r="A2163">
        <v>2025</v>
      </c>
      <c r="B2163">
        <v>12</v>
      </c>
      <c r="C2163" t="s">
        <v>37</v>
      </c>
      <c r="D2163" t="s">
        <v>22</v>
      </c>
      <c r="E2163" t="s">
        <v>36</v>
      </c>
      <c r="F2163" t="s">
        <v>24</v>
      </c>
      <c r="G2163" t="s">
        <v>25</v>
      </c>
      <c r="H2163" t="s">
        <v>26</v>
      </c>
      <c r="I2163" t="s">
        <v>25</v>
      </c>
      <c r="J2163">
        <v>794</v>
      </c>
      <c r="K2163">
        <v>18</v>
      </c>
      <c r="L2163">
        <v>21</v>
      </c>
      <c r="M2163">
        <v>39</v>
      </c>
      <c r="N2163">
        <v>362</v>
      </c>
      <c r="O2163">
        <v>295</v>
      </c>
      <c r="P2163">
        <v>271</v>
      </c>
      <c r="Q2163">
        <v>208</v>
      </c>
      <c r="R2163">
        <v>146</v>
      </c>
      <c r="S2163">
        <v>67</v>
      </c>
      <c r="T2163">
        <v>24</v>
      </c>
      <c r="U2163">
        <v>770</v>
      </c>
    </row>
    <row r="2164" spans="1:21" x14ac:dyDescent="0.25">
      <c r="A2164">
        <v>2025</v>
      </c>
      <c r="B2164">
        <v>12</v>
      </c>
      <c r="C2164" t="s">
        <v>37</v>
      </c>
      <c r="D2164" t="s">
        <v>22</v>
      </c>
      <c r="E2164" t="s">
        <v>41</v>
      </c>
      <c r="F2164" t="s">
        <v>24</v>
      </c>
      <c r="G2164" t="s">
        <v>26</v>
      </c>
      <c r="H2164" t="s">
        <v>26</v>
      </c>
      <c r="I2164" t="s">
        <v>25</v>
      </c>
      <c r="J2164">
        <v>333</v>
      </c>
      <c r="K2164">
        <v>1</v>
      </c>
      <c r="L2164">
        <v>4</v>
      </c>
      <c r="M2164">
        <v>5</v>
      </c>
      <c r="N2164">
        <v>205</v>
      </c>
      <c r="O2164">
        <v>174</v>
      </c>
      <c r="P2164">
        <v>160</v>
      </c>
      <c r="Q2164">
        <v>123</v>
      </c>
      <c r="R2164">
        <v>83</v>
      </c>
      <c r="S2164">
        <v>30</v>
      </c>
      <c r="T2164">
        <v>8</v>
      </c>
      <c r="U2164">
        <v>330</v>
      </c>
    </row>
    <row r="2165" spans="1:21" x14ac:dyDescent="0.25">
      <c r="A2165">
        <v>2025</v>
      </c>
      <c r="B2165">
        <v>12</v>
      </c>
      <c r="C2165" t="s">
        <v>37</v>
      </c>
      <c r="D2165" t="s">
        <v>22</v>
      </c>
      <c r="E2165" t="s">
        <v>42</v>
      </c>
      <c r="F2165" t="s">
        <v>24</v>
      </c>
      <c r="G2165" t="s">
        <v>26</v>
      </c>
      <c r="H2165" t="s">
        <v>26</v>
      </c>
      <c r="I2165" t="s">
        <v>25</v>
      </c>
      <c r="J2165">
        <v>312</v>
      </c>
      <c r="K2165">
        <v>4</v>
      </c>
      <c r="L2165">
        <v>0</v>
      </c>
      <c r="M2165">
        <v>4</v>
      </c>
      <c r="N2165">
        <v>181</v>
      </c>
      <c r="O2165">
        <v>126</v>
      </c>
      <c r="P2165">
        <v>113</v>
      </c>
      <c r="Q2165">
        <v>84</v>
      </c>
      <c r="R2165">
        <v>58</v>
      </c>
      <c r="S2165">
        <v>23</v>
      </c>
      <c r="T2165">
        <v>9</v>
      </c>
      <c r="U2165">
        <v>308</v>
      </c>
    </row>
    <row r="2166" spans="1:21" x14ac:dyDescent="0.25">
      <c r="A2166">
        <v>2025</v>
      </c>
      <c r="B2166">
        <v>12</v>
      </c>
      <c r="C2166" t="s">
        <v>37</v>
      </c>
      <c r="D2166" t="s">
        <v>22</v>
      </c>
      <c r="E2166" t="s">
        <v>27</v>
      </c>
      <c r="F2166" t="s">
        <v>24</v>
      </c>
      <c r="G2166" t="s">
        <v>26</v>
      </c>
      <c r="H2166" t="s">
        <v>26</v>
      </c>
      <c r="I2166" t="s">
        <v>25</v>
      </c>
      <c r="J2166">
        <v>15</v>
      </c>
      <c r="K2166">
        <v>0</v>
      </c>
      <c r="L2166">
        <v>0</v>
      </c>
      <c r="M2166">
        <v>0</v>
      </c>
      <c r="N2166">
        <v>6</v>
      </c>
      <c r="O2166">
        <v>6</v>
      </c>
      <c r="P2166">
        <v>5</v>
      </c>
      <c r="Q2166">
        <v>3</v>
      </c>
      <c r="R2166">
        <v>3</v>
      </c>
      <c r="S2166">
        <v>0</v>
      </c>
      <c r="T2166">
        <v>0</v>
      </c>
      <c r="U2166">
        <v>15</v>
      </c>
    </row>
    <row r="2167" spans="1:21" x14ac:dyDescent="0.25">
      <c r="A2167">
        <v>2025</v>
      </c>
      <c r="B2167">
        <v>12</v>
      </c>
      <c r="C2167" t="s">
        <v>43</v>
      </c>
      <c r="D2167" t="s">
        <v>22</v>
      </c>
      <c r="E2167" t="s">
        <v>32</v>
      </c>
      <c r="F2167" t="s">
        <v>24</v>
      </c>
      <c r="G2167" t="s">
        <v>25</v>
      </c>
      <c r="H2167" t="s">
        <v>25</v>
      </c>
      <c r="I2167" t="s">
        <v>25</v>
      </c>
      <c r="J2167">
        <v>336</v>
      </c>
      <c r="K2167">
        <v>30</v>
      </c>
      <c r="L2167">
        <v>2</v>
      </c>
      <c r="M2167">
        <v>32</v>
      </c>
      <c r="N2167">
        <v>119</v>
      </c>
      <c r="O2167">
        <v>100</v>
      </c>
      <c r="P2167">
        <v>93</v>
      </c>
      <c r="Q2167">
        <v>71</v>
      </c>
      <c r="R2167">
        <v>50</v>
      </c>
      <c r="S2167">
        <v>33</v>
      </c>
      <c r="T2167">
        <v>13</v>
      </c>
      <c r="U2167">
        <v>305</v>
      </c>
    </row>
    <row r="2168" spans="1:21" x14ac:dyDescent="0.25">
      <c r="A2168">
        <v>2025</v>
      </c>
      <c r="B2168">
        <v>12</v>
      </c>
      <c r="C2168" t="s">
        <v>43</v>
      </c>
      <c r="D2168" t="s">
        <v>22</v>
      </c>
      <c r="E2168" t="s">
        <v>34</v>
      </c>
      <c r="F2168" t="s">
        <v>24</v>
      </c>
      <c r="G2168" t="s">
        <v>25</v>
      </c>
      <c r="H2168" t="s">
        <v>26</v>
      </c>
      <c r="I2168" t="s">
        <v>26</v>
      </c>
      <c r="J2168">
        <v>57</v>
      </c>
      <c r="K2168">
        <v>0</v>
      </c>
      <c r="L2168">
        <v>0</v>
      </c>
      <c r="M2168">
        <v>0</v>
      </c>
      <c r="N2168">
        <v>12</v>
      </c>
      <c r="O2168">
        <v>11</v>
      </c>
      <c r="P2168">
        <v>11</v>
      </c>
      <c r="Q2168">
        <v>10</v>
      </c>
      <c r="R2168">
        <v>8</v>
      </c>
      <c r="S2168">
        <v>6</v>
      </c>
      <c r="T2168">
        <v>2</v>
      </c>
      <c r="U2168">
        <v>57</v>
      </c>
    </row>
    <row r="2169" spans="1:21" x14ac:dyDescent="0.25">
      <c r="A2169">
        <v>2025</v>
      </c>
      <c r="B2169">
        <v>12</v>
      </c>
      <c r="C2169" t="s">
        <v>43</v>
      </c>
      <c r="D2169" t="s">
        <v>22</v>
      </c>
      <c r="E2169" t="s">
        <v>23</v>
      </c>
      <c r="F2169" t="s">
        <v>24</v>
      </c>
      <c r="G2169" t="s">
        <v>25</v>
      </c>
      <c r="H2169" t="s">
        <v>26</v>
      </c>
      <c r="I2169" t="s">
        <v>25</v>
      </c>
      <c r="J2169">
        <v>533</v>
      </c>
      <c r="K2169">
        <v>3</v>
      </c>
      <c r="L2169">
        <v>0</v>
      </c>
      <c r="M2169">
        <v>3</v>
      </c>
      <c r="N2169">
        <v>143</v>
      </c>
      <c r="O2169">
        <v>81</v>
      </c>
      <c r="P2169">
        <v>64</v>
      </c>
      <c r="Q2169">
        <v>35</v>
      </c>
      <c r="R2169">
        <v>24</v>
      </c>
      <c r="S2169">
        <v>5</v>
      </c>
      <c r="T2169">
        <v>0</v>
      </c>
      <c r="U2169">
        <v>530</v>
      </c>
    </row>
    <row r="2170" spans="1:21" x14ac:dyDescent="0.25">
      <c r="A2170">
        <v>2025</v>
      </c>
      <c r="B2170">
        <v>12</v>
      </c>
      <c r="C2170" t="s">
        <v>43</v>
      </c>
      <c r="D2170" t="s">
        <v>22</v>
      </c>
      <c r="E2170" t="s">
        <v>35</v>
      </c>
      <c r="F2170" t="s">
        <v>24</v>
      </c>
      <c r="G2170" t="s">
        <v>25</v>
      </c>
      <c r="H2170" t="s">
        <v>26</v>
      </c>
      <c r="I2170" t="s">
        <v>26</v>
      </c>
      <c r="J2170">
        <v>11</v>
      </c>
      <c r="K2170">
        <v>1</v>
      </c>
      <c r="L2170">
        <v>0</v>
      </c>
      <c r="M2170">
        <v>1</v>
      </c>
      <c r="N2170">
        <v>0</v>
      </c>
      <c r="O2170">
        <v>0</v>
      </c>
      <c r="P2170">
        <v>0</v>
      </c>
      <c r="Q2170">
        <v>0</v>
      </c>
      <c r="R2170">
        <v>0</v>
      </c>
      <c r="S2170">
        <v>0</v>
      </c>
      <c r="T2170">
        <v>0</v>
      </c>
      <c r="U2170">
        <v>10</v>
      </c>
    </row>
    <row r="2171" spans="1:21" x14ac:dyDescent="0.25">
      <c r="A2171">
        <v>2025</v>
      </c>
      <c r="B2171">
        <v>12</v>
      </c>
      <c r="C2171" t="s">
        <v>44</v>
      </c>
      <c r="D2171" t="s">
        <v>45</v>
      </c>
      <c r="E2171" t="s">
        <v>46</v>
      </c>
      <c r="F2171" t="s">
        <v>24</v>
      </c>
      <c r="G2171" t="s">
        <v>25</v>
      </c>
      <c r="H2171" t="s">
        <v>26</v>
      </c>
      <c r="I2171" t="s">
        <v>26</v>
      </c>
      <c r="J2171">
        <v>25</v>
      </c>
      <c r="K2171">
        <v>0</v>
      </c>
      <c r="L2171">
        <v>3</v>
      </c>
      <c r="M2171">
        <v>3</v>
      </c>
      <c r="N2171">
        <v>8</v>
      </c>
      <c r="O2171">
        <v>8</v>
      </c>
      <c r="P2171">
        <v>7</v>
      </c>
      <c r="Q2171">
        <v>6</v>
      </c>
      <c r="R2171">
        <v>6</v>
      </c>
      <c r="S2171">
        <v>5</v>
      </c>
      <c r="T2171">
        <v>1</v>
      </c>
      <c r="U2171">
        <v>23</v>
      </c>
    </row>
    <row r="2172" spans="1:21" x14ac:dyDescent="0.25">
      <c r="A2172">
        <v>2025</v>
      </c>
      <c r="B2172">
        <v>12</v>
      </c>
      <c r="C2172" t="s">
        <v>47</v>
      </c>
      <c r="D2172" t="s">
        <v>45</v>
      </c>
      <c r="E2172" t="s">
        <v>48</v>
      </c>
      <c r="F2172" t="s">
        <v>24</v>
      </c>
      <c r="G2172" t="s">
        <v>26</v>
      </c>
      <c r="H2172" t="s">
        <v>26</v>
      </c>
      <c r="I2172" t="s">
        <v>25</v>
      </c>
      <c r="J2172">
        <v>3609</v>
      </c>
      <c r="K2172">
        <v>238</v>
      </c>
      <c r="L2172">
        <v>159</v>
      </c>
      <c r="M2172">
        <v>397</v>
      </c>
      <c r="N2172">
        <v>1004</v>
      </c>
      <c r="O2172">
        <v>990</v>
      </c>
      <c r="P2172">
        <v>984</v>
      </c>
      <c r="Q2172">
        <v>736</v>
      </c>
      <c r="R2172">
        <v>588</v>
      </c>
      <c r="S2172">
        <v>302</v>
      </c>
      <c r="T2172">
        <v>121</v>
      </c>
      <c r="U2172">
        <v>3342</v>
      </c>
    </row>
    <row r="2173" spans="1:21" x14ac:dyDescent="0.25">
      <c r="A2173">
        <v>2025</v>
      </c>
      <c r="B2173">
        <v>12</v>
      </c>
      <c r="C2173" t="s">
        <v>49</v>
      </c>
      <c r="D2173" t="s">
        <v>45</v>
      </c>
      <c r="E2173" t="s">
        <v>50</v>
      </c>
      <c r="F2173" t="s">
        <v>28</v>
      </c>
      <c r="G2173" t="s">
        <v>25</v>
      </c>
      <c r="H2173" t="s">
        <v>26</v>
      </c>
      <c r="I2173" t="s">
        <v>25</v>
      </c>
      <c r="J2173">
        <v>437</v>
      </c>
      <c r="K2173">
        <v>11</v>
      </c>
      <c r="L2173">
        <v>24</v>
      </c>
      <c r="M2173">
        <v>35</v>
      </c>
      <c r="N2173">
        <v>319</v>
      </c>
      <c r="O2173">
        <v>286</v>
      </c>
      <c r="P2173">
        <v>280</v>
      </c>
      <c r="Q2173">
        <v>239</v>
      </c>
      <c r="R2173">
        <v>204</v>
      </c>
      <c r="S2173">
        <v>124</v>
      </c>
      <c r="T2173">
        <v>51</v>
      </c>
      <c r="U2173">
        <v>424</v>
      </c>
    </row>
    <row r="2174" spans="1:21" x14ac:dyDescent="0.25">
      <c r="A2174">
        <v>2025</v>
      </c>
      <c r="B2174">
        <v>12</v>
      </c>
      <c r="C2174" t="s">
        <v>49</v>
      </c>
      <c r="D2174" t="s">
        <v>45</v>
      </c>
      <c r="E2174" t="s">
        <v>50</v>
      </c>
      <c r="F2174" t="s">
        <v>24</v>
      </c>
      <c r="G2174" t="s">
        <v>25</v>
      </c>
      <c r="H2174" t="s">
        <v>26</v>
      </c>
      <c r="I2174" t="s">
        <v>25</v>
      </c>
      <c r="J2174">
        <v>70</v>
      </c>
      <c r="K2174">
        <v>4</v>
      </c>
      <c r="L2174">
        <v>4</v>
      </c>
      <c r="M2174">
        <v>8</v>
      </c>
      <c r="N2174">
        <v>42</v>
      </c>
      <c r="O2174">
        <v>37</v>
      </c>
      <c r="P2174">
        <v>33</v>
      </c>
      <c r="Q2174">
        <v>26</v>
      </c>
      <c r="R2174">
        <v>17</v>
      </c>
      <c r="S2174">
        <v>9</v>
      </c>
      <c r="T2174">
        <v>8</v>
      </c>
      <c r="U2174">
        <v>65</v>
      </c>
    </row>
    <row r="2175" spans="1:21" x14ac:dyDescent="0.25">
      <c r="A2175">
        <v>2025</v>
      </c>
      <c r="B2175">
        <v>12</v>
      </c>
      <c r="C2175" t="s">
        <v>51</v>
      </c>
      <c r="D2175" t="s">
        <v>22</v>
      </c>
      <c r="E2175" t="s">
        <v>31</v>
      </c>
      <c r="F2175" t="s">
        <v>24</v>
      </c>
      <c r="G2175" t="s">
        <v>25</v>
      </c>
      <c r="H2175" t="s">
        <v>25</v>
      </c>
      <c r="I2175" t="s">
        <v>25</v>
      </c>
      <c r="J2175">
        <v>77</v>
      </c>
      <c r="K2175">
        <v>0</v>
      </c>
      <c r="L2175">
        <v>0</v>
      </c>
      <c r="M2175">
        <v>0</v>
      </c>
      <c r="N2175">
        <v>0</v>
      </c>
      <c r="O2175">
        <v>0</v>
      </c>
      <c r="P2175">
        <v>0</v>
      </c>
      <c r="Q2175">
        <v>0</v>
      </c>
      <c r="R2175">
        <v>0</v>
      </c>
      <c r="S2175">
        <v>0</v>
      </c>
      <c r="T2175">
        <v>0</v>
      </c>
      <c r="U2175">
        <v>77</v>
      </c>
    </row>
    <row r="2176" spans="1:21" x14ac:dyDescent="0.25">
      <c r="A2176">
        <v>2025</v>
      </c>
      <c r="B2176">
        <v>12</v>
      </c>
      <c r="C2176" t="s">
        <v>51</v>
      </c>
      <c r="D2176" t="s">
        <v>22</v>
      </c>
      <c r="E2176" t="s">
        <v>32</v>
      </c>
      <c r="F2176" t="s">
        <v>24</v>
      </c>
      <c r="G2176" t="s">
        <v>25</v>
      </c>
      <c r="H2176" t="s">
        <v>25</v>
      </c>
      <c r="I2176" t="s">
        <v>25</v>
      </c>
      <c r="J2176">
        <v>72</v>
      </c>
      <c r="K2176">
        <v>0</v>
      </c>
      <c r="L2176">
        <v>0</v>
      </c>
      <c r="M2176">
        <v>0</v>
      </c>
      <c r="N2176">
        <v>17</v>
      </c>
      <c r="O2176">
        <v>14</v>
      </c>
      <c r="P2176">
        <v>14</v>
      </c>
      <c r="Q2176">
        <v>10</v>
      </c>
      <c r="R2176">
        <v>7</v>
      </c>
      <c r="S2176">
        <v>4</v>
      </c>
      <c r="T2176">
        <v>0</v>
      </c>
      <c r="U2176">
        <v>72</v>
      </c>
    </row>
    <row r="2177" spans="1:21" x14ac:dyDescent="0.25">
      <c r="A2177">
        <v>2025</v>
      </c>
      <c r="B2177">
        <v>12</v>
      </c>
      <c r="C2177" t="s">
        <v>51</v>
      </c>
      <c r="D2177" t="s">
        <v>22</v>
      </c>
      <c r="E2177" t="s">
        <v>34</v>
      </c>
      <c r="F2177" t="s">
        <v>24</v>
      </c>
      <c r="G2177" t="s">
        <v>25</v>
      </c>
      <c r="H2177" t="s">
        <v>26</v>
      </c>
      <c r="I2177" t="s">
        <v>26</v>
      </c>
      <c r="J2177">
        <v>124</v>
      </c>
      <c r="K2177">
        <v>2</v>
      </c>
      <c r="L2177">
        <v>0</v>
      </c>
      <c r="M2177">
        <v>2</v>
      </c>
      <c r="N2177">
        <v>5</v>
      </c>
      <c r="O2177">
        <v>3</v>
      </c>
      <c r="P2177">
        <v>1</v>
      </c>
      <c r="Q2177">
        <v>1</v>
      </c>
      <c r="R2177">
        <v>1</v>
      </c>
      <c r="S2177">
        <v>1</v>
      </c>
      <c r="T2177">
        <v>1</v>
      </c>
      <c r="U2177">
        <v>122</v>
      </c>
    </row>
    <row r="2178" spans="1:21" x14ac:dyDescent="0.25">
      <c r="A2178">
        <v>2025</v>
      </c>
      <c r="B2178">
        <v>12</v>
      </c>
      <c r="C2178" t="s">
        <v>52</v>
      </c>
      <c r="D2178" t="s">
        <v>22</v>
      </c>
      <c r="E2178" t="s">
        <v>31</v>
      </c>
      <c r="F2178" t="s">
        <v>24</v>
      </c>
      <c r="G2178" t="s">
        <v>25</v>
      </c>
      <c r="H2178" t="s">
        <v>25</v>
      </c>
      <c r="I2178" t="s">
        <v>25</v>
      </c>
      <c r="J2178">
        <v>139</v>
      </c>
      <c r="K2178">
        <v>0</v>
      </c>
      <c r="L2178">
        <v>0</v>
      </c>
      <c r="M2178">
        <v>0</v>
      </c>
      <c r="N2178">
        <v>1</v>
      </c>
      <c r="O2178">
        <v>1</v>
      </c>
      <c r="P2178">
        <v>1</v>
      </c>
      <c r="Q2178">
        <v>1</v>
      </c>
      <c r="R2178">
        <v>0</v>
      </c>
      <c r="S2178">
        <v>0</v>
      </c>
      <c r="T2178">
        <v>0</v>
      </c>
      <c r="U2178">
        <v>139</v>
      </c>
    </row>
    <row r="2179" spans="1:21" x14ac:dyDescent="0.25">
      <c r="A2179">
        <v>2025</v>
      </c>
      <c r="B2179">
        <v>12</v>
      </c>
      <c r="C2179" t="s">
        <v>52</v>
      </c>
      <c r="D2179" t="s">
        <v>22</v>
      </c>
      <c r="E2179" t="s">
        <v>32</v>
      </c>
      <c r="F2179" t="s">
        <v>24</v>
      </c>
      <c r="G2179" t="s">
        <v>25</v>
      </c>
      <c r="H2179" t="s">
        <v>26</v>
      </c>
      <c r="I2179" t="s">
        <v>25</v>
      </c>
      <c r="J2179">
        <v>509</v>
      </c>
      <c r="K2179">
        <v>0</v>
      </c>
      <c r="L2179">
        <v>0</v>
      </c>
      <c r="M2179">
        <v>0</v>
      </c>
      <c r="N2179">
        <v>76</v>
      </c>
      <c r="O2179">
        <v>70</v>
      </c>
      <c r="P2179">
        <v>69</v>
      </c>
      <c r="Q2179">
        <v>49</v>
      </c>
      <c r="R2179">
        <v>39</v>
      </c>
      <c r="S2179">
        <v>23</v>
      </c>
      <c r="T2179">
        <v>6</v>
      </c>
      <c r="U2179">
        <v>509</v>
      </c>
    </row>
    <row r="2180" spans="1:21" x14ac:dyDescent="0.25">
      <c r="A2180">
        <v>2025</v>
      </c>
      <c r="B2180">
        <v>12</v>
      </c>
      <c r="C2180" t="s">
        <v>52</v>
      </c>
      <c r="D2180" t="s">
        <v>22</v>
      </c>
      <c r="E2180" t="s">
        <v>34</v>
      </c>
      <c r="F2180" t="s">
        <v>24</v>
      </c>
      <c r="G2180" t="s">
        <v>25</v>
      </c>
      <c r="H2180" t="s">
        <v>26</v>
      </c>
      <c r="I2180" t="s">
        <v>26</v>
      </c>
      <c r="J2180">
        <v>167</v>
      </c>
      <c r="K2180">
        <v>1</v>
      </c>
      <c r="L2180">
        <v>0</v>
      </c>
      <c r="M2180">
        <v>1</v>
      </c>
      <c r="N2180">
        <v>14</v>
      </c>
      <c r="O2180">
        <v>10</v>
      </c>
      <c r="P2180">
        <v>9</v>
      </c>
      <c r="Q2180">
        <v>7</v>
      </c>
      <c r="R2180">
        <v>4</v>
      </c>
      <c r="S2180">
        <v>3</v>
      </c>
      <c r="T2180">
        <v>0</v>
      </c>
      <c r="U2180">
        <v>166</v>
      </c>
    </row>
    <row r="2181" spans="1:21" x14ac:dyDescent="0.25">
      <c r="A2181">
        <v>2025</v>
      </c>
      <c r="B2181">
        <v>12</v>
      </c>
      <c r="C2181" t="s">
        <v>52</v>
      </c>
      <c r="D2181" t="s">
        <v>22</v>
      </c>
      <c r="E2181" t="s">
        <v>23</v>
      </c>
      <c r="F2181" t="s">
        <v>24</v>
      </c>
      <c r="G2181" t="s">
        <v>25</v>
      </c>
      <c r="H2181" t="s">
        <v>26</v>
      </c>
      <c r="I2181" t="s">
        <v>25</v>
      </c>
      <c r="J2181">
        <v>248</v>
      </c>
      <c r="K2181">
        <v>0</v>
      </c>
      <c r="L2181">
        <v>0</v>
      </c>
      <c r="M2181">
        <v>0</v>
      </c>
      <c r="N2181">
        <v>1</v>
      </c>
      <c r="O2181">
        <v>1</v>
      </c>
      <c r="P2181">
        <v>1</v>
      </c>
      <c r="Q2181">
        <v>1</v>
      </c>
      <c r="R2181">
        <v>1</v>
      </c>
      <c r="S2181">
        <v>0</v>
      </c>
      <c r="T2181">
        <v>0</v>
      </c>
      <c r="U2181">
        <v>248</v>
      </c>
    </row>
    <row r="2182" spans="1:21" x14ac:dyDescent="0.25">
      <c r="A2182">
        <v>2025</v>
      </c>
      <c r="B2182">
        <v>12</v>
      </c>
      <c r="C2182" t="s">
        <v>52</v>
      </c>
      <c r="D2182" t="s">
        <v>22</v>
      </c>
      <c r="E2182" t="s">
        <v>36</v>
      </c>
      <c r="F2182" t="s">
        <v>24</v>
      </c>
      <c r="G2182" t="s">
        <v>25</v>
      </c>
      <c r="H2182" t="s">
        <v>26</v>
      </c>
      <c r="I2182" t="s">
        <v>25</v>
      </c>
      <c r="J2182">
        <v>36</v>
      </c>
      <c r="K2182">
        <v>0</v>
      </c>
      <c r="L2182">
        <v>0</v>
      </c>
      <c r="M2182">
        <v>0</v>
      </c>
      <c r="N2182">
        <v>18</v>
      </c>
      <c r="O2182">
        <v>13</v>
      </c>
      <c r="P2182">
        <v>12</v>
      </c>
      <c r="Q2182">
        <v>7</v>
      </c>
      <c r="R2182">
        <v>3</v>
      </c>
      <c r="S2182">
        <v>0</v>
      </c>
      <c r="T2182">
        <v>0</v>
      </c>
      <c r="U2182">
        <v>36</v>
      </c>
    </row>
    <row r="2183" spans="1:21" x14ac:dyDescent="0.25">
      <c r="A2183">
        <v>2025</v>
      </c>
      <c r="B2183">
        <v>12</v>
      </c>
      <c r="C2183" t="s">
        <v>52</v>
      </c>
      <c r="D2183" t="s">
        <v>22</v>
      </c>
      <c r="E2183" t="s">
        <v>41</v>
      </c>
      <c r="F2183" t="s">
        <v>24</v>
      </c>
      <c r="G2183" t="s">
        <v>26</v>
      </c>
      <c r="H2183" t="s">
        <v>26</v>
      </c>
      <c r="I2183" t="s">
        <v>25</v>
      </c>
      <c r="J2183">
        <v>495</v>
      </c>
      <c r="K2183">
        <v>1</v>
      </c>
      <c r="L2183">
        <v>0</v>
      </c>
      <c r="M2183">
        <v>1</v>
      </c>
      <c r="N2183">
        <v>175</v>
      </c>
      <c r="O2183">
        <v>137</v>
      </c>
      <c r="P2183">
        <v>126</v>
      </c>
      <c r="Q2183">
        <v>81</v>
      </c>
      <c r="R2183">
        <v>60</v>
      </c>
      <c r="S2183">
        <v>20</v>
      </c>
      <c r="T2183">
        <v>3</v>
      </c>
      <c r="U2183">
        <v>494</v>
      </c>
    </row>
    <row r="2184" spans="1:21" x14ac:dyDescent="0.25">
      <c r="A2184">
        <v>2025</v>
      </c>
      <c r="B2184">
        <v>12</v>
      </c>
      <c r="C2184" t="s">
        <v>53</v>
      </c>
      <c r="D2184" t="s">
        <v>22</v>
      </c>
      <c r="E2184" t="s">
        <v>54</v>
      </c>
      <c r="F2184" t="s">
        <v>24</v>
      </c>
      <c r="G2184" t="s">
        <v>25</v>
      </c>
      <c r="H2184" t="s">
        <v>26</v>
      </c>
      <c r="I2184" t="s">
        <v>25</v>
      </c>
      <c r="J2184">
        <v>869</v>
      </c>
      <c r="K2184">
        <v>3</v>
      </c>
      <c r="L2184">
        <v>2</v>
      </c>
      <c r="M2184">
        <v>5</v>
      </c>
      <c r="N2184">
        <v>72</v>
      </c>
      <c r="O2184">
        <v>47</v>
      </c>
      <c r="P2184">
        <v>42</v>
      </c>
      <c r="Q2184">
        <v>22</v>
      </c>
      <c r="R2184">
        <v>15</v>
      </c>
      <c r="S2184">
        <v>3</v>
      </c>
      <c r="T2184">
        <v>0</v>
      </c>
      <c r="U2184">
        <v>866</v>
      </c>
    </row>
    <row r="2185" spans="1:21" x14ac:dyDescent="0.25">
      <c r="A2185">
        <v>2025</v>
      </c>
      <c r="B2185">
        <v>12</v>
      </c>
      <c r="C2185" t="s">
        <v>53</v>
      </c>
      <c r="D2185" t="s">
        <v>22</v>
      </c>
      <c r="E2185" t="s">
        <v>23</v>
      </c>
      <c r="F2185" t="s">
        <v>28</v>
      </c>
      <c r="G2185" t="s">
        <v>25</v>
      </c>
      <c r="H2185" t="s">
        <v>26</v>
      </c>
      <c r="I2185" t="s">
        <v>25</v>
      </c>
      <c r="J2185">
        <v>35915</v>
      </c>
      <c r="K2185">
        <v>0</v>
      </c>
      <c r="L2185">
        <v>2527</v>
      </c>
      <c r="M2185">
        <v>2527</v>
      </c>
      <c r="N2185">
        <v>4175</v>
      </c>
      <c r="O2185">
        <v>2318</v>
      </c>
      <c r="P2185">
        <v>1805</v>
      </c>
      <c r="Q2185">
        <v>872</v>
      </c>
      <c r="R2185">
        <v>398</v>
      </c>
      <c r="S2185">
        <v>35</v>
      </c>
      <c r="T2185">
        <v>1</v>
      </c>
      <c r="U2185">
        <v>33962</v>
      </c>
    </row>
    <row r="2186" spans="1:21" x14ac:dyDescent="0.25">
      <c r="A2186">
        <v>2025</v>
      </c>
      <c r="B2186">
        <v>12</v>
      </c>
      <c r="C2186" t="s">
        <v>53</v>
      </c>
      <c r="D2186" t="s">
        <v>22</v>
      </c>
      <c r="E2186" t="s">
        <v>23</v>
      </c>
      <c r="F2186" t="s">
        <v>24</v>
      </c>
      <c r="G2186" t="s">
        <v>25</v>
      </c>
      <c r="H2186" t="s">
        <v>26</v>
      </c>
      <c r="I2186" t="s">
        <v>25</v>
      </c>
      <c r="J2186">
        <v>62</v>
      </c>
      <c r="K2186">
        <v>4</v>
      </c>
      <c r="L2186">
        <v>0</v>
      </c>
      <c r="M2186">
        <v>4</v>
      </c>
      <c r="N2186">
        <v>18</v>
      </c>
      <c r="O2186">
        <v>13</v>
      </c>
      <c r="P2186">
        <v>13</v>
      </c>
      <c r="Q2186">
        <v>9</v>
      </c>
      <c r="R2186">
        <v>8</v>
      </c>
      <c r="S2186">
        <v>3</v>
      </c>
      <c r="T2186">
        <v>0</v>
      </c>
      <c r="U2186">
        <v>58</v>
      </c>
    </row>
    <row r="2187" spans="1:21" x14ac:dyDescent="0.25">
      <c r="A2187">
        <v>2025</v>
      </c>
      <c r="B2187">
        <v>12</v>
      </c>
      <c r="C2187" t="s">
        <v>53</v>
      </c>
      <c r="D2187" t="s">
        <v>22</v>
      </c>
      <c r="E2187" t="s">
        <v>56</v>
      </c>
      <c r="F2187" t="s">
        <v>28</v>
      </c>
      <c r="G2187" t="s">
        <v>25</v>
      </c>
      <c r="H2187" t="s">
        <v>26</v>
      </c>
      <c r="I2187" t="s">
        <v>25</v>
      </c>
      <c r="J2187">
        <v>3549</v>
      </c>
      <c r="K2187">
        <v>0</v>
      </c>
      <c r="L2187">
        <v>684</v>
      </c>
      <c r="M2187">
        <v>684</v>
      </c>
      <c r="N2187">
        <v>511</v>
      </c>
      <c r="O2187">
        <v>330</v>
      </c>
      <c r="P2187">
        <v>287</v>
      </c>
      <c r="Q2187">
        <v>163</v>
      </c>
      <c r="R2187">
        <v>78</v>
      </c>
      <c r="S2187">
        <v>13</v>
      </c>
      <c r="T2187">
        <v>0</v>
      </c>
      <c r="U2187">
        <v>3071</v>
      </c>
    </row>
    <row r="2188" spans="1:21" x14ac:dyDescent="0.25">
      <c r="A2188">
        <v>2025</v>
      </c>
      <c r="B2188">
        <v>12</v>
      </c>
      <c r="C2188" t="s">
        <v>53</v>
      </c>
      <c r="D2188" t="s">
        <v>22</v>
      </c>
      <c r="E2188" t="s">
        <v>39</v>
      </c>
      <c r="F2188" t="s">
        <v>24</v>
      </c>
      <c r="G2188" t="s">
        <v>26</v>
      </c>
      <c r="H2188" t="s">
        <v>26</v>
      </c>
      <c r="I2188" t="s">
        <v>25</v>
      </c>
      <c r="J2188">
        <v>905</v>
      </c>
      <c r="K2188">
        <v>5</v>
      </c>
      <c r="L2188">
        <v>36</v>
      </c>
      <c r="M2188">
        <v>41</v>
      </c>
      <c r="N2188">
        <v>379</v>
      </c>
      <c r="O2188">
        <v>343</v>
      </c>
      <c r="P2188">
        <v>332</v>
      </c>
      <c r="Q2188">
        <v>295</v>
      </c>
      <c r="R2188">
        <v>219</v>
      </c>
      <c r="S2188">
        <v>95</v>
      </c>
      <c r="T2188">
        <v>26</v>
      </c>
      <c r="U2188">
        <v>890</v>
      </c>
    </row>
    <row r="2189" spans="1:21" x14ac:dyDescent="0.25">
      <c r="A2189">
        <v>2025</v>
      </c>
      <c r="B2189">
        <v>12</v>
      </c>
      <c r="C2189" t="s">
        <v>53</v>
      </c>
      <c r="D2189" t="s">
        <v>22</v>
      </c>
      <c r="E2189" t="s">
        <v>35</v>
      </c>
      <c r="F2189" t="s">
        <v>24</v>
      </c>
      <c r="G2189" t="s">
        <v>25</v>
      </c>
      <c r="H2189" t="s">
        <v>26</v>
      </c>
      <c r="I2189" t="s">
        <v>26</v>
      </c>
      <c r="J2189">
        <v>186</v>
      </c>
      <c r="K2189">
        <v>5</v>
      </c>
      <c r="L2189">
        <v>0</v>
      </c>
      <c r="M2189">
        <v>5</v>
      </c>
      <c r="N2189">
        <v>104</v>
      </c>
      <c r="O2189">
        <v>87</v>
      </c>
      <c r="P2189">
        <v>82</v>
      </c>
      <c r="Q2189">
        <v>68</v>
      </c>
      <c r="R2189">
        <v>57</v>
      </c>
      <c r="S2189">
        <v>43</v>
      </c>
      <c r="T2189">
        <v>20</v>
      </c>
      <c r="U2189">
        <v>181</v>
      </c>
    </row>
    <row r="2190" spans="1:21" x14ac:dyDescent="0.25">
      <c r="A2190">
        <v>2025</v>
      </c>
      <c r="B2190">
        <v>12</v>
      </c>
      <c r="C2190" t="s">
        <v>53</v>
      </c>
      <c r="D2190" t="s">
        <v>22</v>
      </c>
      <c r="E2190" t="s">
        <v>57</v>
      </c>
      <c r="F2190" t="s">
        <v>28</v>
      </c>
      <c r="G2190" t="s">
        <v>25</v>
      </c>
      <c r="H2190" t="s">
        <v>26</v>
      </c>
      <c r="I2190" t="s">
        <v>26</v>
      </c>
      <c r="J2190">
        <v>16</v>
      </c>
      <c r="K2190">
        <v>0</v>
      </c>
      <c r="L2190">
        <v>0</v>
      </c>
      <c r="M2190">
        <v>0</v>
      </c>
      <c r="N2190">
        <v>4</v>
      </c>
      <c r="O2190">
        <v>4</v>
      </c>
      <c r="P2190">
        <v>3</v>
      </c>
      <c r="Q2190">
        <v>1</v>
      </c>
      <c r="R2190">
        <v>1</v>
      </c>
      <c r="S2190">
        <v>0</v>
      </c>
      <c r="T2190">
        <v>0</v>
      </c>
      <c r="U2190">
        <v>16</v>
      </c>
    </row>
    <row r="2191" spans="1:21" x14ac:dyDescent="0.25">
      <c r="A2191">
        <v>2025</v>
      </c>
      <c r="B2191">
        <v>12</v>
      </c>
      <c r="C2191" t="s">
        <v>53</v>
      </c>
      <c r="D2191" t="s">
        <v>22</v>
      </c>
      <c r="E2191" t="s">
        <v>58</v>
      </c>
      <c r="F2191" t="s">
        <v>28</v>
      </c>
      <c r="G2191" t="s">
        <v>25</v>
      </c>
      <c r="H2191" t="s">
        <v>25</v>
      </c>
      <c r="I2191" t="s">
        <v>25</v>
      </c>
      <c r="J2191">
        <v>4424</v>
      </c>
      <c r="K2191">
        <v>0</v>
      </c>
      <c r="L2191">
        <v>161</v>
      </c>
      <c r="M2191">
        <v>161</v>
      </c>
      <c r="N2191">
        <v>365</v>
      </c>
      <c r="O2191">
        <v>139</v>
      </c>
      <c r="P2191">
        <v>96</v>
      </c>
      <c r="Q2191">
        <v>38</v>
      </c>
      <c r="R2191">
        <v>16</v>
      </c>
      <c r="S2191">
        <v>0</v>
      </c>
      <c r="T2191">
        <v>0</v>
      </c>
      <c r="U2191">
        <v>4319</v>
      </c>
    </row>
    <row r="2192" spans="1:21" x14ac:dyDescent="0.25">
      <c r="A2192">
        <v>2025</v>
      </c>
      <c r="B2192">
        <v>12</v>
      </c>
      <c r="C2192" t="s">
        <v>53</v>
      </c>
      <c r="D2192" t="s">
        <v>22</v>
      </c>
      <c r="E2192" t="s">
        <v>59</v>
      </c>
      <c r="F2192" t="s">
        <v>28</v>
      </c>
      <c r="G2192" t="s">
        <v>25</v>
      </c>
      <c r="H2192" t="s">
        <v>25</v>
      </c>
      <c r="I2192" t="s">
        <v>25</v>
      </c>
      <c r="J2192">
        <v>77966</v>
      </c>
      <c r="K2192">
        <v>0</v>
      </c>
      <c r="L2192">
        <v>2403</v>
      </c>
      <c r="M2192">
        <v>2403</v>
      </c>
      <c r="N2192">
        <v>5381</v>
      </c>
      <c r="O2192">
        <v>2417</v>
      </c>
      <c r="P2192">
        <v>1753</v>
      </c>
      <c r="Q2192">
        <v>641</v>
      </c>
      <c r="R2192">
        <v>231</v>
      </c>
      <c r="S2192">
        <v>16</v>
      </c>
      <c r="T2192">
        <v>0</v>
      </c>
      <c r="U2192">
        <v>76138</v>
      </c>
    </row>
    <row r="2193" spans="1:21" x14ac:dyDescent="0.25">
      <c r="A2193">
        <v>2025</v>
      </c>
      <c r="B2193">
        <v>12</v>
      </c>
      <c r="C2193" t="s">
        <v>53</v>
      </c>
      <c r="D2193" t="s">
        <v>22</v>
      </c>
      <c r="E2193" t="s">
        <v>60</v>
      </c>
      <c r="F2193" t="s">
        <v>28</v>
      </c>
      <c r="G2193" t="s">
        <v>25</v>
      </c>
      <c r="H2193" t="s">
        <v>25</v>
      </c>
      <c r="I2193" t="s">
        <v>25</v>
      </c>
      <c r="J2193">
        <v>36317</v>
      </c>
      <c r="K2193">
        <v>0</v>
      </c>
      <c r="L2193">
        <v>952</v>
      </c>
      <c r="M2193">
        <v>952</v>
      </c>
      <c r="N2193">
        <v>2444</v>
      </c>
      <c r="O2193">
        <v>949</v>
      </c>
      <c r="P2193">
        <v>597</v>
      </c>
      <c r="Q2193">
        <v>198</v>
      </c>
      <c r="R2193">
        <v>82</v>
      </c>
      <c r="S2193">
        <v>9</v>
      </c>
      <c r="T2193">
        <v>0</v>
      </c>
      <c r="U2193">
        <v>35620</v>
      </c>
    </row>
    <row r="2194" spans="1:21" x14ac:dyDescent="0.25">
      <c r="A2194">
        <v>2025</v>
      </c>
      <c r="B2194">
        <v>12</v>
      </c>
      <c r="C2194" t="s">
        <v>61</v>
      </c>
      <c r="D2194" t="s">
        <v>22</v>
      </c>
      <c r="E2194" t="s">
        <v>31</v>
      </c>
      <c r="F2194" t="s">
        <v>28</v>
      </c>
      <c r="G2194" t="s">
        <v>25</v>
      </c>
      <c r="H2194" t="s">
        <v>26</v>
      </c>
      <c r="I2194" t="s">
        <v>25</v>
      </c>
      <c r="J2194">
        <v>327</v>
      </c>
      <c r="K2194">
        <v>1</v>
      </c>
      <c r="L2194">
        <v>1</v>
      </c>
      <c r="M2194">
        <v>2</v>
      </c>
      <c r="N2194">
        <v>80</v>
      </c>
      <c r="O2194">
        <v>54</v>
      </c>
      <c r="P2194">
        <v>45</v>
      </c>
      <c r="Q2194">
        <v>32</v>
      </c>
      <c r="R2194">
        <v>24</v>
      </c>
      <c r="S2194">
        <v>7</v>
      </c>
      <c r="T2194">
        <v>2</v>
      </c>
      <c r="U2194">
        <v>325</v>
      </c>
    </row>
    <row r="2195" spans="1:21" x14ac:dyDescent="0.25">
      <c r="A2195">
        <v>2025</v>
      </c>
      <c r="B2195">
        <v>12</v>
      </c>
      <c r="C2195" t="s">
        <v>61</v>
      </c>
      <c r="D2195" t="s">
        <v>22</v>
      </c>
      <c r="E2195" t="s">
        <v>31</v>
      </c>
      <c r="F2195" t="s">
        <v>24</v>
      </c>
      <c r="G2195" t="s">
        <v>25</v>
      </c>
      <c r="H2195" t="s">
        <v>26</v>
      </c>
      <c r="I2195" t="s">
        <v>25</v>
      </c>
      <c r="J2195">
        <v>676</v>
      </c>
      <c r="K2195">
        <v>0</v>
      </c>
      <c r="L2195">
        <v>0</v>
      </c>
      <c r="M2195">
        <v>0</v>
      </c>
      <c r="N2195">
        <v>149</v>
      </c>
      <c r="O2195">
        <v>90</v>
      </c>
      <c r="P2195">
        <v>76</v>
      </c>
      <c r="Q2195">
        <v>47</v>
      </c>
      <c r="R2195">
        <v>25</v>
      </c>
      <c r="S2195">
        <v>9</v>
      </c>
      <c r="T2195">
        <v>1</v>
      </c>
      <c r="U2195">
        <v>676</v>
      </c>
    </row>
    <row r="2196" spans="1:21" x14ac:dyDescent="0.25">
      <c r="A2196">
        <v>2025</v>
      </c>
      <c r="B2196">
        <v>12</v>
      </c>
      <c r="C2196" t="s">
        <v>61</v>
      </c>
      <c r="D2196" t="s">
        <v>22</v>
      </c>
      <c r="E2196" t="s">
        <v>32</v>
      </c>
      <c r="F2196" t="s">
        <v>28</v>
      </c>
      <c r="G2196" t="s">
        <v>25</v>
      </c>
      <c r="H2196" t="s">
        <v>26</v>
      </c>
      <c r="I2196" t="s">
        <v>25</v>
      </c>
      <c r="J2196">
        <v>26</v>
      </c>
      <c r="K2196">
        <v>0</v>
      </c>
      <c r="L2196">
        <v>0</v>
      </c>
      <c r="M2196">
        <v>0</v>
      </c>
      <c r="N2196">
        <v>5</v>
      </c>
      <c r="O2196">
        <v>5</v>
      </c>
      <c r="P2196">
        <v>3</v>
      </c>
      <c r="Q2196">
        <v>1</v>
      </c>
      <c r="R2196">
        <v>1</v>
      </c>
      <c r="S2196">
        <v>0</v>
      </c>
      <c r="T2196">
        <v>0</v>
      </c>
      <c r="U2196">
        <v>26</v>
      </c>
    </row>
    <row r="2197" spans="1:21" x14ac:dyDescent="0.25">
      <c r="A2197">
        <v>2025</v>
      </c>
      <c r="B2197">
        <v>12</v>
      </c>
      <c r="C2197" t="s">
        <v>61</v>
      </c>
      <c r="D2197" t="s">
        <v>22</v>
      </c>
      <c r="E2197" t="s">
        <v>32</v>
      </c>
      <c r="F2197" t="s">
        <v>24</v>
      </c>
      <c r="G2197" t="s">
        <v>25</v>
      </c>
      <c r="H2197" t="s">
        <v>26</v>
      </c>
      <c r="I2197" t="s">
        <v>25</v>
      </c>
      <c r="J2197">
        <v>1864</v>
      </c>
      <c r="K2197">
        <v>9</v>
      </c>
      <c r="L2197">
        <v>4</v>
      </c>
      <c r="M2197">
        <v>13</v>
      </c>
      <c r="N2197">
        <v>599</v>
      </c>
      <c r="O2197">
        <v>470</v>
      </c>
      <c r="P2197">
        <v>411</v>
      </c>
      <c r="Q2197">
        <v>279</v>
      </c>
      <c r="R2197">
        <v>204</v>
      </c>
      <c r="S2197">
        <v>85</v>
      </c>
      <c r="T2197">
        <v>24</v>
      </c>
      <c r="U2197">
        <v>1853</v>
      </c>
    </row>
    <row r="2198" spans="1:21" x14ac:dyDescent="0.25">
      <c r="A2198">
        <v>2025</v>
      </c>
      <c r="B2198">
        <v>12</v>
      </c>
      <c r="C2198" t="s">
        <v>61</v>
      </c>
      <c r="D2198" t="s">
        <v>22</v>
      </c>
      <c r="E2198" t="s">
        <v>34</v>
      </c>
      <c r="F2198" t="s">
        <v>24</v>
      </c>
      <c r="G2198" t="s">
        <v>25</v>
      </c>
      <c r="H2198" t="s">
        <v>26</v>
      </c>
      <c r="I2198" t="s">
        <v>26</v>
      </c>
      <c r="J2198">
        <v>376</v>
      </c>
      <c r="K2198">
        <v>2</v>
      </c>
      <c r="L2198">
        <v>1</v>
      </c>
      <c r="M2198">
        <v>3</v>
      </c>
      <c r="N2198">
        <v>102</v>
      </c>
      <c r="O2198">
        <v>72</v>
      </c>
      <c r="P2198">
        <v>61</v>
      </c>
      <c r="Q2198">
        <v>50</v>
      </c>
      <c r="R2198">
        <v>41</v>
      </c>
      <c r="S2198">
        <v>27</v>
      </c>
      <c r="T2198">
        <v>12</v>
      </c>
      <c r="U2198">
        <v>373</v>
      </c>
    </row>
    <row r="2199" spans="1:21" x14ac:dyDescent="0.25">
      <c r="A2199">
        <v>2025</v>
      </c>
      <c r="B2199">
        <v>12</v>
      </c>
      <c r="C2199" t="s">
        <v>61</v>
      </c>
      <c r="D2199" t="s">
        <v>22</v>
      </c>
      <c r="E2199" t="s">
        <v>23</v>
      </c>
      <c r="F2199" t="s">
        <v>28</v>
      </c>
      <c r="G2199" t="s">
        <v>25</v>
      </c>
      <c r="H2199" t="s">
        <v>26</v>
      </c>
      <c r="I2199" t="s">
        <v>25</v>
      </c>
      <c r="J2199">
        <v>1912</v>
      </c>
      <c r="K2199">
        <v>8</v>
      </c>
      <c r="L2199">
        <v>54</v>
      </c>
      <c r="M2199">
        <v>62</v>
      </c>
      <c r="N2199">
        <v>350</v>
      </c>
      <c r="O2199">
        <v>232</v>
      </c>
      <c r="P2199">
        <v>196</v>
      </c>
      <c r="Q2199">
        <v>122</v>
      </c>
      <c r="R2199">
        <v>82</v>
      </c>
      <c r="S2199">
        <v>40</v>
      </c>
      <c r="T2199">
        <v>20</v>
      </c>
      <c r="U2199">
        <v>1877</v>
      </c>
    </row>
    <row r="2200" spans="1:21" x14ac:dyDescent="0.25">
      <c r="A2200">
        <v>2025</v>
      </c>
      <c r="B2200">
        <v>12</v>
      </c>
      <c r="C2200" t="s">
        <v>61</v>
      </c>
      <c r="D2200" t="s">
        <v>22</v>
      </c>
      <c r="E2200" t="s">
        <v>23</v>
      </c>
      <c r="F2200" t="s">
        <v>24</v>
      </c>
      <c r="G2200" t="s">
        <v>25</v>
      </c>
      <c r="H2200" t="s">
        <v>26</v>
      </c>
      <c r="I2200" t="s">
        <v>25</v>
      </c>
      <c r="J2200">
        <v>510</v>
      </c>
      <c r="K2200">
        <v>0</v>
      </c>
      <c r="L2200">
        <v>0</v>
      </c>
      <c r="M2200">
        <v>0</v>
      </c>
      <c r="N2200">
        <v>91</v>
      </c>
      <c r="O2200">
        <v>63</v>
      </c>
      <c r="P2200">
        <v>51</v>
      </c>
      <c r="Q2200">
        <v>43</v>
      </c>
      <c r="R2200">
        <v>40</v>
      </c>
      <c r="S2200">
        <v>17</v>
      </c>
      <c r="T2200">
        <v>8</v>
      </c>
      <c r="U2200">
        <v>510</v>
      </c>
    </row>
    <row r="2201" spans="1:21" x14ac:dyDescent="0.25">
      <c r="A2201">
        <v>2025</v>
      </c>
      <c r="B2201">
        <v>12</v>
      </c>
      <c r="C2201" t="s">
        <v>61</v>
      </c>
      <c r="D2201" t="s">
        <v>22</v>
      </c>
      <c r="E2201" t="s">
        <v>39</v>
      </c>
      <c r="F2201" t="s">
        <v>28</v>
      </c>
      <c r="G2201" t="s">
        <v>26</v>
      </c>
      <c r="H2201" t="s">
        <v>26</v>
      </c>
      <c r="I2201" t="s">
        <v>25</v>
      </c>
      <c r="J2201">
        <v>17</v>
      </c>
      <c r="K2201">
        <v>0</v>
      </c>
      <c r="L2201">
        <v>0</v>
      </c>
      <c r="M2201">
        <v>0</v>
      </c>
      <c r="N2201">
        <v>3</v>
      </c>
      <c r="O2201">
        <v>3</v>
      </c>
      <c r="P2201">
        <v>2</v>
      </c>
      <c r="Q2201">
        <v>1</v>
      </c>
      <c r="R2201">
        <v>0</v>
      </c>
      <c r="S2201">
        <v>0</v>
      </c>
      <c r="T2201">
        <v>0</v>
      </c>
      <c r="U2201">
        <v>17</v>
      </c>
    </row>
    <row r="2202" spans="1:21" x14ac:dyDescent="0.25">
      <c r="A2202">
        <v>2025</v>
      </c>
      <c r="B2202">
        <v>12</v>
      </c>
      <c r="C2202" t="s">
        <v>61</v>
      </c>
      <c r="D2202" t="s">
        <v>22</v>
      </c>
      <c r="E2202" t="s">
        <v>39</v>
      </c>
      <c r="F2202" t="s">
        <v>24</v>
      </c>
      <c r="G2202" t="s">
        <v>26</v>
      </c>
      <c r="H2202" t="s">
        <v>26</v>
      </c>
      <c r="I2202" t="s">
        <v>25</v>
      </c>
      <c r="J2202">
        <v>828</v>
      </c>
      <c r="K2202">
        <v>9</v>
      </c>
      <c r="L2202">
        <v>1</v>
      </c>
      <c r="M2202">
        <v>10</v>
      </c>
      <c r="N2202">
        <v>280</v>
      </c>
      <c r="O2202">
        <v>235</v>
      </c>
      <c r="P2202">
        <v>222</v>
      </c>
      <c r="Q2202">
        <v>175</v>
      </c>
      <c r="R2202">
        <v>152</v>
      </c>
      <c r="S2202">
        <v>87</v>
      </c>
      <c r="T2202">
        <v>28</v>
      </c>
      <c r="U2202">
        <v>819</v>
      </c>
    </row>
    <row r="2203" spans="1:21" x14ac:dyDescent="0.25">
      <c r="A2203">
        <v>2025</v>
      </c>
      <c r="B2203">
        <v>12</v>
      </c>
      <c r="C2203" t="s">
        <v>61</v>
      </c>
      <c r="D2203" t="s">
        <v>22</v>
      </c>
      <c r="E2203" t="s">
        <v>40</v>
      </c>
      <c r="F2203" t="s">
        <v>28</v>
      </c>
      <c r="G2203" t="s">
        <v>25</v>
      </c>
      <c r="H2203" t="s">
        <v>26</v>
      </c>
      <c r="I2203" t="s">
        <v>25</v>
      </c>
      <c r="J2203">
        <v>1763</v>
      </c>
      <c r="K2203">
        <v>4</v>
      </c>
      <c r="L2203">
        <v>7</v>
      </c>
      <c r="M2203">
        <v>11</v>
      </c>
      <c r="N2203">
        <v>206</v>
      </c>
      <c r="O2203">
        <v>123</v>
      </c>
      <c r="P2203">
        <v>97</v>
      </c>
      <c r="Q2203">
        <v>64</v>
      </c>
      <c r="R2203">
        <v>50</v>
      </c>
      <c r="S2203">
        <v>11</v>
      </c>
      <c r="T2203">
        <v>2</v>
      </c>
      <c r="U2203">
        <v>1754</v>
      </c>
    </row>
    <row r="2204" spans="1:21" x14ac:dyDescent="0.25">
      <c r="A2204">
        <v>2025</v>
      </c>
      <c r="B2204">
        <v>12</v>
      </c>
      <c r="C2204" t="s">
        <v>61</v>
      </c>
      <c r="D2204" t="s">
        <v>22</v>
      </c>
      <c r="E2204" t="s">
        <v>40</v>
      </c>
      <c r="F2204" t="s">
        <v>24</v>
      </c>
      <c r="G2204" t="s">
        <v>25</v>
      </c>
      <c r="H2204" t="s">
        <v>26</v>
      </c>
      <c r="I2204" t="s">
        <v>25</v>
      </c>
      <c r="J2204">
        <v>432</v>
      </c>
      <c r="K2204">
        <v>0</v>
      </c>
      <c r="L2204">
        <v>0</v>
      </c>
      <c r="M2204">
        <v>0</v>
      </c>
      <c r="N2204">
        <v>49</v>
      </c>
      <c r="O2204">
        <v>30</v>
      </c>
      <c r="P2204">
        <v>26</v>
      </c>
      <c r="Q2204">
        <v>17</v>
      </c>
      <c r="R2204">
        <v>4</v>
      </c>
      <c r="S2204">
        <v>1</v>
      </c>
      <c r="T2204">
        <v>1</v>
      </c>
      <c r="U2204">
        <v>432</v>
      </c>
    </row>
    <row r="2205" spans="1:21" x14ac:dyDescent="0.25">
      <c r="A2205">
        <v>2025</v>
      </c>
      <c r="B2205">
        <v>12</v>
      </c>
      <c r="C2205" t="s">
        <v>61</v>
      </c>
      <c r="D2205" t="s">
        <v>22</v>
      </c>
      <c r="E2205" t="s">
        <v>35</v>
      </c>
      <c r="F2205" t="s">
        <v>28</v>
      </c>
      <c r="G2205" t="s">
        <v>25</v>
      </c>
      <c r="H2205" t="s">
        <v>26</v>
      </c>
      <c r="I2205" t="s">
        <v>26</v>
      </c>
      <c r="J2205">
        <v>62</v>
      </c>
      <c r="K2205">
        <v>0</v>
      </c>
      <c r="L2205">
        <v>0</v>
      </c>
      <c r="M2205">
        <v>0</v>
      </c>
      <c r="N2205">
        <v>7</v>
      </c>
      <c r="O2205">
        <v>3</v>
      </c>
      <c r="P2205">
        <v>2</v>
      </c>
      <c r="Q2205">
        <v>2</v>
      </c>
      <c r="R2205">
        <v>1</v>
      </c>
      <c r="S2205">
        <v>1</v>
      </c>
      <c r="T2205">
        <v>0</v>
      </c>
      <c r="U2205">
        <v>62</v>
      </c>
    </row>
    <row r="2206" spans="1:21" x14ac:dyDescent="0.25">
      <c r="A2206">
        <v>2025</v>
      </c>
      <c r="B2206">
        <v>12</v>
      </c>
      <c r="C2206" t="s">
        <v>61</v>
      </c>
      <c r="D2206" t="s">
        <v>22</v>
      </c>
      <c r="E2206" t="s">
        <v>35</v>
      </c>
      <c r="F2206" t="s">
        <v>24</v>
      </c>
      <c r="G2206" t="s">
        <v>25</v>
      </c>
      <c r="H2206" t="s">
        <v>26</v>
      </c>
      <c r="I2206" t="s">
        <v>26</v>
      </c>
      <c r="J2206">
        <v>700</v>
      </c>
      <c r="K2206">
        <v>7</v>
      </c>
      <c r="L2206">
        <v>1</v>
      </c>
      <c r="M2206">
        <v>8</v>
      </c>
      <c r="N2206">
        <v>231</v>
      </c>
      <c r="O2206">
        <v>183</v>
      </c>
      <c r="P2206">
        <v>171</v>
      </c>
      <c r="Q2206">
        <v>136</v>
      </c>
      <c r="R2206">
        <v>104</v>
      </c>
      <c r="S2206">
        <v>67</v>
      </c>
      <c r="T2206">
        <v>36</v>
      </c>
      <c r="U2206">
        <v>692</v>
      </c>
    </row>
    <row r="2207" spans="1:21" x14ac:dyDescent="0.25">
      <c r="A2207">
        <v>2025</v>
      </c>
      <c r="B2207">
        <v>12</v>
      </c>
      <c r="C2207" t="s">
        <v>61</v>
      </c>
      <c r="D2207" t="s">
        <v>22</v>
      </c>
      <c r="E2207" t="s">
        <v>36</v>
      </c>
      <c r="F2207" t="s">
        <v>28</v>
      </c>
      <c r="G2207" t="s">
        <v>25</v>
      </c>
      <c r="H2207" t="s">
        <v>26</v>
      </c>
      <c r="I2207" t="s">
        <v>25</v>
      </c>
      <c r="J2207">
        <v>1403</v>
      </c>
      <c r="K2207">
        <v>3</v>
      </c>
      <c r="L2207">
        <v>57</v>
      </c>
      <c r="M2207">
        <v>60</v>
      </c>
      <c r="N2207">
        <v>293</v>
      </c>
      <c r="O2207">
        <v>181</v>
      </c>
      <c r="P2207">
        <v>152</v>
      </c>
      <c r="Q2207">
        <v>83</v>
      </c>
      <c r="R2207">
        <v>51</v>
      </c>
      <c r="S2207">
        <v>28</v>
      </c>
      <c r="T2207">
        <v>6</v>
      </c>
      <c r="U2207">
        <v>1368</v>
      </c>
    </row>
    <row r="2208" spans="1:21" x14ac:dyDescent="0.25">
      <c r="A2208">
        <v>2025</v>
      </c>
      <c r="B2208">
        <v>12</v>
      </c>
      <c r="C2208" t="s">
        <v>61</v>
      </c>
      <c r="D2208" t="s">
        <v>22</v>
      </c>
      <c r="E2208" t="s">
        <v>36</v>
      </c>
      <c r="F2208" t="s">
        <v>24</v>
      </c>
      <c r="G2208" t="s">
        <v>25</v>
      </c>
      <c r="H2208" t="s">
        <v>26</v>
      </c>
      <c r="I2208" t="s">
        <v>25</v>
      </c>
      <c r="J2208">
        <v>859</v>
      </c>
      <c r="K2208">
        <v>11</v>
      </c>
      <c r="L2208">
        <v>7</v>
      </c>
      <c r="M2208">
        <v>18</v>
      </c>
      <c r="N2208">
        <v>301</v>
      </c>
      <c r="O2208">
        <v>231</v>
      </c>
      <c r="P2208">
        <v>204</v>
      </c>
      <c r="Q2208">
        <v>143</v>
      </c>
      <c r="R2208">
        <v>111</v>
      </c>
      <c r="S2208">
        <v>56</v>
      </c>
      <c r="T2208">
        <v>21</v>
      </c>
      <c r="U2208">
        <v>842</v>
      </c>
    </row>
    <row r="2209" spans="1:21" x14ac:dyDescent="0.25">
      <c r="A2209">
        <v>2025</v>
      </c>
      <c r="B2209">
        <v>12</v>
      </c>
      <c r="C2209" t="s">
        <v>61</v>
      </c>
      <c r="D2209" t="s">
        <v>22</v>
      </c>
      <c r="E2209" t="s">
        <v>36</v>
      </c>
      <c r="F2209" t="s">
        <v>29</v>
      </c>
      <c r="G2209" t="s">
        <v>25</v>
      </c>
      <c r="H2209" t="s">
        <v>26</v>
      </c>
      <c r="I2209" t="s">
        <v>25</v>
      </c>
      <c r="J2209">
        <v>1</v>
      </c>
      <c r="K2209">
        <v>0</v>
      </c>
      <c r="L2209">
        <v>0</v>
      </c>
      <c r="M2209">
        <v>0</v>
      </c>
      <c r="N2209">
        <v>0</v>
      </c>
      <c r="O2209">
        <v>0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0</v>
      </c>
    </row>
    <row r="2210" spans="1:21" x14ac:dyDescent="0.25">
      <c r="A2210">
        <v>2025</v>
      </c>
      <c r="B2210">
        <v>12</v>
      </c>
      <c r="C2210" t="s">
        <v>61</v>
      </c>
      <c r="D2210" t="s">
        <v>22</v>
      </c>
      <c r="E2210" t="s">
        <v>41</v>
      </c>
      <c r="F2210" t="s">
        <v>28</v>
      </c>
      <c r="G2210" t="s">
        <v>26</v>
      </c>
      <c r="H2210" t="s">
        <v>26</v>
      </c>
      <c r="I2210" t="s">
        <v>25</v>
      </c>
      <c r="J2210">
        <v>1057</v>
      </c>
      <c r="K2210">
        <v>7</v>
      </c>
      <c r="L2210">
        <v>21</v>
      </c>
      <c r="M2210">
        <v>28</v>
      </c>
      <c r="N2210">
        <v>459</v>
      </c>
      <c r="O2210">
        <v>370</v>
      </c>
      <c r="P2210">
        <v>346</v>
      </c>
      <c r="Q2210">
        <v>251</v>
      </c>
      <c r="R2210">
        <v>197</v>
      </c>
      <c r="S2210">
        <v>90</v>
      </c>
      <c r="T2210">
        <v>25</v>
      </c>
      <c r="U2210">
        <v>1042</v>
      </c>
    </row>
    <row r="2211" spans="1:21" x14ac:dyDescent="0.25">
      <c r="A2211">
        <v>2025</v>
      </c>
      <c r="B2211">
        <v>12</v>
      </c>
      <c r="C2211" t="s">
        <v>61</v>
      </c>
      <c r="D2211" t="s">
        <v>22</v>
      </c>
      <c r="E2211" t="s">
        <v>41</v>
      </c>
      <c r="F2211" t="s">
        <v>24</v>
      </c>
      <c r="G2211" t="s">
        <v>26</v>
      </c>
      <c r="H2211" t="s">
        <v>26</v>
      </c>
      <c r="I2211" t="s">
        <v>25</v>
      </c>
      <c r="J2211">
        <v>1192</v>
      </c>
      <c r="K2211">
        <v>0</v>
      </c>
      <c r="L2211">
        <v>11</v>
      </c>
      <c r="M2211">
        <v>11</v>
      </c>
      <c r="N2211">
        <v>569</v>
      </c>
      <c r="O2211">
        <v>464</v>
      </c>
      <c r="P2211">
        <v>427</v>
      </c>
      <c r="Q2211">
        <v>300</v>
      </c>
      <c r="R2211">
        <v>221</v>
      </c>
      <c r="S2211">
        <v>108</v>
      </c>
      <c r="T2211">
        <v>22</v>
      </c>
      <c r="U2211">
        <v>1189</v>
      </c>
    </row>
    <row r="2212" spans="1:21" x14ac:dyDescent="0.25">
      <c r="A2212">
        <v>2025</v>
      </c>
      <c r="B2212">
        <v>12</v>
      </c>
      <c r="C2212" t="s">
        <v>62</v>
      </c>
      <c r="D2212" t="s">
        <v>22</v>
      </c>
      <c r="E2212" t="s">
        <v>40</v>
      </c>
      <c r="F2212" t="s">
        <v>28</v>
      </c>
      <c r="G2212" t="s">
        <v>25</v>
      </c>
      <c r="H2212" t="s">
        <v>25</v>
      </c>
      <c r="I2212" t="s">
        <v>25</v>
      </c>
      <c r="J2212">
        <v>11671</v>
      </c>
      <c r="K2212">
        <v>9</v>
      </c>
      <c r="L2212">
        <v>112</v>
      </c>
      <c r="M2212">
        <v>121</v>
      </c>
      <c r="N2212">
        <v>2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11583</v>
      </c>
    </row>
    <row r="2213" spans="1:21" x14ac:dyDescent="0.25">
      <c r="A2213">
        <v>2025</v>
      </c>
      <c r="B2213">
        <v>12</v>
      </c>
      <c r="C2213" t="s">
        <v>62</v>
      </c>
      <c r="D2213" t="s">
        <v>22</v>
      </c>
      <c r="E2213" t="s">
        <v>40</v>
      </c>
      <c r="F2213" t="s">
        <v>24</v>
      </c>
      <c r="G2213" t="s">
        <v>25</v>
      </c>
      <c r="H2213" t="s">
        <v>25</v>
      </c>
      <c r="I2213" t="s">
        <v>25</v>
      </c>
      <c r="J2213">
        <v>28</v>
      </c>
      <c r="K2213">
        <v>0</v>
      </c>
      <c r="L2213">
        <v>0</v>
      </c>
      <c r="M2213">
        <v>0</v>
      </c>
      <c r="N2213">
        <v>0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28</v>
      </c>
    </row>
    <row r="2214" spans="1:21" x14ac:dyDescent="0.25">
      <c r="A2214">
        <v>2025</v>
      </c>
      <c r="B2214">
        <v>12</v>
      </c>
      <c r="C2214" t="s">
        <v>63</v>
      </c>
      <c r="D2214" t="s">
        <v>45</v>
      </c>
      <c r="E2214" t="s">
        <v>112</v>
      </c>
      <c r="F2214" t="s">
        <v>28</v>
      </c>
      <c r="G2214" t="s">
        <v>25</v>
      </c>
      <c r="H2214" t="s">
        <v>25</v>
      </c>
      <c r="I2214" t="s">
        <v>25</v>
      </c>
      <c r="J2214">
        <v>312</v>
      </c>
      <c r="K2214">
        <v>1</v>
      </c>
      <c r="L2214">
        <v>7</v>
      </c>
      <c r="M2214">
        <v>8</v>
      </c>
      <c r="N2214">
        <v>76</v>
      </c>
      <c r="O2214">
        <v>74</v>
      </c>
      <c r="P2214">
        <v>74</v>
      </c>
      <c r="Q2214">
        <v>46</v>
      </c>
      <c r="R2214">
        <v>34</v>
      </c>
      <c r="S2214">
        <v>17</v>
      </c>
      <c r="T2214">
        <v>8</v>
      </c>
      <c r="U2214">
        <v>311</v>
      </c>
    </row>
    <row r="2215" spans="1:21" x14ac:dyDescent="0.25">
      <c r="A2215">
        <v>2025</v>
      </c>
      <c r="B2215">
        <v>12</v>
      </c>
      <c r="C2215" t="s">
        <v>63</v>
      </c>
      <c r="D2215" t="s">
        <v>45</v>
      </c>
      <c r="E2215" t="s">
        <v>112</v>
      </c>
      <c r="F2215" t="s">
        <v>29</v>
      </c>
      <c r="G2215" t="s">
        <v>25</v>
      </c>
      <c r="H2215" t="s">
        <v>25</v>
      </c>
      <c r="I2215" t="s">
        <v>25</v>
      </c>
      <c r="J2215">
        <v>6</v>
      </c>
      <c r="K2215">
        <v>0</v>
      </c>
      <c r="L2215">
        <v>0</v>
      </c>
      <c r="M2215">
        <v>0</v>
      </c>
      <c r="N2215">
        <v>0</v>
      </c>
      <c r="O2215">
        <v>0</v>
      </c>
      <c r="P2215">
        <v>0</v>
      </c>
      <c r="Q2215">
        <v>0</v>
      </c>
      <c r="R2215">
        <v>0</v>
      </c>
      <c r="S2215">
        <v>0</v>
      </c>
      <c r="T2215">
        <v>0</v>
      </c>
      <c r="U2215">
        <v>0</v>
      </c>
    </row>
    <row r="2216" spans="1:21" x14ac:dyDescent="0.25">
      <c r="A2216">
        <v>2025</v>
      </c>
      <c r="B2216">
        <v>12</v>
      </c>
      <c r="C2216" t="s">
        <v>63</v>
      </c>
      <c r="D2216" t="s">
        <v>45</v>
      </c>
      <c r="E2216" t="s">
        <v>64</v>
      </c>
      <c r="F2216" t="s">
        <v>24</v>
      </c>
      <c r="G2216" t="s">
        <v>25</v>
      </c>
      <c r="H2216" t="s">
        <v>25</v>
      </c>
      <c r="I2216" t="s">
        <v>25</v>
      </c>
      <c r="J2216">
        <v>120</v>
      </c>
      <c r="K2216">
        <v>0</v>
      </c>
      <c r="L2216">
        <v>0</v>
      </c>
      <c r="M2216">
        <v>0</v>
      </c>
      <c r="N2216">
        <v>19</v>
      </c>
      <c r="O2216">
        <v>16</v>
      </c>
      <c r="P2216">
        <v>16</v>
      </c>
      <c r="Q2216">
        <v>11</v>
      </c>
      <c r="R2216">
        <v>8</v>
      </c>
      <c r="S2216">
        <v>4</v>
      </c>
      <c r="T2216">
        <v>0</v>
      </c>
      <c r="U2216">
        <v>120</v>
      </c>
    </row>
    <row r="2217" spans="1:21" x14ac:dyDescent="0.25">
      <c r="A2217">
        <v>2025</v>
      </c>
      <c r="B2217">
        <v>12</v>
      </c>
      <c r="C2217" t="s">
        <v>63</v>
      </c>
      <c r="D2217" t="s">
        <v>45</v>
      </c>
      <c r="E2217" t="s">
        <v>65</v>
      </c>
      <c r="F2217" t="s">
        <v>28</v>
      </c>
      <c r="G2217" t="s">
        <v>26</v>
      </c>
      <c r="H2217" t="s">
        <v>26</v>
      </c>
      <c r="I2217" t="s">
        <v>25</v>
      </c>
      <c r="J2217">
        <v>1626</v>
      </c>
      <c r="K2217">
        <v>0</v>
      </c>
      <c r="L2217">
        <v>0</v>
      </c>
      <c r="M2217">
        <v>0</v>
      </c>
      <c r="N2217">
        <v>346</v>
      </c>
      <c r="O2217">
        <v>300</v>
      </c>
      <c r="P2217">
        <v>300</v>
      </c>
      <c r="Q2217">
        <v>221</v>
      </c>
      <c r="R2217">
        <v>184</v>
      </c>
      <c r="S2217">
        <v>88</v>
      </c>
      <c r="T2217">
        <v>31</v>
      </c>
      <c r="U2217">
        <v>1626</v>
      </c>
    </row>
    <row r="2218" spans="1:21" x14ac:dyDescent="0.25">
      <c r="A2218">
        <v>2025</v>
      </c>
      <c r="B2218">
        <v>12</v>
      </c>
      <c r="C2218" t="s">
        <v>63</v>
      </c>
      <c r="D2218" t="s">
        <v>45</v>
      </c>
      <c r="E2218" t="s">
        <v>65</v>
      </c>
      <c r="F2218" t="s">
        <v>29</v>
      </c>
      <c r="G2218" t="s">
        <v>26</v>
      </c>
      <c r="H2218" t="s">
        <v>26</v>
      </c>
      <c r="I2218" t="s">
        <v>25</v>
      </c>
      <c r="J2218">
        <v>44</v>
      </c>
      <c r="K2218">
        <v>0</v>
      </c>
      <c r="L2218">
        <v>0</v>
      </c>
      <c r="M2218">
        <v>0</v>
      </c>
      <c r="N2218">
        <v>0</v>
      </c>
      <c r="O2218">
        <v>0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0</v>
      </c>
    </row>
    <row r="2219" spans="1:21" x14ac:dyDescent="0.25">
      <c r="A2219">
        <v>2025</v>
      </c>
      <c r="B2219">
        <v>12</v>
      </c>
      <c r="C2219" t="s">
        <v>66</v>
      </c>
      <c r="D2219" t="s">
        <v>22</v>
      </c>
      <c r="E2219" t="s">
        <v>32</v>
      </c>
      <c r="F2219" t="s">
        <v>24</v>
      </c>
      <c r="G2219" t="s">
        <v>25</v>
      </c>
      <c r="H2219" t="s">
        <v>25</v>
      </c>
      <c r="I2219" t="s">
        <v>25</v>
      </c>
      <c r="J2219">
        <v>1084</v>
      </c>
      <c r="K2219">
        <v>4</v>
      </c>
      <c r="L2219">
        <v>0</v>
      </c>
      <c r="M2219">
        <v>4</v>
      </c>
      <c r="N2219">
        <v>200</v>
      </c>
      <c r="O2219">
        <v>157</v>
      </c>
      <c r="P2219">
        <v>144</v>
      </c>
      <c r="Q2219">
        <v>102</v>
      </c>
      <c r="R2219">
        <v>77</v>
      </c>
      <c r="S2219">
        <v>42</v>
      </c>
      <c r="T2219">
        <v>14</v>
      </c>
      <c r="U2219">
        <v>1080</v>
      </c>
    </row>
    <row r="2220" spans="1:21" x14ac:dyDescent="0.25">
      <c r="A2220">
        <v>2025</v>
      </c>
      <c r="B2220">
        <v>12</v>
      </c>
      <c r="C2220" t="s">
        <v>66</v>
      </c>
      <c r="D2220" t="s">
        <v>22</v>
      </c>
      <c r="E2220" t="s">
        <v>34</v>
      </c>
      <c r="F2220" t="s">
        <v>24</v>
      </c>
      <c r="G2220" t="s">
        <v>25</v>
      </c>
      <c r="H2220" t="s">
        <v>26</v>
      </c>
      <c r="I2220" t="s">
        <v>26</v>
      </c>
      <c r="J2220">
        <v>97</v>
      </c>
      <c r="K2220">
        <v>0</v>
      </c>
      <c r="L2220">
        <v>0</v>
      </c>
      <c r="M2220">
        <v>0</v>
      </c>
      <c r="N2220">
        <v>21</v>
      </c>
      <c r="O2220">
        <v>19</v>
      </c>
      <c r="P2220">
        <v>18</v>
      </c>
      <c r="Q2220">
        <v>17</v>
      </c>
      <c r="R2220">
        <v>13</v>
      </c>
      <c r="S2220">
        <v>4</v>
      </c>
      <c r="T2220">
        <v>1</v>
      </c>
      <c r="U2220">
        <v>97</v>
      </c>
    </row>
    <row r="2221" spans="1:21" x14ac:dyDescent="0.25">
      <c r="A2221">
        <v>2025</v>
      </c>
      <c r="B2221">
        <v>12</v>
      </c>
      <c r="C2221" t="s">
        <v>66</v>
      </c>
      <c r="D2221" t="s">
        <v>22</v>
      </c>
      <c r="E2221" t="s">
        <v>23</v>
      </c>
      <c r="F2221" t="s">
        <v>24</v>
      </c>
      <c r="G2221" t="s">
        <v>25</v>
      </c>
      <c r="H2221" t="s">
        <v>25</v>
      </c>
      <c r="I2221" t="s">
        <v>25</v>
      </c>
      <c r="J2221">
        <v>126</v>
      </c>
      <c r="K2221">
        <v>0</v>
      </c>
      <c r="L2221">
        <v>0</v>
      </c>
      <c r="M2221">
        <v>0</v>
      </c>
      <c r="N2221">
        <v>62</v>
      </c>
      <c r="O2221">
        <v>53</v>
      </c>
      <c r="P2221">
        <v>53</v>
      </c>
      <c r="Q2221">
        <v>47</v>
      </c>
      <c r="R2221">
        <v>44</v>
      </c>
      <c r="S2221">
        <v>21</v>
      </c>
      <c r="T2221">
        <v>12</v>
      </c>
      <c r="U2221">
        <v>126</v>
      </c>
    </row>
    <row r="2222" spans="1:21" x14ac:dyDescent="0.25">
      <c r="A2222">
        <v>2025</v>
      </c>
      <c r="B2222">
        <v>12</v>
      </c>
      <c r="C2222" t="s">
        <v>66</v>
      </c>
      <c r="D2222" t="s">
        <v>22</v>
      </c>
      <c r="E2222" t="s">
        <v>23</v>
      </c>
      <c r="F2222" t="s">
        <v>24</v>
      </c>
      <c r="G2222" t="s">
        <v>25</v>
      </c>
      <c r="H2222" t="s">
        <v>26</v>
      </c>
      <c r="I2222" t="s">
        <v>25</v>
      </c>
      <c r="J2222">
        <v>61</v>
      </c>
      <c r="K2222">
        <v>0</v>
      </c>
      <c r="L2222">
        <v>0</v>
      </c>
      <c r="M2222">
        <v>0</v>
      </c>
      <c r="N2222">
        <v>12</v>
      </c>
      <c r="O2222">
        <v>10</v>
      </c>
      <c r="P2222">
        <v>9</v>
      </c>
      <c r="Q2222">
        <v>8</v>
      </c>
      <c r="R2222">
        <v>7</v>
      </c>
      <c r="S2222">
        <v>2</v>
      </c>
      <c r="T2222">
        <v>1</v>
      </c>
      <c r="U2222">
        <v>61</v>
      </c>
    </row>
    <row r="2223" spans="1:21" x14ac:dyDescent="0.25">
      <c r="A2223">
        <v>2025</v>
      </c>
      <c r="B2223">
        <v>12</v>
      </c>
      <c r="C2223" t="s">
        <v>67</v>
      </c>
      <c r="D2223" t="s">
        <v>22</v>
      </c>
      <c r="E2223" t="s">
        <v>68</v>
      </c>
      <c r="F2223" t="s">
        <v>28</v>
      </c>
      <c r="G2223" t="s">
        <v>25</v>
      </c>
      <c r="H2223" t="s">
        <v>25</v>
      </c>
      <c r="I2223" t="s">
        <v>25</v>
      </c>
      <c r="J2223">
        <v>1392</v>
      </c>
      <c r="K2223">
        <v>0</v>
      </c>
      <c r="L2223">
        <v>0</v>
      </c>
      <c r="M2223">
        <v>0</v>
      </c>
      <c r="N2223">
        <v>0</v>
      </c>
      <c r="O2223">
        <v>0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1392</v>
      </c>
    </row>
    <row r="2224" spans="1:21" x14ac:dyDescent="0.25">
      <c r="A2224">
        <v>2025</v>
      </c>
      <c r="B2224">
        <v>12</v>
      </c>
      <c r="C2224" t="s">
        <v>67</v>
      </c>
      <c r="D2224" t="s">
        <v>22</v>
      </c>
      <c r="E2224" t="s">
        <v>68</v>
      </c>
      <c r="F2224" t="s">
        <v>24</v>
      </c>
      <c r="G2224" t="s">
        <v>25</v>
      </c>
      <c r="H2224" t="s">
        <v>25</v>
      </c>
      <c r="I2224" t="s">
        <v>25</v>
      </c>
      <c r="J2224">
        <v>93</v>
      </c>
      <c r="K2224">
        <v>0</v>
      </c>
      <c r="L2224">
        <v>0</v>
      </c>
      <c r="M2224">
        <v>0</v>
      </c>
      <c r="N2224">
        <v>0</v>
      </c>
      <c r="O2224">
        <v>0</v>
      </c>
      <c r="P2224">
        <v>0</v>
      </c>
      <c r="Q2224">
        <v>0</v>
      </c>
      <c r="R2224">
        <v>0</v>
      </c>
      <c r="S2224">
        <v>0</v>
      </c>
      <c r="T2224">
        <v>0</v>
      </c>
      <c r="U2224">
        <v>93</v>
      </c>
    </row>
    <row r="2225" spans="1:21" x14ac:dyDescent="0.25">
      <c r="A2225">
        <v>2025</v>
      </c>
      <c r="B2225">
        <v>12</v>
      </c>
      <c r="C2225" t="s">
        <v>69</v>
      </c>
      <c r="D2225" t="s">
        <v>22</v>
      </c>
      <c r="E2225" t="s">
        <v>32</v>
      </c>
      <c r="F2225" t="s">
        <v>28</v>
      </c>
      <c r="G2225" t="s">
        <v>25</v>
      </c>
      <c r="H2225" t="s">
        <v>26</v>
      </c>
      <c r="I2225" t="s">
        <v>25</v>
      </c>
      <c r="J2225">
        <v>28</v>
      </c>
      <c r="K2225">
        <v>0</v>
      </c>
      <c r="L2225">
        <v>0</v>
      </c>
      <c r="M2225">
        <v>0</v>
      </c>
      <c r="N2225">
        <v>0</v>
      </c>
      <c r="O2225">
        <v>0</v>
      </c>
      <c r="P2225">
        <v>0</v>
      </c>
      <c r="Q2225">
        <v>0</v>
      </c>
      <c r="R2225">
        <v>0</v>
      </c>
      <c r="S2225">
        <v>0</v>
      </c>
      <c r="T2225">
        <v>0</v>
      </c>
      <c r="U2225">
        <v>28</v>
      </c>
    </row>
    <row r="2226" spans="1:21" x14ac:dyDescent="0.25">
      <c r="A2226">
        <v>2025</v>
      </c>
      <c r="B2226">
        <v>12</v>
      </c>
      <c r="C2226" t="s">
        <v>69</v>
      </c>
      <c r="D2226" t="s">
        <v>22</v>
      </c>
      <c r="E2226" t="s">
        <v>32</v>
      </c>
      <c r="F2226" t="s">
        <v>24</v>
      </c>
      <c r="G2226" t="s">
        <v>25</v>
      </c>
      <c r="H2226" t="s">
        <v>26</v>
      </c>
      <c r="I2226" t="s">
        <v>25</v>
      </c>
      <c r="J2226">
        <v>1833</v>
      </c>
      <c r="K2226">
        <v>12</v>
      </c>
      <c r="L2226">
        <v>42</v>
      </c>
      <c r="M2226">
        <v>54</v>
      </c>
      <c r="N2226">
        <v>284</v>
      </c>
      <c r="O2226">
        <v>240</v>
      </c>
      <c r="P2226">
        <v>230</v>
      </c>
      <c r="Q2226">
        <v>184</v>
      </c>
      <c r="R2226">
        <v>154</v>
      </c>
      <c r="S2226">
        <v>108</v>
      </c>
      <c r="T2226">
        <v>19</v>
      </c>
      <c r="U2226">
        <v>1801</v>
      </c>
    </row>
    <row r="2227" spans="1:21" x14ac:dyDescent="0.25">
      <c r="A2227">
        <v>2025</v>
      </c>
      <c r="B2227">
        <v>12</v>
      </c>
      <c r="C2227" t="s">
        <v>69</v>
      </c>
      <c r="D2227" t="s">
        <v>22</v>
      </c>
      <c r="E2227" t="s">
        <v>38</v>
      </c>
      <c r="F2227" t="s">
        <v>24</v>
      </c>
      <c r="G2227" t="s">
        <v>25</v>
      </c>
      <c r="H2227" t="s">
        <v>25</v>
      </c>
      <c r="I2227" t="s">
        <v>25</v>
      </c>
      <c r="J2227">
        <v>290</v>
      </c>
      <c r="K2227">
        <v>4</v>
      </c>
      <c r="L2227">
        <v>4</v>
      </c>
      <c r="M2227">
        <v>8</v>
      </c>
      <c r="N2227">
        <v>201</v>
      </c>
      <c r="O2227">
        <v>168</v>
      </c>
      <c r="P2227">
        <v>162</v>
      </c>
      <c r="Q2227">
        <v>100</v>
      </c>
      <c r="R2227">
        <v>57</v>
      </c>
      <c r="S2227">
        <v>15</v>
      </c>
      <c r="T2227">
        <v>4</v>
      </c>
      <c r="U2227">
        <v>286</v>
      </c>
    </row>
    <row r="2228" spans="1:21" x14ac:dyDescent="0.25">
      <c r="A2228">
        <v>2025</v>
      </c>
      <c r="B2228">
        <v>12</v>
      </c>
      <c r="C2228" t="s">
        <v>69</v>
      </c>
      <c r="D2228" t="s">
        <v>22</v>
      </c>
      <c r="E2228" t="s">
        <v>38</v>
      </c>
      <c r="F2228" t="s">
        <v>24</v>
      </c>
      <c r="G2228" t="s">
        <v>25</v>
      </c>
      <c r="H2228" t="s">
        <v>26</v>
      </c>
      <c r="I2228" t="s">
        <v>25</v>
      </c>
      <c r="J2228">
        <v>94</v>
      </c>
      <c r="K2228">
        <v>4</v>
      </c>
      <c r="L2228">
        <v>7</v>
      </c>
      <c r="M2228">
        <v>11</v>
      </c>
      <c r="N2228">
        <v>23</v>
      </c>
      <c r="O2228">
        <v>16</v>
      </c>
      <c r="P2228">
        <v>16</v>
      </c>
      <c r="Q2228">
        <v>15</v>
      </c>
      <c r="R2228">
        <v>10</v>
      </c>
      <c r="S2228">
        <v>6</v>
      </c>
      <c r="T2228">
        <v>2</v>
      </c>
      <c r="U2228">
        <v>89</v>
      </c>
    </row>
    <row r="2229" spans="1:21" x14ac:dyDescent="0.25">
      <c r="A2229">
        <v>2025</v>
      </c>
      <c r="B2229">
        <v>12</v>
      </c>
      <c r="C2229" t="s">
        <v>69</v>
      </c>
      <c r="D2229" t="s">
        <v>22</v>
      </c>
      <c r="E2229" t="s">
        <v>34</v>
      </c>
      <c r="F2229" t="s">
        <v>24</v>
      </c>
      <c r="G2229" t="s">
        <v>25</v>
      </c>
      <c r="H2229" t="s">
        <v>26</v>
      </c>
      <c r="I2229" t="s">
        <v>26</v>
      </c>
      <c r="J2229">
        <v>167</v>
      </c>
      <c r="K2229">
        <v>0</v>
      </c>
      <c r="L2229">
        <v>0</v>
      </c>
      <c r="M2229">
        <v>0</v>
      </c>
      <c r="N2229">
        <v>12</v>
      </c>
      <c r="O2229">
        <v>9</v>
      </c>
      <c r="P2229">
        <v>8</v>
      </c>
      <c r="Q2229">
        <v>7</v>
      </c>
      <c r="R2229">
        <v>6</v>
      </c>
      <c r="S2229">
        <v>3</v>
      </c>
      <c r="T2229">
        <v>0</v>
      </c>
      <c r="U2229">
        <v>167</v>
      </c>
    </row>
    <row r="2230" spans="1:21" x14ac:dyDescent="0.25">
      <c r="A2230">
        <v>2025</v>
      </c>
      <c r="B2230">
        <v>12</v>
      </c>
      <c r="C2230" t="s">
        <v>69</v>
      </c>
      <c r="D2230" t="s">
        <v>22</v>
      </c>
      <c r="E2230" t="s">
        <v>23</v>
      </c>
      <c r="F2230" t="s">
        <v>28</v>
      </c>
      <c r="G2230" t="s">
        <v>25</v>
      </c>
      <c r="H2230" t="s">
        <v>26</v>
      </c>
      <c r="I2230" t="s">
        <v>25</v>
      </c>
      <c r="J2230">
        <v>11105</v>
      </c>
      <c r="K2230">
        <v>28</v>
      </c>
      <c r="L2230">
        <v>201</v>
      </c>
      <c r="M2230">
        <v>229</v>
      </c>
      <c r="N2230">
        <v>8</v>
      </c>
      <c r="O2230">
        <v>6</v>
      </c>
      <c r="P2230">
        <v>6</v>
      </c>
      <c r="Q2230">
        <v>4</v>
      </c>
      <c r="R2230">
        <v>2</v>
      </c>
      <c r="S2230">
        <v>2</v>
      </c>
      <c r="T2230">
        <v>1</v>
      </c>
      <c r="U2230">
        <v>10915</v>
      </c>
    </row>
    <row r="2231" spans="1:21" x14ac:dyDescent="0.25">
      <c r="A2231">
        <v>2025</v>
      </c>
      <c r="B2231">
        <v>12</v>
      </c>
      <c r="C2231" t="s">
        <v>69</v>
      </c>
      <c r="D2231" t="s">
        <v>22</v>
      </c>
      <c r="E2231" t="s">
        <v>23</v>
      </c>
      <c r="F2231" t="s">
        <v>24</v>
      </c>
      <c r="G2231" t="s">
        <v>25</v>
      </c>
      <c r="H2231" t="s">
        <v>26</v>
      </c>
      <c r="I2231" t="s">
        <v>25</v>
      </c>
      <c r="J2231">
        <v>1198</v>
      </c>
      <c r="K2231">
        <v>56</v>
      </c>
      <c r="L2231">
        <v>65</v>
      </c>
      <c r="M2231">
        <v>121</v>
      </c>
      <c r="N2231">
        <v>164</v>
      </c>
      <c r="O2231">
        <v>134</v>
      </c>
      <c r="P2231">
        <v>125</v>
      </c>
      <c r="Q2231">
        <v>97</v>
      </c>
      <c r="R2231">
        <v>64</v>
      </c>
      <c r="S2231">
        <v>15</v>
      </c>
      <c r="T2231">
        <v>5</v>
      </c>
      <c r="U2231">
        <v>1110</v>
      </c>
    </row>
    <row r="2232" spans="1:21" x14ac:dyDescent="0.25">
      <c r="A2232">
        <v>2025</v>
      </c>
      <c r="B2232">
        <v>12</v>
      </c>
      <c r="C2232" t="s">
        <v>69</v>
      </c>
      <c r="D2232" t="s">
        <v>22</v>
      </c>
      <c r="E2232" t="s">
        <v>23</v>
      </c>
      <c r="F2232" t="s">
        <v>29</v>
      </c>
      <c r="G2232" t="s">
        <v>25</v>
      </c>
      <c r="H2232" t="s">
        <v>26</v>
      </c>
      <c r="I2232" t="s">
        <v>25</v>
      </c>
      <c r="J2232">
        <v>1</v>
      </c>
      <c r="K2232">
        <v>0</v>
      </c>
      <c r="L2232">
        <v>0</v>
      </c>
      <c r="M2232">
        <v>0</v>
      </c>
      <c r="N2232">
        <v>0</v>
      </c>
      <c r="O2232">
        <v>0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0</v>
      </c>
    </row>
    <row r="2233" spans="1:21" x14ac:dyDescent="0.25">
      <c r="A2233">
        <v>2025</v>
      </c>
      <c r="B2233">
        <v>12</v>
      </c>
      <c r="C2233" t="s">
        <v>69</v>
      </c>
      <c r="D2233" t="s">
        <v>22</v>
      </c>
      <c r="E2233" t="s">
        <v>39</v>
      </c>
      <c r="F2233" t="s">
        <v>28</v>
      </c>
      <c r="G2233" t="s">
        <v>26</v>
      </c>
      <c r="H2233" t="s">
        <v>26</v>
      </c>
      <c r="I2233" t="s">
        <v>25</v>
      </c>
      <c r="J2233">
        <v>40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40</v>
      </c>
    </row>
    <row r="2234" spans="1:21" x14ac:dyDescent="0.25">
      <c r="A2234">
        <v>2025</v>
      </c>
      <c r="B2234">
        <v>12</v>
      </c>
      <c r="C2234" t="s">
        <v>69</v>
      </c>
      <c r="D2234" t="s">
        <v>22</v>
      </c>
      <c r="E2234" t="s">
        <v>39</v>
      </c>
      <c r="F2234" t="s">
        <v>24</v>
      </c>
      <c r="G2234" t="s">
        <v>26</v>
      </c>
      <c r="H2234" t="s">
        <v>26</v>
      </c>
      <c r="I2234" t="s">
        <v>25</v>
      </c>
      <c r="J2234">
        <v>1358</v>
      </c>
      <c r="K2234">
        <v>55</v>
      </c>
      <c r="L2234">
        <v>158</v>
      </c>
      <c r="M2234">
        <v>213</v>
      </c>
      <c r="N2234">
        <v>203</v>
      </c>
      <c r="O2234">
        <v>153</v>
      </c>
      <c r="P2234">
        <v>134</v>
      </c>
      <c r="Q2234">
        <v>101</v>
      </c>
      <c r="R2234">
        <v>61</v>
      </c>
      <c r="S2234">
        <v>25</v>
      </c>
      <c r="T2234">
        <v>5</v>
      </c>
      <c r="U2234">
        <v>1204</v>
      </c>
    </row>
    <row r="2235" spans="1:21" x14ac:dyDescent="0.25">
      <c r="A2235">
        <v>2025</v>
      </c>
      <c r="B2235">
        <v>12</v>
      </c>
      <c r="C2235" t="s">
        <v>69</v>
      </c>
      <c r="D2235" t="s">
        <v>22</v>
      </c>
      <c r="E2235" t="s">
        <v>40</v>
      </c>
      <c r="F2235" t="s">
        <v>28</v>
      </c>
      <c r="G2235" t="s">
        <v>25</v>
      </c>
      <c r="H2235" t="s">
        <v>26</v>
      </c>
      <c r="I2235" t="s">
        <v>25</v>
      </c>
      <c r="J2235">
        <v>13865</v>
      </c>
      <c r="K2235">
        <v>63</v>
      </c>
      <c r="L2235">
        <v>228</v>
      </c>
      <c r="M2235">
        <v>291</v>
      </c>
      <c r="N2235">
        <v>14</v>
      </c>
      <c r="O2235">
        <v>12</v>
      </c>
      <c r="P2235">
        <v>10</v>
      </c>
      <c r="Q2235">
        <v>7</v>
      </c>
      <c r="R2235">
        <v>3</v>
      </c>
      <c r="S2235">
        <v>0</v>
      </c>
      <c r="T2235">
        <v>0</v>
      </c>
      <c r="U2235">
        <v>13642</v>
      </c>
    </row>
    <row r="2236" spans="1:21" x14ac:dyDescent="0.25">
      <c r="A2236">
        <v>2025</v>
      </c>
      <c r="B2236">
        <v>12</v>
      </c>
      <c r="C2236" t="s">
        <v>69</v>
      </c>
      <c r="D2236" t="s">
        <v>22</v>
      </c>
      <c r="E2236" t="s">
        <v>40</v>
      </c>
      <c r="F2236" t="s">
        <v>24</v>
      </c>
      <c r="G2236" t="s">
        <v>25</v>
      </c>
      <c r="H2236" t="s">
        <v>26</v>
      </c>
      <c r="I2236" t="s">
        <v>25</v>
      </c>
      <c r="J2236">
        <v>1100</v>
      </c>
      <c r="K2236">
        <v>2</v>
      </c>
      <c r="L2236">
        <v>31</v>
      </c>
      <c r="M2236">
        <v>33</v>
      </c>
      <c r="N2236">
        <v>114</v>
      </c>
      <c r="O2236">
        <v>21</v>
      </c>
      <c r="P2236">
        <v>16</v>
      </c>
      <c r="Q2236">
        <v>12</v>
      </c>
      <c r="R2236">
        <v>3</v>
      </c>
      <c r="S2236">
        <v>0</v>
      </c>
      <c r="T2236">
        <v>0</v>
      </c>
      <c r="U2236">
        <v>1076</v>
      </c>
    </row>
    <row r="2237" spans="1:21" x14ac:dyDescent="0.25">
      <c r="A2237">
        <v>2025</v>
      </c>
      <c r="B2237">
        <v>12</v>
      </c>
      <c r="C2237" t="s">
        <v>69</v>
      </c>
      <c r="D2237" t="s">
        <v>22</v>
      </c>
      <c r="E2237" t="s">
        <v>40</v>
      </c>
      <c r="F2237" t="s">
        <v>29</v>
      </c>
      <c r="G2237" t="s">
        <v>25</v>
      </c>
      <c r="H2237" t="s">
        <v>26</v>
      </c>
      <c r="I2237" t="s">
        <v>25</v>
      </c>
      <c r="J2237">
        <v>3</v>
      </c>
      <c r="K2237">
        <v>0</v>
      </c>
      <c r="L2237">
        <v>0</v>
      </c>
      <c r="M2237">
        <v>0</v>
      </c>
      <c r="N2237">
        <v>0</v>
      </c>
      <c r="O2237">
        <v>0</v>
      </c>
      <c r="P2237">
        <v>0</v>
      </c>
      <c r="Q2237">
        <v>0</v>
      </c>
      <c r="R2237">
        <v>0</v>
      </c>
      <c r="S2237">
        <v>0</v>
      </c>
      <c r="T2237">
        <v>0</v>
      </c>
      <c r="U2237">
        <v>0</v>
      </c>
    </row>
    <row r="2238" spans="1:21" x14ac:dyDescent="0.25">
      <c r="A2238">
        <v>2025</v>
      </c>
      <c r="B2238">
        <v>12</v>
      </c>
      <c r="C2238" t="s">
        <v>69</v>
      </c>
      <c r="D2238" t="s">
        <v>22</v>
      </c>
      <c r="E2238" t="s">
        <v>113</v>
      </c>
      <c r="F2238" t="s">
        <v>24</v>
      </c>
      <c r="G2238" t="s">
        <v>26</v>
      </c>
      <c r="H2238" t="s">
        <v>26</v>
      </c>
      <c r="I2238" t="s">
        <v>25</v>
      </c>
      <c r="J2238">
        <v>46</v>
      </c>
      <c r="K2238">
        <v>0</v>
      </c>
      <c r="L2238">
        <v>0</v>
      </c>
      <c r="M2238">
        <v>0</v>
      </c>
      <c r="N2238">
        <v>7</v>
      </c>
      <c r="O2238">
        <v>5</v>
      </c>
      <c r="P2238">
        <v>5</v>
      </c>
      <c r="Q2238">
        <v>4</v>
      </c>
      <c r="R2238">
        <v>3</v>
      </c>
      <c r="S2238">
        <v>1</v>
      </c>
      <c r="T2238">
        <v>1</v>
      </c>
      <c r="U2238">
        <v>46</v>
      </c>
    </row>
    <row r="2239" spans="1:21" x14ac:dyDescent="0.25">
      <c r="A2239">
        <v>2025</v>
      </c>
      <c r="B2239">
        <v>12</v>
      </c>
      <c r="C2239" t="s">
        <v>69</v>
      </c>
      <c r="D2239" t="s">
        <v>22</v>
      </c>
      <c r="E2239" t="s">
        <v>70</v>
      </c>
      <c r="F2239" t="s">
        <v>28</v>
      </c>
      <c r="G2239" t="s">
        <v>26</v>
      </c>
      <c r="H2239" t="s">
        <v>26</v>
      </c>
      <c r="I2239" t="s">
        <v>25</v>
      </c>
      <c r="J2239">
        <v>4</v>
      </c>
      <c r="K2239">
        <v>0</v>
      </c>
      <c r="L2239">
        <v>0</v>
      </c>
      <c r="M2239">
        <v>0</v>
      </c>
      <c r="N2239">
        <v>1</v>
      </c>
      <c r="O2239">
        <v>1</v>
      </c>
      <c r="P2239">
        <v>1</v>
      </c>
      <c r="Q2239">
        <v>1</v>
      </c>
      <c r="R2239">
        <v>1</v>
      </c>
      <c r="S2239">
        <v>1</v>
      </c>
      <c r="T2239">
        <v>1</v>
      </c>
      <c r="U2239">
        <v>4</v>
      </c>
    </row>
    <row r="2240" spans="1:21" x14ac:dyDescent="0.25">
      <c r="A2240">
        <v>2025</v>
      </c>
      <c r="B2240">
        <v>12</v>
      </c>
      <c r="C2240" t="s">
        <v>69</v>
      </c>
      <c r="D2240" t="s">
        <v>22</v>
      </c>
      <c r="E2240" t="s">
        <v>70</v>
      </c>
      <c r="F2240" t="s">
        <v>24</v>
      </c>
      <c r="G2240" t="s">
        <v>26</v>
      </c>
      <c r="H2240" t="s">
        <v>26</v>
      </c>
      <c r="I2240" t="s">
        <v>25</v>
      </c>
      <c r="J2240">
        <v>730</v>
      </c>
      <c r="K2240">
        <v>3</v>
      </c>
      <c r="L2240">
        <v>10</v>
      </c>
      <c r="M2240">
        <v>13</v>
      </c>
      <c r="N2240">
        <v>125</v>
      </c>
      <c r="O2240">
        <v>102</v>
      </c>
      <c r="P2240">
        <v>97</v>
      </c>
      <c r="Q2240">
        <v>85</v>
      </c>
      <c r="R2240">
        <v>72</v>
      </c>
      <c r="S2240">
        <v>41</v>
      </c>
      <c r="T2240">
        <v>14</v>
      </c>
      <c r="U2240">
        <v>717</v>
      </c>
    </row>
    <row r="2241" spans="1:21" x14ac:dyDescent="0.25">
      <c r="A2241">
        <v>2025</v>
      </c>
      <c r="B2241">
        <v>12</v>
      </c>
      <c r="C2241" t="s">
        <v>69</v>
      </c>
      <c r="D2241" t="s">
        <v>22</v>
      </c>
      <c r="E2241" t="s">
        <v>35</v>
      </c>
      <c r="F2241" t="s">
        <v>24</v>
      </c>
      <c r="G2241" t="s">
        <v>25</v>
      </c>
      <c r="H2241" t="s">
        <v>26</v>
      </c>
      <c r="I2241" t="s">
        <v>26</v>
      </c>
      <c r="J2241">
        <v>315</v>
      </c>
      <c r="K2241">
        <v>3</v>
      </c>
      <c r="L2241">
        <v>2</v>
      </c>
      <c r="M2241">
        <v>5</v>
      </c>
      <c r="N2241">
        <v>100</v>
      </c>
      <c r="O2241">
        <v>79</v>
      </c>
      <c r="P2241">
        <v>72</v>
      </c>
      <c r="Q2241">
        <v>62</v>
      </c>
      <c r="R2241">
        <v>57</v>
      </c>
      <c r="S2241">
        <v>28</v>
      </c>
      <c r="T2241">
        <v>8</v>
      </c>
      <c r="U2241">
        <v>311</v>
      </c>
    </row>
    <row r="2242" spans="1:21" x14ac:dyDescent="0.25">
      <c r="A2242">
        <v>2025</v>
      </c>
      <c r="B2242">
        <v>12</v>
      </c>
      <c r="C2242" t="s">
        <v>69</v>
      </c>
      <c r="D2242" t="s">
        <v>22</v>
      </c>
      <c r="E2242" t="s">
        <v>41</v>
      </c>
      <c r="F2242" t="s">
        <v>24</v>
      </c>
      <c r="G2242" t="s">
        <v>26</v>
      </c>
      <c r="H2242" t="s">
        <v>26</v>
      </c>
      <c r="I2242" t="s">
        <v>25</v>
      </c>
      <c r="J2242">
        <v>372</v>
      </c>
      <c r="K2242">
        <v>1</v>
      </c>
      <c r="L2242">
        <v>7</v>
      </c>
      <c r="M2242">
        <v>8</v>
      </c>
      <c r="N2242">
        <v>76</v>
      </c>
      <c r="O2242">
        <v>64</v>
      </c>
      <c r="P2242">
        <v>64</v>
      </c>
      <c r="Q2242">
        <v>61</v>
      </c>
      <c r="R2242">
        <v>59</v>
      </c>
      <c r="S2242">
        <v>33</v>
      </c>
      <c r="T2242">
        <v>6</v>
      </c>
      <c r="U2242">
        <v>367</v>
      </c>
    </row>
    <row r="2243" spans="1:21" x14ac:dyDescent="0.25">
      <c r="A2243">
        <v>2025</v>
      </c>
      <c r="B2243">
        <v>12</v>
      </c>
      <c r="C2243" t="s">
        <v>71</v>
      </c>
      <c r="D2243" t="s">
        <v>22</v>
      </c>
      <c r="E2243" t="s">
        <v>34</v>
      </c>
      <c r="F2243" t="s">
        <v>24</v>
      </c>
      <c r="G2243" t="s">
        <v>25</v>
      </c>
      <c r="H2243" t="s">
        <v>26</v>
      </c>
      <c r="I2243" t="s">
        <v>26</v>
      </c>
      <c r="J2243">
        <v>55</v>
      </c>
      <c r="K2243">
        <v>0</v>
      </c>
      <c r="L2243">
        <v>0</v>
      </c>
      <c r="M2243">
        <v>0</v>
      </c>
      <c r="N2243">
        <v>10</v>
      </c>
      <c r="O2243">
        <v>9</v>
      </c>
      <c r="P2243">
        <v>9</v>
      </c>
      <c r="Q2243">
        <v>8</v>
      </c>
      <c r="R2243">
        <v>6</v>
      </c>
      <c r="S2243">
        <v>5</v>
      </c>
      <c r="T2243">
        <v>3</v>
      </c>
      <c r="U2243">
        <v>55</v>
      </c>
    </row>
    <row r="2244" spans="1:21" x14ac:dyDescent="0.25">
      <c r="A2244">
        <v>2025</v>
      </c>
      <c r="B2244">
        <v>12</v>
      </c>
      <c r="C2244" t="s">
        <v>71</v>
      </c>
      <c r="D2244" t="s">
        <v>22</v>
      </c>
      <c r="E2244" t="s">
        <v>35</v>
      </c>
      <c r="F2244" t="s">
        <v>24</v>
      </c>
      <c r="G2244" t="s">
        <v>25</v>
      </c>
      <c r="H2244" t="s">
        <v>26</v>
      </c>
      <c r="I2244" t="s">
        <v>26</v>
      </c>
      <c r="J2244">
        <v>10</v>
      </c>
      <c r="K2244">
        <v>1</v>
      </c>
      <c r="L2244">
        <v>0</v>
      </c>
      <c r="M2244">
        <v>1</v>
      </c>
      <c r="N2244">
        <v>0</v>
      </c>
      <c r="O2244">
        <v>0</v>
      </c>
      <c r="P2244">
        <v>0</v>
      </c>
      <c r="Q2244">
        <v>0</v>
      </c>
      <c r="R2244">
        <v>0</v>
      </c>
      <c r="S2244">
        <v>0</v>
      </c>
      <c r="T2244">
        <v>0</v>
      </c>
      <c r="U2244">
        <v>9</v>
      </c>
    </row>
    <row r="2245" spans="1:21" x14ac:dyDescent="0.25">
      <c r="A2245">
        <v>2025</v>
      </c>
      <c r="B2245">
        <v>12</v>
      </c>
      <c r="C2245" t="s">
        <v>72</v>
      </c>
      <c r="D2245" t="s">
        <v>22</v>
      </c>
      <c r="E2245" t="s">
        <v>54</v>
      </c>
      <c r="F2245" t="s">
        <v>24</v>
      </c>
      <c r="G2245" t="s">
        <v>25</v>
      </c>
      <c r="H2245" t="s">
        <v>25</v>
      </c>
      <c r="I2245" t="s">
        <v>25</v>
      </c>
      <c r="J2245">
        <v>869</v>
      </c>
      <c r="K2245">
        <v>3</v>
      </c>
      <c r="L2245">
        <v>10</v>
      </c>
      <c r="M2245">
        <v>13</v>
      </c>
      <c r="N2245">
        <v>198</v>
      </c>
      <c r="O2245">
        <v>117</v>
      </c>
      <c r="P2245">
        <v>91</v>
      </c>
      <c r="Q2245">
        <v>57</v>
      </c>
      <c r="R2245">
        <v>30</v>
      </c>
      <c r="S2245">
        <v>9</v>
      </c>
      <c r="T2245">
        <v>1</v>
      </c>
      <c r="U2245">
        <v>863</v>
      </c>
    </row>
    <row r="2246" spans="1:21" x14ac:dyDescent="0.25">
      <c r="A2246">
        <v>2025</v>
      </c>
      <c r="B2246">
        <v>12</v>
      </c>
      <c r="C2246" t="s">
        <v>72</v>
      </c>
      <c r="D2246" t="s">
        <v>22</v>
      </c>
      <c r="E2246" t="s">
        <v>23</v>
      </c>
      <c r="F2246" t="s">
        <v>28</v>
      </c>
      <c r="G2246" t="s">
        <v>25</v>
      </c>
      <c r="H2246" t="s">
        <v>26</v>
      </c>
      <c r="I2246" t="s">
        <v>25</v>
      </c>
      <c r="J2246">
        <v>29873</v>
      </c>
      <c r="K2246">
        <v>50</v>
      </c>
      <c r="L2246">
        <v>414</v>
      </c>
      <c r="M2246">
        <v>464</v>
      </c>
      <c r="N2246">
        <v>4744</v>
      </c>
      <c r="O2246">
        <v>2786</v>
      </c>
      <c r="P2246">
        <v>2228</v>
      </c>
      <c r="Q2246">
        <v>1135</v>
      </c>
      <c r="R2246">
        <v>597</v>
      </c>
      <c r="S2246">
        <v>103</v>
      </c>
      <c r="T2246">
        <v>7</v>
      </c>
      <c r="U2246">
        <v>29556</v>
      </c>
    </row>
    <row r="2247" spans="1:21" x14ac:dyDescent="0.25">
      <c r="A2247">
        <v>2025</v>
      </c>
      <c r="B2247">
        <v>12</v>
      </c>
      <c r="C2247" t="s">
        <v>72</v>
      </c>
      <c r="D2247" t="s">
        <v>22</v>
      </c>
      <c r="E2247" t="s">
        <v>23</v>
      </c>
      <c r="F2247" t="s">
        <v>24</v>
      </c>
      <c r="G2247" t="s">
        <v>25</v>
      </c>
      <c r="H2247" t="s">
        <v>26</v>
      </c>
      <c r="I2247" t="s">
        <v>25</v>
      </c>
      <c r="J2247">
        <v>3992</v>
      </c>
      <c r="K2247">
        <v>11</v>
      </c>
      <c r="L2247">
        <v>45</v>
      </c>
      <c r="M2247">
        <v>56</v>
      </c>
      <c r="N2247">
        <v>599</v>
      </c>
      <c r="O2247">
        <v>309</v>
      </c>
      <c r="P2247">
        <v>229</v>
      </c>
      <c r="Q2247">
        <v>110</v>
      </c>
      <c r="R2247">
        <v>58</v>
      </c>
      <c r="S2247">
        <v>13</v>
      </c>
      <c r="T2247">
        <v>0</v>
      </c>
      <c r="U2247">
        <v>3952</v>
      </c>
    </row>
    <row r="2248" spans="1:21" x14ac:dyDescent="0.25">
      <c r="A2248">
        <v>2025</v>
      </c>
      <c r="B2248">
        <v>12</v>
      </c>
      <c r="C2248" t="s">
        <v>72</v>
      </c>
      <c r="D2248" t="s">
        <v>22</v>
      </c>
      <c r="E2248" t="s">
        <v>23</v>
      </c>
      <c r="F2248" t="s">
        <v>29</v>
      </c>
      <c r="G2248" t="s">
        <v>25</v>
      </c>
      <c r="H2248" t="s">
        <v>26</v>
      </c>
      <c r="I2248" t="s">
        <v>25</v>
      </c>
      <c r="J2248">
        <v>1</v>
      </c>
      <c r="K2248">
        <v>1</v>
      </c>
      <c r="L2248">
        <v>0</v>
      </c>
      <c r="M2248">
        <v>1</v>
      </c>
      <c r="N2248">
        <v>0</v>
      </c>
      <c r="O2248">
        <v>0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0</v>
      </c>
    </row>
    <row r="2249" spans="1:21" x14ac:dyDescent="0.25">
      <c r="A2249">
        <v>2025</v>
      </c>
      <c r="B2249">
        <v>12</v>
      </c>
      <c r="C2249" t="s">
        <v>72</v>
      </c>
      <c r="D2249" t="s">
        <v>22</v>
      </c>
      <c r="E2249" t="s">
        <v>39</v>
      </c>
      <c r="F2249" t="s">
        <v>24</v>
      </c>
      <c r="G2249" t="s">
        <v>26</v>
      </c>
      <c r="H2249" t="s">
        <v>26</v>
      </c>
      <c r="I2249" t="s">
        <v>25</v>
      </c>
      <c r="J2249">
        <v>466</v>
      </c>
      <c r="K2249">
        <v>21</v>
      </c>
      <c r="L2249">
        <v>11</v>
      </c>
      <c r="M2249">
        <v>32</v>
      </c>
      <c r="N2249">
        <v>205</v>
      </c>
      <c r="O2249">
        <v>165</v>
      </c>
      <c r="P2249">
        <v>145</v>
      </c>
      <c r="Q2249">
        <v>108</v>
      </c>
      <c r="R2249">
        <v>90</v>
      </c>
      <c r="S2249">
        <v>43</v>
      </c>
      <c r="T2249">
        <v>7</v>
      </c>
      <c r="U2249">
        <v>441</v>
      </c>
    </row>
    <row r="2250" spans="1:21" x14ac:dyDescent="0.25">
      <c r="A2250">
        <v>2025</v>
      </c>
      <c r="B2250">
        <v>12</v>
      </c>
      <c r="C2250" t="s">
        <v>72</v>
      </c>
      <c r="D2250" t="s">
        <v>22</v>
      </c>
      <c r="E2250" t="s">
        <v>73</v>
      </c>
      <c r="F2250" t="s">
        <v>28</v>
      </c>
      <c r="G2250" t="s">
        <v>25</v>
      </c>
      <c r="H2250" t="s">
        <v>25</v>
      </c>
      <c r="I2250" t="s">
        <v>25</v>
      </c>
      <c r="J2250">
        <v>17869</v>
      </c>
      <c r="K2250">
        <v>32</v>
      </c>
      <c r="L2250">
        <v>83</v>
      </c>
      <c r="M2250">
        <v>115</v>
      </c>
      <c r="N2250">
        <v>2290</v>
      </c>
      <c r="O2250">
        <v>1171</v>
      </c>
      <c r="P2250">
        <v>925</v>
      </c>
      <c r="Q2250">
        <v>396</v>
      </c>
      <c r="R2250">
        <v>215</v>
      </c>
      <c r="S2250">
        <v>34</v>
      </c>
      <c r="T2250">
        <v>2</v>
      </c>
      <c r="U2250">
        <v>17775</v>
      </c>
    </row>
    <row r="2251" spans="1:21" x14ac:dyDescent="0.25">
      <c r="A2251">
        <v>2025</v>
      </c>
      <c r="B2251">
        <v>12</v>
      </c>
      <c r="C2251" t="s">
        <v>72</v>
      </c>
      <c r="D2251" t="s">
        <v>22</v>
      </c>
      <c r="E2251" t="s">
        <v>73</v>
      </c>
      <c r="F2251" t="s">
        <v>24</v>
      </c>
      <c r="G2251" t="s">
        <v>25</v>
      </c>
      <c r="H2251" t="s">
        <v>25</v>
      </c>
      <c r="I2251" t="s">
        <v>25</v>
      </c>
      <c r="J2251">
        <v>5447</v>
      </c>
      <c r="K2251">
        <v>32</v>
      </c>
      <c r="L2251">
        <v>0</v>
      </c>
      <c r="M2251">
        <v>32</v>
      </c>
      <c r="N2251">
        <v>274</v>
      </c>
      <c r="O2251">
        <v>154</v>
      </c>
      <c r="P2251">
        <v>115</v>
      </c>
      <c r="Q2251">
        <v>60</v>
      </c>
      <c r="R2251">
        <v>28</v>
      </c>
      <c r="S2251">
        <v>5</v>
      </c>
      <c r="T2251">
        <v>2</v>
      </c>
      <c r="U2251">
        <v>5415</v>
      </c>
    </row>
    <row r="2252" spans="1:21" x14ac:dyDescent="0.25">
      <c r="A2252">
        <v>2025</v>
      </c>
      <c r="B2252">
        <v>12</v>
      </c>
      <c r="C2252" t="s">
        <v>72</v>
      </c>
      <c r="D2252" t="s">
        <v>22</v>
      </c>
      <c r="E2252" t="s">
        <v>35</v>
      </c>
      <c r="F2252" t="s">
        <v>24</v>
      </c>
      <c r="G2252" t="s">
        <v>25</v>
      </c>
      <c r="H2252" t="s">
        <v>26</v>
      </c>
      <c r="I2252" t="s">
        <v>26</v>
      </c>
      <c r="J2252">
        <v>37</v>
      </c>
      <c r="K2252">
        <v>0</v>
      </c>
      <c r="L2252">
        <v>0</v>
      </c>
      <c r="M2252">
        <v>0</v>
      </c>
      <c r="N2252">
        <v>15</v>
      </c>
      <c r="O2252">
        <v>13</v>
      </c>
      <c r="P2252">
        <v>13</v>
      </c>
      <c r="Q2252">
        <v>8</v>
      </c>
      <c r="R2252">
        <v>8</v>
      </c>
      <c r="S2252">
        <v>4</v>
      </c>
      <c r="T2252">
        <v>2</v>
      </c>
      <c r="U2252">
        <v>37</v>
      </c>
    </row>
    <row r="2253" spans="1:21" x14ac:dyDescent="0.25">
      <c r="A2253">
        <v>2025</v>
      </c>
      <c r="B2253">
        <v>12</v>
      </c>
      <c r="C2253" t="s">
        <v>72</v>
      </c>
      <c r="D2253" t="s">
        <v>22</v>
      </c>
      <c r="E2253" t="s">
        <v>111</v>
      </c>
      <c r="F2253" t="s">
        <v>24</v>
      </c>
      <c r="G2253" t="s">
        <v>26</v>
      </c>
      <c r="H2253" t="s">
        <v>26</v>
      </c>
      <c r="I2253" t="s">
        <v>25</v>
      </c>
      <c r="J2253">
        <v>36</v>
      </c>
      <c r="K2253">
        <v>0</v>
      </c>
      <c r="L2253">
        <v>0</v>
      </c>
      <c r="M2253">
        <v>0</v>
      </c>
      <c r="N2253">
        <v>20</v>
      </c>
      <c r="O2253">
        <v>9</v>
      </c>
      <c r="P2253">
        <v>9</v>
      </c>
      <c r="Q2253">
        <v>6</v>
      </c>
      <c r="R2253">
        <v>5</v>
      </c>
      <c r="S2253">
        <v>3</v>
      </c>
      <c r="T2253">
        <v>0</v>
      </c>
      <c r="U2253">
        <v>36</v>
      </c>
    </row>
    <row r="2254" spans="1:21" x14ac:dyDescent="0.25">
      <c r="A2254">
        <v>2025</v>
      </c>
      <c r="B2254">
        <v>12</v>
      </c>
      <c r="C2254" t="s">
        <v>72</v>
      </c>
      <c r="D2254" t="s">
        <v>22</v>
      </c>
      <c r="E2254" t="s">
        <v>74</v>
      </c>
      <c r="F2254" t="s">
        <v>28</v>
      </c>
      <c r="G2254" t="s">
        <v>25</v>
      </c>
      <c r="H2254" t="s">
        <v>25</v>
      </c>
      <c r="I2254" t="s">
        <v>25</v>
      </c>
      <c r="J2254">
        <v>4768</v>
      </c>
      <c r="K2254">
        <v>24</v>
      </c>
      <c r="L2254">
        <v>22</v>
      </c>
      <c r="M2254">
        <v>46</v>
      </c>
      <c r="N2254">
        <v>875</v>
      </c>
      <c r="O2254">
        <v>480</v>
      </c>
      <c r="P2254">
        <v>366</v>
      </c>
      <c r="Q2254">
        <v>194</v>
      </c>
      <c r="R2254">
        <v>100</v>
      </c>
      <c r="S2254">
        <v>18</v>
      </c>
      <c r="T2254">
        <v>0</v>
      </c>
      <c r="U2254">
        <v>4727</v>
      </c>
    </row>
    <row r="2255" spans="1:21" x14ac:dyDescent="0.25">
      <c r="A2255">
        <v>2025</v>
      </c>
      <c r="B2255">
        <v>12</v>
      </c>
      <c r="C2255" t="s">
        <v>72</v>
      </c>
      <c r="D2255" t="s">
        <v>22</v>
      </c>
      <c r="E2255" t="s">
        <v>74</v>
      </c>
      <c r="F2255" t="s">
        <v>24</v>
      </c>
      <c r="G2255" t="s">
        <v>25</v>
      </c>
      <c r="H2255" t="s">
        <v>25</v>
      </c>
      <c r="I2255" t="s">
        <v>25</v>
      </c>
      <c r="J2255">
        <v>257</v>
      </c>
      <c r="K2255">
        <v>2</v>
      </c>
      <c r="L2255">
        <v>0</v>
      </c>
      <c r="M2255">
        <v>2</v>
      </c>
      <c r="N2255">
        <v>20</v>
      </c>
      <c r="O2255">
        <v>10</v>
      </c>
      <c r="P2255">
        <v>8</v>
      </c>
      <c r="Q2255">
        <v>5</v>
      </c>
      <c r="R2255">
        <v>5</v>
      </c>
      <c r="S2255">
        <v>1</v>
      </c>
      <c r="T2255">
        <v>0</v>
      </c>
      <c r="U2255">
        <v>255</v>
      </c>
    </row>
    <row r="2256" spans="1:21" x14ac:dyDescent="0.25">
      <c r="A2256">
        <v>2025</v>
      </c>
      <c r="B2256">
        <v>12</v>
      </c>
      <c r="C2256" t="s">
        <v>72</v>
      </c>
      <c r="D2256" t="s">
        <v>22</v>
      </c>
      <c r="E2256" t="s">
        <v>58</v>
      </c>
      <c r="F2256" t="s">
        <v>28</v>
      </c>
      <c r="G2256" t="s">
        <v>25</v>
      </c>
      <c r="H2256" t="s">
        <v>25</v>
      </c>
      <c r="I2256" t="s">
        <v>25</v>
      </c>
      <c r="J2256">
        <v>29955</v>
      </c>
      <c r="K2256">
        <v>54</v>
      </c>
      <c r="L2256">
        <v>197</v>
      </c>
      <c r="M2256">
        <v>251</v>
      </c>
      <c r="N2256">
        <v>3310</v>
      </c>
      <c r="O2256">
        <v>1802</v>
      </c>
      <c r="P2256">
        <v>1422</v>
      </c>
      <c r="Q2256">
        <v>643</v>
      </c>
      <c r="R2256">
        <v>303</v>
      </c>
      <c r="S2256">
        <v>48</v>
      </c>
      <c r="T2256">
        <v>5</v>
      </c>
      <c r="U2256">
        <v>29780</v>
      </c>
    </row>
    <row r="2257" spans="1:21" x14ac:dyDescent="0.25">
      <c r="A2257">
        <v>2025</v>
      </c>
      <c r="B2257">
        <v>12</v>
      </c>
      <c r="C2257" t="s">
        <v>72</v>
      </c>
      <c r="D2257" t="s">
        <v>22</v>
      </c>
      <c r="E2257" t="s">
        <v>58</v>
      </c>
      <c r="F2257" t="s">
        <v>24</v>
      </c>
      <c r="G2257" t="s">
        <v>25</v>
      </c>
      <c r="H2257" t="s">
        <v>25</v>
      </c>
      <c r="I2257" t="s">
        <v>25</v>
      </c>
      <c r="J2257">
        <v>3316</v>
      </c>
      <c r="K2257">
        <v>19</v>
      </c>
      <c r="L2257">
        <v>74</v>
      </c>
      <c r="M2257">
        <v>93</v>
      </c>
      <c r="N2257">
        <v>524</v>
      </c>
      <c r="O2257">
        <v>317</v>
      </c>
      <c r="P2257">
        <v>253</v>
      </c>
      <c r="Q2257">
        <v>108</v>
      </c>
      <c r="R2257">
        <v>50</v>
      </c>
      <c r="S2257">
        <v>20</v>
      </c>
      <c r="T2257">
        <v>0</v>
      </c>
      <c r="U2257">
        <v>3249</v>
      </c>
    </row>
    <row r="2258" spans="1:21" x14ac:dyDescent="0.25">
      <c r="A2258">
        <v>2025</v>
      </c>
      <c r="B2258">
        <v>12</v>
      </c>
      <c r="C2258" t="s">
        <v>72</v>
      </c>
      <c r="D2258" t="s">
        <v>22</v>
      </c>
      <c r="E2258" t="s">
        <v>27</v>
      </c>
      <c r="F2258" t="s">
        <v>24</v>
      </c>
      <c r="G2258" t="s">
        <v>26</v>
      </c>
      <c r="H2258" t="s">
        <v>26</v>
      </c>
      <c r="I2258" t="s">
        <v>25</v>
      </c>
      <c r="J2258">
        <v>105</v>
      </c>
      <c r="K2258">
        <v>0</v>
      </c>
      <c r="L2258">
        <v>0</v>
      </c>
      <c r="M2258">
        <v>0</v>
      </c>
      <c r="N2258">
        <v>7</v>
      </c>
      <c r="O2258">
        <v>0</v>
      </c>
      <c r="P2258">
        <v>0</v>
      </c>
      <c r="Q2258">
        <v>0</v>
      </c>
      <c r="R2258">
        <v>0</v>
      </c>
      <c r="S2258">
        <v>0</v>
      </c>
      <c r="T2258">
        <v>0</v>
      </c>
      <c r="U2258">
        <v>105</v>
      </c>
    </row>
    <row r="2259" spans="1:21" x14ac:dyDescent="0.25">
      <c r="A2259">
        <v>2025</v>
      </c>
      <c r="B2259">
        <v>12</v>
      </c>
      <c r="C2259" t="s">
        <v>72</v>
      </c>
      <c r="D2259" t="s">
        <v>22</v>
      </c>
      <c r="E2259" t="s">
        <v>27</v>
      </c>
      <c r="F2259" t="s">
        <v>29</v>
      </c>
      <c r="G2259" t="s">
        <v>26</v>
      </c>
      <c r="H2259" t="s">
        <v>26</v>
      </c>
      <c r="I2259" t="s">
        <v>25</v>
      </c>
      <c r="J2259">
        <v>3</v>
      </c>
      <c r="K2259">
        <v>0</v>
      </c>
      <c r="L2259">
        <v>0</v>
      </c>
      <c r="M2259">
        <v>0</v>
      </c>
      <c r="N2259">
        <v>0</v>
      </c>
      <c r="O2259">
        <v>0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0</v>
      </c>
    </row>
    <row r="2260" spans="1:21" x14ac:dyDescent="0.25">
      <c r="A2260">
        <v>2025</v>
      </c>
      <c r="B2260">
        <v>12</v>
      </c>
      <c r="C2260" t="s">
        <v>72</v>
      </c>
      <c r="D2260" t="s">
        <v>22</v>
      </c>
      <c r="E2260" t="s">
        <v>117</v>
      </c>
      <c r="F2260" t="s">
        <v>24</v>
      </c>
      <c r="G2260" t="s">
        <v>25</v>
      </c>
      <c r="H2260" t="s">
        <v>25</v>
      </c>
      <c r="I2260" t="s">
        <v>25</v>
      </c>
      <c r="J2260">
        <v>1</v>
      </c>
      <c r="K2260">
        <v>0</v>
      </c>
      <c r="L2260">
        <v>0</v>
      </c>
      <c r="M2260">
        <v>0</v>
      </c>
      <c r="N2260">
        <v>0</v>
      </c>
      <c r="O2260">
        <v>0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1</v>
      </c>
    </row>
    <row r="2261" spans="1:21" x14ac:dyDescent="0.25">
      <c r="A2261">
        <v>2025</v>
      </c>
      <c r="B2261">
        <v>12</v>
      </c>
      <c r="C2261" t="s">
        <v>75</v>
      </c>
      <c r="D2261" t="s">
        <v>22</v>
      </c>
      <c r="E2261" t="s">
        <v>118</v>
      </c>
      <c r="F2261" t="s">
        <v>28</v>
      </c>
      <c r="G2261" t="s">
        <v>25</v>
      </c>
      <c r="H2261" t="s">
        <v>25</v>
      </c>
      <c r="I2261" t="s">
        <v>25</v>
      </c>
      <c r="J2261">
        <v>13150</v>
      </c>
      <c r="K2261">
        <v>0</v>
      </c>
      <c r="L2261">
        <v>0</v>
      </c>
      <c r="M2261">
        <v>0</v>
      </c>
      <c r="N2261">
        <v>3882</v>
      </c>
      <c r="O2261">
        <v>1000</v>
      </c>
      <c r="P2261">
        <v>995</v>
      </c>
      <c r="Q2261">
        <v>363</v>
      </c>
      <c r="R2261">
        <v>163</v>
      </c>
      <c r="S2261">
        <v>28</v>
      </c>
      <c r="T2261">
        <v>0</v>
      </c>
      <c r="U2261">
        <v>13150</v>
      </c>
    </row>
    <row r="2262" spans="1:21" x14ac:dyDescent="0.25">
      <c r="A2262">
        <v>2025</v>
      </c>
      <c r="B2262">
        <v>12</v>
      </c>
      <c r="C2262" t="s">
        <v>75</v>
      </c>
      <c r="D2262" t="s">
        <v>22</v>
      </c>
      <c r="E2262" t="s">
        <v>118</v>
      </c>
      <c r="F2262" t="s">
        <v>24</v>
      </c>
      <c r="G2262" t="s">
        <v>25</v>
      </c>
      <c r="H2262" t="s">
        <v>25</v>
      </c>
      <c r="I2262" t="s">
        <v>25</v>
      </c>
      <c r="J2262">
        <v>481</v>
      </c>
      <c r="K2262">
        <v>0</v>
      </c>
      <c r="L2262">
        <v>0</v>
      </c>
      <c r="M2262">
        <v>0</v>
      </c>
      <c r="N2262">
        <v>70</v>
      </c>
      <c r="O2262">
        <v>22</v>
      </c>
      <c r="P2262">
        <v>22</v>
      </c>
      <c r="Q2262">
        <v>5</v>
      </c>
      <c r="R2262">
        <v>1</v>
      </c>
      <c r="S2262">
        <v>0</v>
      </c>
      <c r="T2262">
        <v>0</v>
      </c>
      <c r="U2262">
        <v>481</v>
      </c>
    </row>
    <row r="2263" spans="1:21" x14ac:dyDescent="0.25">
      <c r="A2263">
        <v>2025</v>
      </c>
      <c r="B2263">
        <v>12</v>
      </c>
      <c r="C2263" t="s">
        <v>75</v>
      </c>
      <c r="D2263" t="s">
        <v>22</v>
      </c>
      <c r="E2263" t="s">
        <v>118</v>
      </c>
      <c r="F2263" t="s">
        <v>29</v>
      </c>
      <c r="G2263" t="s">
        <v>25</v>
      </c>
      <c r="H2263" t="s">
        <v>25</v>
      </c>
      <c r="I2263" t="s">
        <v>25</v>
      </c>
      <c r="J2263">
        <v>156</v>
      </c>
      <c r="K2263">
        <v>0</v>
      </c>
      <c r="L2263">
        <v>0</v>
      </c>
      <c r="M2263">
        <v>0</v>
      </c>
      <c r="N2263">
        <v>0</v>
      </c>
      <c r="O2263">
        <v>0</v>
      </c>
      <c r="P2263">
        <v>0</v>
      </c>
      <c r="Q2263">
        <v>0</v>
      </c>
      <c r="R2263">
        <v>0</v>
      </c>
      <c r="S2263">
        <v>0</v>
      </c>
      <c r="T2263">
        <v>0</v>
      </c>
      <c r="U2263">
        <v>0</v>
      </c>
    </row>
    <row r="2264" spans="1:21" x14ac:dyDescent="0.25">
      <c r="A2264">
        <v>2025</v>
      </c>
      <c r="B2264">
        <v>12</v>
      </c>
      <c r="C2264" t="s">
        <v>75</v>
      </c>
      <c r="D2264" t="s">
        <v>22</v>
      </c>
      <c r="E2264" t="s">
        <v>114</v>
      </c>
      <c r="F2264" t="s">
        <v>28</v>
      </c>
      <c r="G2264" t="s">
        <v>25</v>
      </c>
      <c r="H2264" t="s">
        <v>25</v>
      </c>
      <c r="I2264" t="s">
        <v>25</v>
      </c>
      <c r="J2264">
        <v>3913</v>
      </c>
      <c r="K2264">
        <v>6</v>
      </c>
      <c r="L2264">
        <v>32</v>
      </c>
      <c r="M2264">
        <v>38</v>
      </c>
      <c r="N2264">
        <v>1411</v>
      </c>
      <c r="O2264">
        <v>363</v>
      </c>
      <c r="P2264">
        <v>362</v>
      </c>
      <c r="Q2264">
        <v>128</v>
      </c>
      <c r="R2264">
        <v>54</v>
      </c>
      <c r="S2264">
        <v>7</v>
      </c>
      <c r="T2264">
        <v>0</v>
      </c>
      <c r="U2264">
        <v>3906</v>
      </c>
    </row>
    <row r="2265" spans="1:21" x14ac:dyDescent="0.25">
      <c r="A2265">
        <v>2025</v>
      </c>
      <c r="B2265">
        <v>12</v>
      </c>
      <c r="C2265" t="s">
        <v>75</v>
      </c>
      <c r="D2265" t="s">
        <v>22</v>
      </c>
      <c r="E2265" t="s">
        <v>114</v>
      </c>
      <c r="F2265" t="s">
        <v>24</v>
      </c>
      <c r="G2265" t="s">
        <v>25</v>
      </c>
      <c r="H2265" t="s">
        <v>25</v>
      </c>
      <c r="I2265" t="s">
        <v>25</v>
      </c>
      <c r="J2265">
        <v>199</v>
      </c>
      <c r="K2265">
        <v>0</v>
      </c>
      <c r="L2265">
        <v>0</v>
      </c>
      <c r="M2265">
        <v>0</v>
      </c>
      <c r="N2265">
        <v>48</v>
      </c>
      <c r="O2265">
        <v>10</v>
      </c>
      <c r="P2265">
        <v>10</v>
      </c>
      <c r="Q2265">
        <v>0</v>
      </c>
      <c r="R2265">
        <v>0</v>
      </c>
      <c r="S2265">
        <v>0</v>
      </c>
      <c r="T2265">
        <v>0</v>
      </c>
      <c r="U2265">
        <v>199</v>
      </c>
    </row>
    <row r="2266" spans="1:21" x14ac:dyDescent="0.25">
      <c r="A2266">
        <v>2025</v>
      </c>
      <c r="B2266">
        <v>12</v>
      </c>
      <c r="C2266" t="s">
        <v>75</v>
      </c>
      <c r="D2266" t="s">
        <v>22</v>
      </c>
      <c r="E2266" t="s">
        <v>114</v>
      </c>
      <c r="F2266" t="s">
        <v>29</v>
      </c>
      <c r="G2266" t="s">
        <v>25</v>
      </c>
      <c r="H2266" t="s">
        <v>25</v>
      </c>
      <c r="I2266" t="s">
        <v>25</v>
      </c>
      <c r="J2266">
        <v>244</v>
      </c>
      <c r="K2266">
        <v>0</v>
      </c>
      <c r="L2266">
        <v>0</v>
      </c>
      <c r="M2266">
        <v>0</v>
      </c>
      <c r="N2266">
        <v>0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0</v>
      </c>
    </row>
    <row r="2267" spans="1:21" x14ac:dyDescent="0.25">
      <c r="A2267">
        <v>2025</v>
      </c>
      <c r="B2267">
        <v>12</v>
      </c>
      <c r="C2267" t="s">
        <v>75</v>
      </c>
      <c r="D2267" t="s">
        <v>22</v>
      </c>
      <c r="E2267" t="s">
        <v>76</v>
      </c>
      <c r="F2267" t="s">
        <v>24</v>
      </c>
      <c r="G2267" t="s">
        <v>25</v>
      </c>
      <c r="H2267" t="s">
        <v>26</v>
      </c>
      <c r="I2267" t="s">
        <v>25</v>
      </c>
      <c r="J2267">
        <v>2</v>
      </c>
      <c r="K2267">
        <v>2</v>
      </c>
      <c r="L2267">
        <v>0</v>
      </c>
      <c r="M2267">
        <v>2</v>
      </c>
      <c r="N2267">
        <v>0</v>
      </c>
      <c r="O2267">
        <v>0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0</v>
      </c>
    </row>
    <row r="2268" spans="1:21" x14ac:dyDescent="0.25">
      <c r="A2268">
        <v>2025</v>
      </c>
      <c r="B2268">
        <v>12</v>
      </c>
      <c r="C2268" t="s">
        <v>75</v>
      </c>
      <c r="D2268" t="s">
        <v>22</v>
      </c>
      <c r="E2268" t="s">
        <v>23</v>
      </c>
      <c r="F2268" t="s">
        <v>28</v>
      </c>
      <c r="G2268" t="s">
        <v>25</v>
      </c>
      <c r="H2268" t="s">
        <v>25</v>
      </c>
      <c r="I2268" t="s">
        <v>25</v>
      </c>
      <c r="J2268">
        <v>344</v>
      </c>
      <c r="K2268">
        <v>6</v>
      </c>
      <c r="L2268">
        <v>10</v>
      </c>
      <c r="M2268">
        <v>16</v>
      </c>
      <c r="N2268">
        <v>136</v>
      </c>
      <c r="O2268">
        <v>95</v>
      </c>
      <c r="P2268">
        <v>95</v>
      </c>
      <c r="Q2268">
        <v>67</v>
      </c>
      <c r="R2268">
        <v>58</v>
      </c>
      <c r="S2268">
        <v>30</v>
      </c>
      <c r="T2268">
        <v>16</v>
      </c>
      <c r="U2268">
        <v>333</v>
      </c>
    </row>
    <row r="2269" spans="1:21" x14ac:dyDescent="0.25">
      <c r="A2269">
        <v>2025</v>
      </c>
      <c r="B2269">
        <v>12</v>
      </c>
      <c r="C2269" t="s">
        <v>75</v>
      </c>
      <c r="D2269" t="s">
        <v>22</v>
      </c>
      <c r="E2269" t="s">
        <v>23</v>
      </c>
      <c r="F2269" t="s">
        <v>24</v>
      </c>
      <c r="G2269" t="s">
        <v>25</v>
      </c>
      <c r="H2269" t="s">
        <v>26</v>
      </c>
      <c r="I2269" t="s">
        <v>25</v>
      </c>
      <c r="J2269">
        <v>789</v>
      </c>
      <c r="K2269">
        <v>6</v>
      </c>
      <c r="L2269">
        <v>0</v>
      </c>
      <c r="M2269">
        <v>6</v>
      </c>
      <c r="N2269">
        <v>5</v>
      </c>
      <c r="O2269">
        <v>2</v>
      </c>
      <c r="P2269">
        <v>2</v>
      </c>
      <c r="Q2269">
        <v>1</v>
      </c>
      <c r="R2269">
        <v>1</v>
      </c>
      <c r="S2269">
        <v>1</v>
      </c>
      <c r="T2269">
        <v>0</v>
      </c>
      <c r="U2269">
        <v>783</v>
      </c>
    </row>
    <row r="2270" spans="1:21" x14ac:dyDescent="0.25">
      <c r="A2270">
        <v>2025</v>
      </c>
      <c r="B2270">
        <v>12</v>
      </c>
      <c r="C2270" t="s">
        <v>75</v>
      </c>
      <c r="D2270" t="s">
        <v>22</v>
      </c>
      <c r="E2270" t="s">
        <v>23</v>
      </c>
      <c r="F2270" t="s">
        <v>29</v>
      </c>
      <c r="G2270" t="s">
        <v>25</v>
      </c>
      <c r="H2270" t="s">
        <v>25</v>
      </c>
      <c r="I2270" t="s">
        <v>25</v>
      </c>
      <c r="J2270">
        <v>6</v>
      </c>
      <c r="K2270">
        <v>0</v>
      </c>
      <c r="L2270">
        <v>0</v>
      </c>
      <c r="M2270">
        <v>0</v>
      </c>
      <c r="N2270">
        <v>0</v>
      </c>
      <c r="O2270">
        <v>0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0</v>
      </c>
    </row>
    <row r="2271" spans="1:21" x14ac:dyDescent="0.25">
      <c r="A2271">
        <v>2025</v>
      </c>
      <c r="B2271">
        <v>12</v>
      </c>
      <c r="C2271" t="s">
        <v>75</v>
      </c>
      <c r="D2271" t="s">
        <v>22</v>
      </c>
      <c r="E2271" t="s">
        <v>39</v>
      </c>
      <c r="F2271" t="s">
        <v>28</v>
      </c>
      <c r="G2271" t="s">
        <v>26</v>
      </c>
      <c r="H2271" t="s">
        <v>26</v>
      </c>
      <c r="I2271" t="s">
        <v>25</v>
      </c>
      <c r="J2271">
        <v>8</v>
      </c>
      <c r="K2271">
        <v>0</v>
      </c>
      <c r="L2271">
        <v>0</v>
      </c>
      <c r="M2271">
        <v>0</v>
      </c>
      <c r="N2271">
        <v>8</v>
      </c>
      <c r="O2271">
        <v>8</v>
      </c>
      <c r="P2271">
        <v>8</v>
      </c>
      <c r="Q2271">
        <v>7</v>
      </c>
      <c r="R2271">
        <v>7</v>
      </c>
      <c r="S2271">
        <v>4</v>
      </c>
      <c r="T2271">
        <v>2</v>
      </c>
      <c r="U2271">
        <v>8</v>
      </c>
    </row>
    <row r="2272" spans="1:21" x14ac:dyDescent="0.25">
      <c r="A2272">
        <v>2025</v>
      </c>
      <c r="B2272">
        <v>12</v>
      </c>
      <c r="C2272" t="s">
        <v>75</v>
      </c>
      <c r="D2272" t="s">
        <v>22</v>
      </c>
      <c r="E2272" t="s">
        <v>39</v>
      </c>
      <c r="F2272" t="s">
        <v>24</v>
      </c>
      <c r="G2272" t="s">
        <v>26</v>
      </c>
      <c r="H2272" t="s">
        <v>26</v>
      </c>
      <c r="I2272" t="s">
        <v>25</v>
      </c>
      <c r="J2272">
        <v>669</v>
      </c>
      <c r="K2272">
        <v>4</v>
      </c>
      <c r="L2272">
        <v>4</v>
      </c>
      <c r="M2272">
        <v>8</v>
      </c>
      <c r="N2272">
        <v>252</v>
      </c>
      <c r="O2272">
        <v>188</v>
      </c>
      <c r="P2272">
        <v>177</v>
      </c>
      <c r="Q2272">
        <v>144</v>
      </c>
      <c r="R2272">
        <v>112</v>
      </c>
      <c r="S2272">
        <v>51</v>
      </c>
      <c r="T2272">
        <v>20</v>
      </c>
      <c r="U2272">
        <v>663</v>
      </c>
    </row>
    <row r="2273" spans="1:21" x14ac:dyDescent="0.25">
      <c r="A2273">
        <v>2025</v>
      </c>
      <c r="B2273">
        <v>12</v>
      </c>
      <c r="C2273" t="s">
        <v>75</v>
      </c>
      <c r="D2273" t="s">
        <v>22</v>
      </c>
      <c r="E2273" t="s">
        <v>39</v>
      </c>
      <c r="F2273" t="s">
        <v>29</v>
      </c>
      <c r="G2273" t="s">
        <v>26</v>
      </c>
      <c r="H2273" t="s">
        <v>26</v>
      </c>
      <c r="I2273" t="s">
        <v>25</v>
      </c>
      <c r="J2273">
        <v>3</v>
      </c>
      <c r="K2273">
        <v>0</v>
      </c>
      <c r="L2273">
        <v>0</v>
      </c>
      <c r="M2273">
        <v>0</v>
      </c>
      <c r="N2273">
        <v>0</v>
      </c>
      <c r="O2273">
        <v>0</v>
      </c>
      <c r="P2273">
        <v>0</v>
      </c>
      <c r="Q2273">
        <v>0</v>
      </c>
      <c r="R2273">
        <v>0</v>
      </c>
      <c r="S2273">
        <v>0</v>
      </c>
      <c r="T2273">
        <v>0</v>
      </c>
      <c r="U2273">
        <v>0</v>
      </c>
    </row>
    <row r="2274" spans="1:21" x14ac:dyDescent="0.25">
      <c r="A2274">
        <v>2025</v>
      </c>
      <c r="B2274">
        <v>12</v>
      </c>
      <c r="C2274" t="s">
        <v>75</v>
      </c>
      <c r="D2274" t="s">
        <v>22</v>
      </c>
      <c r="E2274" t="s">
        <v>84</v>
      </c>
      <c r="F2274" t="s">
        <v>28</v>
      </c>
      <c r="G2274" t="s">
        <v>25</v>
      </c>
      <c r="H2274" t="s">
        <v>25</v>
      </c>
      <c r="I2274" t="s">
        <v>25</v>
      </c>
      <c r="J2274">
        <v>40</v>
      </c>
      <c r="K2274">
        <v>10</v>
      </c>
      <c r="L2274">
        <v>2</v>
      </c>
      <c r="M2274">
        <v>12</v>
      </c>
      <c r="N2274">
        <v>10</v>
      </c>
      <c r="O2274">
        <v>3</v>
      </c>
      <c r="P2274">
        <v>3</v>
      </c>
      <c r="Q2274">
        <v>2</v>
      </c>
      <c r="R2274">
        <v>2</v>
      </c>
      <c r="S2274">
        <v>2</v>
      </c>
      <c r="T2274">
        <v>0</v>
      </c>
      <c r="U2274">
        <v>28</v>
      </c>
    </row>
    <row r="2275" spans="1:21" x14ac:dyDescent="0.25">
      <c r="A2275">
        <v>2025</v>
      </c>
      <c r="B2275">
        <v>12</v>
      </c>
      <c r="C2275" t="s">
        <v>75</v>
      </c>
      <c r="D2275" t="s">
        <v>22</v>
      </c>
      <c r="E2275" t="s">
        <v>84</v>
      </c>
      <c r="F2275" t="s">
        <v>29</v>
      </c>
      <c r="G2275" t="s">
        <v>25</v>
      </c>
      <c r="H2275" t="s">
        <v>25</v>
      </c>
      <c r="I2275" t="s">
        <v>25</v>
      </c>
      <c r="J2275">
        <v>10</v>
      </c>
      <c r="K2275">
        <v>5</v>
      </c>
      <c r="L2275">
        <v>0</v>
      </c>
      <c r="M2275">
        <v>5</v>
      </c>
      <c r="N2275">
        <v>0</v>
      </c>
      <c r="O2275">
        <v>0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0</v>
      </c>
    </row>
    <row r="2276" spans="1:21" x14ac:dyDescent="0.25">
      <c r="A2276">
        <v>2025</v>
      </c>
      <c r="B2276">
        <v>12</v>
      </c>
      <c r="C2276" t="s">
        <v>75</v>
      </c>
      <c r="D2276" t="s">
        <v>22</v>
      </c>
      <c r="E2276" t="s">
        <v>77</v>
      </c>
      <c r="F2276" t="s">
        <v>28</v>
      </c>
      <c r="G2276" t="s">
        <v>25</v>
      </c>
      <c r="H2276" t="s">
        <v>26</v>
      </c>
      <c r="I2276" t="s">
        <v>25</v>
      </c>
      <c r="J2276">
        <v>1742</v>
      </c>
      <c r="K2276">
        <v>0</v>
      </c>
      <c r="L2276">
        <v>0</v>
      </c>
      <c r="M2276">
        <v>0</v>
      </c>
      <c r="N2276">
        <v>497</v>
      </c>
      <c r="O2276">
        <v>341</v>
      </c>
      <c r="P2276">
        <v>341</v>
      </c>
      <c r="Q2276">
        <v>256</v>
      </c>
      <c r="R2276">
        <v>199</v>
      </c>
      <c r="S2276">
        <v>111</v>
      </c>
      <c r="T2276">
        <v>27</v>
      </c>
      <c r="U2276">
        <v>1742</v>
      </c>
    </row>
    <row r="2277" spans="1:21" x14ac:dyDescent="0.25">
      <c r="A2277">
        <v>2025</v>
      </c>
      <c r="B2277">
        <v>12</v>
      </c>
      <c r="C2277" t="s">
        <v>75</v>
      </c>
      <c r="D2277" t="s">
        <v>22</v>
      </c>
      <c r="E2277" t="s">
        <v>77</v>
      </c>
      <c r="F2277" t="s">
        <v>29</v>
      </c>
      <c r="G2277" t="s">
        <v>25</v>
      </c>
      <c r="H2277" t="s">
        <v>26</v>
      </c>
      <c r="I2277" t="s">
        <v>25</v>
      </c>
      <c r="J2277">
        <v>19</v>
      </c>
      <c r="K2277">
        <v>0</v>
      </c>
      <c r="L2277">
        <v>0</v>
      </c>
      <c r="M2277">
        <v>0</v>
      </c>
      <c r="N2277">
        <v>0</v>
      </c>
      <c r="O2277">
        <v>0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0</v>
      </c>
    </row>
    <row r="2278" spans="1:21" x14ac:dyDescent="0.25">
      <c r="A2278">
        <v>2025</v>
      </c>
      <c r="B2278">
        <v>12</v>
      </c>
      <c r="C2278" t="s">
        <v>75</v>
      </c>
      <c r="D2278" t="s">
        <v>22</v>
      </c>
      <c r="E2278" t="s">
        <v>78</v>
      </c>
      <c r="F2278" t="s">
        <v>28</v>
      </c>
      <c r="G2278" t="s">
        <v>25</v>
      </c>
      <c r="H2278" t="s">
        <v>26</v>
      </c>
      <c r="I2278" t="s">
        <v>26</v>
      </c>
      <c r="J2278">
        <v>268</v>
      </c>
      <c r="K2278">
        <v>0</v>
      </c>
      <c r="L2278">
        <v>0</v>
      </c>
      <c r="M2278">
        <v>0</v>
      </c>
      <c r="N2278">
        <v>57</v>
      </c>
      <c r="O2278">
        <v>42</v>
      </c>
      <c r="P2278">
        <v>42</v>
      </c>
      <c r="Q2278">
        <v>31</v>
      </c>
      <c r="R2278">
        <v>27</v>
      </c>
      <c r="S2278">
        <v>13</v>
      </c>
      <c r="T2278">
        <v>4</v>
      </c>
      <c r="U2278">
        <v>268</v>
      </c>
    </row>
    <row r="2279" spans="1:21" x14ac:dyDescent="0.25">
      <c r="A2279">
        <v>2025</v>
      </c>
      <c r="B2279">
        <v>12</v>
      </c>
      <c r="C2279" t="s">
        <v>75</v>
      </c>
      <c r="D2279" t="s">
        <v>22</v>
      </c>
      <c r="E2279" t="s">
        <v>78</v>
      </c>
      <c r="F2279" t="s">
        <v>29</v>
      </c>
      <c r="G2279" t="s">
        <v>25</v>
      </c>
      <c r="H2279" t="s">
        <v>26</v>
      </c>
      <c r="I2279" t="s">
        <v>26</v>
      </c>
      <c r="J2279">
        <v>37</v>
      </c>
      <c r="K2279">
        <v>0</v>
      </c>
      <c r="L2279">
        <v>0</v>
      </c>
      <c r="M2279">
        <v>0</v>
      </c>
      <c r="N2279">
        <v>0</v>
      </c>
      <c r="O2279">
        <v>0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0</v>
      </c>
    </row>
    <row r="2280" spans="1:21" x14ac:dyDescent="0.25">
      <c r="A2280">
        <v>2025</v>
      </c>
      <c r="B2280">
        <v>12</v>
      </c>
      <c r="C2280" t="s">
        <v>75</v>
      </c>
      <c r="D2280" t="s">
        <v>22</v>
      </c>
      <c r="E2280" t="s">
        <v>113</v>
      </c>
      <c r="F2280" t="s">
        <v>24</v>
      </c>
      <c r="G2280" t="s">
        <v>26</v>
      </c>
      <c r="H2280" t="s">
        <v>26</v>
      </c>
      <c r="I2280" t="s">
        <v>25</v>
      </c>
      <c r="J2280">
        <v>137</v>
      </c>
      <c r="K2280">
        <v>0</v>
      </c>
      <c r="L2280">
        <v>2</v>
      </c>
      <c r="M2280">
        <v>2</v>
      </c>
      <c r="N2280">
        <v>32</v>
      </c>
      <c r="O2280">
        <v>13</v>
      </c>
      <c r="P2280">
        <v>13</v>
      </c>
      <c r="Q2280">
        <v>13</v>
      </c>
      <c r="R2280">
        <v>7</v>
      </c>
      <c r="S2280">
        <v>2</v>
      </c>
      <c r="T2280">
        <v>0</v>
      </c>
      <c r="U2280">
        <v>137</v>
      </c>
    </row>
    <row r="2281" spans="1:21" x14ac:dyDescent="0.25">
      <c r="A2281">
        <v>2025</v>
      </c>
      <c r="B2281">
        <v>12</v>
      </c>
      <c r="C2281" t="s">
        <v>75</v>
      </c>
      <c r="D2281" t="s">
        <v>22</v>
      </c>
      <c r="E2281" t="s">
        <v>113</v>
      </c>
      <c r="F2281" t="s">
        <v>29</v>
      </c>
      <c r="G2281" t="s">
        <v>26</v>
      </c>
      <c r="H2281" t="s">
        <v>26</v>
      </c>
      <c r="I2281" t="s">
        <v>25</v>
      </c>
      <c r="J2281">
        <v>5</v>
      </c>
      <c r="K2281">
        <v>0</v>
      </c>
      <c r="L2281">
        <v>0</v>
      </c>
      <c r="M2281">
        <v>0</v>
      </c>
      <c r="N2281">
        <v>0</v>
      </c>
      <c r="O2281">
        <v>0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0</v>
      </c>
    </row>
    <row r="2282" spans="1:21" x14ac:dyDescent="0.25">
      <c r="A2282">
        <v>2025</v>
      </c>
      <c r="B2282">
        <v>12</v>
      </c>
      <c r="C2282" t="s">
        <v>75</v>
      </c>
      <c r="D2282" t="s">
        <v>22</v>
      </c>
      <c r="E2282" t="s">
        <v>70</v>
      </c>
      <c r="F2282" t="s">
        <v>28</v>
      </c>
      <c r="G2282" t="s">
        <v>26</v>
      </c>
      <c r="H2282" t="s">
        <v>26</v>
      </c>
      <c r="I2282" t="s">
        <v>25</v>
      </c>
      <c r="J2282">
        <v>25</v>
      </c>
      <c r="K2282">
        <v>0</v>
      </c>
      <c r="L2282">
        <v>0</v>
      </c>
      <c r="M2282">
        <v>0</v>
      </c>
      <c r="N2282">
        <v>25</v>
      </c>
      <c r="O2282">
        <v>25</v>
      </c>
      <c r="P2282">
        <v>25</v>
      </c>
      <c r="Q2282">
        <v>23</v>
      </c>
      <c r="R2282">
        <v>20</v>
      </c>
      <c r="S2282">
        <v>13</v>
      </c>
      <c r="T2282">
        <v>3</v>
      </c>
      <c r="U2282">
        <v>25</v>
      </c>
    </row>
    <row r="2283" spans="1:21" x14ac:dyDescent="0.25">
      <c r="A2283">
        <v>2025</v>
      </c>
      <c r="B2283">
        <v>12</v>
      </c>
      <c r="C2283" t="s">
        <v>75</v>
      </c>
      <c r="D2283" t="s">
        <v>22</v>
      </c>
      <c r="E2283" t="s">
        <v>70</v>
      </c>
      <c r="F2283" t="s">
        <v>24</v>
      </c>
      <c r="G2283" t="s">
        <v>26</v>
      </c>
      <c r="H2283" t="s">
        <v>26</v>
      </c>
      <c r="I2283" t="s">
        <v>25</v>
      </c>
      <c r="J2283">
        <v>843</v>
      </c>
      <c r="K2283">
        <v>0</v>
      </c>
      <c r="L2283">
        <v>0</v>
      </c>
      <c r="M2283">
        <v>0</v>
      </c>
      <c r="N2283">
        <v>76</v>
      </c>
      <c r="O2283">
        <v>38</v>
      </c>
      <c r="P2283">
        <v>36</v>
      </c>
      <c r="Q2283">
        <v>32</v>
      </c>
      <c r="R2283">
        <v>28</v>
      </c>
      <c r="S2283">
        <v>13</v>
      </c>
      <c r="T2283">
        <v>2</v>
      </c>
      <c r="U2283">
        <v>843</v>
      </c>
    </row>
    <row r="2284" spans="1:21" x14ac:dyDescent="0.25">
      <c r="A2284">
        <v>2025</v>
      </c>
      <c r="B2284">
        <v>12</v>
      </c>
      <c r="C2284" t="s">
        <v>75</v>
      </c>
      <c r="D2284" t="s">
        <v>22</v>
      </c>
      <c r="E2284" t="s">
        <v>70</v>
      </c>
      <c r="F2284" t="s">
        <v>29</v>
      </c>
      <c r="G2284" t="s">
        <v>26</v>
      </c>
      <c r="H2284" t="s">
        <v>26</v>
      </c>
      <c r="I2284" t="s">
        <v>25</v>
      </c>
      <c r="J2284">
        <v>9</v>
      </c>
      <c r="K2284">
        <v>0</v>
      </c>
      <c r="L2284">
        <v>0</v>
      </c>
      <c r="M2284">
        <v>0</v>
      </c>
      <c r="N2284">
        <v>0</v>
      </c>
      <c r="O2284">
        <v>0</v>
      </c>
      <c r="P2284">
        <v>0</v>
      </c>
      <c r="Q2284">
        <v>0</v>
      </c>
      <c r="R2284">
        <v>0</v>
      </c>
      <c r="S2284">
        <v>0</v>
      </c>
      <c r="T2284">
        <v>0</v>
      </c>
      <c r="U2284">
        <v>0</v>
      </c>
    </row>
    <row r="2285" spans="1:21" x14ac:dyDescent="0.25">
      <c r="A2285">
        <v>2025</v>
      </c>
      <c r="B2285">
        <v>12</v>
      </c>
      <c r="C2285" t="s">
        <v>75</v>
      </c>
      <c r="D2285" t="s">
        <v>22</v>
      </c>
      <c r="E2285" t="s">
        <v>115</v>
      </c>
      <c r="F2285" t="s">
        <v>28</v>
      </c>
      <c r="G2285" t="s">
        <v>25</v>
      </c>
      <c r="H2285" t="s">
        <v>25</v>
      </c>
      <c r="I2285" t="s">
        <v>25</v>
      </c>
      <c r="J2285">
        <v>22</v>
      </c>
      <c r="K2285">
        <v>0</v>
      </c>
      <c r="L2285">
        <v>0</v>
      </c>
      <c r="M2285">
        <v>0</v>
      </c>
      <c r="N2285">
        <v>1</v>
      </c>
      <c r="O2285">
        <v>0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22</v>
      </c>
    </row>
    <row r="2286" spans="1:21" x14ac:dyDescent="0.25">
      <c r="A2286">
        <v>2025</v>
      </c>
      <c r="B2286">
        <v>12</v>
      </c>
      <c r="C2286" t="s">
        <v>75</v>
      </c>
      <c r="D2286" t="s">
        <v>22</v>
      </c>
      <c r="E2286" t="s">
        <v>115</v>
      </c>
      <c r="F2286" t="s">
        <v>29</v>
      </c>
      <c r="G2286" t="s">
        <v>25</v>
      </c>
      <c r="H2286" t="s">
        <v>25</v>
      </c>
      <c r="I2286" t="s">
        <v>25</v>
      </c>
      <c r="J2286">
        <v>17</v>
      </c>
      <c r="K2286">
        <v>0</v>
      </c>
      <c r="L2286">
        <v>0</v>
      </c>
      <c r="M2286">
        <v>0</v>
      </c>
      <c r="N2286">
        <v>0</v>
      </c>
      <c r="O2286">
        <v>0</v>
      </c>
      <c r="P2286">
        <v>0</v>
      </c>
      <c r="Q2286">
        <v>0</v>
      </c>
      <c r="R2286">
        <v>0</v>
      </c>
      <c r="S2286">
        <v>0</v>
      </c>
      <c r="T2286">
        <v>0</v>
      </c>
      <c r="U2286">
        <v>0</v>
      </c>
    </row>
    <row r="2287" spans="1:21" x14ac:dyDescent="0.25">
      <c r="A2287">
        <v>2025</v>
      </c>
      <c r="B2287">
        <v>12</v>
      </c>
      <c r="C2287" t="s">
        <v>75</v>
      </c>
      <c r="D2287" t="s">
        <v>22</v>
      </c>
      <c r="E2287" t="s">
        <v>119</v>
      </c>
      <c r="F2287" t="s">
        <v>28</v>
      </c>
      <c r="G2287" t="s">
        <v>25</v>
      </c>
      <c r="H2287" t="s">
        <v>25</v>
      </c>
      <c r="I2287" t="s">
        <v>25</v>
      </c>
      <c r="J2287">
        <v>40</v>
      </c>
      <c r="K2287">
        <v>0</v>
      </c>
      <c r="L2287">
        <v>0</v>
      </c>
      <c r="M2287">
        <v>0</v>
      </c>
      <c r="N2287">
        <v>6</v>
      </c>
      <c r="O2287">
        <v>1</v>
      </c>
      <c r="P2287">
        <v>1</v>
      </c>
      <c r="Q2287">
        <v>1</v>
      </c>
      <c r="R2287">
        <v>0</v>
      </c>
      <c r="S2287">
        <v>0</v>
      </c>
      <c r="T2287">
        <v>0</v>
      </c>
      <c r="U2287">
        <v>40</v>
      </c>
    </row>
    <row r="2288" spans="1:21" x14ac:dyDescent="0.25">
      <c r="A2288">
        <v>2025</v>
      </c>
      <c r="B2288">
        <v>12</v>
      </c>
      <c r="C2288" t="s">
        <v>75</v>
      </c>
      <c r="D2288" t="s">
        <v>22</v>
      </c>
      <c r="E2288" t="s">
        <v>119</v>
      </c>
      <c r="F2288" t="s">
        <v>29</v>
      </c>
      <c r="G2288" t="s">
        <v>25</v>
      </c>
      <c r="H2288" t="s">
        <v>25</v>
      </c>
      <c r="I2288" t="s">
        <v>25</v>
      </c>
      <c r="J2288">
        <v>5</v>
      </c>
      <c r="K2288">
        <v>0</v>
      </c>
      <c r="L2288">
        <v>0</v>
      </c>
      <c r="M2288">
        <v>0</v>
      </c>
      <c r="N2288">
        <v>0</v>
      </c>
      <c r="O2288">
        <v>0</v>
      </c>
      <c r="P2288">
        <v>0</v>
      </c>
      <c r="Q2288">
        <v>0</v>
      </c>
      <c r="R2288">
        <v>0</v>
      </c>
      <c r="S2288">
        <v>0</v>
      </c>
      <c r="T2288">
        <v>0</v>
      </c>
      <c r="U2288">
        <v>0</v>
      </c>
    </row>
    <row r="2289" spans="1:21" x14ac:dyDescent="0.25">
      <c r="A2289">
        <v>2025</v>
      </c>
      <c r="B2289">
        <v>12</v>
      </c>
      <c r="C2289" t="s">
        <v>75</v>
      </c>
      <c r="D2289" t="s">
        <v>22</v>
      </c>
      <c r="E2289" t="s">
        <v>35</v>
      </c>
      <c r="F2289" t="s">
        <v>24</v>
      </c>
      <c r="G2289" t="s">
        <v>25</v>
      </c>
      <c r="H2289" t="s">
        <v>26</v>
      </c>
      <c r="I2289" t="s">
        <v>26</v>
      </c>
      <c r="J2289">
        <v>12</v>
      </c>
      <c r="K2289">
        <v>0</v>
      </c>
      <c r="L2289">
        <v>2</v>
      </c>
      <c r="M2289">
        <v>2</v>
      </c>
      <c r="N2289">
        <v>2</v>
      </c>
      <c r="O2289">
        <v>2</v>
      </c>
      <c r="P2289">
        <v>2</v>
      </c>
      <c r="Q2289">
        <v>2</v>
      </c>
      <c r="R2289">
        <v>0</v>
      </c>
      <c r="S2289">
        <v>0</v>
      </c>
      <c r="T2289">
        <v>0</v>
      </c>
      <c r="U2289">
        <v>10</v>
      </c>
    </row>
    <row r="2290" spans="1:21" x14ac:dyDescent="0.25">
      <c r="A2290">
        <v>2025</v>
      </c>
      <c r="B2290">
        <v>12</v>
      </c>
      <c r="C2290" t="s">
        <v>75</v>
      </c>
      <c r="D2290" t="s">
        <v>22</v>
      </c>
      <c r="E2290" t="s">
        <v>111</v>
      </c>
      <c r="F2290" t="s">
        <v>28</v>
      </c>
      <c r="G2290" t="s">
        <v>26</v>
      </c>
      <c r="H2290" t="s">
        <v>26</v>
      </c>
      <c r="I2290" t="s">
        <v>25</v>
      </c>
      <c r="J2290">
        <v>2437</v>
      </c>
      <c r="K2290">
        <v>2</v>
      </c>
      <c r="L2290">
        <v>24</v>
      </c>
      <c r="M2290">
        <v>26</v>
      </c>
      <c r="N2290">
        <v>798</v>
      </c>
      <c r="O2290">
        <v>494</v>
      </c>
      <c r="P2290">
        <v>494</v>
      </c>
      <c r="Q2290">
        <v>356</v>
      </c>
      <c r="R2290">
        <v>272</v>
      </c>
      <c r="S2290">
        <v>126</v>
      </c>
      <c r="T2290">
        <v>48</v>
      </c>
      <c r="U2290">
        <v>2431</v>
      </c>
    </row>
    <row r="2291" spans="1:21" x14ac:dyDescent="0.25">
      <c r="A2291">
        <v>2025</v>
      </c>
      <c r="B2291">
        <v>12</v>
      </c>
      <c r="C2291" t="s">
        <v>75</v>
      </c>
      <c r="D2291" t="s">
        <v>22</v>
      </c>
      <c r="E2291" t="s">
        <v>111</v>
      </c>
      <c r="F2291" t="s">
        <v>24</v>
      </c>
      <c r="G2291" t="s">
        <v>26</v>
      </c>
      <c r="H2291" t="s">
        <v>26</v>
      </c>
      <c r="I2291" t="s">
        <v>25</v>
      </c>
      <c r="J2291">
        <v>225</v>
      </c>
      <c r="K2291">
        <v>0</v>
      </c>
      <c r="L2291">
        <v>1</v>
      </c>
      <c r="M2291">
        <v>1</v>
      </c>
      <c r="N2291">
        <v>105</v>
      </c>
      <c r="O2291">
        <v>56</v>
      </c>
      <c r="P2291">
        <v>56</v>
      </c>
      <c r="Q2291">
        <v>44</v>
      </c>
      <c r="R2291">
        <v>32</v>
      </c>
      <c r="S2291">
        <v>19</v>
      </c>
      <c r="T2291">
        <v>2</v>
      </c>
      <c r="U2291">
        <v>225</v>
      </c>
    </row>
    <row r="2292" spans="1:21" x14ac:dyDescent="0.25">
      <c r="A2292">
        <v>2025</v>
      </c>
      <c r="B2292">
        <v>12</v>
      </c>
      <c r="C2292" t="s">
        <v>75</v>
      </c>
      <c r="D2292" t="s">
        <v>22</v>
      </c>
      <c r="E2292" t="s">
        <v>111</v>
      </c>
      <c r="F2292" t="s">
        <v>29</v>
      </c>
      <c r="G2292" t="s">
        <v>26</v>
      </c>
      <c r="H2292" t="s">
        <v>26</v>
      </c>
      <c r="I2292" t="s">
        <v>25</v>
      </c>
      <c r="J2292">
        <v>219</v>
      </c>
      <c r="K2292">
        <v>0</v>
      </c>
      <c r="L2292">
        <v>0</v>
      </c>
      <c r="M2292">
        <v>0</v>
      </c>
      <c r="N2292">
        <v>0</v>
      </c>
      <c r="O2292">
        <v>0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0</v>
      </c>
    </row>
    <row r="2293" spans="1:21" x14ac:dyDescent="0.25">
      <c r="A2293">
        <v>2025</v>
      </c>
      <c r="B2293">
        <v>12</v>
      </c>
      <c r="C2293" t="s">
        <v>75</v>
      </c>
      <c r="D2293" t="s">
        <v>22</v>
      </c>
      <c r="E2293" t="s">
        <v>110</v>
      </c>
      <c r="F2293" t="s">
        <v>28</v>
      </c>
      <c r="G2293" t="s">
        <v>25</v>
      </c>
      <c r="H2293" t="s">
        <v>25</v>
      </c>
      <c r="I2293" t="s">
        <v>25</v>
      </c>
      <c r="J2293">
        <v>36197</v>
      </c>
      <c r="K2293">
        <v>754</v>
      </c>
      <c r="L2293">
        <v>529</v>
      </c>
      <c r="M2293">
        <v>1283</v>
      </c>
      <c r="N2293">
        <v>5928</v>
      </c>
      <c r="O2293">
        <v>2857</v>
      </c>
      <c r="P2293">
        <v>2850</v>
      </c>
      <c r="Q2293">
        <v>1912</v>
      </c>
      <c r="R2293">
        <v>1357</v>
      </c>
      <c r="S2293">
        <v>585</v>
      </c>
      <c r="T2293">
        <v>156</v>
      </c>
      <c r="U2293">
        <v>35270</v>
      </c>
    </row>
    <row r="2294" spans="1:21" x14ac:dyDescent="0.25">
      <c r="A2294">
        <v>2025</v>
      </c>
      <c r="B2294">
        <v>12</v>
      </c>
      <c r="C2294" t="s">
        <v>75</v>
      </c>
      <c r="D2294" t="s">
        <v>22</v>
      </c>
      <c r="E2294" t="s">
        <v>110</v>
      </c>
      <c r="F2294" t="s">
        <v>24</v>
      </c>
      <c r="G2294" t="s">
        <v>25</v>
      </c>
      <c r="H2294" t="s">
        <v>25</v>
      </c>
      <c r="I2294" t="s">
        <v>25</v>
      </c>
      <c r="J2294">
        <v>5080</v>
      </c>
      <c r="K2294">
        <v>94</v>
      </c>
      <c r="L2294">
        <v>40</v>
      </c>
      <c r="M2294">
        <v>134</v>
      </c>
      <c r="N2294">
        <v>690</v>
      </c>
      <c r="O2294">
        <v>227</v>
      </c>
      <c r="P2294">
        <v>227</v>
      </c>
      <c r="Q2294">
        <v>119</v>
      </c>
      <c r="R2294">
        <v>68</v>
      </c>
      <c r="S2294">
        <v>22</v>
      </c>
      <c r="T2294">
        <v>7</v>
      </c>
      <c r="U2294">
        <v>4970</v>
      </c>
    </row>
    <row r="2295" spans="1:21" x14ac:dyDescent="0.25">
      <c r="A2295">
        <v>2025</v>
      </c>
      <c r="B2295">
        <v>12</v>
      </c>
      <c r="C2295" t="s">
        <v>75</v>
      </c>
      <c r="D2295" t="s">
        <v>22</v>
      </c>
      <c r="E2295" t="s">
        <v>110</v>
      </c>
      <c r="F2295" t="s">
        <v>29</v>
      </c>
      <c r="G2295" t="s">
        <v>25</v>
      </c>
      <c r="H2295" t="s">
        <v>25</v>
      </c>
      <c r="I2295" t="s">
        <v>25</v>
      </c>
      <c r="J2295">
        <v>565</v>
      </c>
      <c r="K2295">
        <v>13</v>
      </c>
      <c r="L2295">
        <v>0</v>
      </c>
      <c r="M2295">
        <v>13</v>
      </c>
      <c r="N2295">
        <v>0</v>
      </c>
      <c r="O2295">
        <v>0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0</v>
      </c>
    </row>
    <row r="2296" spans="1:21" x14ac:dyDescent="0.25">
      <c r="A2296">
        <v>2025</v>
      </c>
      <c r="B2296">
        <v>12</v>
      </c>
      <c r="C2296" t="s">
        <v>75</v>
      </c>
      <c r="D2296" t="s">
        <v>22</v>
      </c>
      <c r="E2296" t="s">
        <v>42</v>
      </c>
      <c r="F2296" t="s">
        <v>24</v>
      </c>
      <c r="G2296" t="s">
        <v>26</v>
      </c>
      <c r="H2296" t="s">
        <v>26</v>
      </c>
      <c r="I2296" t="s">
        <v>25</v>
      </c>
      <c r="J2296">
        <v>100</v>
      </c>
      <c r="K2296">
        <v>2</v>
      </c>
      <c r="L2296">
        <v>1</v>
      </c>
      <c r="M2296">
        <v>3</v>
      </c>
      <c r="N2296">
        <v>46</v>
      </c>
      <c r="O2296">
        <v>39</v>
      </c>
      <c r="P2296">
        <v>38</v>
      </c>
      <c r="Q2296">
        <v>33</v>
      </c>
      <c r="R2296">
        <v>20</v>
      </c>
      <c r="S2296">
        <v>7</v>
      </c>
      <c r="T2296">
        <v>1</v>
      </c>
      <c r="U2296">
        <v>98</v>
      </c>
    </row>
    <row r="2297" spans="1:21" x14ac:dyDescent="0.25">
      <c r="A2297">
        <v>2025</v>
      </c>
      <c r="B2297">
        <v>12</v>
      </c>
      <c r="C2297" t="s">
        <v>75</v>
      </c>
      <c r="D2297" t="s">
        <v>22</v>
      </c>
      <c r="E2297" t="s">
        <v>27</v>
      </c>
      <c r="F2297" t="s">
        <v>28</v>
      </c>
      <c r="G2297" t="s">
        <v>26</v>
      </c>
      <c r="H2297" t="s">
        <v>26</v>
      </c>
      <c r="I2297" t="s">
        <v>25</v>
      </c>
      <c r="J2297">
        <v>11254</v>
      </c>
      <c r="K2297">
        <v>0</v>
      </c>
      <c r="L2297">
        <v>0</v>
      </c>
      <c r="M2297">
        <v>0</v>
      </c>
      <c r="N2297">
        <v>2698</v>
      </c>
      <c r="O2297">
        <v>1525</v>
      </c>
      <c r="P2297">
        <v>1525</v>
      </c>
      <c r="Q2297">
        <v>1033</v>
      </c>
      <c r="R2297">
        <v>768</v>
      </c>
      <c r="S2297">
        <v>328</v>
      </c>
      <c r="T2297">
        <v>72</v>
      </c>
      <c r="U2297">
        <v>11254</v>
      </c>
    </row>
    <row r="2298" spans="1:21" x14ac:dyDescent="0.25">
      <c r="A2298">
        <v>2025</v>
      </c>
      <c r="B2298">
        <v>12</v>
      </c>
      <c r="C2298" t="s">
        <v>75</v>
      </c>
      <c r="D2298" t="s">
        <v>22</v>
      </c>
      <c r="E2298" t="s">
        <v>27</v>
      </c>
      <c r="F2298" t="s">
        <v>24</v>
      </c>
      <c r="G2298" t="s">
        <v>26</v>
      </c>
      <c r="H2298" t="s">
        <v>26</v>
      </c>
      <c r="I2298" t="s">
        <v>25</v>
      </c>
      <c r="J2298">
        <v>1098</v>
      </c>
      <c r="K2298">
        <v>0</v>
      </c>
      <c r="L2298">
        <v>0</v>
      </c>
      <c r="M2298">
        <v>0</v>
      </c>
      <c r="N2298">
        <v>394</v>
      </c>
      <c r="O2298">
        <v>254</v>
      </c>
      <c r="P2298">
        <v>254</v>
      </c>
      <c r="Q2298">
        <v>188</v>
      </c>
      <c r="R2298">
        <v>140</v>
      </c>
      <c r="S2298">
        <v>63</v>
      </c>
      <c r="T2298">
        <v>26</v>
      </c>
      <c r="U2298">
        <v>1098</v>
      </c>
    </row>
    <row r="2299" spans="1:21" x14ac:dyDescent="0.25">
      <c r="A2299">
        <v>2025</v>
      </c>
      <c r="B2299">
        <v>12</v>
      </c>
      <c r="C2299" t="s">
        <v>75</v>
      </c>
      <c r="D2299" t="s">
        <v>22</v>
      </c>
      <c r="E2299" t="s">
        <v>27</v>
      </c>
      <c r="F2299" t="s">
        <v>29</v>
      </c>
      <c r="G2299" t="s">
        <v>26</v>
      </c>
      <c r="H2299" t="s">
        <v>26</v>
      </c>
      <c r="I2299" t="s">
        <v>25</v>
      </c>
      <c r="J2299">
        <v>382</v>
      </c>
      <c r="K2299">
        <v>0</v>
      </c>
      <c r="L2299">
        <v>0</v>
      </c>
      <c r="M2299">
        <v>0</v>
      </c>
      <c r="N2299">
        <v>0</v>
      </c>
      <c r="O2299">
        <v>0</v>
      </c>
      <c r="P2299">
        <v>0</v>
      </c>
      <c r="Q2299">
        <v>0</v>
      </c>
      <c r="R2299">
        <v>0</v>
      </c>
      <c r="S2299">
        <v>0</v>
      </c>
      <c r="T2299">
        <v>0</v>
      </c>
      <c r="U2299">
        <v>0</v>
      </c>
    </row>
    <row r="2300" spans="1:21" x14ac:dyDescent="0.25">
      <c r="A2300">
        <v>2025</v>
      </c>
      <c r="B2300">
        <v>12</v>
      </c>
      <c r="C2300" t="s">
        <v>75</v>
      </c>
      <c r="D2300" t="s">
        <v>22</v>
      </c>
      <c r="E2300" t="s">
        <v>117</v>
      </c>
      <c r="F2300" t="s">
        <v>28</v>
      </c>
      <c r="G2300" t="s">
        <v>25</v>
      </c>
      <c r="H2300" t="s">
        <v>25</v>
      </c>
      <c r="I2300" t="s">
        <v>25</v>
      </c>
      <c r="J2300">
        <v>132706</v>
      </c>
      <c r="K2300">
        <v>0</v>
      </c>
      <c r="L2300">
        <v>0</v>
      </c>
      <c r="M2300">
        <v>0</v>
      </c>
      <c r="N2300">
        <v>18198</v>
      </c>
      <c r="O2300">
        <v>8781</v>
      </c>
      <c r="P2300">
        <v>8766</v>
      </c>
      <c r="Q2300">
        <v>5512</v>
      </c>
      <c r="R2300">
        <v>3807</v>
      </c>
      <c r="S2300">
        <v>1269</v>
      </c>
      <c r="T2300">
        <v>152</v>
      </c>
      <c r="U2300">
        <v>132706</v>
      </c>
    </row>
    <row r="2301" spans="1:21" x14ac:dyDescent="0.25">
      <c r="A2301">
        <v>2025</v>
      </c>
      <c r="B2301">
        <v>12</v>
      </c>
      <c r="C2301" t="s">
        <v>75</v>
      </c>
      <c r="D2301" t="s">
        <v>22</v>
      </c>
      <c r="E2301" t="s">
        <v>117</v>
      </c>
      <c r="F2301" t="s">
        <v>24</v>
      </c>
      <c r="G2301" t="s">
        <v>25</v>
      </c>
      <c r="H2301" t="s">
        <v>25</v>
      </c>
      <c r="I2301" t="s">
        <v>25</v>
      </c>
      <c r="J2301">
        <v>22729</v>
      </c>
      <c r="K2301">
        <v>0</v>
      </c>
      <c r="L2301">
        <v>0</v>
      </c>
      <c r="M2301">
        <v>0</v>
      </c>
      <c r="N2301">
        <v>2125</v>
      </c>
      <c r="O2301">
        <v>703</v>
      </c>
      <c r="P2301">
        <v>702</v>
      </c>
      <c r="Q2301">
        <v>304</v>
      </c>
      <c r="R2301">
        <v>155</v>
      </c>
      <c r="S2301">
        <v>35</v>
      </c>
      <c r="T2301">
        <v>5</v>
      </c>
      <c r="U2301">
        <v>22729</v>
      </c>
    </row>
    <row r="2302" spans="1:21" x14ac:dyDescent="0.25">
      <c r="A2302">
        <v>2025</v>
      </c>
      <c r="B2302">
        <v>12</v>
      </c>
      <c r="C2302" t="s">
        <v>75</v>
      </c>
      <c r="D2302" t="s">
        <v>22</v>
      </c>
      <c r="E2302" t="s">
        <v>117</v>
      </c>
      <c r="F2302" t="s">
        <v>29</v>
      </c>
      <c r="G2302" t="s">
        <v>25</v>
      </c>
      <c r="H2302" t="s">
        <v>25</v>
      </c>
      <c r="I2302" t="s">
        <v>25</v>
      </c>
      <c r="J2302">
        <v>553</v>
      </c>
      <c r="K2302">
        <v>0</v>
      </c>
      <c r="L2302">
        <v>0</v>
      </c>
      <c r="M2302">
        <v>0</v>
      </c>
      <c r="N2302">
        <v>0</v>
      </c>
      <c r="O2302">
        <v>0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0</v>
      </c>
    </row>
    <row r="2303" spans="1:21" x14ac:dyDescent="0.25">
      <c r="A2303">
        <v>2025</v>
      </c>
      <c r="B2303">
        <v>12</v>
      </c>
      <c r="C2303" t="s">
        <v>75</v>
      </c>
      <c r="D2303" t="s">
        <v>22</v>
      </c>
      <c r="E2303" t="s">
        <v>120</v>
      </c>
      <c r="F2303" t="s">
        <v>28</v>
      </c>
      <c r="G2303" t="s">
        <v>25</v>
      </c>
      <c r="H2303" t="s">
        <v>25</v>
      </c>
      <c r="I2303" t="s">
        <v>25</v>
      </c>
      <c r="J2303">
        <v>3186</v>
      </c>
      <c r="K2303">
        <v>0</v>
      </c>
      <c r="L2303">
        <v>0</v>
      </c>
      <c r="M2303">
        <v>0</v>
      </c>
      <c r="N2303">
        <v>113</v>
      </c>
      <c r="O2303">
        <v>36</v>
      </c>
      <c r="P2303">
        <v>36</v>
      </c>
      <c r="Q2303">
        <v>12</v>
      </c>
      <c r="R2303">
        <v>9</v>
      </c>
      <c r="S2303">
        <v>3</v>
      </c>
      <c r="T2303">
        <v>0</v>
      </c>
      <c r="U2303">
        <v>3186</v>
      </c>
    </row>
    <row r="2304" spans="1:21" x14ac:dyDescent="0.25">
      <c r="A2304">
        <v>2025</v>
      </c>
      <c r="B2304">
        <v>12</v>
      </c>
      <c r="C2304" t="s">
        <v>75</v>
      </c>
      <c r="D2304" t="s">
        <v>22</v>
      </c>
      <c r="E2304" t="s">
        <v>120</v>
      </c>
      <c r="F2304" t="s">
        <v>24</v>
      </c>
      <c r="G2304" t="s">
        <v>25</v>
      </c>
      <c r="H2304" t="s">
        <v>25</v>
      </c>
      <c r="I2304" t="s">
        <v>25</v>
      </c>
      <c r="J2304">
        <v>47</v>
      </c>
      <c r="K2304">
        <v>0</v>
      </c>
      <c r="L2304">
        <v>0</v>
      </c>
      <c r="M2304">
        <v>0</v>
      </c>
      <c r="N2304">
        <v>47</v>
      </c>
      <c r="O2304">
        <v>25</v>
      </c>
      <c r="P2304">
        <v>25</v>
      </c>
      <c r="Q2304">
        <v>5</v>
      </c>
      <c r="R2304">
        <v>0</v>
      </c>
      <c r="S2304">
        <v>0</v>
      </c>
      <c r="T2304">
        <v>0</v>
      </c>
      <c r="U2304">
        <v>47</v>
      </c>
    </row>
    <row r="2305" spans="1:21" x14ac:dyDescent="0.25">
      <c r="A2305">
        <v>2025</v>
      </c>
      <c r="B2305">
        <v>12</v>
      </c>
      <c r="C2305" t="s">
        <v>75</v>
      </c>
      <c r="D2305" t="s">
        <v>22</v>
      </c>
      <c r="E2305" t="s">
        <v>120</v>
      </c>
      <c r="F2305" t="s">
        <v>29</v>
      </c>
      <c r="G2305" t="s">
        <v>25</v>
      </c>
      <c r="H2305" t="s">
        <v>25</v>
      </c>
      <c r="I2305" t="s">
        <v>25</v>
      </c>
      <c r="J2305">
        <v>14</v>
      </c>
      <c r="K2305">
        <v>0</v>
      </c>
      <c r="L2305">
        <v>0</v>
      </c>
      <c r="M2305">
        <v>0</v>
      </c>
      <c r="N2305">
        <v>0</v>
      </c>
      <c r="O2305">
        <v>0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0</v>
      </c>
    </row>
    <row r="2306" spans="1:21" x14ac:dyDescent="0.25">
      <c r="A2306">
        <v>2025</v>
      </c>
      <c r="B2306">
        <v>12</v>
      </c>
      <c r="C2306" t="s">
        <v>75</v>
      </c>
      <c r="D2306" t="s">
        <v>22</v>
      </c>
      <c r="E2306" t="s">
        <v>116</v>
      </c>
      <c r="F2306" t="s">
        <v>28</v>
      </c>
      <c r="G2306" t="s">
        <v>25</v>
      </c>
      <c r="H2306" t="s">
        <v>25</v>
      </c>
      <c r="I2306" t="s">
        <v>25</v>
      </c>
      <c r="J2306">
        <v>866</v>
      </c>
      <c r="K2306">
        <v>6</v>
      </c>
      <c r="L2306">
        <v>0</v>
      </c>
      <c r="M2306">
        <v>6</v>
      </c>
      <c r="N2306">
        <v>37</v>
      </c>
      <c r="O2306">
        <v>4</v>
      </c>
      <c r="P2306">
        <v>4</v>
      </c>
      <c r="Q2306">
        <v>1</v>
      </c>
      <c r="R2306">
        <v>1</v>
      </c>
      <c r="S2306">
        <v>0</v>
      </c>
      <c r="T2306">
        <v>0</v>
      </c>
      <c r="U2306">
        <v>860</v>
      </c>
    </row>
    <row r="2307" spans="1:21" x14ac:dyDescent="0.25">
      <c r="A2307">
        <v>2025</v>
      </c>
      <c r="B2307">
        <v>12</v>
      </c>
      <c r="C2307" t="s">
        <v>75</v>
      </c>
      <c r="D2307" t="s">
        <v>22</v>
      </c>
      <c r="E2307" t="s">
        <v>116</v>
      </c>
      <c r="F2307" t="s">
        <v>24</v>
      </c>
      <c r="G2307" t="s">
        <v>25</v>
      </c>
      <c r="H2307" t="s">
        <v>25</v>
      </c>
      <c r="I2307" t="s">
        <v>25</v>
      </c>
      <c r="J2307">
        <v>16</v>
      </c>
      <c r="K2307">
        <v>0</v>
      </c>
      <c r="L2307">
        <v>0</v>
      </c>
      <c r="M2307">
        <v>0</v>
      </c>
      <c r="N2307">
        <v>16</v>
      </c>
      <c r="O2307">
        <v>11</v>
      </c>
      <c r="P2307">
        <v>11</v>
      </c>
      <c r="Q2307">
        <v>4</v>
      </c>
      <c r="R2307">
        <v>0</v>
      </c>
      <c r="S2307">
        <v>0</v>
      </c>
      <c r="T2307">
        <v>0</v>
      </c>
      <c r="U2307">
        <v>16</v>
      </c>
    </row>
    <row r="2308" spans="1:21" x14ac:dyDescent="0.25">
      <c r="A2308">
        <v>2025</v>
      </c>
      <c r="B2308">
        <v>12</v>
      </c>
      <c r="C2308" t="s">
        <v>75</v>
      </c>
      <c r="D2308" t="s">
        <v>22</v>
      </c>
      <c r="E2308" t="s">
        <v>116</v>
      </c>
      <c r="F2308" t="s">
        <v>29</v>
      </c>
      <c r="G2308" t="s">
        <v>25</v>
      </c>
      <c r="H2308" t="s">
        <v>25</v>
      </c>
      <c r="I2308" t="s">
        <v>25</v>
      </c>
      <c r="J2308">
        <v>11</v>
      </c>
      <c r="K2308">
        <v>0</v>
      </c>
      <c r="L2308">
        <v>0</v>
      </c>
      <c r="M2308">
        <v>0</v>
      </c>
      <c r="N2308">
        <v>0</v>
      </c>
      <c r="O2308">
        <v>0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0</v>
      </c>
    </row>
    <row r="2309" spans="1:21" x14ac:dyDescent="0.25">
      <c r="A2309">
        <v>2025</v>
      </c>
      <c r="B2309">
        <v>12</v>
      </c>
      <c r="C2309" t="s">
        <v>79</v>
      </c>
      <c r="D2309" t="s">
        <v>22</v>
      </c>
      <c r="E2309" t="s">
        <v>31</v>
      </c>
      <c r="F2309" t="s">
        <v>24</v>
      </c>
      <c r="G2309" t="s">
        <v>25</v>
      </c>
      <c r="H2309" t="s">
        <v>25</v>
      </c>
      <c r="I2309" t="s">
        <v>25</v>
      </c>
      <c r="J2309">
        <v>522</v>
      </c>
      <c r="K2309">
        <v>0</v>
      </c>
      <c r="L2309">
        <v>0</v>
      </c>
      <c r="M2309">
        <v>0</v>
      </c>
      <c r="N2309">
        <v>77</v>
      </c>
      <c r="O2309">
        <v>65</v>
      </c>
      <c r="P2309">
        <v>58</v>
      </c>
      <c r="Q2309">
        <v>32</v>
      </c>
      <c r="R2309">
        <v>21</v>
      </c>
      <c r="S2309">
        <v>1</v>
      </c>
      <c r="T2309">
        <v>0</v>
      </c>
      <c r="U2309">
        <v>522</v>
      </c>
    </row>
    <row r="2310" spans="1:21" x14ac:dyDescent="0.25">
      <c r="A2310">
        <v>2025</v>
      </c>
      <c r="B2310">
        <v>12</v>
      </c>
      <c r="C2310" t="s">
        <v>79</v>
      </c>
      <c r="D2310" t="s">
        <v>22</v>
      </c>
      <c r="E2310" t="s">
        <v>32</v>
      </c>
      <c r="F2310" t="s">
        <v>24</v>
      </c>
      <c r="G2310" t="s">
        <v>25</v>
      </c>
      <c r="H2310" t="s">
        <v>25</v>
      </c>
      <c r="I2310" t="s">
        <v>25</v>
      </c>
      <c r="J2310">
        <v>121</v>
      </c>
      <c r="K2310">
        <v>0</v>
      </c>
      <c r="L2310">
        <v>0</v>
      </c>
      <c r="M2310">
        <v>0</v>
      </c>
      <c r="N2310">
        <v>53</v>
      </c>
      <c r="O2310">
        <v>44</v>
      </c>
      <c r="P2310">
        <v>43</v>
      </c>
      <c r="Q2310">
        <v>28</v>
      </c>
      <c r="R2310">
        <v>18</v>
      </c>
      <c r="S2310">
        <v>9</v>
      </c>
      <c r="T2310">
        <v>0</v>
      </c>
      <c r="U2310">
        <v>121</v>
      </c>
    </row>
    <row r="2311" spans="1:21" x14ac:dyDescent="0.25">
      <c r="A2311">
        <v>2025</v>
      </c>
      <c r="B2311">
        <v>12</v>
      </c>
      <c r="C2311" t="s">
        <v>79</v>
      </c>
      <c r="D2311" t="s">
        <v>22</v>
      </c>
      <c r="E2311" t="s">
        <v>34</v>
      </c>
      <c r="F2311" t="s">
        <v>24</v>
      </c>
      <c r="G2311" t="s">
        <v>25</v>
      </c>
      <c r="H2311" t="s">
        <v>26</v>
      </c>
      <c r="I2311" t="s">
        <v>26</v>
      </c>
      <c r="J2311">
        <v>155</v>
      </c>
      <c r="K2311">
        <v>2</v>
      </c>
      <c r="L2311">
        <v>0</v>
      </c>
      <c r="M2311">
        <v>2</v>
      </c>
      <c r="N2311">
        <v>5</v>
      </c>
      <c r="O2311">
        <v>3</v>
      </c>
      <c r="P2311">
        <v>1</v>
      </c>
      <c r="Q2311">
        <v>1</v>
      </c>
      <c r="R2311">
        <v>1</v>
      </c>
      <c r="S2311">
        <v>1</v>
      </c>
      <c r="T2311">
        <v>1</v>
      </c>
      <c r="U2311">
        <v>153</v>
      </c>
    </row>
    <row r="2312" spans="1:21" x14ac:dyDescent="0.25">
      <c r="A2312">
        <v>2025</v>
      </c>
      <c r="B2312">
        <v>12</v>
      </c>
      <c r="C2312" t="s">
        <v>79</v>
      </c>
      <c r="D2312" t="s">
        <v>22</v>
      </c>
      <c r="E2312" t="s">
        <v>23</v>
      </c>
      <c r="F2312" t="s">
        <v>24</v>
      </c>
      <c r="G2312" t="s">
        <v>25</v>
      </c>
      <c r="H2312" t="s">
        <v>25</v>
      </c>
      <c r="I2312" t="s">
        <v>25</v>
      </c>
      <c r="J2312">
        <v>26</v>
      </c>
      <c r="K2312">
        <v>0</v>
      </c>
      <c r="L2312">
        <v>0</v>
      </c>
      <c r="M2312">
        <v>0</v>
      </c>
      <c r="N2312">
        <v>15</v>
      </c>
      <c r="O2312">
        <v>13</v>
      </c>
      <c r="P2312">
        <v>10</v>
      </c>
      <c r="Q2312">
        <v>6</v>
      </c>
      <c r="R2312">
        <v>3</v>
      </c>
      <c r="S2312">
        <v>0</v>
      </c>
      <c r="T2312">
        <v>0</v>
      </c>
      <c r="U2312">
        <v>26</v>
      </c>
    </row>
    <row r="2313" spans="1:21" x14ac:dyDescent="0.25">
      <c r="A2313">
        <v>2025</v>
      </c>
      <c r="B2313">
        <v>12</v>
      </c>
      <c r="C2313" t="s">
        <v>79</v>
      </c>
      <c r="D2313" t="s">
        <v>22</v>
      </c>
      <c r="E2313" t="s">
        <v>23</v>
      </c>
      <c r="F2313" t="s">
        <v>24</v>
      </c>
      <c r="G2313" t="s">
        <v>25</v>
      </c>
      <c r="H2313" t="s">
        <v>26</v>
      </c>
      <c r="I2313" t="s">
        <v>25</v>
      </c>
      <c r="J2313">
        <v>36</v>
      </c>
      <c r="K2313">
        <v>0</v>
      </c>
      <c r="L2313">
        <v>0</v>
      </c>
      <c r="M2313">
        <v>0</v>
      </c>
      <c r="N2313">
        <v>14</v>
      </c>
      <c r="O2313">
        <v>10</v>
      </c>
      <c r="P2313">
        <v>10</v>
      </c>
      <c r="Q2313">
        <v>6</v>
      </c>
      <c r="R2313">
        <v>3</v>
      </c>
      <c r="S2313">
        <v>1</v>
      </c>
      <c r="T2313">
        <v>0</v>
      </c>
      <c r="U2313">
        <v>36</v>
      </c>
    </row>
    <row r="2314" spans="1:21" x14ac:dyDescent="0.25">
      <c r="A2314">
        <v>2025</v>
      </c>
      <c r="B2314">
        <v>12</v>
      </c>
      <c r="C2314" t="s">
        <v>80</v>
      </c>
      <c r="D2314" t="s">
        <v>22</v>
      </c>
      <c r="E2314" t="s">
        <v>31</v>
      </c>
      <c r="F2314" t="s">
        <v>24</v>
      </c>
      <c r="G2314" t="s">
        <v>25</v>
      </c>
      <c r="H2314" t="s">
        <v>25</v>
      </c>
      <c r="I2314" t="s">
        <v>25</v>
      </c>
      <c r="J2314">
        <v>124</v>
      </c>
      <c r="K2314">
        <v>0</v>
      </c>
      <c r="L2314">
        <v>0</v>
      </c>
      <c r="M2314">
        <v>0</v>
      </c>
      <c r="N2314">
        <v>13</v>
      </c>
      <c r="O2314">
        <v>9</v>
      </c>
      <c r="P2314">
        <v>9</v>
      </c>
      <c r="Q2314">
        <v>7</v>
      </c>
      <c r="R2314">
        <v>6</v>
      </c>
      <c r="S2314">
        <v>3</v>
      </c>
      <c r="T2314">
        <v>1</v>
      </c>
      <c r="U2314">
        <v>124</v>
      </c>
    </row>
    <row r="2315" spans="1:21" x14ac:dyDescent="0.25">
      <c r="A2315">
        <v>2025</v>
      </c>
      <c r="B2315">
        <v>12</v>
      </c>
      <c r="C2315" t="s">
        <v>80</v>
      </c>
      <c r="D2315" t="s">
        <v>22</v>
      </c>
      <c r="E2315" t="s">
        <v>102</v>
      </c>
      <c r="F2315" t="s">
        <v>28</v>
      </c>
      <c r="G2315" t="s">
        <v>25</v>
      </c>
      <c r="H2315" t="s">
        <v>25</v>
      </c>
      <c r="I2315" t="s">
        <v>25</v>
      </c>
      <c r="J2315">
        <v>1</v>
      </c>
      <c r="K2315">
        <v>0</v>
      </c>
      <c r="L2315">
        <v>1</v>
      </c>
      <c r="M2315">
        <v>1</v>
      </c>
      <c r="N2315">
        <v>0</v>
      </c>
      <c r="O2315">
        <v>0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1</v>
      </c>
    </row>
    <row r="2316" spans="1:21" x14ac:dyDescent="0.25">
      <c r="A2316">
        <v>2025</v>
      </c>
      <c r="B2316">
        <v>12</v>
      </c>
      <c r="C2316" t="s">
        <v>80</v>
      </c>
      <c r="D2316" t="s">
        <v>22</v>
      </c>
      <c r="E2316" t="s">
        <v>32</v>
      </c>
      <c r="F2316" t="s">
        <v>28</v>
      </c>
      <c r="G2316" t="s">
        <v>25</v>
      </c>
      <c r="H2316" t="s">
        <v>25</v>
      </c>
      <c r="I2316" t="s">
        <v>25</v>
      </c>
      <c r="J2316">
        <v>12</v>
      </c>
      <c r="K2316">
        <v>0</v>
      </c>
      <c r="L2316">
        <v>0</v>
      </c>
      <c r="M2316">
        <v>0</v>
      </c>
      <c r="N2316">
        <v>8</v>
      </c>
      <c r="O2316">
        <v>7</v>
      </c>
      <c r="P2316">
        <v>6</v>
      </c>
      <c r="Q2316">
        <v>4</v>
      </c>
      <c r="R2316">
        <v>1</v>
      </c>
      <c r="S2316">
        <v>1</v>
      </c>
      <c r="T2316">
        <v>0</v>
      </c>
      <c r="U2316">
        <v>12</v>
      </c>
    </row>
    <row r="2317" spans="1:21" x14ac:dyDescent="0.25">
      <c r="A2317">
        <v>2025</v>
      </c>
      <c r="B2317">
        <v>12</v>
      </c>
      <c r="C2317" t="s">
        <v>80</v>
      </c>
      <c r="D2317" t="s">
        <v>22</v>
      </c>
      <c r="E2317" t="s">
        <v>32</v>
      </c>
      <c r="F2317" t="s">
        <v>24</v>
      </c>
      <c r="G2317" t="s">
        <v>25</v>
      </c>
      <c r="H2317" t="s">
        <v>25</v>
      </c>
      <c r="I2317" t="s">
        <v>25</v>
      </c>
      <c r="J2317">
        <v>1497</v>
      </c>
      <c r="K2317">
        <v>8</v>
      </c>
      <c r="L2317">
        <v>25</v>
      </c>
      <c r="M2317">
        <v>33</v>
      </c>
      <c r="N2317">
        <v>531</v>
      </c>
      <c r="O2317">
        <v>407</v>
      </c>
      <c r="P2317">
        <v>349</v>
      </c>
      <c r="Q2317">
        <v>232</v>
      </c>
      <c r="R2317">
        <v>136</v>
      </c>
      <c r="S2317">
        <v>46</v>
      </c>
      <c r="T2317">
        <v>14</v>
      </c>
      <c r="U2317">
        <v>1467</v>
      </c>
    </row>
    <row r="2318" spans="1:21" x14ac:dyDescent="0.25">
      <c r="A2318">
        <v>2025</v>
      </c>
      <c r="B2318">
        <v>12</v>
      </c>
      <c r="C2318" t="s">
        <v>80</v>
      </c>
      <c r="D2318" t="s">
        <v>22</v>
      </c>
      <c r="E2318" t="s">
        <v>38</v>
      </c>
      <c r="F2318" t="s">
        <v>24</v>
      </c>
      <c r="G2318" t="s">
        <v>25</v>
      </c>
      <c r="H2318" t="s">
        <v>26</v>
      </c>
      <c r="I2318" t="s">
        <v>25</v>
      </c>
      <c r="J2318">
        <v>1</v>
      </c>
      <c r="K2318">
        <v>0</v>
      </c>
      <c r="L2318">
        <v>0</v>
      </c>
      <c r="M2318">
        <v>0</v>
      </c>
      <c r="N2318">
        <v>0</v>
      </c>
      <c r="O2318">
        <v>0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1</v>
      </c>
    </row>
    <row r="2319" spans="1:21" x14ac:dyDescent="0.25">
      <c r="A2319">
        <v>2025</v>
      </c>
      <c r="B2319">
        <v>12</v>
      </c>
      <c r="C2319" t="s">
        <v>80</v>
      </c>
      <c r="D2319" t="s">
        <v>22</v>
      </c>
      <c r="E2319" t="s">
        <v>34</v>
      </c>
      <c r="F2319" t="s">
        <v>28</v>
      </c>
      <c r="G2319" t="s">
        <v>25</v>
      </c>
      <c r="H2319" t="s">
        <v>26</v>
      </c>
      <c r="I2319" t="s">
        <v>26</v>
      </c>
      <c r="J2319">
        <v>10</v>
      </c>
      <c r="K2319">
        <v>0</v>
      </c>
      <c r="L2319">
        <v>2</v>
      </c>
      <c r="M2319">
        <v>2</v>
      </c>
      <c r="N2319">
        <v>4</v>
      </c>
      <c r="O2319">
        <v>4</v>
      </c>
      <c r="P2319">
        <v>4</v>
      </c>
      <c r="Q2319">
        <v>3</v>
      </c>
      <c r="R2319">
        <v>2</v>
      </c>
      <c r="S2319">
        <v>1</v>
      </c>
      <c r="T2319">
        <v>0</v>
      </c>
      <c r="U2319">
        <v>8</v>
      </c>
    </row>
    <row r="2320" spans="1:21" x14ac:dyDescent="0.25">
      <c r="A2320">
        <v>2025</v>
      </c>
      <c r="B2320">
        <v>12</v>
      </c>
      <c r="C2320" t="s">
        <v>80</v>
      </c>
      <c r="D2320" t="s">
        <v>22</v>
      </c>
      <c r="E2320" t="s">
        <v>76</v>
      </c>
      <c r="F2320" t="s">
        <v>28</v>
      </c>
      <c r="G2320" t="s">
        <v>25</v>
      </c>
      <c r="H2320" t="s">
        <v>26</v>
      </c>
      <c r="I2320" t="s">
        <v>25</v>
      </c>
      <c r="J2320">
        <v>33</v>
      </c>
      <c r="K2320">
        <v>0</v>
      </c>
      <c r="L2320">
        <v>4</v>
      </c>
      <c r="M2320">
        <v>4</v>
      </c>
      <c r="N2320">
        <v>14</v>
      </c>
      <c r="O2320">
        <v>11</v>
      </c>
      <c r="P2320">
        <v>10</v>
      </c>
      <c r="Q2320">
        <v>5</v>
      </c>
      <c r="R2320">
        <v>5</v>
      </c>
      <c r="S2320">
        <v>1</v>
      </c>
      <c r="T2320">
        <v>0</v>
      </c>
      <c r="U2320">
        <v>29</v>
      </c>
    </row>
    <row r="2321" spans="1:21" x14ac:dyDescent="0.25">
      <c r="A2321">
        <v>2025</v>
      </c>
      <c r="B2321">
        <v>12</v>
      </c>
      <c r="C2321" t="s">
        <v>80</v>
      </c>
      <c r="D2321" t="s">
        <v>22</v>
      </c>
      <c r="E2321" t="s">
        <v>76</v>
      </c>
      <c r="F2321" t="s">
        <v>24</v>
      </c>
      <c r="G2321" t="s">
        <v>25</v>
      </c>
      <c r="H2321" t="s">
        <v>26</v>
      </c>
      <c r="I2321" t="s">
        <v>25</v>
      </c>
      <c r="J2321">
        <v>3</v>
      </c>
      <c r="K2321">
        <v>1</v>
      </c>
      <c r="L2321">
        <v>2</v>
      </c>
      <c r="M2321">
        <v>3</v>
      </c>
      <c r="N2321">
        <v>0</v>
      </c>
      <c r="O2321">
        <v>0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0</v>
      </c>
    </row>
    <row r="2322" spans="1:21" x14ac:dyDescent="0.25">
      <c r="A2322">
        <v>2025</v>
      </c>
      <c r="B2322">
        <v>12</v>
      </c>
      <c r="C2322" t="s">
        <v>80</v>
      </c>
      <c r="D2322" t="s">
        <v>22</v>
      </c>
      <c r="E2322" t="s">
        <v>81</v>
      </c>
      <c r="F2322" t="s">
        <v>28</v>
      </c>
      <c r="G2322" t="s">
        <v>25</v>
      </c>
      <c r="H2322" t="s">
        <v>26</v>
      </c>
      <c r="I2322" t="s">
        <v>25</v>
      </c>
      <c r="J2322">
        <v>511</v>
      </c>
      <c r="K2322">
        <v>0</v>
      </c>
      <c r="L2322">
        <v>8</v>
      </c>
      <c r="M2322">
        <v>8</v>
      </c>
      <c r="N2322">
        <v>231</v>
      </c>
      <c r="O2322">
        <v>192</v>
      </c>
      <c r="P2322">
        <v>176</v>
      </c>
      <c r="Q2322">
        <v>119</v>
      </c>
      <c r="R2322">
        <v>86</v>
      </c>
      <c r="S2322">
        <v>41</v>
      </c>
      <c r="T2322">
        <v>21</v>
      </c>
      <c r="U2322">
        <v>505</v>
      </c>
    </row>
    <row r="2323" spans="1:21" x14ac:dyDescent="0.25">
      <c r="A2323">
        <v>2025</v>
      </c>
      <c r="B2323">
        <v>12</v>
      </c>
      <c r="C2323" t="s">
        <v>80</v>
      </c>
      <c r="D2323" t="s">
        <v>22</v>
      </c>
      <c r="E2323" t="s">
        <v>82</v>
      </c>
      <c r="F2323" t="s">
        <v>28</v>
      </c>
      <c r="G2323" t="s">
        <v>25</v>
      </c>
      <c r="H2323" t="s">
        <v>26</v>
      </c>
      <c r="I2323" t="s">
        <v>25</v>
      </c>
      <c r="J2323">
        <v>239</v>
      </c>
      <c r="K2323">
        <v>0</v>
      </c>
      <c r="L2323">
        <v>1</v>
      </c>
      <c r="M2323">
        <v>1</v>
      </c>
      <c r="N2323">
        <v>101</v>
      </c>
      <c r="O2323">
        <v>82</v>
      </c>
      <c r="P2323">
        <v>76</v>
      </c>
      <c r="Q2323">
        <v>57</v>
      </c>
      <c r="R2323">
        <v>40</v>
      </c>
      <c r="S2323">
        <v>15</v>
      </c>
      <c r="T2323">
        <v>8</v>
      </c>
      <c r="U2323">
        <v>238</v>
      </c>
    </row>
    <row r="2324" spans="1:21" x14ac:dyDescent="0.25">
      <c r="A2324">
        <v>2025</v>
      </c>
      <c r="B2324">
        <v>12</v>
      </c>
      <c r="C2324" t="s">
        <v>80</v>
      </c>
      <c r="D2324" t="s">
        <v>22</v>
      </c>
      <c r="E2324" t="s">
        <v>83</v>
      </c>
      <c r="F2324" t="s">
        <v>28</v>
      </c>
      <c r="G2324" t="s">
        <v>26</v>
      </c>
      <c r="H2324" t="s">
        <v>26</v>
      </c>
      <c r="I2324" t="s">
        <v>25</v>
      </c>
      <c r="J2324">
        <v>6889</v>
      </c>
      <c r="K2324">
        <v>0</v>
      </c>
      <c r="L2324">
        <v>66</v>
      </c>
      <c r="M2324">
        <v>66</v>
      </c>
      <c r="N2324">
        <v>3447</v>
      </c>
      <c r="O2324">
        <v>2764</v>
      </c>
      <c r="P2324">
        <v>2499</v>
      </c>
      <c r="Q2324">
        <v>1803</v>
      </c>
      <c r="R2324">
        <v>1302</v>
      </c>
      <c r="S2324">
        <v>671</v>
      </c>
      <c r="T2324">
        <v>268</v>
      </c>
      <c r="U2324">
        <v>6851</v>
      </c>
    </row>
    <row r="2325" spans="1:21" x14ac:dyDescent="0.25">
      <c r="A2325">
        <v>2025</v>
      </c>
      <c r="B2325">
        <v>12</v>
      </c>
      <c r="C2325" t="s">
        <v>80</v>
      </c>
      <c r="D2325" t="s">
        <v>22</v>
      </c>
      <c r="E2325" t="s">
        <v>23</v>
      </c>
      <c r="F2325" t="s">
        <v>28</v>
      </c>
      <c r="G2325" t="s">
        <v>25</v>
      </c>
      <c r="H2325" t="s">
        <v>26</v>
      </c>
      <c r="I2325" t="s">
        <v>25</v>
      </c>
      <c r="J2325">
        <v>3240</v>
      </c>
      <c r="K2325">
        <v>0</v>
      </c>
      <c r="L2325">
        <v>110</v>
      </c>
      <c r="M2325">
        <v>110</v>
      </c>
      <c r="N2325">
        <v>1109</v>
      </c>
      <c r="O2325">
        <v>873</v>
      </c>
      <c r="P2325">
        <v>794</v>
      </c>
      <c r="Q2325">
        <v>573</v>
      </c>
      <c r="R2325">
        <v>419</v>
      </c>
      <c r="S2325">
        <v>228</v>
      </c>
      <c r="T2325">
        <v>78</v>
      </c>
      <c r="U2325">
        <v>3150</v>
      </c>
    </row>
    <row r="2326" spans="1:21" x14ac:dyDescent="0.25">
      <c r="A2326">
        <v>2025</v>
      </c>
      <c r="B2326">
        <v>12</v>
      </c>
      <c r="C2326" t="s">
        <v>80</v>
      </c>
      <c r="D2326" t="s">
        <v>22</v>
      </c>
      <c r="E2326" t="s">
        <v>84</v>
      </c>
      <c r="F2326" t="s">
        <v>28</v>
      </c>
      <c r="G2326" t="s">
        <v>25</v>
      </c>
      <c r="H2326" t="s">
        <v>26</v>
      </c>
      <c r="I2326" t="s">
        <v>26</v>
      </c>
      <c r="J2326">
        <v>618</v>
      </c>
      <c r="K2326">
        <v>0</v>
      </c>
      <c r="L2326">
        <v>0</v>
      </c>
      <c r="M2326">
        <v>0</v>
      </c>
      <c r="N2326">
        <v>162</v>
      </c>
      <c r="O2326">
        <v>118</v>
      </c>
      <c r="P2326">
        <v>102</v>
      </c>
      <c r="Q2326">
        <v>70</v>
      </c>
      <c r="R2326">
        <v>54</v>
      </c>
      <c r="S2326">
        <v>37</v>
      </c>
      <c r="T2326">
        <v>17</v>
      </c>
      <c r="U2326">
        <v>618</v>
      </c>
    </row>
    <row r="2327" spans="1:21" x14ac:dyDescent="0.25">
      <c r="A2327">
        <v>2025</v>
      </c>
      <c r="B2327">
        <v>12</v>
      </c>
      <c r="C2327" t="s">
        <v>80</v>
      </c>
      <c r="D2327" t="s">
        <v>22</v>
      </c>
      <c r="E2327" t="s">
        <v>40</v>
      </c>
      <c r="F2327" t="s">
        <v>28</v>
      </c>
      <c r="G2327" t="s">
        <v>25</v>
      </c>
      <c r="H2327" t="s">
        <v>26</v>
      </c>
      <c r="I2327" t="s">
        <v>25</v>
      </c>
      <c r="J2327">
        <v>6</v>
      </c>
      <c r="K2327">
        <v>0</v>
      </c>
      <c r="L2327">
        <v>4</v>
      </c>
      <c r="M2327">
        <v>4</v>
      </c>
      <c r="N2327">
        <v>4</v>
      </c>
      <c r="O2327">
        <v>3</v>
      </c>
      <c r="P2327">
        <v>3</v>
      </c>
      <c r="Q2327">
        <v>2</v>
      </c>
      <c r="R2327">
        <v>2</v>
      </c>
      <c r="S2327">
        <v>1</v>
      </c>
      <c r="T2327">
        <v>0</v>
      </c>
      <c r="U2327">
        <v>4</v>
      </c>
    </row>
    <row r="2328" spans="1:21" x14ac:dyDescent="0.25">
      <c r="A2328">
        <v>2025</v>
      </c>
      <c r="B2328">
        <v>12</v>
      </c>
      <c r="C2328" t="s">
        <v>80</v>
      </c>
      <c r="D2328" t="s">
        <v>22</v>
      </c>
      <c r="E2328" t="s">
        <v>40</v>
      </c>
      <c r="F2328" t="s">
        <v>24</v>
      </c>
      <c r="G2328" t="s">
        <v>25</v>
      </c>
      <c r="H2328" t="s">
        <v>26</v>
      </c>
      <c r="I2328" t="s">
        <v>25</v>
      </c>
      <c r="J2328">
        <v>22</v>
      </c>
      <c r="K2328">
        <v>0</v>
      </c>
      <c r="L2328">
        <v>0</v>
      </c>
      <c r="M2328">
        <v>0</v>
      </c>
      <c r="N2328">
        <v>0</v>
      </c>
      <c r="O2328">
        <v>0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22</v>
      </c>
    </row>
    <row r="2329" spans="1:21" x14ac:dyDescent="0.25">
      <c r="A2329">
        <v>2025</v>
      </c>
      <c r="B2329">
        <v>12</v>
      </c>
      <c r="C2329" t="s">
        <v>80</v>
      </c>
      <c r="D2329" t="s">
        <v>22</v>
      </c>
      <c r="E2329" t="s">
        <v>85</v>
      </c>
      <c r="F2329" t="s">
        <v>28</v>
      </c>
      <c r="G2329" t="s">
        <v>25</v>
      </c>
      <c r="H2329" t="s">
        <v>25</v>
      </c>
      <c r="I2329" t="s">
        <v>25</v>
      </c>
      <c r="J2329">
        <v>6729</v>
      </c>
      <c r="K2329">
        <v>0</v>
      </c>
      <c r="L2329">
        <v>166</v>
      </c>
      <c r="M2329">
        <v>166</v>
      </c>
      <c r="N2329">
        <v>587</v>
      </c>
      <c r="O2329">
        <v>290</v>
      </c>
      <c r="P2329">
        <v>220</v>
      </c>
      <c r="Q2329">
        <v>109</v>
      </c>
      <c r="R2329">
        <v>60</v>
      </c>
      <c r="S2329">
        <v>24</v>
      </c>
      <c r="T2329">
        <v>4</v>
      </c>
      <c r="U2329">
        <v>6610</v>
      </c>
    </row>
    <row r="2330" spans="1:21" x14ac:dyDescent="0.25">
      <c r="A2330">
        <v>2025</v>
      </c>
      <c r="B2330">
        <v>12</v>
      </c>
      <c r="C2330" t="s">
        <v>80</v>
      </c>
      <c r="D2330" t="s">
        <v>22</v>
      </c>
      <c r="E2330" t="s">
        <v>86</v>
      </c>
      <c r="F2330" t="s">
        <v>28</v>
      </c>
      <c r="G2330" t="s">
        <v>25</v>
      </c>
      <c r="H2330" t="s">
        <v>25</v>
      </c>
      <c r="I2330" t="s">
        <v>25</v>
      </c>
      <c r="J2330">
        <v>23</v>
      </c>
      <c r="K2330">
        <v>0</v>
      </c>
      <c r="L2330">
        <v>9</v>
      </c>
      <c r="M2330">
        <v>9</v>
      </c>
      <c r="N2330">
        <v>13</v>
      </c>
      <c r="O2330">
        <v>13</v>
      </c>
      <c r="P2330">
        <v>13</v>
      </c>
      <c r="Q2330">
        <v>13</v>
      </c>
      <c r="R2330">
        <v>11</v>
      </c>
      <c r="S2330">
        <v>10</v>
      </c>
      <c r="T2330">
        <v>7</v>
      </c>
      <c r="U2330">
        <v>14</v>
      </c>
    </row>
    <row r="2331" spans="1:21" x14ac:dyDescent="0.25">
      <c r="A2331">
        <v>2025</v>
      </c>
      <c r="B2331">
        <v>12</v>
      </c>
      <c r="C2331" t="s">
        <v>80</v>
      </c>
      <c r="D2331" t="s">
        <v>22</v>
      </c>
      <c r="E2331" t="s">
        <v>86</v>
      </c>
      <c r="F2331" t="s">
        <v>29</v>
      </c>
      <c r="G2331" t="s">
        <v>25</v>
      </c>
      <c r="H2331" t="s">
        <v>25</v>
      </c>
      <c r="I2331" t="s">
        <v>25</v>
      </c>
      <c r="J2331">
        <v>12</v>
      </c>
      <c r="K2331">
        <v>3</v>
      </c>
      <c r="L2331">
        <v>0</v>
      </c>
      <c r="M2331">
        <v>3</v>
      </c>
      <c r="N2331">
        <v>0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0</v>
      </c>
    </row>
    <row r="2332" spans="1:21" x14ac:dyDescent="0.25">
      <c r="A2332">
        <v>2025</v>
      </c>
      <c r="B2332">
        <v>12</v>
      </c>
      <c r="C2332" t="s">
        <v>80</v>
      </c>
      <c r="D2332" t="s">
        <v>22</v>
      </c>
      <c r="E2332" t="s">
        <v>35</v>
      </c>
      <c r="F2332" t="s">
        <v>28</v>
      </c>
      <c r="G2332" t="s">
        <v>25</v>
      </c>
      <c r="H2332" t="s">
        <v>26</v>
      </c>
      <c r="I2332" t="s">
        <v>26</v>
      </c>
      <c r="J2332">
        <v>2</v>
      </c>
      <c r="K2332">
        <v>0</v>
      </c>
      <c r="L2332">
        <v>0</v>
      </c>
      <c r="M2332">
        <v>0</v>
      </c>
      <c r="N2332">
        <v>0</v>
      </c>
      <c r="O2332">
        <v>0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2</v>
      </c>
    </row>
    <row r="2333" spans="1:21" x14ac:dyDescent="0.25">
      <c r="A2333">
        <v>2025</v>
      </c>
      <c r="B2333">
        <v>12</v>
      </c>
      <c r="C2333" t="s">
        <v>80</v>
      </c>
      <c r="D2333" t="s">
        <v>22</v>
      </c>
      <c r="E2333" t="s">
        <v>35</v>
      </c>
      <c r="F2333" t="s">
        <v>24</v>
      </c>
      <c r="G2333" t="s">
        <v>25</v>
      </c>
      <c r="H2333" t="s">
        <v>26</v>
      </c>
      <c r="I2333" t="s">
        <v>26</v>
      </c>
      <c r="J2333">
        <v>244</v>
      </c>
      <c r="K2333">
        <v>2</v>
      </c>
      <c r="L2333">
        <v>3</v>
      </c>
      <c r="M2333">
        <v>5</v>
      </c>
      <c r="N2333">
        <v>65</v>
      </c>
      <c r="O2333">
        <v>61</v>
      </c>
      <c r="P2333">
        <v>55</v>
      </c>
      <c r="Q2333">
        <v>45</v>
      </c>
      <c r="R2333">
        <v>40</v>
      </c>
      <c r="S2333">
        <v>22</v>
      </c>
      <c r="T2333">
        <v>13</v>
      </c>
      <c r="U2333">
        <v>242</v>
      </c>
    </row>
    <row r="2334" spans="1:21" x14ac:dyDescent="0.25">
      <c r="A2334">
        <v>2025</v>
      </c>
      <c r="B2334">
        <v>12</v>
      </c>
      <c r="C2334" t="s">
        <v>80</v>
      </c>
      <c r="D2334" t="s">
        <v>22</v>
      </c>
      <c r="E2334" t="s">
        <v>87</v>
      </c>
      <c r="F2334" t="s">
        <v>28</v>
      </c>
      <c r="G2334" t="s">
        <v>25</v>
      </c>
      <c r="H2334" t="s">
        <v>25</v>
      </c>
      <c r="I2334" t="s">
        <v>25</v>
      </c>
      <c r="J2334">
        <v>228028</v>
      </c>
      <c r="K2334">
        <v>138</v>
      </c>
      <c r="L2334">
        <v>7737</v>
      </c>
      <c r="M2334">
        <v>7875</v>
      </c>
      <c r="N2334">
        <v>45116</v>
      </c>
      <c r="O2334">
        <v>25386</v>
      </c>
      <c r="P2334">
        <v>19845</v>
      </c>
      <c r="Q2334">
        <v>9733</v>
      </c>
      <c r="R2334">
        <v>5498</v>
      </c>
      <c r="S2334">
        <v>1773</v>
      </c>
      <c r="T2334">
        <v>350</v>
      </c>
      <c r="U2334">
        <v>221477</v>
      </c>
    </row>
    <row r="2335" spans="1:21" x14ac:dyDescent="0.25">
      <c r="A2335">
        <v>2025</v>
      </c>
      <c r="B2335">
        <v>12</v>
      </c>
      <c r="C2335" t="s">
        <v>80</v>
      </c>
      <c r="D2335" t="s">
        <v>22</v>
      </c>
      <c r="E2335" t="s">
        <v>87</v>
      </c>
      <c r="F2335" t="s">
        <v>24</v>
      </c>
      <c r="G2335" t="s">
        <v>25</v>
      </c>
      <c r="H2335" t="s">
        <v>25</v>
      </c>
      <c r="I2335" t="s">
        <v>25</v>
      </c>
      <c r="J2335">
        <v>5309</v>
      </c>
      <c r="K2335">
        <v>193</v>
      </c>
      <c r="L2335">
        <v>71</v>
      </c>
      <c r="M2335">
        <v>264</v>
      </c>
      <c r="N2335">
        <v>934</v>
      </c>
      <c r="O2335">
        <v>511</v>
      </c>
      <c r="P2335">
        <v>376</v>
      </c>
      <c r="Q2335">
        <v>145</v>
      </c>
      <c r="R2335">
        <v>62</v>
      </c>
      <c r="S2335">
        <v>15</v>
      </c>
      <c r="T2335">
        <v>0</v>
      </c>
      <c r="U2335">
        <v>5054</v>
      </c>
    </row>
    <row r="2336" spans="1:21" x14ac:dyDescent="0.25">
      <c r="A2336">
        <v>2025</v>
      </c>
      <c r="B2336">
        <v>12</v>
      </c>
      <c r="C2336" t="s">
        <v>80</v>
      </c>
      <c r="D2336" t="s">
        <v>22</v>
      </c>
      <c r="E2336" t="s">
        <v>36</v>
      </c>
      <c r="F2336" t="s">
        <v>24</v>
      </c>
      <c r="G2336" t="s">
        <v>25</v>
      </c>
      <c r="H2336" t="s">
        <v>26</v>
      </c>
      <c r="I2336" t="s">
        <v>25</v>
      </c>
      <c r="J2336">
        <v>88</v>
      </c>
      <c r="K2336">
        <v>0</v>
      </c>
      <c r="L2336">
        <v>1</v>
      </c>
      <c r="M2336">
        <v>1</v>
      </c>
      <c r="N2336">
        <v>42</v>
      </c>
      <c r="O2336">
        <v>36</v>
      </c>
      <c r="P2336">
        <v>33</v>
      </c>
      <c r="Q2336">
        <v>29</v>
      </c>
      <c r="R2336">
        <v>21</v>
      </c>
      <c r="S2336">
        <v>5</v>
      </c>
      <c r="T2336">
        <v>1</v>
      </c>
      <c r="U2336">
        <v>87</v>
      </c>
    </row>
    <row r="2337" spans="1:21" x14ac:dyDescent="0.25">
      <c r="A2337">
        <v>2025</v>
      </c>
      <c r="B2337">
        <v>12</v>
      </c>
      <c r="C2337" t="s">
        <v>80</v>
      </c>
      <c r="D2337" t="s">
        <v>22</v>
      </c>
      <c r="E2337" t="s">
        <v>41</v>
      </c>
      <c r="F2337" t="s">
        <v>24</v>
      </c>
      <c r="G2337" t="s">
        <v>26</v>
      </c>
      <c r="H2337" t="s">
        <v>26</v>
      </c>
      <c r="I2337" t="s">
        <v>25</v>
      </c>
      <c r="J2337">
        <v>113</v>
      </c>
      <c r="K2337">
        <v>0</v>
      </c>
      <c r="L2337">
        <v>0</v>
      </c>
      <c r="M2337">
        <v>0</v>
      </c>
      <c r="N2337">
        <v>36</v>
      </c>
      <c r="O2337">
        <v>27</v>
      </c>
      <c r="P2337">
        <v>22</v>
      </c>
      <c r="Q2337">
        <v>16</v>
      </c>
      <c r="R2337">
        <v>11</v>
      </c>
      <c r="S2337">
        <v>8</v>
      </c>
      <c r="T2337">
        <v>3</v>
      </c>
      <c r="U2337">
        <v>113</v>
      </c>
    </row>
    <row r="2338" spans="1:21" x14ac:dyDescent="0.25">
      <c r="A2338">
        <v>2025</v>
      </c>
      <c r="B2338">
        <v>12</v>
      </c>
      <c r="C2338" t="s">
        <v>88</v>
      </c>
      <c r="D2338" t="s">
        <v>45</v>
      </c>
      <c r="E2338" t="s">
        <v>83</v>
      </c>
      <c r="F2338" t="s">
        <v>28</v>
      </c>
      <c r="G2338" t="s">
        <v>26</v>
      </c>
      <c r="H2338" t="s">
        <v>26</v>
      </c>
      <c r="I2338" t="s">
        <v>25</v>
      </c>
      <c r="J2338">
        <v>553</v>
      </c>
      <c r="K2338">
        <v>0</v>
      </c>
      <c r="L2338">
        <v>0</v>
      </c>
      <c r="M2338">
        <v>0</v>
      </c>
      <c r="N2338">
        <v>135</v>
      </c>
      <c r="O2338">
        <v>112</v>
      </c>
      <c r="P2338">
        <v>103</v>
      </c>
      <c r="Q2338">
        <v>74</v>
      </c>
      <c r="R2338">
        <v>54</v>
      </c>
      <c r="S2338">
        <v>34</v>
      </c>
      <c r="T2338">
        <v>10</v>
      </c>
      <c r="U2338">
        <v>553</v>
      </c>
    </row>
    <row r="2339" spans="1:21" x14ac:dyDescent="0.25">
      <c r="A2339">
        <v>2025</v>
      </c>
      <c r="B2339">
        <v>12</v>
      </c>
      <c r="C2339" t="s">
        <v>88</v>
      </c>
      <c r="D2339" t="s">
        <v>45</v>
      </c>
      <c r="E2339" t="s">
        <v>83</v>
      </c>
      <c r="F2339" t="s">
        <v>24</v>
      </c>
      <c r="G2339" t="s">
        <v>26</v>
      </c>
      <c r="H2339" t="s">
        <v>26</v>
      </c>
      <c r="I2339" t="s">
        <v>25</v>
      </c>
      <c r="J2339">
        <v>76</v>
      </c>
      <c r="K2339">
        <v>0</v>
      </c>
      <c r="L2339">
        <v>0</v>
      </c>
      <c r="M2339">
        <v>0</v>
      </c>
      <c r="N2339">
        <v>59</v>
      </c>
      <c r="O2339">
        <v>51</v>
      </c>
      <c r="P2339">
        <v>44</v>
      </c>
      <c r="Q2339">
        <v>31</v>
      </c>
      <c r="R2339">
        <v>19</v>
      </c>
      <c r="S2339">
        <v>10</v>
      </c>
      <c r="T2339">
        <v>5</v>
      </c>
      <c r="U2339">
        <v>76</v>
      </c>
    </row>
    <row r="2340" spans="1:21" x14ac:dyDescent="0.25">
      <c r="A2340">
        <v>2025</v>
      </c>
      <c r="B2340">
        <v>12</v>
      </c>
      <c r="C2340" t="s">
        <v>89</v>
      </c>
      <c r="D2340" t="s">
        <v>22</v>
      </c>
      <c r="E2340" t="s">
        <v>121</v>
      </c>
      <c r="F2340" t="s">
        <v>28</v>
      </c>
      <c r="G2340" t="s">
        <v>25</v>
      </c>
      <c r="H2340" t="s">
        <v>25</v>
      </c>
      <c r="I2340" t="s">
        <v>25</v>
      </c>
      <c r="J2340">
        <v>4</v>
      </c>
      <c r="K2340">
        <v>0</v>
      </c>
      <c r="L2340">
        <v>0</v>
      </c>
      <c r="M2340">
        <v>0</v>
      </c>
      <c r="N2340">
        <v>3</v>
      </c>
      <c r="O2340">
        <v>3</v>
      </c>
      <c r="P2340">
        <v>3</v>
      </c>
      <c r="Q2340">
        <v>3</v>
      </c>
      <c r="R2340">
        <v>3</v>
      </c>
      <c r="S2340">
        <v>2</v>
      </c>
      <c r="T2340">
        <v>2</v>
      </c>
      <c r="U2340">
        <v>4</v>
      </c>
    </row>
    <row r="2341" spans="1:21" x14ac:dyDescent="0.25">
      <c r="A2341">
        <v>2025</v>
      </c>
      <c r="B2341">
        <v>12</v>
      </c>
      <c r="C2341" t="s">
        <v>89</v>
      </c>
      <c r="D2341" t="s">
        <v>22</v>
      </c>
      <c r="E2341" t="s">
        <v>91</v>
      </c>
      <c r="F2341" t="s">
        <v>28</v>
      </c>
      <c r="G2341" t="s">
        <v>25</v>
      </c>
      <c r="H2341" t="s">
        <v>25</v>
      </c>
      <c r="I2341" t="s">
        <v>25</v>
      </c>
      <c r="J2341">
        <v>3871</v>
      </c>
      <c r="K2341">
        <v>0</v>
      </c>
      <c r="L2341">
        <v>0</v>
      </c>
      <c r="M2341">
        <v>0</v>
      </c>
      <c r="N2341">
        <v>46</v>
      </c>
      <c r="O2341">
        <v>31</v>
      </c>
      <c r="P2341">
        <v>29</v>
      </c>
      <c r="Q2341">
        <v>16</v>
      </c>
      <c r="R2341">
        <v>9</v>
      </c>
      <c r="S2341">
        <v>1</v>
      </c>
      <c r="T2341">
        <v>0</v>
      </c>
      <c r="U2341">
        <v>3871</v>
      </c>
    </row>
    <row r="2342" spans="1:21" x14ac:dyDescent="0.25">
      <c r="A2342">
        <v>2025</v>
      </c>
      <c r="B2342">
        <v>12</v>
      </c>
      <c r="C2342" t="s">
        <v>89</v>
      </c>
      <c r="D2342" t="s">
        <v>22</v>
      </c>
      <c r="E2342" t="s">
        <v>91</v>
      </c>
      <c r="F2342" t="s">
        <v>24</v>
      </c>
      <c r="G2342" t="s">
        <v>25</v>
      </c>
      <c r="H2342" t="s">
        <v>25</v>
      </c>
      <c r="I2342" t="s">
        <v>25</v>
      </c>
      <c r="J2342">
        <v>1192</v>
      </c>
      <c r="K2342">
        <v>2</v>
      </c>
      <c r="L2342">
        <v>0</v>
      </c>
      <c r="M2342">
        <v>2</v>
      </c>
      <c r="N2342">
        <v>5</v>
      </c>
      <c r="O2342">
        <v>4</v>
      </c>
      <c r="P2342">
        <v>4</v>
      </c>
      <c r="Q2342">
        <v>3</v>
      </c>
      <c r="R2342">
        <v>2</v>
      </c>
      <c r="S2342">
        <v>1</v>
      </c>
      <c r="T2342">
        <v>0</v>
      </c>
      <c r="U2342">
        <v>1190</v>
      </c>
    </row>
    <row r="2343" spans="1:21" x14ac:dyDescent="0.25">
      <c r="A2343">
        <v>2025</v>
      </c>
      <c r="B2343">
        <v>12</v>
      </c>
      <c r="C2343" t="s">
        <v>89</v>
      </c>
      <c r="D2343" t="s">
        <v>22</v>
      </c>
      <c r="E2343" t="s">
        <v>92</v>
      </c>
      <c r="F2343" t="s">
        <v>28</v>
      </c>
      <c r="G2343" t="s">
        <v>25</v>
      </c>
      <c r="H2343" t="s">
        <v>25</v>
      </c>
      <c r="I2343" t="s">
        <v>25</v>
      </c>
      <c r="J2343">
        <v>2232</v>
      </c>
      <c r="K2343">
        <v>0</v>
      </c>
      <c r="L2343">
        <v>0</v>
      </c>
      <c r="M2343">
        <v>0</v>
      </c>
      <c r="N2343">
        <v>0</v>
      </c>
      <c r="O2343">
        <v>0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2232</v>
      </c>
    </row>
    <row r="2344" spans="1:21" x14ac:dyDescent="0.25">
      <c r="A2344">
        <v>2025</v>
      </c>
      <c r="B2344">
        <v>12</v>
      </c>
      <c r="C2344" t="s">
        <v>89</v>
      </c>
      <c r="D2344" t="s">
        <v>22</v>
      </c>
      <c r="E2344" t="s">
        <v>31</v>
      </c>
      <c r="F2344" t="s">
        <v>24</v>
      </c>
      <c r="G2344" t="s">
        <v>25</v>
      </c>
      <c r="H2344" t="s">
        <v>25</v>
      </c>
      <c r="I2344" t="s">
        <v>25</v>
      </c>
      <c r="J2344">
        <v>32</v>
      </c>
      <c r="K2344">
        <v>0</v>
      </c>
      <c r="L2344">
        <v>0</v>
      </c>
      <c r="M2344">
        <v>0</v>
      </c>
      <c r="N2344">
        <v>11</v>
      </c>
      <c r="O2344">
        <v>11</v>
      </c>
      <c r="P2344">
        <v>11</v>
      </c>
      <c r="Q2344">
        <v>9</v>
      </c>
      <c r="R2344">
        <v>9</v>
      </c>
      <c r="S2344">
        <v>8</v>
      </c>
      <c r="T2344">
        <v>6</v>
      </c>
      <c r="U2344">
        <v>32</v>
      </c>
    </row>
    <row r="2345" spans="1:21" x14ac:dyDescent="0.25">
      <c r="A2345">
        <v>2025</v>
      </c>
      <c r="B2345">
        <v>12</v>
      </c>
      <c r="C2345" t="s">
        <v>89</v>
      </c>
      <c r="D2345" t="s">
        <v>22</v>
      </c>
      <c r="E2345" t="s">
        <v>105</v>
      </c>
      <c r="F2345" t="s">
        <v>28</v>
      </c>
      <c r="G2345" t="s">
        <v>25</v>
      </c>
      <c r="H2345" t="s">
        <v>25</v>
      </c>
      <c r="I2345" t="s">
        <v>25</v>
      </c>
      <c r="J2345">
        <v>4</v>
      </c>
      <c r="K2345">
        <v>0</v>
      </c>
      <c r="L2345">
        <v>2</v>
      </c>
      <c r="M2345">
        <v>2</v>
      </c>
      <c r="N2345">
        <v>4</v>
      </c>
      <c r="O2345">
        <v>4</v>
      </c>
      <c r="P2345">
        <v>4</v>
      </c>
      <c r="Q2345">
        <v>4</v>
      </c>
      <c r="R2345">
        <v>4</v>
      </c>
      <c r="S2345">
        <v>2</v>
      </c>
      <c r="T2345">
        <v>0</v>
      </c>
      <c r="U2345">
        <v>4</v>
      </c>
    </row>
    <row r="2346" spans="1:21" x14ac:dyDescent="0.25">
      <c r="A2346">
        <v>2025</v>
      </c>
      <c r="B2346">
        <v>12</v>
      </c>
      <c r="C2346" t="s">
        <v>89</v>
      </c>
      <c r="D2346" t="s">
        <v>22</v>
      </c>
      <c r="E2346" t="s">
        <v>93</v>
      </c>
      <c r="F2346" t="s">
        <v>28</v>
      </c>
      <c r="G2346" t="s">
        <v>25</v>
      </c>
      <c r="H2346" t="s">
        <v>25</v>
      </c>
      <c r="I2346" t="s">
        <v>25</v>
      </c>
      <c r="J2346">
        <v>1</v>
      </c>
      <c r="K2346">
        <v>0</v>
      </c>
      <c r="L2346">
        <v>0</v>
      </c>
      <c r="M2346">
        <v>0</v>
      </c>
      <c r="N2346">
        <v>1</v>
      </c>
      <c r="O2346">
        <v>1</v>
      </c>
      <c r="P2346">
        <v>1</v>
      </c>
      <c r="Q2346">
        <v>1</v>
      </c>
      <c r="R2346">
        <v>0</v>
      </c>
      <c r="S2346">
        <v>0</v>
      </c>
      <c r="T2346">
        <v>0</v>
      </c>
      <c r="U2346">
        <v>1</v>
      </c>
    </row>
    <row r="2347" spans="1:21" x14ac:dyDescent="0.25">
      <c r="A2347">
        <v>2025</v>
      </c>
      <c r="B2347">
        <v>12</v>
      </c>
      <c r="C2347" t="s">
        <v>89</v>
      </c>
      <c r="D2347" t="s">
        <v>22</v>
      </c>
      <c r="E2347" t="s">
        <v>38</v>
      </c>
      <c r="F2347" t="s">
        <v>28</v>
      </c>
      <c r="G2347" t="s">
        <v>25</v>
      </c>
      <c r="H2347" t="s">
        <v>25</v>
      </c>
      <c r="I2347" t="s">
        <v>25</v>
      </c>
      <c r="J2347">
        <v>2</v>
      </c>
      <c r="K2347">
        <v>0</v>
      </c>
      <c r="L2347">
        <v>0</v>
      </c>
      <c r="M2347">
        <v>0</v>
      </c>
      <c r="N2347">
        <v>0</v>
      </c>
      <c r="O2347">
        <v>0</v>
      </c>
      <c r="P2347">
        <v>0</v>
      </c>
      <c r="Q2347">
        <v>0</v>
      </c>
      <c r="R2347">
        <v>0</v>
      </c>
      <c r="S2347">
        <v>0</v>
      </c>
      <c r="T2347">
        <v>0</v>
      </c>
      <c r="U2347">
        <v>2</v>
      </c>
    </row>
    <row r="2348" spans="1:21" x14ac:dyDescent="0.25">
      <c r="A2348">
        <v>2025</v>
      </c>
      <c r="B2348">
        <v>12</v>
      </c>
      <c r="C2348" t="s">
        <v>89</v>
      </c>
      <c r="D2348" t="s">
        <v>22</v>
      </c>
      <c r="E2348" t="s">
        <v>95</v>
      </c>
      <c r="F2348" t="s">
        <v>28</v>
      </c>
      <c r="G2348" t="s">
        <v>25</v>
      </c>
      <c r="H2348" t="s">
        <v>25</v>
      </c>
      <c r="I2348" t="s">
        <v>25</v>
      </c>
      <c r="J2348">
        <v>26</v>
      </c>
      <c r="K2348">
        <v>0</v>
      </c>
      <c r="L2348">
        <v>0</v>
      </c>
      <c r="M2348">
        <v>0</v>
      </c>
      <c r="N2348">
        <v>0</v>
      </c>
      <c r="O2348">
        <v>0</v>
      </c>
      <c r="P2348">
        <v>0</v>
      </c>
      <c r="Q2348">
        <v>0</v>
      </c>
      <c r="R2348">
        <v>0</v>
      </c>
      <c r="S2348">
        <v>0</v>
      </c>
      <c r="T2348">
        <v>0</v>
      </c>
      <c r="U2348">
        <v>26</v>
      </c>
    </row>
    <row r="2349" spans="1:21" x14ac:dyDescent="0.25">
      <c r="A2349">
        <v>2025</v>
      </c>
      <c r="B2349">
        <v>12</v>
      </c>
      <c r="C2349" t="s">
        <v>89</v>
      </c>
      <c r="D2349" t="s">
        <v>22</v>
      </c>
      <c r="E2349" t="s">
        <v>95</v>
      </c>
      <c r="F2349" t="s">
        <v>24</v>
      </c>
      <c r="G2349" t="s">
        <v>25</v>
      </c>
      <c r="H2349" t="s">
        <v>25</v>
      </c>
      <c r="I2349" t="s">
        <v>25</v>
      </c>
      <c r="J2349">
        <v>52</v>
      </c>
      <c r="K2349">
        <v>0</v>
      </c>
      <c r="L2349">
        <v>0</v>
      </c>
      <c r="M2349">
        <v>0</v>
      </c>
      <c r="N2349">
        <v>0</v>
      </c>
      <c r="O2349">
        <v>0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52</v>
      </c>
    </row>
    <row r="2350" spans="1:21" x14ac:dyDescent="0.25">
      <c r="A2350">
        <v>2025</v>
      </c>
      <c r="B2350">
        <v>12</v>
      </c>
      <c r="C2350" t="s">
        <v>89</v>
      </c>
      <c r="D2350" t="s">
        <v>22</v>
      </c>
      <c r="E2350" t="s">
        <v>23</v>
      </c>
      <c r="F2350" t="s">
        <v>24</v>
      </c>
      <c r="G2350" t="s">
        <v>25</v>
      </c>
      <c r="H2350" t="s">
        <v>25</v>
      </c>
      <c r="I2350" t="s">
        <v>25</v>
      </c>
      <c r="J2350">
        <v>51</v>
      </c>
      <c r="K2350">
        <v>0</v>
      </c>
      <c r="L2350">
        <v>0</v>
      </c>
      <c r="M2350">
        <v>0</v>
      </c>
      <c r="N2350">
        <v>0</v>
      </c>
      <c r="O2350">
        <v>0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51</v>
      </c>
    </row>
    <row r="2351" spans="1:21" x14ac:dyDescent="0.25">
      <c r="A2351">
        <v>2025</v>
      </c>
      <c r="B2351">
        <v>12</v>
      </c>
      <c r="C2351" t="s">
        <v>89</v>
      </c>
      <c r="D2351" t="s">
        <v>22</v>
      </c>
      <c r="E2351" t="s">
        <v>40</v>
      </c>
      <c r="F2351" t="s">
        <v>24</v>
      </c>
      <c r="G2351" t="s">
        <v>25</v>
      </c>
      <c r="H2351" t="s">
        <v>25</v>
      </c>
      <c r="I2351" t="s">
        <v>25</v>
      </c>
      <c r="J2351">
        <v>378</v>
      </c>
      <c r="K2351">
        <v>0</v>
      </c>
      <c r="L2351">
        <v>0</v>
      </c>
      <c r="M2351">
        <v>0</v>
      </c>
      <c r="N2351">
        <v>25</v>
      </c>
      <c r="O2351">
        <v>17</v>
      </c>
      <c r="P2351">
        <v>14</v>
      </c>
      <c r="Q2351">
        <v>6</v>
      </c>
      <c r="R2351">
        <v>4</v>
      </c>
      <c r="S2351">
        <v>1</v>
      </c>
      <c r="T2351">
        <v>1</v>
      </c>
      <c r="U2351">
        <v>378</v>
      </c>
    </row>
    <row r="2352" spans="1:21" x14ac:dyDescent="0.25">
      <c r="A2352">
        <v>2025</v>
      </c>
      <c r="B2352">
        <v>12</v>
      </c>
      <c r="C2352" t="s">
        <v>89</v>
      </c>
      <c r="D2352" t="s">
        <v>22</v>
      </c>
      <c r="E2352" t="s">
        <v>103</v>
      </c>
      <c r="F2352" t="s">
        <v>28</v>
      </c>
      <c r="G2352" t="s">
        <v>25</v>
      </c>
      <c r="H2352" t="s">
        <v>25</v>
      </c>
      <c r="I2352" t="s">
        <v>25</v>
      </c>
      <c r="J2352">
        <v>4</v>
      </c>
      <c r="K2352">
        <v>0</v>
      </c>
      <c r="L2352">
        <v>0</v>
      </c>
      <c r="M2352">
        <v>0</v>
      </c>
      <c r="N2352">
        <v>3</v>
      </c>
      <c r="O2352">
        <v>3</v>
      </c>
      <c r="P2352">
        <v>3</v>
      </c>
      <c r="Q2352">
        <v>3</v>
      </c>
      <c r="R2352">
        <v>1</v>
      </c>
      <c r="S2352">
        <v>0</v>
      </c>
      <c r="T2352">
        <v>0</v>
      </c>
      <c r="U2352">
        <v>4</v>
      </c>
    </row>
    <row r="2353" spans="1:21" x14ac:dyDescent="0.25">
      <c r="A2353">
        <v>2025</v>
      </c>
      <c r="B2353">
        <v>12</v>
      </c>
      <c r="C2353" t="s">
        <v>89</v>
      </c>
      <c r="D2353" t="s">
        <v>22</v>
      </c>
      <c r="E2353" t="s">
        <v>97</v>
      </c>
      <c r="F2353" t="s">
        <v>24</v>
      </c>
      <c r="G2353" t="s">
        <v>25</v>
      </c>
      <c r="H2353" t="s">
        <v>25</v>
      </c>
      <c r="I2353" t="s">
        <v>25</v>
      </c>
      <c r="J2353">
        <v>2</v>
      </c>
      <c r="K2353">
        <v>0</v>
      </c>
      <c r="L2353">
        <v>0</v>
      </c>
      <c r="M2353">
        <v>0</v>
      </c>
      <c r="N2353">
        <v>1</v>
      </c>
      <c r="O2353">
        <v>1</v>
      </c>
      <c r="P2353">
        <v>1</v>
      </c>
      <c r="Q2353">
        <v>0</v>
      </c>
      <c r="R2353">
        <v>0</v>
      </c>
      <c r="S2353">
        <v>0</v>
      </c>
      <c r="T2353">
        <v>0</v>
      </c>
      <c r="U2353">
        <v>2</v>
      </c>
    </row>
    <row r="2354" spans="1:21" x14ac:dyDescent="0.25">
      <c r="A2354">
        <v>2025</v>
      </c>
      <c r="B2354">
        <v>12</v>
      </c>
      <c r="C2354" t="s">
        <v>89</v>
      </c>
      <c r="D2354" t="s">
        <v>22</v>
      </c>
      <c r="F2354" t="s">
        <v>28</v>
      </c>
      <c r="G2354" t="s">
        <v>25</v>
      </c>
      <c r="H2354" t="s">
        <v>25</v>
      </c>
      <c r="I2354" t="s">
        <v>25</v>
      </c>
      <c r="J2354">
        <v>41</v>
      </c>
      <c r="K2354">
        <v>0</v>
      </c>
      <c r="L2354">
        <v>14</v>
      </c>
      <c r="M2354">
        <v>14</v>
      </c>
      <c r="N2354">
        <v>11</v>
      </c>
      <c r="O2354">
        <v>10</v>
      </c>
      <c r="P2354">
        <v>10</v>
      </c>
      <c r="Q2354">
        <v>9</v>
      </c>
      <c r="R2354">
        <v>9</v>
      </c>
      <c r="S2354">
        <v>6</v>
      </c>
      <c r="T2354">
        <v>3</v>
      </c>
      <c r="U2354">
        <v>27</v>
      </c>
    </row>
    <row r="2355" spans="1:21" x14ac:dyDescent="0.25">
      <c r="A2355">
        <v>2025</v>
      </c>
      <c r="B2355">
        <v>12</v>
      </c>
      <c r="C2355" t="s">
        <v>89</v>
      </c>
      <c r="D2355" t="s">
        <v>22</v>
      </c>
      <c r="F2355" t="s">
        <v>29</v>
      </c>
      <c r="G2355" t="s">
        <v>25</v>
      </c>
      <c r="H2355" t="s">
        <v>25</v>
      </c>
      <c r="I2355" t="s">
        <v>25</v>
      </c>
      <c r="J2355">
        <v>1</v>
      </c>
      <c r="K2355">
        <v>0</v>
      </c>
      <c r="L2355">
        <v>0</v>
      </c>
      <c r="M2355">
        <v>0</v>
      </c>
      <c r="N2355">
        <v>0</v>
      </c>
      <c r="O2355">
        <v>0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0</v>
      </c>
    </row>
    <row r="2356" spans="1:21" x14ac:dyDescent="0.25">
      <c r="A2356">
        <v>2025</v>
      </c>
      <c r="B2356">
        <v>12</v>
      </c>
      <c r="C2356" t="s">
        <v>98</v>
      </c>
      <c r="D2356" t="s">
        <v>22</v>
      </c>
      <c r="E2356" t="s">
        <v>31</v>
      </c>
      <c r="F2356" t="s">
        <v>24</v>
      </c>
      <c r="G2356" t="s">
        <v>25</v>
      </c>
      <c r="H2356" t="s">
        <v>25</v>
      </c>
      <c r="I2356" t="s">
        <v>25</v>
      </c>
      <c r="J2356">
        <v>43</v>
      </c>
      <c r="K2356">
        <v>0</v>
      </c>
      <c r="L2356">
        <v>0</v>
      </c>
      <c r="M2356">
        <v>0</v>
      </c>
      <c r="N2356">
        <v>0</v>
      </c>
      <c r="O2356">
        <v>0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43</v>
      </c>
    </row>
    <row r="2357" spans="1:21" x14ac:dyDescent="0.25">
      <c r="A2357">
        <v>2025</v>
      </c>
      <c r="B2357">
        <v>12</v>
      </c>
      <c r="C2357" t="s">
        <v>98</v>
      </c>
      <c r="D2357" t="s">
        <v>22</v>
      </c>
      <c r="E2357" t="s">
        <v>32</v>
      </c>
      <c r="F2357" t="s">
        <v>24</v>
      </c>
      <c r="G2357" t="s">
        <v>25</v>
      </c>
      <c r="H2357" t="s">
        <v>25</v>
      </c>
      <c r="I2357" t="s">
        <v>25</v>
      </c>
      <c r="J2357">
        <v>57</v>
      </c>
      <c r="K2357">
        <v>0</v>
      </c>
      <c r="L2357">
        <v>0</v>
      </c>
      <c r="M2357">
        <v>0</v>
      </c>
      <c r="N2357">
        <v>1</v>
      </c>
      <c r="O2357">
        <v>1</v>
      </c>
      <c r="P2357">
        <v>1</v>
      </c>
      <c r="Q2357">
        <v>0</v>
      </c>
      <c r="R2357">
        <v>0</v>
      </c>
      <c r="S2357">
        <v>0</v>
      </c>
      <c r="T2357">
        <v>0</v>
      </c>
      <c r="U2357">
        <v>57</v>
      </c>
    </row>
    <row r="2358" spans="1:21" x14ac:dyDescent="0.25">
      <c r="A2358">
        <v>2025</v>
      </c>
      <c r="B2358">
        <v>12</v>
      </c>
      <c r="C2358" t="s">
        <v>99</v>
      </c>
      <c r="D2358" t="s">
        <v>45</v>
      </c>
      <c r="E2358" t="s">
        <v>100</v>
      </c>
      <c r="F2358" t="s">
        <v>28</v>
      </c>
      <c r="G2358" t="s">
        <v>25</v>
      </c>
      <c r="H2358" t="s">
        <v>26</v>
      </c>
      <c r="I2358" t="s">
        <v>25</v>
      </c>
      <c r="J2358">
        <v>1596</v>
      </c>
      <c r="K2358">
        <v>0</v>
      </c>
      <c r="L2358">
        <v>0</v>
      </c>
      <c r="M2358">
        <v>0</v>
      </c>
      <c r="N2358">
        <v>0</v>
      </c>
      <c r="O2358">
        <v>0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1596</v>
      </c>
    </row>
    <row r="2359" spans="1:21" x14ac:dyDescent="0.25">
      <c r="A2359">
        <v>2025</v>
      </c>
      <c r="B2359">
        <v>12</v>
      </c>
      <c r="C2359" t="s">
        <v>99</v>
      </c>
      <c r="D2359" t="s">
        <v>45</v>
      </c>
      <c r="E2359" t="s">
        <v>100</v>
      </c>
      <c r="F2359" t="s">
        <v>24</v>
      </c>
      <c r="G2359" t="s">
        <v>25</v>
      </c>
      <c r="H2359" t="s">
        <v>26</v>
      </c>
      <c r="I2359" t="s">
        <v>25</v>
      </c>
      <c r="J2359">
        <v>372</v>
      </c>
      <c r="K2359">
        <v>1</v>
      </c>
      <c r="L2359">
        <v>22</v>
      </c>
      <c r="M2359">
        <v>23</v>
      </c>
      <c r="N2359">
        <v>175</v>
      </c>
      <c r="O2359">
        <v>136</v>
      </c>
      <c r="P2359">
        <v>122</v>
      </c>
      <c r="Q2359">
        <v>80</v>
      </c>
      <c r="R2359">
        <v>42</v>
      </c>
      <c r="S2359">
        <v>7</v>
      </c>
      <c r="T2359">
        <v>1</v>
      </c>
      <c r="U2359">
        <v>370</v>
      </c>
    </row>
    <row r="2360" spans="1:21" x14ac:dyDescent="0.25">
      <c r="A2360">
        <v>2025</v>
      </c>
      <c r="B2360">
        <v>12</v>
      </c>
      <c r="C2360" t="s">
        <v>101</v>
      </c>
      <c r="D2360" t="s">
        <v>22</v>
      </c>
      <c r="E2360" t="s">
        <v>32</v>
      </c>
      <c r="F2360" t="s">
        <v>24</v>
      </c>
      <c r="G2360" t="s">
        <v>25</v>
      </c>
      <c r="H2360" t="s">
        <v>25</v>
      </c>
      <c r="I2360" t="s">
        <v>25</v>
      </c>
      <c r="J2360">
        <v>25</v>
      </c>
      <c r="K2360">
        <v>0</v>
      </c>
      <c r="L2360">
        <v>0</v>
      </c>
      <c r="M2360">
        <v>0</v>
      </c>
      <c r="N2360">
        <v>7</v>
      </c>
      <c r="O2360">
        <v>7</v>
      </c>
      <c r="P2360">
        <v>7</v>
      </c>
      <c r="Q2360">
        <v>7</v>
      </c>
      <c r="R2360">
        <v>5</v>
      </c>
      <c r="S2360">
        <v>3</v>
      </c>
      <c r="T2360">
        <v>0</v>
      </c>
      <c r="U2360">
        <v>25</v>
      </c>
    </row>
    <row r="2361" spans="1:21" x14ac:dyDescent="0.25">
      <c r="A2361">
        <v>2025</v>
      </c>
      <c r="B2361">
        <v>12</v>
      </c>
      <c r="C2361" t="s">
        <v>101</v>
      </c>
      <c r="D2361" t="s">
        <v>22</v>
      </c>
      <c r="E2361" t="s">
        <v>34</v>
      </c>
      <c r="F2361" t="s">
        <v>24</v>
      </c>
      <c r="G2361" t="s">
        <v>25</v>
      </c>
      <c r="H2361" t="s">
        <v>26</v>
      </c>
      <c r="I2361" t="s">
        <v>26</v>
      </c>
      <c r="J2361">
        <v>43</v>
      </c>
      <c r="K2361">
        <v>0</v>
      </c>
      <c r="L2361">
        <v>0</v>
      </c>
      <c r="M2361">
        <v>0</v>
      </c>
      <c r="N2361">
        <v>3</v>
      </c>
      <c r="O2361">
        <v>3</v>
      </c>
      <c r="P2361">
        <v>3</v>
      </c>
      <c r="Q2361">
        <v>3</v>
      </c>
      <c r="R2361">
        <v>2</v>
      </c>
      <c r="S2361">
        <v>1</v>
      </c>
      <c r="T2361">
        <v>0</v>
      </c>
      <c r="U2361">
        <v>43</v>
      </c>
    </row>
    <row r="2362" spans="1:21" x14ac:dyDescent="0.25">
      <c r="A2362">
        <v>2025</v>
      </c>
      <c r="B2362">
        <v>12</v>
      </c>
      <c r="C2362" t="s">
        <v>101</v>
      </c>
      <c r="D2362" t="s">
        <v>22</v>
      </c>
      <c r="E2362" t="s">
        <v>36</v>
      </c>
      <c r="F2362" t="s">
        <v>24</v>
      </c>
      <c r="G2362" t="s">
        <v>25</v>
      </c>
      <c r="H2362" t="s">
        <v>26</v>
      </c>
      <c r="I2362" t="s">
        <v>25</v>
      </c>
      <c r="J2362">
        <v>36</v>
      </c>
      <c r="K2362">
        <v>0</v>
      </c>
      <c r="L2362">
        <v>0</v>
      </c>
      <c r="M2362">
        <v>0</v>
      </c>
      <c r="N2362">
        <v>19</v>
      </c>
      <c r="O2362">
        <v>17</v>
      </c>
      <c r="P2362">
        <v>16</v>
      </c>
      <c r="Q2362">
        <v>7</v>
      </c>
      <c r="R2362">
        <v>3</v>
      </c>
      <c r="S2362">
        <v>2</v>
      </c>
      <c r="T2362">
        <v>0</v>
      </c>
      <c r="U2362">
        <v>36</v>
      </c>
    </row>
    <row r="2363" spans="1:21" x14ac:dyDescent="0.25">
      <c r="A2363">
        <v>2025</v>
      </c>
      <c r="B2363">
        <v>12</v>
      </c>
      <c r="C2363" t="s">
        <v>101</v>
      </c>
      <c r="D2363" t="s">
        <v>22</v>
      </c>
      <c r="E2363" t="s">
        <v>41</v>
      </c>
      <c r="F2363" t="s">
        <v>24</v>
      </c>
      <c r="G2363" t="s">
        <v>26</v>
      </c>
      <c r="H2363" t="s">
        <v>26</v>
      </c>
      <c r="I2363" t="s">
        <v>25</v>
      </c>
      <c r="J2363">
        <v>44</v>
      </c>
      <c r="K2363">
        <v>0</v>
      </c>
      <c r="L2363">
        <v>0</v>
      </c>
      <c r="M2363">
        <v>0</v>
      </c>
      <c r="N2363">
        <v>1</v>
      </c>
      <c r="O2363">
        <v>1</v>
      </c>
      <c r="P2363">
        <v>1</v>
      </c>
      <c r="Q2363">
        <v>1</v>
      </c>
      <c r="R2363">
        <v>1</v>
      </c>
      <c r="S2363">
        <v>1</v>
      </c>
      <c r="T2363">
        <v>0</v>
      </c>
      <c r="U2363">
        <v>44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06D3FC-69B6-40E3-AEDA-B21696AD76C7}">
  <dimension ref="A1:N156"/>
  <sheetViews>
    <sheetView tabSelected="1" topLeftCell="A66" zoomScale="85" zoomScaleNormal="85" workbookViewId="0">
      <selection activeCell="K87" sqref="K87"/>
    </sheetView>
  </sheetViews>
  <sheetFormatPr defaultRowHeight="15" x14ac:dyDescent="0.25"/>
  <cols>
    <col min="1" max="1" width="12.5703125" customWidth="1"/>
    <col min="2" max="2" width="10.42578125" customWidth="1"/>
    <col min="3" max="3" width="18.85546875" customWidth="1"/>
    <col min="4" max="4" width="16.28515625" customWidth="1"/>
    <col min="5" max="5" width="14.5703125" customWidth="1"/>
    <col min="6" max="6" width="28.140625" customWidth="1"/>
    <col min="7" max="7" width="21.28515625" customWidth="1"/>
    <col min="8" max="9" width="21.42578125" customWidth="1"/>
    <col min="10" max="10" width="14.5703125" style="22" customWidth="1"/>
    <col min="11" max="11" width="26.140625" customWidth="1"/>
    <col min="12" max="12" width="14.5703125" customWidth="1"/>
    <col min="13" max="13" width="30.28515625" customWidth="1"/>
    <col min="14" max="14" width="14.5703125" customWidth="1"/>
  </cols>
  <sheetData>
    <row r="1" spans="1:14" x14ac:dyDescent="0.25">
      <c r="A1" t="s">
        <v>0</v>
      </c>
      <c r="B1" t="s">
        <v>175</v>
      </c>
      <c r="C1" t="s">
        <v>181</v>
      </c>
      <c r="D1" t="s">
        <v>190</v>
      </c>
      <c r="E1" t="s">
        <v>182</v>
      </c>
      <c r="F1" t="s">
        <v>183</v>
      </c>
      <c r="G1" t="s">
        <v>184</v>
      </c>
      <c r="H1" t="s">
        <v>185</v>
      </c>
      <c r="I1" t="s">
        <v>250</v>
      </c>
      <c r="J1" t="s">
        <v>189</v>
      </c>
      <c r="K1" t="s">
        <v>192</v>
      </c>
      <c r="L1" t="s">
        <v>194</v>
      </c>
      <c r="M1" t="s">
        <v>193</v>
      </c>
      <c r="N1" t="s">
        <v>214</v>
      </c>
    </row>
    <row r="2" spans="1:14" x14ac:dyDescent="0.25">
      <c r="A2">
        <v>2025</v>
      </c>
      <c r="B2" t="s">
        <v>37</v>
      </c>
      <c r="C2" t="s">
        <v>186</v>
      </c>
      <c r="D2">
        <v>6</v>
      </c>
      <c r="E2" t="s">
        <v>187</v>
      </c>
      <c r="F2" t="s">
        <v>188</v>
      </c>
      <c r="G2" t="s">
        <v>25</v>
      </c>
      <c r="H2" t="s">
        <v>191</v>
      </c>
      <c r="I2" t="s">
        <v>251</v>
      </c>
      <c r="J2" s="5">
        <v>0.60099999999999998</v>
      </c>
      <c r="K2" s="5">
        <v>0.58819999999999995</v>
      </c>
      <c r="L2" s="5">
        <f>J2-K2</f>
        <v>1.2800000000000034E-2</v>
      </c>
      <c r="M2" s="5" t="s">
        <v>234</v>
      </c>
      <c r="N2" s="5" t="s">
        <v>234</v>
      </c>
    </row>
    <row r="3" spans="1:14" x14ac:dyDescent="0.25">
      <c r="A3">
        <v>2025</v>
      </c>
      <c r="B3" t="s">
        <v>37</v>
      </c>
      <c r="C3" t="s">
        <v>186</v>
      </c>
      <c r="D3">
        <v>5</v>
      </c>
      <c r="E3" t="s">
        <v>187</v>
      </c>
      <c r="F3" t="s">
        <v>188</v>
      </c>
      <c r="G3" t="s">
        <v>26</v>
      </c>
      <c r="H3" t="s">
        <v>191</v>
      </c>
      <c r="I3" t="s">
        <v>252</v>
      </c>
      <c r="J3" s="5" t="s">
        <v>234</v>
      </c>
      <c r="K3" s="5" t="s">
        <v>234</v>
      </c>
      <c r="L3" s="5" t="s">
        <v>234</v>
      </c>
      <c r="M3" s="5">
        <f>INDEX(Table1[Reliability 5min],MATCH($B3,'Pivot table'!$A$6:$A$29,0))</f>
        <v>0.40041691121410217</v>
      </c>
      <c r="N3" s="5">
        <f>INDEX(Table1[Cancellation rate],MATCH($B3,'Pivot table'!$A$6:$A$29,0))</f>
        <v>0.10879301023196107</v>
      </c>
    </row>
    <row r="4" spans="1:14" x14ac:dyDescent="0.25">
      <c r="A4">
        <v>2025</v>
      </c>
      <c r="B4" t="s">
        <v>47</v>
      </c>
      <c r="C4" t="s">
        <v>219</v>
      </c>
      <c r="D4">
        <v>6</v>
      </c>
      <c r="E4" t="s">
        <v>220</v>
      </c>
      <c r="F4" t="s">
        <v>188</v>
      </c>
      <c r="G4" t="s">
        <v>25</v>
      </c>
      <c r="H4" t="s">
        <v>218</v>
      </c>
      <c r="I4" t="s">
        <v>251</v>
      </c>
      <c r="J4" s="5">
        <v>0.8</v>
      </c>
      <c r="K4" s="5">
        <v>0.77200000000000002</v>
      </c>
      <c r="L4" s="5">
        <f>J4-K4</f>
        <v>2.8000000000000025E-2</v>
      </c>
      <c r="M4" s="5" t="s">
        <v>234</v>
      </c>
      <c r="N4" s="5" t="s">
        <v>234</v>
      </c>
    </row>
    <row r="5" spans="1:14" x14ac:dyDescent="0.25">
      <c r="A5">
        <v>2025</v>
      </c>
      <c r="B5" t="s">
        <v>47</v>
      </c>
      <c r="C5" t="s">
        <v>217</v>
      </c>
      <c r="D5">
        <v>5</v>
      </c>
      <c r="E5" t="s">
        <v>221</v>
      </c>
      <c r="F5" t="s">
        <v>188</v>
      </c>
      <c r="G5" t="s">
        <v>222</v>
      </c>
      <c r="H5" t="s">
        <v>218</v>
      </c>
      <c r="I5" t="s">
        <v>251</v>
      </c>
      <c r="J5" s="5">
        <v>0.73099999999999998</v>
      </c>
      <c r="K5" s="5">
        <v>0.74399999999999999</v>
      </c>
      <c r="L5" s="5">
        <f>J5-K5</f>
        <v>-1.3000000000000012E-2</v>
      </c>
      <c r="M5" s="5" t="s">
        <v>234</v>
      </c>
      <c r="N5" s="5" t="s">
        <v>234</v>
      </c>
    </row>
    <row r="6" spans="1:14" x14ac:dyDescent="0.25">
      <c r="A6">
        <v>2025</v>
      </c>
      <c r="B6" t="s">
        <v>47</v>
      </c>
      <c r="C6" t="s">
        <v>217</v>
      </c>
      <c r="D6">
        <v>15</v>
      </c>
      <c r="E6" t="s">
        <v>221</v>
      </c>
      <c r="F6" t="s">
        <v>188</v>
      </c>
      <c r="G6" t="s">
        <v>222</v>
      </c>
      <c r="H6" t="s">
        <v>218</v>
      </c>
      <c r="I6" t="s">
        <v>251</v>
      </c>
      <c r="J6" s="5">
        <v>0.83299999999999996</v>
      </c>
      <c r="K6" s="5">
        <v>0.82399999999999995</v>
      </c>
      <c r="L6" s="5">
        <f>J6-K6</f>
        <v>9.000000000000008E-3</v>
      </c>
      <c r="M6" s="5" t="s">
        <v>234</v>
      </c>
      <c r="N6" s="5" t="s">
        <v>234</v>
      </c>
    </row>
    <row r="7" spans="1:14" x14ac:dyDescent="0.25">
      <c r="A7">
        <v>2025</v>
      </c>
      <c r="B7" t="s">
        <v>47</v>
      </c>
      <c r="C7" t="s">
        <v>216</v>
      </c>
      <c r="D7">
        <v>15</v>
      </c>
      <c r="E7" t="s">
        <v>223</v>
      </c>
      <c r="F7" t="s">
        <v>188</v>
      </c>
      <c r="G7" t="s">
        <v>222</v>
      </c>
      <c r="H7" t="s">
        <v>218</v>
      </c>
      <c r="I7" t="s">
        <v>251</v>
      </c>
      <c r="J7" s="5">
        <v>0.78100000000000003</v>
      </c>
      <c r="K7" s="5">
        <v>0.78100000000000003</v>
      </c>
      <c r="L7" s="5">
        <f>J7-K7</f>
        <v>0</v>
      </c>
      <c r="M7" s="5" t="s">
        <v>234</v>
      </c>
      <c r="N7" s="5" t="s">
        <v>234</v>
      </c>
    </row>
    <row r="8" spans="1:14" x14ac:dyDescent="0.25">
      <c r="A8">
        <v>2025</v>
      </c>
      <c r="B8" t="s">
        <v>47</v>
      </c>
      <c r="C8" t="s">
        <v>225</v>
      </c>
      <c r="D8">
        <v>5</v>
      </c>
      <c r="E8" t="s">
        <v>224</v>
      </c>
      <c r="F8" t="s">
        <v>188</v>
      </c>
      <c r="G8" t="s">
        <v>26</v>
      </c>
      <c r="H8" t="s">
        <v>25</v>
      </c>
      <c r="I8" t="s">
        <v>252</v>
      </c>
      <c r="J8" s="5" t="s">
        <v>234</v>
      </c>
      <c r="K8" s="5" t="s">
        <v>234</v>
      </c>
      <c r="L8" s="5" t="s">
        <v>234</v>
      </c>
      <c r="M8" s="5">
        <f>INDEX(Table1[Reliability 5min],MATCH($B8,'Pivot table'!$A$6:$A$29,0))</f>
        <v>0.64305636938942934</v>
      </c>
      <c r="N8" s="5">
        <f>INDEX(Table1[Cancellation rate],MATCH($B8,'Pivot table'!$A$6:$A$29,0))</f>
        <v>0.10287120590648072</v>
      </c>
    </row>
    <row r="9" spans="1:14" x14ac:dyDescent="0.25">
      <c r="A9">
        <v>2025</v>
      </c>
      <c r="B9" t="s">
        <v>53</v>
      </c>
      <c r="C9" t="s">
        <v>225</v>
      </c>
      <c r="D9">
        <v>3</v>
      </c>
      <c r="E9" t="s">
        <v>226</v>
      </c>
      <c r="F9" t="s">
        <v>227</v>
      </c>
      <c r="G9" t="s">
        <v>26</v>
      </c>
      <c r="H9" t="s">
        <v>228</v>
      </c>
      <c r="I9" t="s">
        <v>251</v>
      </c>
      <c r="J9" s="5">
        <v>0.85499999999999998</v>
      </c>
      <c r="K9" s="5">
        <v>0.86499999999999999</v>
      </c>
      <c r="L9" s="5">
        <f>J9-K9</f>
        <v>-1.0000000000000009E-2</v>
      </c>
      <c r="M9" s="5" t="s">
        <v>234</v>
      </c>
      <c r="N9" s="5" t="s">
        <v>234</v>
      </c>
    </row>
    <row r="10" spans="1:14" x14ac:dyDescent="0.25">
      <c r="A10">
        <v>2025</v>
      </c>
      <c r="B10" t="s">
        <v>53</v>
      </c>
      <c r="C10" t="s">
        <v>225</v>
      </c>
      <c r="D10">
        <v>10</v>
      </c>
      <c r="E10" t="s">
        <v>226</v>
      </c>
      <c r="F10" t="s">
        <v>227</v>
      </c>
      <c r="G10" t="s">
        <v>26</v>
      </c>
      <c r="H10" t="s">
        <v>228</v>
      </c>
      <c r="I10" t="s">
        <v>251</v>
      </c>
      <c r="J10" s="5">
        <v>0.95299999999999996</v>
      </c>
      <c r="K10" s="5">
        <v>0.93600000000000005</v>
      </c>
      <c r="L10" s="5">
        <f>J10-K10</f>
        <v>1.6999999999999904E-2</v>
      </c>
      <c r="M10" s="5" t="s">
        <v>234</v>
      </c>
      <c r="N10" s="5" t="s">
        <v>234</v>
      </c>
    </row>
    <row r="11" spans="1:14" x14ac:dyDescent="0.25">
      <c r="A11">
        <v>2025</v>
      </c>
      <c r="B11" t="s">
        <v>53</v>
      </c>
      <c r="C11" t="s">
        <v>186</v>
      </c>
      <c r="D11">
        <v>5</v>
      </c>
      <c r="E11" t="s">
        <v>224</v>
      </c>
      <c r="F11" t="s">
        <v>237</v>
      </c>
      <c r="G11" t="s">
        <v>26</v>
      </c>
      <c r="H11" t="s">
        <v>26</v>
      </c>
      <c r="I11" t="s">
        <v>252</v>
      </c>
      <c r="J11" s="5" t="s">
        <v>234</v>
      </c>
      <c r="K11" s="5" t="s">
        <v>234</v>
      </c>
      <c r="L11" s="5" t="s">
        <v>234</v>
      </c>
      <c r="M11" s="5">
        <f>INDEX(Table1[Reliability 5min],MATCH($B11,'Pivot table'!$A$6:$A$29,0))</f>
        <v>0.80054592647052847</v>
      </c>
      <c r="N11" s="5">
        <f>INDEX(Table1[Cancellation rate],MATCH($B11,'Pivot table'!$A$6:$A$29,0))</f>
        <v>0.1205871959120506</v>
      </c>
    </row>
    <row r="12" spans="1:14" x14ac:dyDescent="0.25">
      <c r="A12">
        <v>2025</v>
      </c>
      <c r="B12" t="s">
        <v>61</v>
      </c>
      <c r="C12" t="s">
        <v>186</v>
      </c>
      <c r="D12" t="s">
        <v>229</v>
      </c>
      <c r="E12" t="s">
        <v>187</v>
      </c>
      <c r="F12" t="s">
        <v>188</v>
      </c>
      <c r="G12" t="s">
        <v>25</v>
      </c>
      <c r="H12" t="s">
        <v>26</v>
      </c>
      <c r="I12" t="s">
        <v>251</v>
      </c>
      <c r="J12" s="5">
        <v>0.81599999999999995</v>
      </c>
      <c r="K12" s="5">
        <v>0.80200000000000005</v>
      </c>
      <c r="L12" s="5">
        <f>J12-K12</f>
        <v>1.3999999999999901E-2</v>
      </c>
      <c r="M12" s="5" t="s">
        <v>234</v>
      </c>
      <c r="N12" s="5" t="s">
        <v>234</v>
      </c>
    </row>
    <row r="13" spans="1:14" x14ac:dyDescent="0.25">
      <c r="A13">
        <v>2025</v>
      </c>
      <c r="B13" t="s">
        <v>61</v>
      </c>
      <c r="C13" t="s">
        <v>186</v>
      </c>
      <c r="D13">
        <v>5</v>
      </c>
      <c r="E13" t="s">
        <v>187</v>
      </c>
      <c r="F13" t="s">
        <v>188</v>
      </c>
      <c r="G13" t="s">
        <v>26</v>
      </c>
      <c r="H13" t="s">
        <v>26</v>
      </c>
      <c r="I13" t="s">
        <v>252</v>
      </c>
      <c r="J13" s="5" t="s">
        <v>234</v>
      </c>
      <c r="K13" s="5" t="s">
        <v>234</v>
      </c>
      <c r="L13" s="5" t="s">
        <v>234</v>
      </c>
      <c r="M13" s="5">
        <f>INDEX(Table1[Reliability 5min],MATCH($B13,'Pivot table'!$A$6:$A$29,0))</f>
        <v>0.7590033515487794</v>
      </c>
      <c r="N13" s="5">
        <f>INDEX(Table1[Cancellation rate],MATCH($B13,'Pivot table'!$A$6:$A$29,0))</f>
        <v>2.348183236658527E-2</v>
      </c>
    </row>
    <row r="14" spans="1:14" x14ac:dyDescent="0.25">
      <c r="A14">
        <v>2025</v>
      </c>
      <c r="B14" t="s">
        <v>256</v>
      </c>
      <c r="C14" t="s">
        <v>233</v>
      </c>
      <c r="D14">
        <v>5</v>
      </c>
      <c r="E14" t="s">
        <v>224</v>
      </c>
      <c r="F14" t="s">
        <v>188</v>
      </c>
      <c r="G14" t="s">
        <v>235</v>
      </c>
      <c r="H14" t="s">
        <v>234</v>
      </c>
      <c r="I14" t="s">
        <v>251</v>
      </c>
      <c r="J14" s="5">
        <v>0.72499999999999998</v>
      </c>
      <c r="K14" s="5">
        <v>0.79700000000000004</v>
      </c>
      <c r="L14" s="5">
        <f>J14-K14</f>
        <v>-7.2000000000000064E-2</v>
      </c>
      <c r="M14" s="5" t="s">
        <v>234</v>
      </c>
      <c r="N14" s="5" t="s">
        <v>234</v>
      </c>
    </row>
    <row r="15" spans="1:14" x14ac:dyDescent="0.25">
      <c r="A15">
        <v>2025</v>
      </c>
      <c r="B15" t="s">
        <v>256</v>
      </c>
      <c r="C15" t="s">
        <v>233</v>
      </c>
      <c r="D15">
        <v>5</v>
      </c>
      <c r="E15" t="s">
        <v>224</v>
      </c>
      <c r="F15" t="s">
        <v>188</v>
      </c>
      <c r="G15" t="s">
        <v>236</v>
      </c>
      <c r="H15" t="s">
        <v>234</v>
      </c>
      <c r="I15" t="s">
        <v>251</v>
      </c>
      <c r="J15" s="5">
        <v>0.72499999999999998</v>
      </c>
      <c r="K15" s="5">
        <v>0.78700000000000003</v>
      </c>
      <c r="L15" s="5">
        <f>J15-K15</f>
        <v>-6.2000000000000055E-2</v>
      </c>
      <c r="M15" s="5" t="s">
        <v>234</v>
      </c>
      <c r="N15" s="5" t="s">
        <v>234</v>
      </c>
    </row>
    <row r="16" spans="1:14" x14ac:dyDescent="0.25">
      <c r="A16">
        <v>2025</v>
      </c>
      <c r="B16" t="s">
        <v>63</v>
      </c>
      <c r="C16" t="s">
        <v>225</v>
      </c>
      <c r="D16">
        <v>5</v>
      </c>
      <c r="E16" t="s">
        <v>224</v>
      </c>
      <c r="F16" t="s">
        <v>188</v>
      </c>
      <c r="G16" t="s">
        <v>26</v>
      </c>
      <c r="H16" t="s">
        <v>234</v>
      </c>
      <c r="I16" t="s">
        <v>252</v>
      </c>
      <c r="J16" s="5" t="s">
        <v>234</v>
      </c>
      <c r="K16" s="5" t="s">
        <v>234</v>
      </c>
      <c r="L16" s="5" t="s">
        <v>234</v>
      </c>
      <c r="M16" s="5">
        <f>INDEX(Table1[Reliability 5min],MATCH($B16,'Pivot table'!$A$6:$A$29,0))</f>
        <v>0.80234031003076178</v>
      </c>
      <c r="N16" s="5">
        <f>INDEX(Table1[Cancellation rate],MATCH($B16,'Pivot table'!$A$6:$A$29,0))</f>
        <v>1.5320586283853067E-2</v>
      </c>
    </row>
    <row r="17" spans="1:14" x14ac:dyDescent="0.25">
      <c r="A17">
        <v>2025</v>
      </c>
      <c r="B17" t="s">
        <v>69</v>
      </c>
      <c r="C17" t="s">
        <v>186</v>
      </c>
      <c r="D17">
        <v>3</v>
      </c>
      <c r="E17" t="s">
        <v>187</v>
      </c>
      <c r="F17" t="s">
        <v>188</v>
      </c>
      <c r="G17" t="s">
        <v>238</v>
      </c>
      <c r="H17" t="s">
        <v>239</v>
      </c>
      <c r="I17" t="s">
        <v>251</v>
      </c>
      <c r="J17" s="5">
        <v>0.92730000000000001</v>
      </c>
      <c r="K17" s="5">
        <v>0.95299999999999996</v>
      </c>
      <c r="L17" s="5">
        <f>J17-K17</f>
        <v>-2.5699999999999945E-2</v>
      </c>
      <c r="M17" s="5" t="s">
        <v>234</v>
      </c>
      <c r="N17" s="5" t="s">
        <v>234</v>
      </c>
    </row>
    <row r="18" spans="1:14" x14ac:dyDescent="0.25">
      <c r="A18">
        <v>2025</v>
      </c>
      <c r="B18" t="s">
        <v>69</v>
      </c>
      <c r="C18" t="s">
        <v>186</v>
      </c>
      <c r="D18">
        <v>5</v>
      </c>
      <c r="E18" t="s">
        <v>224</v>
      </c>
      <c r="F18" t="s">
        <v>188</v>
      </c>
      <c r="G18" t="s">
        <v>26</v>
      </c>
      <c r="H18" t="s">
        <v>26</v>
      </c>
      <c r="I18" t="s">
        <v>252</v>
      </c>
      <c r="J18" s="5" t="s">
        <v>234</v>
      </c>
      <c r="K18" s="5" t="s">
        <v>234</v>
      </c>
      <c r="L18" s="5" t="s">
        <v>234</v>
      </c>
      <c r="M18" s="5">
        <f>INDEX(Table1[Reliability 5min],MATCH($B17,'Pivot table'!$A$6:$A$29,0))</f>
        <v>0.94336053168388501</v>
      </c>
      <c r="N18" s="5">
        <f>INDEX(Table1[Cancellation rate],MATCH($B17,'Pivot table'!$A$6:$A$29,0))</f>
        <v>2.6046807483933232E-2</v>
      </c>
    </row>
    <row r="19" spans="1:14" x14ac:dyDescent="0.25">
      <c r="A19">
        <v>2025</v>
      </c>
      <c r="B19" t="s">
        <v>72</v>
      </c>
      <c r="C19" t="s">
        <v>225</v>
      </c>
      <c r="D19">
        <v>6</v>
      </c>
      <c r="E19" t="s">
        <v>240</v>
      </c>
      <c r="F19" t="s">
        <v>188</v>
      </c>
      <c r="G19" t="s">
        <v>25</v>
      </c>
      <c r="H19" t="s">
        <v>241</v>
      </c>
      <c r="I19" t="s">
        <v>251</v>
      </c>
      <c r="J19" s="5">
        <v>0.91720000000000002</v>
      </c>
      <c r="K19" s="5">
        <v>0.90600000000000003</v>
      </c>
      <c r="L19" s="5">
        <f>J19-K19</f>
        <v>1.1199999999999988E-2</v>
      </c>
      <c r="M19" s="5" t="s">
        <v>234</v>
      </c>
      <c r="N19" s="5" t="s">
        <v>234</v>
      </c>
    </row>
    <row r="20" spans="1:14" x14ac:dyDescent="0.25">
      <c r="A20">
        <v>2025</v>
      </c>
      <c r="B20" t="s">
        <v>72</v>
      </c>
      <c r="C20" t="s">
        <v>23</v>
      </c>
      <c r="D20">
        <v>6</v>
      </c>
      <c r="E20" t="s">
        <v>240</v>
      </c>
      <c r="F20" t="s">
        <v>188</v>
      </c>
      <c r="G20" t="s">
        <v>25</v>
      </c>
      <c r="H20" t="s">
        <v>241</v>
      </c>
      <c r="I20" t="s">
        <v>251</v>
      </c>
      <c r="J20" s="5">
        <v>0.8982</v>
      </c>
      <c r="K20" s="5">
        <v>0.88900000000000001</v>
      </c>
      <c r="L20" s="5">
        <f>J20-K20</f>
        <v>9.199999999999986E-3</v>
      </c>
      <c r="M20" s="5" t="s">
        <v>234</v>
      </c>
      <c r="N20" s="5" t="s">
        <v>234</v>
      </c>
    </row>
    <row r="21" spans="1:14" x14ac:dyDescent="0.25">
      <c r="A21">
        <v>2025</v>
      </c>
      <c r="B21" t="s">
        <v>72</v>
      </c>
      <c r="C21" t="s">
        <v>23</v>
      </c>
      <c r="D21">
        <v>5</v>
      </c>
      <c r="E21" t="s">
        <v>224</v>
      </c>
      <c r="F21" t="s">
        <v>188</v>
      </c>
      <c r="G21" t="s">
        <v>26</v>
      </c>
      <c r="H21" t="s">
        <v>26</v>
      </c>
      <c r="I21" t="s">
        <v>252</v>
      </c>
      <c r="J21" s="5" t="s">
        <v>234</v>
      </c>
      <c r="K21" s="5" t="s">
        <v>234</v>
      </c>
      <c r="L21" s="5" t="s">
        <v>234</v>
      </c>
      <c r="M21" s="5">
        <f>INDEX(Table1[Reliability 5min],MATCH($B20,'Pivot table'!$A$6:$A$29,0))</f>
        <v>0.859366922122903</v>
      </c>
      <c r="N21" s="5">
        <f>INDEX(Table1[Cancellation rate],MATCH($B20,'Pivot table'!$A$6:$A$29,0))</f>
        <v>2.0639185254433874E-2</v>
      </c>
    </row>
    <row r="22" spans="1:14" x14ac:dyDescent="0.25">
      <c r="A22">
        <v>2025</v>
      </c>
      <c r="B22" t="s">
        <v>253</v>
      </c>
      <c r="C22" t="s">
        <v>242</v>
      </c>
      <c r="D22">
        <v>5</v>
      </c>
      <c r="E22" t="s">
        <v>224</v>
      </c>
      <c r="F22" t="s">
        <v>188</v>
      </c>
      <c r="G22" t="s">
        <v>235</v>
      </c>
      <c r="H22" t="s">
        <v>234</v>
      </c>
      <c r="I22" t="s">
        <v>251</v>
      </c>
      <c r="J22" s="5">
        <v>0.76700000000000002</v>
      </c>
      <c r="K22" s="5">
        <v>0.745</v>
      </c>
      <c r="L22" s="5">
        <f>J22-K22</f>
        <v>2.200000000000002E-2</v>
      </c>
      <c r="M22" s="5" t="s">
        <v>234</v>
      </c>
      <c r="N22" s="5" t="s">
        <v>234</v>
      </c>
    </row>
    <row r="23" spans="1:14" x14ac:dyDescent="0.25">
      <c r="A23">
        <v>2025</v>
      </c>
      <c r="B23" t="s">
        <v>253</v>
      </c>
      <c r="C23" t="s">
        <v>242</v>
      </c>
      <c r="D23">
        <v>5</v>
      </c>
      <c r="E23" t="s">
        <v>224</v>
      </c>
      <c r="F23" t="s">
        <v>188</v>
      </c>
      <c r="G23" t="s">
        <v>236</v>
      </c>
      <c r="H23" t="s">
        <v>234</v>
      </c>
      <c r="I23" t="s">
        <v>251</v>
      </c>
      <c r="J23" s="5">
        <v>0.76700000000000002</v>
      </c>
      <c r="K23" s="5">
        <v>0.73899999999999999</v>
      </c>
      <c r="L23" s="5">
        <f>J23-K23</f>
        <v>2.8000000000000025E-2</v>
      </c>
      <c r="M23" s="5" t="s">
        <v>234</v>
      </c>
      <c r="N23" s="5" t="s">
        <v>234</v>
      </c>
    </row>
    <row r="24" spans="1:14" x14ac:dyDescent="0.25">
      <c r="A24">
        <v>2025</v>
      </c>
      <c r="B24" t="s">
        <v>75</v>
      </c>
      <c r="C24" t="s">
        <v>242</v>
      </c>
      <c r="D24" t="s">
        <v>254</v>
      </c>
      <c r="E24" t="s">
        <v>224</v>
      </c>
      <c r="F24" t="s">
        <v>188</v>
      </c>
      <c r="G24" t="s">
        <v>235</v>
      </c>
      <c r="H24" t="s">
        <v>234</v>
      </c>
      <c r="I24" t="s">
        <v>251</v>
      </c>
      <c r="J24" s="5">
        <v>0.86599999999999999</v>
      </c>
      <c r="K24" s="5">
        <v>0.85599999999999998</v>
      </c>
      <c r="L24" s="5">
        <f>J24-K24</f>
        <v>1.0000000000000009E-2</v>
      </c>
      <c r="M24" s="5" t="s">
        <v>234</v>
      </c>
      <c r="N24" s="5" t="s">
        <v>234</v>
      </c>
    </row>
    <row r="25" spans="1:14" x14ac:dyDescent="0.25">
      <c r="A25">
        <v>2025</v>
      </c>
      <c r="B25" t="s">
        <v>253</v>
      </c>
      <c r="C25" t="s">
        <v>245</v>
      </c>
      <c r="D25">
        <v>5</v>
      </c>
      <c r="E25" t="s">
        <v>224</v>
      </c>
      <c r="F25" t="s">
        <v>188</v>
      </c>
      <c r="G25" t="s">
        <v>235</v>
      </c>
      <c r="H25" t="s">
        <v>234</v>
      </c>
      <c r="I25" t="s">
        <v>251</v>
      </c>
      <c r="J25" s="5">
        <v>0.72</v>
      </c>
      <c r="K25" s="5">
        <v>0.68400000000000005</v>
      </c>
      <c r="L25" s="5">
        <f>J25-K25</f>
        <v>3.5999999999999921E-2</v>
      </c>
      <c r="M25" s="5" t="s">
        <v>234</v>
      </c>
      <c r="N25" s="5" t="s">
        <v>234</v>
      </c>
    </row>
    <row r="26" spans="1:14" x14ac:dyDescent="0.25">
      <c r="A26">
        <v>2025</v>
      </c>
      <c r="B26" t="s">
        <v>253</v>
      </c>
      <c r="C26" t="s">
        <v>245</v>
      </c>
      <c r="D26">
        <v>5</v>
      </c>
      <c r="E26" t="s">
        <v>224</v>
      </c>
      <c r="F26" t="s">
        <v>188</v>
      </c>
      <c r="G26" t="s">
        <v>236</v>
      </c>
      <c r="H26" t="s">
        <v>234</v>
      </c>
      <c r="I26" t="s">
        <v>251</v>
      </c>
      <c r="J26" s="5">
        <v>0.72</v>
      </c>
      <c r="K26" s="5">
        <v>0.67</v>
      </c>
      <c r="L26" s="5">
        <f>J26-K26</f>
        <v>4.9999999999999933E-2</v>
      </c>
      <c r="M26" s="5" t="s">
        <v>234</v>
      </c>
      <c r="N26" s="5" t="s">
        <v>234</v>
      </c>
    </row>
    <row r="27" spans="1:14" x14ac:dyDescent="0.25">
      <c r="A27">
        <v>2025</v>
      </c>
      <c r="B27" t="s">
        <v>75</v>
      </c>
      <c r="C27" t="s">
        <v>245</v>
      </c>
      <c r="D27" t="s">
        <v>254</v>
      </c>
      <c r="E27" t="s">
        <v>224</v>
      </c>
      <c r="F27" t="s">
        <v>188</v>
      </c>
      <c r="G27" t="s">
        <v>26</v>
      </c>
      <c r="H27" t="s">
        <v>234</v>
      </c>
      <c r="I27" t="s">
        <v>251</v>
      </c>
      <c r="J27" s="5">
        <v>0.84599999999999997</v>
      </c>
      <c r="K27" s="5">
        <v>0.81</v>
      </c>
      <c r="L27" s="5">
        <f>J27-K27</f>
        <v>3.5999999999999921E-2</v>
      </c>
      <c r="M27" s="5" t="s">
        <v>234</v>
      </c>
      <c r="N27" s="5" t="s">
        <v>234</v>
      </c>
    </row>
    <row r="28" spans="1:14" x14ac:dyDescent="0.25">
      <c r="A28">
        <v>2025</v>
      </c>
      <c r="B28" t="s">
        <v>75</v>
      </c>
      <c r="C28" t="s">
        <v>243</v>
      </c>
      <c r="D28">
        <v>5</v>
      </c>
      <c r="E28" t="s">
        <v>224</v>
      </c>
      <c r="F28" t="s">
        <v>188</v>
      </c>
      <c r="G28" t="s">
        <v>26</v>
      </c>
      <c r="H28" t="s">
        <v>234</v>
      </c>
      <c r="I28" t="s">
        <v>252</v>
      </c>
      <c r="J28" s="5" t="s">
        <v>234</v>
      </c>
      <c r="K28" s="5" t="s">
        <v>234</v>
      </c>
      <c r="L28" s="5" t="s">
        <v>234</v>
      </c>
      <c r="M28" s="5">
        <f>INDEX(Table1[Reliability 5min],MATCH($B28,'Pivot table'!$A$6:$A$29,0))</f>
        <v>0.8404249613387087</v>
      </c>
      <c r="N28" s="5">
        <f>INDEX(Table1[Cancellation rate],MATCH($B28,'Pivot table'!$A$6:$A$29,0))</f>
        <v>1.1562631291957557E-2</v>
      </c>
    </row>
    <row r="29" spans="1:14" x14ac:dyDescent="0.25">
      <c r="A29">
        <v>2025</v>
      </c>
      <c r="B29" t="s">
        <v>80</v>
      </c>
      <c r="C29" t="s">
        <v>246</v>
      </c>
      <c r="D29">
        <v>10</v>
      </c>
      <c r="E29" t="s">
        <v>247</v>
      </c>
      <c r="F29" t="s">
        <v>188</v>
      </c>
      <c r="G29" t="s">
        <v>248</v>
      </c>
      <c r="H29" t="s">
        <v>25</v>
      </c>
      <c r="I29" t="s">
        <v>251</v>
      </c>
      <c r="J29" s="15">
        <v>0.753</v>
      </c>
      <c r="K29" s="5">
        <v>0.755</v>
      </c>
      <c r="L29" s="5">
        <f>J29-K29</f>
        <v>-2.0000000000000018E-3</v>
      </c>
      <c r="M29" s="5" t="s">
        <v>234</v>
      </c>
      <c r="N29" s="5" t="s">
        <v>234</v>
      </c>
    </row>
    <row r="30" spans="1:14" x14ac:dyDescent="0.25">
      <c r="A30">
        <v>2025</v>
      </c>
      <c r="B30" t="s">
        <v>80</v>
      </c>
      <c r="C30" t="s">
        <v>243</v>
      </c>
      <c r="D30">
        <v>5</v>
      </c>
      <c r="E30" t="s">
        <v>224</v>
      </c>
      <c r="F30" t="s">
        <v>188</v>
      </c>
      <c r="G30" t="s">
        <v>26</v>
      </c>
      <c r="H30" t="s">
        <v>26</v>
      </c>
      <c r="I30" t="s">
        <v>252</v>
      </c>
      <c r="J30" s="5" t="s">
        <v>234</v>
      </c>
      <c r="K30" s="5" t="s">
        <v>234</v>
      </c>
      <c r="L30" s="5" t="s">
        <v>234</v>
      </c>
      <c r="M30" s="5">
        <f>INDEX(Table1[Reliability 5min],MATCH($B30,'Pivot table'!$A$6:$A$29,0))</f>
        <v>0.63195076835515085</v>
      </c>
      <c r="N30" s="5">
        <f>INDEX(Table1[Cancellation rate],MATCH($B30,'Pivot table'!$A$6:$A$29,0))</f>
        <v>2.0140865110984632E-2</v>
      </c>
    </row>
    <row r="31" spans="1:14" x14ac:dyDescent="0.25">
      <c r="A31">
        <v>2025</v>
      </c>
      <c r="B31" t="s">
        <v>88</v>
      </c>
      <c r="C31" t="s">
        <v>255</v>
      </c>
      <c r="D31">
        <v>5</v>
      </c>
      <c r="E31" t="s">
        <v>224</v>
      </c>
      <c r="F31" t="s">
        <v>188</v>
      </c>
      <c r="G31" t="s">
        <v>235</v>
      </c>
      <c r="H31" t="s">
        <v>234</v>
      </c>
      <c r="I31" t="s">
        <v>251</v>
      </c>
      <c r="J31" s="5">
        <v>0.83499999999999996</v>
      </c>
      <c r="K31" s="5">
        <v>0.83099999999999996</v>
      </c>
      <c r="L31" s="5">
        <f>J31-K31</f>
        <v>4.0000000000000036E-3</v>
      </c>
      <c r="M31" s="5" t="s">
        <v>234</v>
      </c>
      <c r="N31" s="5" t="s">
        <v>234</v>
      </c>
    </row>
    <row r="32" spans="1:14" x14ac:dyDescent="0.25">
      <c r="A32">
        <v>2025</v>
      </c>
      <c r="B32" t="s">
        <v>88</v>
      </c>
      <c r="C32" t="s">
        <v>255</v>
      </c>
      <c r="D32">
        <v>5</v>
      </c>
      <c r="E32" t="s">
        <v>224</v>
      </c>
      <c r="F32" t="s">
        <v>188</v>
      </c>
      <c r="G32" t="s">
        <v>236</v>
      </c>
      <c r="H32" t="s">
        <v>234</v>
      </c>
      <c r="I32" t="s">
        <v>251</v>
      </c>
      <c r="J32" s="5">
        <v>0.83499999999999996</v>
      </c>
      <c r="K32" s="5">
        <v>0.83099999999999996</v>
      </c>
      <c r="L32" s="5">
        <f>J32-K32</f>
        <v>4.0000000000000036E-3</v>
      </c>
      <c r="M32" s="5" t="s">
        <v>234</v>
      </c>
      <c r="N32" s="5" t="s">
        <v>234</v>
      </c>
    </row>
    <row r="33" spans="1:14" x14ac:dyDescent="0.25">
      <c r="A33">
        <v>2025</v>
      </c>
      <c r="B33" t="s">
        <v>88</v>
      </c>
      <c r="C33" t="s">
        <v>225</v>
      </c>
      <c r="D33">
        <v>5</v>
      </c>
      <c r="E33" t="s">
        <v>224</v>
      </c>
      <c r="F33" t="s">
        <v>188</v>
      </c>
      <c r="G33" t="s">
        <v>26</v>
      </c>
      <c r="H33" t="s">
        <v>234</v>
      </c>
      <c r="I33" t="s">
        <v>252</v>
      </c>
      <c r="J33" s="23" t="s">
        <v>234</v>
      </c>
      <c r="K33" s="23" t="s">
        <v>234</v>
      </c>
      <c r="L33" s="23" t="s">
        <v>234</v>
      </c>
      <c r="M33" s="5">
        <f>INDEX(Table1[Reliability 5min],MATCH($B33,'Pivot table'!$A$6:$A$29,0))</f>
        <v>0.75732459521973783</v>
      </c>
      <c r="N33" s="5">
        <f>INDEX(Table1[Cancellation rate],MATCH($B33,'Pivot table'!$A$6:$A$29,0))</f>
        <v>5.3970701619121047E-3</v>
      </c>
    </row>
    <row r="35" spans="1:14" x14ac:dyDescent="0.25">
      <c r="A35" t="s">
        <v>244</v>
      </c>
    </row>
    <row r="36" spans="1:14" x14ac:dyDescent="0.25">
      <c r="A36">
        <v>2025</v>
      </c>
      <c r="B36" t="s">
        <v>99</v>
      </c>
      <c r="C36" t="s">
        <v>225</v>
      </c>
      <c r="D36">
        <v>5.5</v>
      </c>
      <c r="E36" t="s">
        <v>224</v>
      </c>
      <c r="F36" t="s">
        <v>188</v>
      </c>
      <c r="G36" t="s">
        <v>26</v>
      </c>
      <c r="H36" t="s">
        <v>234</v>
      </c>
      <c r="I36" t="s">
        <v>251</v>
      </c>
      <c r="J36" s="15">
        <v>0.83440000000000003</v>
      </c>
      <c r="K36" s="5">
        <v>0.68700000000000006</v>
      </c>
      <c r="L36" s="24">
        <f>J36-K36</f>
        <v>0.14739999999999998</v>
      </c>
      <c r="M36" s="5">
        <f>INDEX(Table1[Reliability 5min],MATCH($B36,'Pivot table'!$A$6:$A$29,0))</f>
        <v>0.91098149830281594</v>
      </c>
      <c r="N36" s="5">
        <f>INDEX(Table1[Cancellation rate],MATCH($B36,'Pivot table'!$A$6:$A$29,0))</f>
        <v>6.0238083855237365E-3</v>
      </c>
    </row>
    <row r="38" spans="1:14" x14ac:dyDescent="0.25">
      <c r="J38" s="22" t="s">
        <v>251</v>
      </c>
      <c r="K38" t="s">
        <v>252</v>
      </c>
    </row>
    <row r="39" spans="1:14" x14ac:dyDescent="0.25">
      <c r="A39" s="25"/>
      <c r="B39" t="str" cm="1">
        <f t="array" ref="B39:K60">_xlfn._xlws.FILTER(B2:K33,J2:J33&lt;&gt;"/")</f>
        <v>DB</v>
      </c>
      <c r="C39" t="str">
        <v>LD</v>
      </c>
      <c r="D39">
        <v>6</v>
      </c>
      <c r="E39" t="str">
        <v>At all stops</v>
      </c>
      <c r="F39" t="str">
        <v>Train punctuality</v>
      </c>
      <c r="G39" t="str">
        <v>No</v>
      </c>
      <c r="H39" t="str">
        <v>All collaborations on DE network</v>
      </c>
      <c r="I39" t="str">
        <v>Official</v>
      </c>
      <c r="J39" s="22">
        <v>0.60099999999999998</v>
      </c>
      <c r="K39">
        <v>0.58819999999999995</v>
      </c>
    </row>
    <row r="40" spans="1:14" x14ac:dyDescent="0.25">
      <c r="A40" s="25"/>
      <c r="B40" t="str">
        <v>Eurostar</v>
      </c>
      <c r="C40" t="str">
        <v>Routes Belgium</v>
      </c>
      <c r="D40">
        <v>6</v>
      </c>
      <c r="E40" t="str">
        <v>All network</v>
      </c>
      <c r="F40" t="str">
        <v>Train punctuality</v>
      </c>
      <c r="G40" t="str">
        <v>No</v>
      </c>
      <c r="H40" t="str">
        <v>To ask</v>
      </c>
      <c r="I40" t="str">
        <v>Official</v>
      </c>
      <c r="J40" s="22">
        <v>0.8</v>
      </c>
      <c r="K40">
        <v>0.77200000000000002</v>
      </c>
    </row>
    <row r="41" spans="1:14" x14ac:dyDescent="0.25">
      <c r="A41" s="25"/>
      <c r="B41" t="str">
        <v>Eurostar</v>
      </c>
      <c r="C41" t="str">
        <v>London routes</v>
      </c>
      <c r="D41">
        <v>5</v>
      </c>
      <c r="E41" t="str">
        <v>Arriving at St pancras?</v>
      </c>
      <c r="F41" t="str">
        <v>Train punctuality</v>
      </c>
      <c r="G41" t="str">
        <v>Likely yes?</v>
      </c>
      <c r="H41" t="str">
        <v>To ask</v>
      </c>
      <c r="I41" t="str">
        <v>Official</v>
      </c>
      <c r="J41" s="22">
        <v>0.73099999999999998</v>
      </c>
      <c r="K41">
        <v>0.74399999999999999</v>
      </c>
    </row>
    <row r="42" spans="1:14" x14ac:dyDescent="0.25">
      <c r="A42" s="25"/>
      <c r="B42" t="str">
        <v>Eurostar</v>
      </c>
      <c r="C42" t="str">
        <v>London routes</v>
      </c>
      <c r="D42">
        <v>15</v>
      </c>
      <c r="E42" t="str">
        <v>Arriving at St pancras?</v>
      </c>
      <c r="F42" t="str">
        <v>Train punctuality</v>
      </c>
      <c r="G42" t="str">
        <v>Likely yes?</v>
      </c>
      <c r="H42" t="str">
        <v>To ask</v>
      </c>
      <c r="I42" t="str">
        <v>Official</v>
      </c>
      <c r="J42" s="22">
        <v>0.83299999999999996</v>
      </c>
      <c r="K42">
        <v>0.82399999999999995</v>
      </c>
    </row>
    <row r="43" spans="1:14" x14ac:dyDescent="0.25">
      <c r="A43" s="25"/>
      <c r="B43" t="str">
        <v>Eurostar</v>
      </c>
      <c r="C43" t="str">
        <v>Continental routes</v>
      </c>
      <c r="D43">
        <v>15</v>
      </c>
      <c r="E43" t="str">
        <v>All network (except St Pancras)</v>
      </c>
      <c r="F43" t="str">
        <v>Train punctuality</v>
      </c>
      <c r="G43" t="str">
        <v>Likely yes?</v>
      </c>
      <c r="H43" t="str">
        <v>To ask</v>
      </c>
      <c r="I43" t="str">
        <v>Official</v>
      </c>
      <c r="J43" s="22">
        <v>0.78100000000000003</v>
      </c>
      <c r="K43">
        <v>0.78100000000000003</v>
      </c>
    </row>
    <row r="44" spans="1:14" x14ac:dyDescent="0.25">
      <c r="A44" s="25"/>
      <c r="B44" t="str">
        <v>NS</v>
      </c>
      <c r="C44" t="str">
        <v>All</v>
      </c>
      <c r="D44">
        <v>3</v>
      </c>
      <c r="E44" t="str">
        <v>47 different points on networks</v>
      </c>
      <c r="F44" t="str">
        <v>Pax punctuality</v>
      </c>
      <c r="G44" t="str">
        <v>Yes</v>
      </c>
      <c r="H44" t="str">
        <v>Yes (except ICE trains)</v>
      </c>
      <c r="I44" t="str">
        <v>Official</v>
      </c>
      <c r="J44" s="22">
        <v>0.85499999999999998</v>
      </c>
      <c r="K44">
        <v>0.86499999999999999</v>
      </c>
    </row>
    <row r="45" spans="1:14" x14ac:dyDescent="0.25">
      <c r="A45" s="25"/>
      <c r="B45" t="str">
        <v>NS</v>
      </c>
      <c r="C45" t="str">
        <v>All</v>
      </c>
      <c r="D45">
        <v>10</v>
      </c>
      <c r="E45" t="str">
        <v>47 different points on networks</v>
      </c>
      <c r="F45" t="str">
        <v>Pax punctuality</v>
      </c>
      <c r="G45" t="str">
        <v>Yes</v>
      </c>
      <c r="H45" t="str">
        <v>Yes (except ICE trains)</v>
      </c>
      <c r="I45" t="str">
        <v>Official</v>
      </c>
      <c r="J45" s="22">
        <v>0.95299999999999996</v>
      </c>
      <c r="K45">
        <v>0.93600000000000005</v>
      </c>
    </row>
    <row r="46" spans="1:14" x14ac:dyDescent="0.25">
      <c r="A46" s="25"/>
      <c r="B46" t="str">
        <v>OEBB</v>
      </c>
      <c r="C46" t="str">
        <v>LD</v>
      </c>
      <c r="D46" t="str">
        <v>5min30</v>
      </c>
      <c r="E46" t="str">
        <v>At all stops</v>
      </c>
      <c r="F46" t="str">
        <v>Train punctuality</v>
      </c>
      <c r="G46" t="str">
        <v>No</v>
      </c>
      <c r="H46" t="str">
        <v>Yes</v>
      </c>
      <c r="I46" t="str">
        <v>Official</v>
      </c>
      <c r="J46" s="22">
        <v>0.81599999999999995</v>
      </c>
      <c r="K46">
        <v>0.80200000000000005</v>
      </c>
    </row>
    <row r="47" spans="1:14" x14ac:dyDescent="0.25">
      <c r="A47" s="25"/>
      <c r="B47" t="str">
        <v>Ouigo - ART</v>
      </c>
      <c r="C47" t="str">
        <v>HSR</v>
      </c>
      <c r="D47">
        <v>5</v>
      </c>
      <c r="E47" t="str">
        <v>Terminus</v>
      </c>
      <c r="F47" t="str">
        <v>Train punctuality</v>
      </c>
      <c r="G47" t="str">
        <v>Not sure (here = no)</v>
      </c>
      <c r="H47" t="str">
        <v>/</v>
      </c>
      <c r="I47" t="str">
        <v>Official</v>
      </c>
      <c r="J47" s="22">
        <v>0.72499999999999998</v>
      </c>
      <c r="K47">
        <v>0.79700000000000004</v>
      </c>
    </row>
    <row r="48" spans="1:14" x14ac:dyDescent="0.25">
      <c r="A48" s="25"/>
      <c r="B48" t="str">
        <v>Ouigo - ART</v>
      </c>
      <c r="C48" t="str">
        <v>HSR</v>
      </c>
      <c r="D48">
        <v>5</v>
      </c>
      <c r="E48" t="str">
        <v>Terminus</v>
      </c>
      <c r="F48" t="str">
        <v>Train punctuality</v>
      </c>
      <c r="G48" t="str">
        <v>Not sure (here = yes)</v>
      </c>
      <c r="H48" t="str">
        <v>/</v>
      </c>
      <c r="I48" t="str">
        <v>Official</v>
      </c>
      <c r="J48" s="22">
        <v>0.72499999999999998</v>
      </c>
      <c r="K48">
        <v>0.78700000000000003</v>
      </c>
    </row>
    <row r="49" spans="1:11" x14ac:dyDescent="0.25">
      <c r="A49" s="25"/>
      <c r="B49" t="str">
        <v>SBB</v>
      </c>
      <c r="C49" t="str">
        <v>LD</v>
      </c>
      <c r="D49">
        <v>3</v>
      </c>
      <c r="E49" t="str">
        <v>At all stops</v>
      </c>
      <c r="F49" t="str">
        <v>Train punctuality</v>
      </c>
      <c r="G49" t="str">
        <v>Yes (short notice cancellations)</v>
      </c>
      <c r="H49" t="str">
        <v>Likely</v>
      </c>
      <c r="I49" t="str">
        <v>Official</v>
      </c>
      <c r="J49" s="22">
        <v>0.92730000000000001</v>
      </c>
      <c r="K49">
        <v>0.95299999999999996</v>
      </c>
    </row>
    <row r="50" spans="1:11" x14ac:dyDescent="0.25">
      <c r="A50" s="25"/>
      <c r="B50" t="str">
        <v>SNCB</v>
      </c>
      <c r="C50" t="str">
        <v>All</v>
      </c>
      <c r="D50">
        <v>6</v>
      </c>
      <c r="E50" t="str">
        <v>Terminus + Bxl</v>
      </c>
      <c r="F50" t="str">
        <v>Train punctuality</v>
      </c>
      <c r="G50" t="str">
        <v>No</v>
      </c>
      <c r="H50" t="str">
        <v>?</v>
      </c>
      <c r="I50" t="str">
        <v>Official</v>
      </c>
      <c r="J50" s="22">
        <v>0.91720000000000002</v>
      </c>
      <c r="K50">
        <v>0.90600000000000003</v>
      </c>
    </row>
    <row r="51" spans="1:11" x14ac:dyDescent="0.25">
      <c r="A51" s="25"/>
      <c r="B51" t="str">
        <v>SNCB</v>
      </c>
      <c r="C51" t="str">
        <v>IC</v>
      </c>
      <c r="D51">
        <v>6</v>
      </c>
      <c r="E51" t="str">
        <v>Terminus + Bxl</v>
      </c>
      <c r="F51" t="str">
        <v>Train punctuality</v>
      </c>
      <c r="G51" t="str">
        <v>No</v>
      </c>
      <c r="H51" t="str">
        <v>?</v>
      </c>
      <c r="I51" t="str">
        <v>Official</v>
      </c>
      <c r="J51" s="22">
        <v>0.8982</v>
      </c>
      <c r="K51">
        <v>0.88900000000000001</v>
      </c>
    </row>
    <row r="52" spans="1:11" x14ac:dyDescent="0.25">
      <c r="A52" s="25"/>
      <c r="B52" t="str">
        <v>SNCF - ART</v>
      </c>
      <c r="C52" t="str">
        <v>TGV Inoui</v>
      </c>
      <c r="D52">
        <v>5</v>
      </c>
      <c r="E52" t="str">
        <v>Terminus</v>
      </c>
      <c r="F52" t="str">
        <v>Train punctuality</v>
      </c>
      <c r="G52" t="str">
        <v>Not sure (here = no)</v>
      </c>
      <c r="H52" t="str">
        <v>/</v>
      </c>
      <c r="I52" t="str">
        <v>Official</v>
      </c>
      <c r="J52" s="22">
        <v>0.76700000000000002</v>
      </c>
      <c r="K52">
        <v>0.745</v>
      </c>
    </row>
    <row r="53" spans="1:11" x14ac:dyDescent="0.25">
      <c r="A53" s="25"/>
      <c r="B53" t="str">
        <v>SNCF - ART</v>
      </c>
      <c r="C53" t="str">
        <v>TGV Inoui</v>
      </c>
      <c r="D53">
        <v>5</v>
      </c>
      <c r="E53" t="str">
        <v>Terminus</v>
      </c>
      <c r="F53" t="str">
        <v>Train punctuality</v>
      </c>
      <c r="G53" t="str">
        <v>Not sure (here = yes)</v>
      </c>
      <c r="H53" t="str">
        <v>/</v>
      </c>
      <c r="I53" t="str">
        <v>Official</v>
      </c>
      <c r="J53" s="22">
        <v>0.76700000000000002</v>
      </c>
      <c r="K53">
        <v>0.73899999999999999</v>
      </c>
    </row>
    <row r="54" spans="1:11" x14ac:dyDescent="0.25">
      <c r="A54" s="25"/>
      <c r="B54" t="str">
        <v>SNCF</v>
      </c>
      <c r="C54" t="str">
        <v>TGV Inoui</v>
      </c>
      <c r="D54" t="str">
        <v>Composite</v>
      </c>
      <c r="E54" t="str">
        <v>Terminus</v>
      </c>
      <c r="F54" t="str">
        <v>Train punctuality</v>
      </c>
      <c r="G54" t="str">
        <v>Not sure (here = no)</v>
      </c>
      <c r="H54" t="str">
        <v>/</v>
      </c>
      <c r="I54" t="str">
        <v>Official</v>
      </c>
      <c r="J54" s="22">
        <v>0.86599999999999999</v>
      </c>
      <c r="K54">
        <v>0.85599999999999998</v>
      </c>
    </row>
    <row r="55" spans="1:11" x14ac:dyDescent="0.25">
      <c r="A55" s="25"/>
      <c r="B55" t="str">
        <v>SNCF - ART</v>
      </c>
      <c r="C55" t="str">
        <v>Intercités</v>
      </c>
      <c r="D55">
        <v>5</v>
      </c>
      <c r="E55" t="str">
        <v>Terminus</v>
      </c>
      <c r="F55" t="str">
        <v>Train punctuality</v>
      </c>
      <c r="G55" t="str">
        <v>Not sure (here = no)</v>
      </c>
      <c r="H55" t="str">
        <v>/</v>
      </c>
      <c r="I55" t="str">
        <v>Official</v>
      </c>
      <c r="J55" s="22">
        <v>0.72</v>
      </c>
      <c r="K55">
        <v>0.68400000000000005</v>
      </c>
    </row>
    <row r="56" spans="1:11" x14ac:dyDescent="0.25">
      <c r="A56" s="25"/>
      <c r="B56" t="str">
        <v>SNCF - ART</v>
      </c>
      <c r="C56" t="str">
        <v>Intercités</v>
      </c>
      <c r="D56">
        <v>5</v>
      </c>
      <c r="E56" t="str">
        <v>Terminus</v>
      </c>
      <c r="F56" t="str">
        <v>Train punctuality</v>
      </c>
      <c r="G56" t="str">
        <v>Not sure (here = yes)</v>
      </c>
      <c r="H56" t="str">
        <v>/</v>
      </c>
      <c r="I56" t="str">
        <v>Official</v>
      </c>
      <c r="J56" s="22">
        <v>0.72</v>
      </c>
      <c r="K56">
        <v>0.67</v>
      </c>
    </row>
    <row r="57" spans="1:11" x14ac:dyDescent="0.25">
      <c r="A57" s="25"/>
      <c r="B57" t="str">
        <v>SNCF</v>
      </c>
      <c r="C57" t="str">
        <v>Intercités</v>
      </c>
      <c r="D57" t="str">
        <v>Composite</v>
      </c>
      <c r="E57" t="str">
        <v>Terminus</v>
      </c>
      <c r="F57" t="str">
        <v>Train punctuality</v>
      </c>
      <c r="G57" t="str">
        <v>Yes</v>
      </c>
      <c r="H57" t="str">
        <v>/</v>
      </c>
      <c r="I57" t="str">
        <v>Official</v>
      </c>
      <c r="J57" s="22">
        <v>0.84599999999999997</v>
      </c>
      <c r="K57">
        <v>0.81</v>
      </c>
    </row>
    <row r="58" spans="1:11" x14ac:dyDescent="0.25">
      <c r="A58" s="25"/>
      <c r="B58" t="str">
        <v>Trenitalia</v>
      </c>
      <c r="C58" t="str">
        <v>Frecce</v>
      </c>
      <c r="D58">
        <v>10</v>
      </c>
      <c r="E58" t="str">
        <v>Terminus?</v>
      </c>
      <c r="F58" t="str">
        <v>Train punctuality</v>
      </c>
      <c r="G58" t="str">
        <v>No?</v>
      </c>
      <c r="H58" t="str">
        <v>No</v>
      </c>
      <c r="I58" t="str">
        <v>Official</v>
      </c>
      <c r="J58" s="22">
        <v>0.753</v>
      </c>
      <c r="K58">
        <v>0.755</v>
      </c>
    </row>
    <row r="59" spans="1:11" x14ac:dyDescent="0.25">
      <c r="B59" t="str">
        <v>Trenitalia France</v>
      </c>
      <c r="C59" t="str">
        <v>Paris-Lyon</v>
      </c>
      <c r="D59">
        <v>5</v>
      </c>
      <c r="E59" t="str">
        <v>Terminus</v>
      </c>
      <c r="F59" t="str">
        <v>Train punctuality</v>
      </c>
      <c r="G59" t="str">
        <v>Not sure (here = no)</v>
      </c>
      <c r="H59" t="str">
        <v>/</v>
      </c>
      <c r="I59" t="str">
        <v>Official</v>
      </c>
      <c r="J59" s="22">
        <v>0.83499999999999996</v>
      </c>
      <c r="K59">
        <v>0.83099999999999996</v>
      </c>
    </row>
    <row r="60" spans="1:11" x14ac:dyDescent="0.25">
      <c r="B60" t="str">
        <v>Trenitalia France</v>
      </c>
      <c r="C60" t="str">
        <v>Paris-Lyon</v>
      </c>
      <c r="D60">
        <v>5</v>
      </c>
      <c r="E60" t="str">
        <v>Terminus</v>
      </c>
      <c r="F60" t="str">
        <v>Train punctuality</v>
      </c>
      <c r="G60" t="str">
        <v>Not sure (here = yes)</v>
      </c>
      <c r="H60" t="str">
        <v>/</v>
      </c>
      <c r="I60" t="str">
        <v>Official</v>
      </c>
      <c r="J60" s="22">
        <v>0.83499999999999996</v>
      </c>
      <c r="K60">
        <v>0.83099999999999996</v>
      </c>
    </row>
    <row r="84" spans="10:14" x14ac:dyDescent="0.25">
      <c r="J84"/>
      <c r="N84" s="25"/>
    </row>
    <row r="85" spans="10:14" x14ac:dyDescent="0.25">
      <c r="J85"/>
      <c r="N85" s="25"/>
    </row>
    <row r="86" spans="10:14" x14ac:dyDescent="0.25">
      <c r="J86"/>
      <c r="N86" s="25"/>
    </row>
    <row r="87" spans="10:14" x14ac:dyDescent="0.25">
      <c r="J87"/>
      <c r="N87" s="25"/>
    </row>
    <row r="88" spans="10:14" x14ac:dyDescent="0.25">
      <c r="J88"/>
      <c r="N88" s="25"/>
    </row>
    <row r="89" spans="10:14" x14ac:dyDescent="0.25">
      <c r="J89"/>
      <c r="N89" s="25"/>
    </row>
    <row r="90" spans="10:14" x14ac:dyDescent="0.25">
      <c r="J90"/>
      <c r="N90" s="25"/>
    </row>
    <row r="91" spans="10:14" x14ac:dyDescent="0.25">
      <c r="J91"/>
      <c r="N91" s="25"/>
    </row>
    <row r="92" spans="10:14" x14ac:dyDescent="0.25">
      <c r="J92"/>
      <c r="N92" s="25"/>
    </row>
    <row r="93" spans="10:14" x14ac:dyDescent="0.25">
      <c r="J93"/>
      <c r="N93" s="25"/>
    </row>
    <row r="94" spans="10:14" x14ac:dyDescent="0.25">
      <c r="J94"/>
      <c r="N94" s="25"/>
    </row>
    <row r="95" spans="10:14" x14ac:dyDescent="0.25">
      <c r="J95"/>
      <c r="N95" s="25"/>
    </row>
    <row r="96" spans="10:14" x14ac:dyDescent="0.25">
      <c r="J96"/>
      <c r="N96" s="25"/>
    </row>
    <row r="97" spans="10:14" x14ac:dyDescent="0.25">
      <c r="J97"/>
      <c r="N97" s="25"/>
    </row>
    <row r="98" spans="10:14" x14ac:dyDescent="0.25">
      <c r="J98"/>
      <c r="N98" s="25"/>
    </row>
    <row r="99" spans="10:14" x14ac:dyDescent="0.25">
      <c r="J99"/>
      <c r="N99" s="25"/>
    </row>
    <row r="100" spans="10:14" x14ac:dyDescent="0.25">
      <c r="J100"/>
      <c r="N100" s="25"/>
    </row>
    <row r="101" spans="10:14" x14ac:dyDescent="0.25">
      <c r="J101"/>
      <c r="N101" s="25"/>
    </row>
    <row r="102" spans="10:14" x14ac:dyDescent="0.25">
      <c r="J102"/>
      <c r="N102" s="25"/>
    </row>
    <row r="103" spans="10:14" x14ac:dyDescent="0.25">
      <c r="J103"/>
      <c r="N103" s="25"/>
    </row>
    <row r="104" spans="10:14" x14ac:dyDescent="0.25">
      <c r="J104"/>
      <c r="N104" s="25"/>
    </row>
    <row r="105" spans="10:14" x14ac:dyDescent="0.25">
      <c r="J105"/>
      <c r="N105" s="25"/>
    </row>
    <row r="106" spans="10:14" x14ac:dyDescent="0.25">
      <c r="J106"/>
      <c r="N106" s="25"/>
    </row>
    <row r="107" spans="10:14" x14ac:dyDescent="0.25">
      <c r="J107"/>
      <c r="N107" s="25"/>
    </row>
    <row r="108" spans="10:14" x14ac:dyDescent="0.25">
      <c r="J108"/>
      <c r="N108" s="25"/>
    </row>
    <row r="109" spans="10:14" x14ac:dyDescent="0.25">
      <c r="J109"/>
      <c r="N109" s="25"/>
    </row>
    <row r="110" spans="10:14" x14ac:dyDescent="0.25">
      <c r="J110"/>
      <c r="N110" s="25"/>
    </row>
    <row r="111" spans="10:14" x14ac:dyDescent="0.25">
      <c r="J111"/>
      <c r="N111" s="25"/>
    </row>
    <row r="112" spans="10:14" x14ac:dyDescent="0.25">
      <c r="J112"/>
      <c r="N112" s="25"/>
    </row>
    <row r="113" spans="10:14" x14ac:dyDescent="0.25">
      <c r="J113"/>
      <c r="N113" s="25"/>
    </row>
    <row r="114" spans="10:14" x14ac:dyDescent="0.25">
      <c r="J114"/>
      <c r="N114" s="25"/>
    </row>
    <row r="115" spans="10:14" x14ac:dyDescent="0.25">
      <c r="J115"/>
      <c r="N115" s="25"/>
    </row>
    <row r="116" spans="10:14" x14ac:dyDescent="0.25">
      <c r="J116"/>
      <c r="N116" s="25"/>
    </row>
    <row r="117" spans="10:14" x14ac:dyDescent="0.25">
      <c r="J117"/>
      <c r="N117" s="25"/>
    </row>
    <row r="118" spans="10:14" x14ac:dyDescent="0.25">
      <c r="J118"/>
      <c r="N118" s="25"/>
    </row>
    <row r="119" spans="10:14" x14ac:dyDescent="0.25">
      <c r="J119"/>
      <c r="N119" s="25"/>
    </row>
    <row r="120" spans="10:14" x14ac:dyDescent="0.25">
      <c r="J120"/>
      <c r="N120" s="25"/>
    </row>
    <row r="121" spans="10:14" x14ac:dyDescent="0.25">
      <c r="J121"/>
      <c r="N121" s="25"/>
    </row>
    <row r="122" spans="10:14" x14ac:dyDescent="0.25">
      <c r="J122"/>
      <c r="N122" s="25"/>
    </row>
    <row r="123" spans="10:14" x14ac:dyDescent="0.25">
      <c r="J123"/>
      <c r="N123" s="25"/>
    </row>
    <row r="124" spans="10:14" x14ac:dyDescent="0.25">
      <c r="J124"/>
      <c r="N124" s="25"/>
    </row>
    <row r="125" spans="10:14" x14ac:dyDescent="0.25">
      <c r="J125"/>
      <c r="N125" s="25"/>
    </row>
    <row r="126" spans="10:14" x14ac:dyDescent="0.25">
      <c r="J126"/>
      <c r="N126" s="25"/>
    </row>
    <row r="127" spans="10:14" x14ac:dyDescent="0.25">
      <c r="J127"/>
      <c r="N127" s="25"/>
    </row>
    <row r="128" spans="10:14" x14ac:dyDescent="0.25">
      <c r="J128"/>
      <c r="N128" s="25"/>
    </row>
    <row r="129" spans="10:14" x14ac:dyDescent="0.25">
      <c r="J129"/>
      <c r="N129" s="25"/>
    </row>
    <row r="130" spans="10:14" x14ac:dyDescent="0.25">
      <c r="J130"/>
      <c r="N130" s="25"/>
    </row>
    <row r="131" spans="10:14" x14ac:dyDescent="0.25">
      <c r="J131"/>
      <c r="N131" s="25"/>
    </row>
    <row r="132" spans="10:14" x14ac:dyDescent="0.25">
      <c r="J132"/>
      <c r="N132" s="25"/>
    </row>
    <row r="133" spans="10:14" x14ac:dyDescent="0.25">
      <c r="J133"/>
      <c r="N133" s="25"/>
    </row>
    <row r="134" spans="10:14" x14ac:dyDescent="0.25">
      <c r="J134"/>
      <c r="N134" s="25"/>
    </row>
    <row r="135" spans="10:14" x14ac:dyDescent="0.25">
      <c r="J135"/>
      <c r="N135" s="25"/>
    </row>
    <row r="136" spans="10:14" x14ac:dyDescent="0.25">
      <c r="J136"/>
      <c r="N136" s="25"/>
    </row>
    <row r="137" spans="10:14" x14ac:dyDescent="0.25">
      <c r="J137"/>
      <c r="N137" s="25"/>
    </row>
    <row r="138" spans="10:14" x14ac:dyDescent="0.25">
      <c r="J138"/>
      <c r="N138" s="25"/>
    </row>
    <row r="139" spans="10:14" x14ac:dyDescent="0.25">
      <c r="J139"/>
      <c r="N139" s="25"/>
    </row>
    <row r="140" spans="10:14" x14ac:dyDescent="0.25">
      <c r="J140"/>
      <c r="N140" s="25"/>
    </row>
    <row r="141" spans="10:14" x14ac:dyDescent="0.25">
      <c r="J141"/>
      <c r="N141" s="25"/>
    </row>
    <row r="142" spans="10:14" x14ac:dyDescent="0.25">
      <c r="J142"/>
      <c r="N142" s="25"/>
    </row>
    <row r="143" spans="10:14" x14ac:dyDescent="0.25">
      <c r="J143"/>
      <c r="N143" s="25"/>
    </row>
    <row r="144" spans="10:14" x14ac:dyDescent="0.25">
      <c r="J144"/>
      <c r="N144" s="25"/>
    </row>
    <row r="145" spans="10:14" x14ac:dyDescent="0.25">
      <c r="J145"/>
      <c r="N145" s="25"/>
    </row>
    <row r="146" spans="10:14" x14ac:dyDescent="0.25">
      <c r="J146"/>
      <c r="N146" s="25"/>
    </row>
    <row r="147" spans="10:14" x14ac:dyDescent="0.25">
      <c r="J147"/>
      <c r="N147" s="25"/>
    </row>
    <row r="148" spans="10:14" x14ac:dyDescent="0.25">
      <c r="J148"/>
      <c r="N148" s="25"/>
    </row>
    <row r="149" spans="10:14" x14ac:dyDescent="0.25">
      <c r="J149"/>
      <c r="N149" s="25"/>
    </row>
    <row r="150" spans="10:14" x14ac:dyDescent="0.25">
      <c r="J150"/>
      <c r="N150" s="25"/>
    </row>
    <row r="151" spans="10:14" x14ac:dyDescent="0.25">
      <c r="J151"/>
      <c r="N151" s="25"/>
    </row>
    <row r="152" spans="10:14" x14ac:dyDescent="0.25">
      <c r="J152"/>
      <c r="N152" s="25"/>
    </row>
    <row r="153" spans="10:14" x14ac:dyDescent="0.25">
      <c r="J153"/>
      <c r="N153" s="25"/>
    </row>
    <row r="154" spans="10:14" x14ac:dyDescent="0.25">
      <c r="J154"/>
      <c r="N154" s="25"/>
    </row>
    <row r="155" spans="10:14" x14ac:dyDescent="0.25">
      <c r="J155"/>
      <c r="N155" s="25"/>
    </row>
    <row r="156" spans="10:14" x14ac:dyDescent="0.25">
      <c r="J156"/>
      <c r="N156" s="25"/>
    </row>
  </sheetData>
  <hyperlinks>
    <hyperlink ref="J2" r:id="rId1" display="https://drive.google.com/open?id=11tnRQI4v6bwRjQgv2LabeQUewp_vuMF9&amp;usp=drive_fs" xr:uid="{7255E805-B6C8-49B8-B794-BBBAFF782D1D}"/>
    <hyperlink ref="J19" r:id="rId2" display="https://drive.google.com/open?id=1Bv5fCXWf60r1wICxAqnegqvWFTlah_7u&amp;usp=drive_fs" xr:uid="{C05C5E81-AD7A-4AB9-B7C9-BF19A0D67387}"/>
    <hyperlink ref="J22" r:id="rId3" display="https://drive.google.com/open?id=1IaVRuGuy97bYLsBj_9nTvZ72xuYHZ5U6&amp;usp=drive_fs" xr:uid="{EC3848D7-7564-44A4-8583-FF9B4C088EE3}"/>
    <hyperlink ref="J23" r:id="rId4" display="https://drive.google.com/open?id=1IaVRuGuy97bYLsBj_9nTvZ72xuYHZ5U6&amp;usp=drive_fs" xr:uid="{C7D7858D-F5C8-46BA-B154-878B8E6BAA22}"/>
  </hyperlinks>
  <pageMargins left="0.7" right="0.7" top="0.75" bottom="0.75" header="0.3" footer="0.3"/>
  <pageSetup orientation="portrait" r:id="rId5"/>
  <drawing r:id="rId6"/>
  <tableParts count="1">
    <tablePart r:id="rId7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289"/>
  <sheetViews>
    <sheetView workbookViewId="0"/>
  </sheetViews>
  <sheetFormatPr defaultRowHeight="15" x14ac:dyDescent="0.25"/>
  <sheetData>
    <row r="1" spans="1:2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122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</row>
    <row r="2" spans="1:22" x14ac:dyDescent="0.25">
      <c r="A2">
        <v>2025</v>
      </c>
      <c r="B2">
        <v>1</v>
      </c>
      <c r="C2" t="s">
        <v>75</v>
      </c>
      <c r="D2" t="s">
        <v>22</v>
      </c>
      <c r="E2" t="s">
        <v>123</v>
      </c>
      <c r="F2" t="s">
        <v>39</v>
      </c>
      <c r="G2" t="s">
        <v>24</v>
      </c>
      <c r="H2" t="s">
        <v>26</v>
      </c>
      <c r="I2" t="s">
        <v>26</v>
      </c>
      <c r="J2" t="s">
        <v>25</v>
      </c>
      <c r="K2">
        <v>574</v>
      </c>
      <c r="L2">
        <v>15</v>
      </c>
      <c r="M2">
        <v>2</v>
      </c>
      <c r="N2">
        <v>17</v>
      </c>
      <c r="O2">
        <v>156</v>
      </c>
      <c r="P2">
        <v>103</v>
      </c>
      <c r="Q2">
        <v>102</v>
      </c>
      <c r="R2">
        <v>79</v>
      </c>
      <c r="S2">
        <v>62</v>
      </c>
      <c r="T2">
        <v>32</v>
      </c>
      <c r="U2">
        <v>8</v>
      </c>
      <c r="V2">
        <v>558</v>
      </c>
    </row>
    <row r="3" spans="1:22" x14ac:dyDescent="0.25">
      <c r="A3">
        <v>2025</v>
      </c>
      <c r="B3">
        <v>1</v>
      </c>
      <c r="C3" t="s">
        <v>75</v>
      </c>
      <c r="D3" t="s">
        <v>22</v>
      </c>
      <c r="E3" t="s">
        <v>123</v>
      </c>
      <c r="F3" t="s">
        <v>42</v>
      </c>
      <c r="G3" t="s">
        <v>24</v>
      </c>
      <c r="H3" t="s">
        <v>26</v>
      </c>
      <c r="I3" t="s">
        <v>26</v>
      </c>
      <c r="J3" t="s">
        <v>25</v>
      </c>
      <c r="K3">
        <v>113</v>
      </c>
      <c r="L3">
        <v>0</v>
      </c>
      <c r="M3">
        <v>0</v>
      </c>
      <c r="N3">
        <v>0</v>
      </c>
      <c r="O3">
        <v>24</v>
      </c>
      <c r="P3">
        <v>16</v>
      </c>
      <c r="Q3">
        <v>15</v>
      </c>
      <c r="R3">
        <v>8</v>
      </c>
      <c r="S3">
        <v>5</v>
      </c>
      <c r="T3">
        <v>3</v>
      </c>
      <c r="U3">
        <v>2</v>
      </c>
      <c r="V3">
        <v>113</v>
      </c>
    </row>
    <row r="4" spans="1:22" x14ac:dyDescent="0.25">
      <c r="A4">
        <v>2025</v>
      </c>
      <c r="B4">
        <v>1</v>
      </c>
      <c r="C4" t="s">
        <v>75</v>
      </c>
      <c r="D4" t="s">
        <v>22</v>
      </c>
      <c r="E4" t="s">
        <v>123</v>
      </c>
      <c r="F4" t="s">
        <v>27</v>
      </c>
      <c r="G4" t="s">
        <v>24</v>
      </c>
      <c r="H4" t="s">
        <v>26</v>
      </c>
      <c r="I4" t="s">
        <v>26</v>
      </c>
      <c r="J4" t="s">
        <v>25</v>
      </c>
      <c r="K4">
        <v>32</v>
      </c>
      <c r="L4">
        <v>0</v>
      </c>
      <c r="M4">
        <v>0</v>
      </c>
      <c r="N4">
        <v>0</v>
      </c>
      <c r="O4">
        <v>7</v>
      </c>
      <c r="P4">
        <v>4</v>
      </c>
      <c r="Q4">
        <v>4</v>
      </c>
      <c r="R4">
        <v>2</v>
      </c>
      <c r="S4">
        <v>2</v>
      </c>
      <c r="T4">
        <v>0</v>
      </c>
      <c r="U4">
        <v>0</v>
      </c>
      <c r="V4">
        <v>32</v>
      </c>
    </row>
    <row r="5" spans="1:22" x14ac:dyDescent="0.25">
      <c r="A5">
        <v>2025</v>
      </c>
      <c r="B5">
        <v>1</v>
      </c>
      <c r="C5" t="s">
        <v>75</v>
      </c>
      <c r="D5" t="s">
        <v>22</v>
      </c>
      <c r="E5" t="s">
        <v>61</v>
      </c>
      <c r="F5" t="s">
        <v>35</v>
      </c>
      <c r="G5" t="s">
        <v>24</v>
      </c>
      <c r="H5" t="s">
        <v>25</v>
      </c>
      <c r="I5" t="s">
        <v>26</v>
      </c>
      <c r="J5" t="s">
        <v>26</v>
      </c>
      <c r="K5">
        <v>43</v>
      </c>
      <c r="L5">
        <v>2</v>
      </c>
      <c r="M5">
        <v>0</v>
      </c>
      <c r="N5">
        <v>2</v>
      </c>
      <c r="O5">
        <v>5</v>
      </c>
      <c r="P5">
        <v>5</v>
      </c>
      <c r="Q5">
        <v>5</v>
      </c>
      <c r="R5">
        <v>5</v>
      </c>
      <c r="S5">
        <v>5</v>
      </c>
      <c r="T5">
        <v>5</v>
      </c>
      <c r="U5">
        <v>1</v>
      </c>
      <c r="V5">
        <v>37</v>
      </c>
    </row>
    <row r="6" spans="1:22" x14ac:dyDescent="0.25">
      <c r="A6">
        <v>2025</v>
      </c>
      <c r="B6">
        <v>1</v>
      </c>
      <c r="C6" t="s">
        <v>75</v>
      </c>
      <c r="D6" t="s">
        <v>22</v>
      </c>
      <c r="E6" t="s">
        <v>124</v>
      </c>
      <c r="F6" t="s">
        <v>70</v>
      </c>
      <c r="G6" t="s">
        <v>28</v>
      </c>
      <c r="H6" t="s">
        <v>26</v>
      </c>
      <c r="I6" t="s">
        <v>26</v>
      </c>
      <c r="J6" t="s">
        <v>25</v>
      </c>
      <c r="K6">
        <v>30</v>
      </c>
      <c r="L6">
        <v>0</v>
      </c>
      <c r="M6">
        <v>1</v>
      </c>
      <c r="N6">
        <v>1</v>
      </c>
      <c r="O6">
        <v>14</v>
      </c>
      <c r="P6">
        <v>11</v>
      </c>
      <c r="Q6">
        <v>11</v>
      </c>
      <c r="R6">
        <v>7</v>
      </c>
      <c r="S6">
        <v>5</v>
      </c>
      <c r="T6">
        <v>4</v>
      </c>
      <c r="U6">
        <v>1</v>
      </c>
      <c r="V6">
        <v>30</v>
      </c>
    </row>
    <row r="7" spans="1:22" x14ac:dyDescent="0.25">
      <c r="A7">
        <v>2025</v>
      </c>
      <c r="B7">
        <v>1</v>
      </c>
      <c r="C7" t="s">
        <v>75</v>
      </c>
      <c r="D7" t="s">
        <v>22</v>
      </c>
      <c r="E7" t="s">
        <v>124</v>
      </c>
      <c r="F7" t="s">
        <v>70</v>
      </c>
      <c r="G7" t="s">
        <v>24</v>
      </c>
      <c r="H7" t="s">
        <v>26</v>
      </c>
      <c r="I7" t="s">
        <v>26</v>
      </c>
      <c r="J7" t="s">
        <v>25</v>
      </c>
      <c r="K7">
        <v>952</v>
      </c>
      <c r="L7">
        <v>0</v>
      </c>
      <c r="M7">
        <v>2</v>
      </c>
      <c r="N7">
        <v>2</v>
      </c>
      <c r="O7">
        <v>201</v>
      </c>
      <c r="P7">
        <v>126</v>
      </c>
      <c r="Q7">
        <v>126</v>
      </c>
      <c r="R7">
        <v>102</v>
      </c>
      <c r="S7">
        <v>85</v>
      </c>
      <c r="T7">
        <v>47</v>
      </c>
      <c r="U7">
        <v>21</v>
      </c>
      <c r="V7">
        <v>949</v>
      </c>
    </row>
    <row r="8" spans="1:22" x14ac:dyDescent="0.25">
      <c r="A8">
        <v>2025</v>
      </c>
      <c r="B8">
        <v>1</v>
      </c>
      <c r="C8" t="s">
        <v>75</v>
      </c>
      <c r="D8" t="s">
        <v>22</v>
      </c>
      <c r="E8" t="s">
        <v>124</v>
      </c>
      <c r="F8" t="s">
        <v>70</v>
      </c>
      <c r="G8" t="s">
        <v>29</v>
      </c>
      <c r="H8" t="s">
        <v>26</v>
      </c>
      <c r="I8" t="s">
        <v>26</v>
      </c>
      <c r="J8" t="s">
        <v>25</v>
      </c>
      <c r="K8">
        <v>16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 x14ac:dyDescent="0.25">
      <c r="A9">
        <v>2025</v>
      </c>
      <c r="B9">
        <v>1</v>
      </c>
      <c r="C9" t="s">
        <v>75</v>
      </c>
      <c r="D9" t="s">
        <v>22</v>
      </c>
      <c r="E9" t="s">
        <v>72</v>
      </c>
      <c r="F9" t="s">
        <v>23</v>
      </c>
      <c r="G9" t="s">
        <v>24</v>
      </c>
      <c r="H9" t="s">
        <v>25</v>
      </c>
      <c r="I9" t="s">
        <v>26</v>
      </c>
      <c r="J9" t="s">
        <v>25</v>
      </c>
      <c r="K9">
        <v>1827</v>
      </c>
      <c r="L9">
        <v>4</v>
      </c>
      <c r="M9">
        <v>35</v>
      </c>
      <c r="N9">
        <v>39</v>
      </c>
      <c r="O9">
        <v>156</v>
      </c>
      <c r="P9">
        <v>97</v>
      </c>
      <c r="Q9">
        <v>75</v>
      </c>
      <c r="R9">
        <v>36</v>
      </c>
      <c r="S9">
        <v>15</v>
      </c>
      <c r="T9">
        <v>1</v>
      </c>
      <c r="U9">
        <v>0</v>
      </c>
      <c r="V9">
        <v>1823</v>
      </c>
    </row>
    <row r="10" spans="1:22" x14ac:dyDescent="0.25">
      <c r="A10">
        <v>2025</v>
      </c>
      <c r="B10">
        <v>1</v>
      </c>
      <c r="C10" t="s">
        <v>75</v>
      </c>
      <c r="D10" t="s">
        <v>22</v>
      </c>
      <c r="E10" t="s">
        <v>75</v>
      </c>
      <c r="F10" t="s">
        <v>39</v>
      </c>
      <c r="G10" t="s">
        <v>28</v>
      </c>
      <c r="H10" t="s">
        <v>26</v>
      </c>
      <c r="I10" t="s">
        <v>26</v>
      </c>
      <c r="J10" t="s">
        <v>25</v>
      </c>
      <c r="K10">
        <v>1</v>
      </c>
      <c r="L10">
        <v>0</v>
      </c>
      <c r="M10">
        <v>0</v>
      </c>
      <c r="N10">
        <v>0</v>
      </c>
      <c r="O10">
        <v>1</v>
      </c>
      <c r="P10">
        <v>1</v>
      </c>
      <c r="Q10">
        <v>1</v>
      </c>
      <c r="R10">
        <v>0</v>
      </c>
      <c r="S10">
        <v>0</v>
      </c>
      <c r="T10">
        <v>0</v>
      </c>
      <c r="U10">
        <v>0</v>
      </c>
      <c r="V10">
        <v>1</v>
      </c>
    </row>
    <row r="11" spans="1:22" x14ac:dyDescent="0.25">
      <c r="A11">
        <v>2025</v>
      </c>
      <c r="B11">
        <v>1</v>
      </c>
      <c r="C11" t="s">
        <v>75</v>
      </c>
      <c r="D11" t="s">
        <v>22</v>
      </c>
      <c r="E11" t="s">
        <v>75</v>
      </c>
      <c r="F11" t="s">
        <v>39</v>
      </c>
      <c r="G11" t="s">
        <v>24</v>
      </c>
      <c r="H11" t="s">
        <v>26</v>
      </c>
      <c r="I11" t="s">
        <v>26</v>
      </c>
      <c r="J11" t="s">
        <v>25</v>
      </c>
      <c r="K11">
        <v>26</v>
      </c>
      <c r="L11">
        <v>2</v>
      </c>
      <c r="M11">
        <v>0</v>
      </c>
      <c r="N11">
        <v>2</v>
      </c>
      <c r="O11">
        <v>13</v>
      </c>
      <c r="P11">
        <v>5</v>
      </c>
      <c r="Q11">
        <v>5</v>
      </c>
      <c r="R11">
        <v>4</v>
      </c>
      <c r="S11">
        <v>3</v>
      </c>
      <c r="T11">
        <v>1</v>
      </c>
      <c r="U11">
        <v>0</v>
      </c>
      <c r="V11">
        <v>24</v>
      </c>
    </row>
    <row r="12" spans="1:22" x14ac:dyDescent="0.25">
      <c r="A12">
        <v>2025</v>
      </c>
      <c r="B12">
        <v>1</v>
      </c>
      <c r="C12" t="s">
        <v>75</v>
      </c>
      <c r="D12" t="s">
        <v>22</v>
      </c>
      <c r="E12" t="s">
        <v>75</v>
      </c>
      <c r="F12" t="s">
        <v>39</v>
      </c>
      <c r="G12" t="s">
        <v>29</v>
      </c>
      <c r="H12" t="s">
        <v>26</v>
      </c>
      <c r="I12" t="s">
        <v>26</v>
      </c>
      <c r="J12" t="s">
        <v>25</v>
      </c>
      <c r="K12">
        <v>2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 x14ac:dyDescent="0.25">
      <c r="A13">
        <v>2025</v>
      </c>
      <c r="B13">
        <v>1</v>
      </c>
      <c r="C13" t="s">
        <v>75</v>
      </c>
      <c r="D13" t="s">
        <v>22</v>
      </c>
      <c r="E13" t="s">
        <v>75</v>
      </c>
      <c r="F13" t="s">
        <v>77</v>
      </c>
      <c r="G13" t="s">
        <v>28</v>
      </c>
      <c r="H13" t="s">
        <v>25</v>
      </c>
      <c r="I13" t="s">
        <v>26</v>
      </c>
      <c r="J13" t="s">
        <v>25</v>
      </c>
      <c r="K13">
        <v>1687</v>
      </c>
      <c r="L13">
        <v>22</v>
      </c>
      <c r="M13">
        <v>38</v>
      </c>
      <c r="N13">
        <v>60</v>
      </c>
      <c r="O13">
        <v>543</v>
      </c>
      <c r="P13">
        <v>367</v>
      </c>
      <c r="Q13">
        <v>367</v>
      </c>
      <c r="R13">
        <v>279</v>
      </c>
      <c r="S13">
        <v>221</v>
      </c>
      <c r="T13">
        <v>144</v>
      </c>
      <c r="U13">
        <v>63</v>
      </c>
      <c r="V13">
        <v>1652</v>
      </c>
    </row>
    <row r="14" spans="1:22" x14ac:dyDescent="0.25">
      <c r="A14">
        <v>2025</v>
      </c>
      <c r="B14">
        <v>1</v>
      </c>
      <c r="C14" t="s">
        <v>75</v>
      </c>
      <c r="D14" t="s">
        <v>22</v>
      </c>
      <c r="E14" t="s">
        <v>75</v>
      </c>
      <c r="F14" t="s">
        <v>77</v>
      </c>
      <c r="G14" t="s">
        <v>29</v>
      </c>
      <c r="H14" t="s">
        <v>25</v>
      </c>
      <c r="I14" t="s">
        <v>26</v>
      </c>
      <c r="J14" t="s">
        <v>25</v>
      </c>
      <c r="K14">
        <v>26</v>
      </c>
      <c r="L14">
        <v>3</v>
      </c>
      <c r="M14">
        <v>0</v>
      </c>
      <c r="N14">
        <v>3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 x14ac:dyDescent="0.25">
      <c r="A15">
        <v>2025</v>
      </c>
      <c r="B15">
        <v>1</v>
      </c>
      <c r="C15" t="s">
        <v>75</v>
      </c>
      <c r="D15" t="s">
        <v>22</v>
      </c>
      <c r="E15" t="s">
        <v>75</v>
      </c>
      <c r="F15" t="s">
        <v>78</v>
      </c>
      <c r="G15" t="s">
        <v>28</v>
      </c>
      <c r="H15" t="s">
        <v>25</v>
      </c>
      <c r="I15" t="s">
        <v>26</v>
      </c>
      <c r="J15" t="s">
        <v>26</v>
      </c>
      <c r="K15">
        <v>139</v>
      </c>
      <c r="L15">
        <v>5</v>
      </c>
      <c r="M15">
        <v>2</v>
      </c>
      <c r="N15">
        <v>7</v>
      </c>
      <c r="O15">
        <v>36</v>
      </c>
      <c r="P15">
        <v>27</v>
      </c>
      <c r="Q15">
        <v>27</v>
      </c>
      <c r="R15">
        <v>12</v>
      </c>
      <c r="S15">
        <v>9</v>
      </c>
      <c r="T15">
        <v>7</v>
      </c>
      <c r="U15">
        <v>3</v>
      </c>
      <c r="V15">
        <v>132</v>
      </c>
    </row>
    <row r="16" spans="1:22" x14ac:dyDescent="0.25">
      <c r="A16">
        <v>2025</v>
      </c>
      <c r="B16">
        <v>1</v>
      </c>
      <c r="C16" t="s">
        <v>75</v>
      </c>
      <c r="D16" t="s">
        <v>22</v>
      </c>
      <c r="E16" t="s">
        <v>75</v>
      </c>
      <c r="F16" t="s">
        <v>78</v>
      </c>
      <c r="G16" t="s">
        <v>29</v>
      </c>
      <c r="H16" t="s">
        <v>25</v>
      </c>
      <c r="I16" t="s">
        <v>26</v>
      </c>
      <c r="J16" t="s">
        <v>26</v>
      </c>
      <c r="K16">
        <v>87</v>
      </c>
      <c r="L16">
        <v>3</v>
      </c>
      <c r="M16">
        <v>0</v>
      </c>
      <c r="N16">
        <v>3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 x14ac:dyDescent="0.25">
      <c r="A17">
        <v>2025</v>
      </c>
      <c r="B17">
        <v>1</v>
      </c>
      <c r="C17" t="s">
        <v>75</v>
      </c>
      <c r="D17" t="s">
        <v>22</v>
      </c>
      <c r="E17" t="s">
        <v>75</v>
      </c>
      <c r="F17" t="s">
        <v>27</v>
      </c>
      <c r="G17" t="s">
        <v>28</v>
      </c>
      <c r="H17" t="s">
        <v>26</v>
      </c>
      <c r="I17" t="s">
        <v>26</v>
      </c>
      <c r="J17" t="s">
        <v>25</v>
      </c>
      <c r="K17">
        <v>10881</v>
      </c>
      <c r="L17">
        <v>27</v>
      </c>
      <c r="M17">
        <v>116</v>
      </c>
      <c r="N17">
        <v>143</v>
      </c>
      <c r="O17">
        <v>2866</v>
      </c>
      <c r="P17">
        <v>1720</v>
      </c>
      <c r="Q17">
        <v>1720</v>
      </c>
      <c r="R17">
        <v>1201</v>
      </c>
      <c r="S17">
        <v>916</v>
      </c>
      <c r="T17">
        <v>453</v>
      </c>
      <c r="U17">
        <v>179</v>
      </c>
      <c r="V17">
        <v>10824</v>
      </c>
    </row>
    <row r="18" spans="1:22" x14ac:dyDescent="0.25">
      <c r="A18">
        <v>2025</v>
      </c>
      <c r="B18">
        <v>1</v>
      </c>
      <c r="C18" t="s">
        <v>75</v>
      </c>
      <c r="D18" t="s">
        <v>22</v>
      </c>
      <c r="E18" t="s">
        <v>75</v>
      </c>
      <c r="F18" t="s">
        <v>27</v>
      </c>
      <c r="G18" t="s">
        <v>24</v>
      </c>
      <c r="H18" t="s">
        <v>26</v>
      </c>
      <c r="I18" t="s">
        <v>26</v>
      </c>
      <c r="J18" t="s">
        <v>25</v>
      </c>
      <c r="K18">
        <v>670</v>
      </c>
      <c r="L18">
        <v>0</v>
      </c>
      <c r="M18">
        <v>2</v>
      </c>
      <c r="N18">
        <v>2</v>
      </c>
      <c r="O18">
        <v>277</v>
      </c>
      <c r="P18">
        <v>152</v>
      </c>
      <c r="Q18">
        <v>152</v>
      </c>
      <c r="R18">
        <v>112</v>
      </c>
      <c r="S18">
        <v>76</v>
      </c>
      <c r="T18">
        <v>33</v>
      </c>
      <c r="U18">
        <v>12</v>
      </c>
      <c r="V18">
        <v>669</v>
      </c>
    </row>
    <row r="19" spans="1:22" x14ac:dyDescent="0.25">
      <c r="A19">
        <v>2025</v>
      </c>
      <c r="B19">
        <v>1</v>
      </c>
      <c r="C19" t="s">
        <v>75</v>
      </c>
      <c r="D19" t="s">
        <v>22</v>
      </c>
      <c r="E19" t="s">
        <v>75</v>
      </c>
      <c r="F19" t="s">
        <v>27</v>
      </c>
      <c r="G19" t="s">
        <v>29</v>
      </c>
      <c r="H19" t="s">
        <v>26</v>
      </c>
      <c r="I19" t="s">
        <v>26</v>
      </c>
      <c r="J19" t="s">
        <v>25</v>
      </c>
      <c r="K19">
        <v>684</v>
      </c>
      <c r="L19">
        <v>4</v>
      </c>
      <c r="M19">
        <v>0</v>
      </c>
      <c r="N19">
        <v>4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 x14ac:dyDescent="0.25">
      <c r="A20">
        <v>2025</v>
      </c>
      <c r="B20">
        <v>1</v>
      </c>
      <c r="C20" t="s">
        <v>75</v>
      </c>
      <c r="D20" t="s">
        <v>22</v>
      </c>
      <c r="E20" t="s">
        <v>80</v>
      </c>
      <c r="F20" t="s">
        <v>76</v>
      </c>
      <c r="G20" t="s">
        <v>28</v>
      </c>
      <c r="H20" t="s">
        <v>25</v>
      </c>
      <c r="I20" t="s">
        <v>26</v>
      </c>
      <c r="J20" t="s">
        <v>25</v>
      </c>
      <c r="K20">
        <v>2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2</v>
      </c>
    </row>
    <row r="21" spans="1:22" x14ac:dyDescent="0.25">
      <c r="A21">
        <v>2025</v>
      </c>
      <c r="B21">
        <v>2</v>
      </c>
      <c r="C21" t="s">
        <v>75</v>
      </c>
      <c r="D21" t="s">
        <v>22</v>
      </c>
      <c r="E21" t="s">
        <v>123</v>
      </c>
      <c r="F21" t="s">
        <v>39</v>
      </c>
      <c r="G21" t="s">
        <v>24</v>
      </c>
      <c r="H21" t="s">
        <v>26</v>
      </c>
      <c r="I21" t="s">
        <v>26</v>
      </c>
      <c r="J21" t="s">
        <v>25</v>
      </c>
      <c r="K21">
        <v>557</v>
      </c>
      <c r="L21">
        <v>8</v>
      </c>
      <c r="M21">
        <v>2</v>
      </c>
      <c r="N21">
        <v>10</v>
      </c>
      <c r="O21">
        <v>192</v>
      </c>
      <c r="P21">
        <v>116</v>
      </c>
      <c r="Q21">
        <v>109</v>
      </c>
      <c r="R21">
        <v>73</v>
      </c>
      <c r="S21">
        <v>55</v>
      </c>
      <c r="T21">
        <v>21</v>
      </c>
      <c r="U21">
        <v>9</v>
      </c>
      <c r="V21">
        <v>549</v>
      </c>
    </row>
    <row r="22" spans="1:22" x14ac:dyDescent="0.25">
      <c r="A22">
        <v>2025</v>
      </c>
      <c r="B22">
        <v>2</v>
      </c>
      <c r="C22" t="s">
        <v>75</v>
      </c>
      <c r="D22" t="s">
        <v>22</v>
      </c>
      <c r="E22" t="s">
        <v>123</v>
      </c>
      <c r="F22" t="s">
        <v>42</v>
      </c>
      <c r="G22" t="s">
        <v>24</v>
      </c>
      <c r="H22" t="s">
        <v>26</v>
      </c>
      <c r="I22" t="s">
        <v>26</v>
      </c>
      <c r="J22" t="s">
        <v>25</v>
      </c>
      <c r="K22">
        <v>27</v>
      </c>
      <c r="L22">
        <v>0</v>
      </c>
      <c r="M22">
        <v>0</v>
      </c>
      <c r="N22">
        <v>0</v>
      </c>
      <c r="O22">
        <v>6</v>
      </c>
      <c r="P22">
        <v>3</v>
      </c>
      <c r="Q22">
        <v>3</v>
      </c>
      <c r="R22">
        <v>0</v>
      </c>
      <c r="S22">
        <v>0</v>
      </c>
      <c r="T22">
        <v>0</v>
      </c>
      <c r="U22">
        <v>0</v>
      </c>
      <c r="V22">
        <v>27</v>
      </c>
    </row>
    <row r="23" spans="1:22" x14ac:dyDescent="0.25">
      <c r="A23">
        <v>2025</v>
      </c>
      <c r="B23">
        <v>2</v>
      </c>
      <c r="C23" t="s">
        <v>75</v>
      </c>
      <c r="D23" t="s">
        <v>22</v>
      </c>
      <c r="E23" t="s">
        <v>123</v>
      </c>
      <c r="F23" t="s">
        <v>27</v>
      </c>
      <c r="G23" t="s">
        <v>24</v>
      </c>
      <c r="H23" t="s">
        <v>26</v>
      </c>
      <c r="I23" t="s">
        <v>26</v>
      </c>
      <c r="J23" t="s">
        <v>25</v>
      </c>
      <c r="K23">
        <v>46</v>
      </c>
      <c r="L23">
        <v>0</v>
      </c>
      <c r="M23">
        <v>0</v>
      </c>
      <c r="N23">
        <v>0</v>
      </c>
      <c r="O23">
        <v>10</v>
      </c>
      <c r="P23">
        <v>8</v>
      </c>
      <c r="Q23">
        <v>8</v>
      </c>
      <c r="R23">
        <v>6</v>
      </c>
      <c r="S23">
        <v>4</v>
      </c>
      <c r="T23">
        <v>0</v>
      </c>
      <c r="U23">
        <v>0</v>
      </c>
      <c r="V23">
        <v>46</v>
      </c>
    </row>
    <row r="24" spans="1:22" x14ac:dyDescent="0.25">
      <c r="A24">
        <v>2025</v>
      </c>
      <c r="B24">
        <v>2</v>
      </c>
      <c r="C24" t="s">
        <v>75</v>
      </c>
      <c r="D24" t="s">
        <v>22</v>
      </c>
      <c r="E24" t="s">
        <v>61</v>
      </c>
      <c r="F24" t="s">
        <v>35</v>
      </c>
      <c r="G24" t="s">
        <v>24</v>
      </c>
      <c r="H24" t="s">
        <v>25</v>
      </c>
      <c r="I24" t="s">
        <v>26</v>
      </c>
      <c r="J24" t="s">
        <v>26</v>
      </c>
      <c r="K24">
        <v>42</v>
      </c>
      <c r="L24">
        <v>0</v>
      </c>
      <c r="M24">
        <v>0</v>
      </c>
      <c r="N24">
        <v>0</v>
      </c>
      <c r="O24">
        <v>6</v>
      </c>
      <c r="P24">
        <v>6</v>
      </c>
      <c r="Q24">
        <v>6</v>
      </c>
      <c r="R24">
        <v>6</v>
      </c>
      <c r="S24">
        <v>4</v>
      </c>
      <c r="T24">
        <v>4</v>
      </c>
      <c r="U24">
        <v>4</v>
      </c>
      <c r="V24">
        <v>42</v>
      </c>
    </row>
    <row r="25" spans="1:22" x14ac:dyDescent="0.25">
      <c r="A25">
        <v>2025</v>
      </c>
      <c r="B25">
        <v>2</v>
      </c>
      <c r="C25" t="s">
        <v>75</v>
      </c>
      <c r="D25" t="s">
        <v>22</v>
      </c>
      <c r="E25" t="s">
        <v>124</v>
      </c>
      <c r="F25" t="s">
        <v>70</v>
      </c>
      <c r="G25" t="s">
        <v>24</v>
      </c>
      <c r="H25" t="s">
        <v>26</v>
      </c>
      <c r="I25" t="s">
        <v>26</v>
      </c>
      <c r="J25" t="s">
        <v>25</v>
      </c>
      <c r="K25">
        <v>972</v>
      </c>
      <c r="L25">
        <v>0</v>
      </c>
      <c r="M25">
        <v>2</v>
      </c>
      <c r="N25">
        <v>2</v>
      </c>
      <c r="O25">
        <v>156</v>
      </c>
      <c r="P25">
        <v>96</v>
      </c>
      <c r="Q25">
        <v>96</v>
      </c>
      <c r="R25">
        <v>67</v>
      </c>
      <c r="S25">
        <v>49</v>
      </c>
      <c r="T25">
        <v>30</v>
      </c>
      <c r="U25">
        <v>11</v>
      </c>
      <c r="V25">
        <v>972</v>
      </c>
    </row>
    <row r="26" spans="1:22" x14ac:dyDescent="0.25">
      <c r="A26">
        <v>2025</v>
      </c>
      <c r="B26">
        <v>2</v>
      </c>
      <c r="C26" t="s">
        <v>75</v>
      </c>
      <c r="D26" t="s">
        <v>22</v>
      </c>
      <c r="E26" t="s">
        <v>124</v>
      </c>
      <c r="F26" t="s">
        <v>70</v>
      </c>
      <c r="G26" t="s">
        <v>29</v>
      </c>
      <c r="H26" t="s">
        <v>26</v>
      </c>
      <c r="I26" t="s">
        <v>26</v>
      </c>
      <c r="J26" t="s">
        <v>25</v>
      </c>
      <c r="K26">
        <v>23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 x14ac:dyDescent="0.25">
      <c r="A27">
        <v>2025</v>
      </c>
      <c r="B27">
        <v>2</v>
      </c>
      <c r="C27" t="s">
        <v>75</v>
      </c>
      <c r="D27" t="s">
        <v>22</v>
      </c>
      <c r="E27" t="s">
        <v>72</v>
      </c>
      <c r="F27" t="s">
        <v>23</v>
      </c>
      <c r="G27" t="s">
        <v>24</v>
      </c>
      <c r="H27" t="s">
        <v>25</v>
      </c>
      <c r="I27" t="s">
        <v>26</v>
      </c>
      <c r="J27" t="s">
        <v>25</v>
      </c>
      <c r="K27">
        <v>1506</v>
      </c>
      <c r="L27">
        <v>7</v>
      </c>
      <c r="M27">
        <v>36</v>
      </c>
      <c r="N27">
        <v>43</v>
      </c>
      <c r="O27">
        <v>184</v>
      </c>
      <c r="P27">
        <v>134</v>
      </c>
      <c r="Q27">
        <v>114</v>
      </c>
      <c r="R27">
        <v>49</v>
      </c>
      <c r="S27">
        <v>18</v>
      </c>
      <c r="T27">
        <v>2</v>
      </c>
      <c r="U27">
        <v>0</v>
      </c>
      <c r="V27">
        <v>1499</v>
      </c>
    </row>
    <row r="28" spans="1:22" x14ac:dyDescent="0.25">
      <c r="A28">
        <v>2025</v>
      </c>
      <c r="B28">
        <v>2</v>
      </c>
      <c r="C28" t="s">
        <v>75</v>
      </c>
      <c r="D28" t="s">
        <v>22</v>
      </c>
      <c r="E28" t="s">
        <v>75</v>
      </c>
      <c r="F28" t="s">
        <v>39</v>
      </c>
      <c r="G28" t="s">
        <v>24</v>
      </c>
      <c r="H28" t="s">
        <v>26</v>
      </c>
      <c r="I28" t="s">
        <v>26</v>
      </c>
      <c r="J28" t="s">
        <v>25</v>
      </c>
      <c r="K28">
        <v>47</v>
      </c>
      <c r="L28">
        <v>1</v>
      </c>
      <c r="M28">
        <v>0</v>
      </c>
      <c r="N28">
        <v>1</v>
      </c>
      <c r="O28">
        <v>5</v>
      </c>
      <c r="P28">
        <v>5</v>
      </c>
      <c r="Q28">
        <v>5</v>
      </c>
      <c r="R28">
        <v>3</v>
      </c>
      <c r="S28">
        <v>2</v>
      </c>
      <c r="T28">
        <v>1</v>
      </c>
      <c r="U28">
        <v>0</v>
      </c>
      <c r="V28">
        <v>46</v>
      </c>
    </row>
    <row r="29" spans="1:22" x14ac:dyDescent="0.25">
      <c r="A29">
        <v>2025</v>
      </c>
      <c r="B29">
        <v>2</v>
      </c>
      <c r="C29" t="s">
        <v>75</v>
      </c>
      <c r="D29" t="s">
        <v>22</v>
      </c>
      <c r="E29" t="s">
        <v>75</v>
      </c>
      <c r="F29" t="s">
        <v>39</v>
      </c>
      <c r="G29" t="s">
        <v>29</v>
      </c>
      <c r="H29" t="s">
        <v>26</v>
      </c>
      <c r="I29" t="s">
        <v>26</v>
      </c>
      <c r="J29" t="s">
        <v>25</v>
      </c>
      <c r="K29">
        <v>3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 x14ac:dyDescent="0.25">
      <c r="A30">
        <v>2025</v>
      </c>
      <c r="B30">
        <v>2</v>
      </c>
      <c r="C30" t="s">
        <v>75</v>
      </c>
      <c r="D30" t="s">
        <v>22</v>
      </c>
      <c r="E30" t="s">
        <v>75</v>
      </c>
      <c r="F30" t="s">
        <v>77</v>
      </c>
      <c r="G30" t="s">
        <v>28</v>
      </c>
      <c r="H30" t="s">
        <v>25</v>
      </c>
      <c r="I30" t="s">
        <v>26</v>
      </c>
      <c r="J30" t="s">
        <v>25</v>
      </c>
      <c r="K30">
        <v>1424</v>
      </c>
      <c r="L30">
        <v>6</v>
      </c>
      <c r="M30">
        <v>13</v>
      </c>
      <c r="N30">
        <v>19</v>
      </c>
      <c r="O30">
        <v>415</v>
      </c>
      <c r="P30">
        <v>248</v>
      </c>
      <c r="Q30">
        <v>248</v>
      </c>
      <c r="R30">
        <v>182</v>
      </c>
      <c r="S30">
        <v>146</v>
      </c>
      <c r="T30">
        <v>82</v>
      </c>
      <c r="U30">
        <v>34</v>
      </c>
      <c r="V30">
        <v>1414</v>
      </c>
    </row>
    <row r="31" spans="1:22" x14ac:dyDescent="0.25">
      <c r="A31">
        <v>2025</v>
      </c>
      <c r="B31">
        <v>2</v>
      </c>
      <c r="C31" t="s">
        <v>75</v>
      </c>
      <c r="D31" t="s">
        <v>22</v>
      </c>
      <c r="E31" t="s">
        <v>75</v>
      </c>
      <c r="F31" t="s">
        <v>77</v>
      </c>
      <c r="G31" t="s">
        <v>29</v>
      </c>
      <c r="H31" t="s">
        <v>25</v>
      </c>
      <c r="I31" t="s">
        <v>26</v>
      </c>
      <c r="J31" t="s">
        <v>25</v>
      </c>
      <c r="K31">
        <v>15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 x14ac:dyDescent="0.25">
      <c r="A32">
        <v>2025</v>
      </c>
      <c r="B32">
        <v>2</v>
      </c>
      <c r="C32" t="s">
        <v>75</v>
      </c>
      <c r="D32" t="s">
        <v>22</v>
      </c>
      <c r="E32" t="s">
        <v>75</v>
      </c>
      <c r="F32" t="s">
        <v>78</v>
      </c>
      <c r="G32" t="s">
        <v>28</v>
      </c>
      <c r="H32" t="s">
        <v>25</v>
      </c>
      <c r="I32" t="s">
        <v>26</v>
      </c>
      <c r="J32" t="s">
        <v>26</v>
      </c>
      <c r="K32">
        <v>121</v>
      </c>
      <c r="L32">
        <v>0</v>
      </c>
      <c r="M32">
        <v>0</v>
      </c>
      <c r="N32">
        <v>0</v>
      </c>
      <c r="O32">
        <v>44</v>
      </c>
      <c r="P32">
        <v>27</v>
      </c>
      <c r="Q32">
        <v>27</v>
      </c>
      <c r="R32">
        <v>16</v>
      </c>
      <c r="S32">
        <v>11</v>
      </c>
      <c r="T32">
        <v>7</v>
      </c>
      <c r="U32">
        <v>1</v>
      </c>
      <c r="V32">
        <v>121</v>
      </c>
    </row>
    <row r="33" spans="1:22" x14ac:dyDescent="0.25">
      <c r="A33">
        <v>2025</v>
      </c>
      <c r="B33">
        <v>2</v>
      </c>
      <c r="C33" t="s">
        <v>75</v>
      </c>
      <c r="D33" t="s">
        <v>22</v>
      </c>
      <c r="E33" t="s">
        <v>75</v>
      </c>
      <c r="F33" t="s">
        <v>78</v>
      </c>
      <c r="G33" t="s">
        <v>29</v>
      </c>
      <c r="H33" t="s">
        <v>25</v>
      </c>
      <c r="I33" t="s">
        <v>26</v>
      </c>
      <c r="J33" t="s">
        <v>26</v>
      </c>
      <c r="K33">
        <v>77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 x14ac:dyDescent="0.25">
      <c r="A34">
        <v>2025</v>
      </c>
      <c r="B34">
        <v>2</v>
      </c>
      <c r="C34" t="s">
        <v>75</v>
      </c>
      <c r="D34" t="s">
        <v>22</v>
      </c>
      <c r="E34" t="s">
        <v>75</v>
      </c>
      <c r="F34" t="s">
        <v>42</v>
      </c>
      <c r="G34" t="s">
        <v>28</v>
      </c>
      <c r="H34" t="s">
        <v>26</v>
      </c>
      <c r="I34" t="s">
        <v>26</v>
      </c>
      <c r="J34" t="s">
        <v>25</v>
      </c>
      <c r="K34">
        <v>1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1</v>
      </c>
    </row>
    <row r="35" spans="1:22" x14ac:dyDescent="0.25">
      <c r="A35">
        <v>2025</v>
      </c>
      <c r="B35">
        <v>2</v>
      </c>
      <c r="C35" t="s">
        <v>75</v>
      </c>
      <c r="D35" t="s">
        <v>22</v>
      </c>
      <c r="E35" t="s">
        <v>75</v>
      </c>
      <c r="F35" t="s">
        <v>42</v>
      </c>
      <c r="G35" t="s">
        <v>24</v>
      </c>
      <c r="H35" t="s">
        <v>26</v>
      </c>
      <c r="I35" t="s">
        <v>26</v>
      </c>
      <c r="J35" t="s">
        <v>25</v>
      </c>
      <c r="K35">
        <v>1</v>
      </c>
      <c r="L35">
        <v>1</v>
      </c>
      <c r="M35">
        <v>0</v>
      </c>
      <c r="N35">
        <v>1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 x14ac:dyDescent="0.25">
      <c r="A36">
        <v>2025</v>
      </c>
      <c r="B36">
        <v>2</v>
      </c>
      <c r="C36" t="s">
        <v>75</v>
      </c>
      <c r="D36" t="s">
        <v>22</v>
      </c>
      <c r="E36" t="s">
        <v>75</v>
      </c>
      <c r="F36" t="s">
        <v>27</v>
      </c>
      <c r="G36" t="s">
        <v>28</v>
      </c>
      <c r="H36" t="s">
        <v>26</v>
      </c>
      <c r="I36" t="s">
        <v>26</v>
      </c>
      <c r="J36" t="s">
        <v>25</v>
      </c>
      <c r="K36">
        <v>11305</v>
      </c>
      <c r="L36">
        <v>30</v>
      </c>
      <c r="M36">
        <v>141</v>
      </c>
      <c r="N36">
        <v>171</v>
      </c>
      <c r="O36">
        <v>2723</v>
      </c>
      <c r="P36">
        <v>1556</v>
      </c>
      <c r="Q36">
        <v>1556</v>
      </c>
      <c r="R36">
        <v>1036</v>
      </c>
      <c r="S36">
        <v>754</v>
      </c>
      <c r="T36">
        <v>333</v>
      </c>
      <c r="U36">
        <v>134</v>
      </c>
      <c r="V36">
        <v>11241</v>
      </c>
    </row>
    <row r="37" spans="1:22" x14ac:dyDescent="0.25">
      <c r="A37">
        <v>2025</v>
      </c>
      <c r="B37">
        <v>2</v>
      </c>
      <c r="C37" t="s">
        <v>75</v>
      </c>
      <c r="D37" t="s">
        <v>22</v>
      </c>
      <c r="E37" t="s">
        <v>75</v>
      </c>
      <c r="F37" t="s">
        <v>27</v>
      </c>
      <c r="G37" t="s">
        <v>24</v>
      </c>
      <c r="H37" t="s">
        <v>26</v>
      </c>
      <c r="I37" t="s">
        <v>26</v>
      </c>
      <c r="J37" t="s">
        <v>25</v>
      </c>
      <c r="K37">
        <v>752</v>
      </c>
      <c r="L37">
        <v>0</v>
      </c>
      <c r="M37">
        <v>2</v>
      </c>
      <c r="N37">
        <v>2</v>
      </c>
      <c r="O37">
        <v>310</v>
      </c>
      <c r="P37">
        <v>193</v>
      </c>
      <c r="Q37">
        <v>193</v>
      </c>
      <c r="R37">
        <v>149</v>
      </c>
      <c r="S37">
        <v>90</v>
      </c>
      <c r="T37">
        <v>38</v>
      </c>
      <c r="U37">
        <v>11</v>
      </c>
      <c r="V37">
        <v>752</v>
      </c>
    </row>
    <row r="38" spans="1:22" x14ac:dyDescent="0.25">
      <c r="A38">
        <v>2025</v>
      </c>
      <c r="B38">
        <v>2</v>
      </c>
      <c r="C38" t="s">
        <v>75</v>
      </c>
      <c r="D38" t="s">
        <v>22</v>
      </c>
      <c r="E38" t="s">
        <v>75</v>
      </c>
      <c r="F38" t="s">
        <v>27</v>
      </c>
      <c r="G38" t="s">
        <v>29</v>
      </c>
      <c r="H38" t="s">
        <v>26</v>
      </c>
      <c r="I38" t="s">
        <v>26</v>
      </c>
      <c r="J38" t="s">
        <v>25</v>
      </c>
      <c r="K38">
        <v>917</v>
      </c>
      <c r="L38">
        <v>4</v>
      </c>
      <c r="M38">
        <v>0</v>
      </c>
      <c r="N38">
        <v>4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 x14ac:dyDescent="0.25">
      <c r="A39">
        <v>2025</v>
      </c>
      <c r="B39">
        <v>3</v>
      </c>
      <c r="C39" t="s">
        <v>75</v>
      </c>
      <c r="D39" t="s">
        <v>22</v>
      </c>
      <c r="E39" t="s">
        <v>123</v>
      </c>
      <c r="F39" t="s">
        <v>39</v>
      </c>
      <c r="G39" t="s">
        <v>24</v>
      </c>
      <c r="H39" t="s">
        <v>26</v>
      </c>
      <c r="I39" t="s">
        <v>26</v>
      </c>
      <c r="J39" t="s">
        <v>25</v>
      </c>
      <c r="K39">
        <v>649</v>
      </c>
      <c r="L39">
        <v>3</v>
      </c>
      <c r="M39">
        <v>12</v>
      </c>
      <c r="N39">
        <v>15</v>
      </c>
      <c r="O39">
        <v>229</v>
      </c>
      <c r="P39">
        <v>138</v>
      </c>
      <c r="Q39">
        <v>133</v>
      </c>
      <c r="R39">
        <v>101</v>
      </c>
      <c r="S39">
        <v>73</v>
      </c>
      <c r="T39">
        <v>39</v>
      </c>
      <c r="U39">
        <v>16</v>
      </c>
      <c r="V39">
        <v>641</v>
      </c>
    </row>
    <row r="40" spans="1:22" x14ac:dyDescent="0.25">
      <c r="A40">
        <v>2025</v>
      </c>
      <c r="B40">
        <v>3</v>
      </c>
      <c r="C40" t="s">
        <v>75</v>
      </c>
      <c r="D40" t="s">
        <v>22</v>
      </c>
      <c r="E40" t="s">
        <v>123</v>
      </c>
      <c r="F40" t="s">
        <v>42</v>
      </c>
      <c r="G40" t="s">
        <v>24</v>
      </c>
      <c r="H40" t="s">
        <v>26</v>
      </c>
      <c r="I40" t="s">
        <v>26</v>
      </c>
      <c r="J40" t="s">
        <v>25</v>
      </c>
      <c r="K40">
        <v>39</v>
      </c>
      <c r="L40">
        <v>2</v>
      </c>
      <c r="M40">
        <v>0</v>
      </c>
      <c r="N40">
        <v>2</v>
      </c>
      <c r="O40">
        <v>18</v>
      </c>
      <c r="P40">
        <v>10</v>
      </c>
      <c r="Q40">
        <v>9</v>
      </c>
      <c r="R40">
        <v>5</v>
      </c>
      <c r="S40">
        <v>2</v>
      </c>
      <c r="T40">
        <v>0</v>
      </c>
      <c r="U40">
        <v>0</v>
      </c>
      <c r="V40">
        <v>37</v>
      </c>
    </row>
    <row r="41" spans="1:22" x14ac:dyDescent="0.25">
      <c r="A41">
        <v>2025</v>
      </c>
      <c r="B41">
        <v>3</v>
      </c>
      <c r="C41" t="s">
        <v>75</v>
      </c>
      <c r="D41" t="s">
        <v>22</v>
      </c>
      <c r="E41" t="s">
        <v>123</v>
      </c>
      <c r="F41" t="s">
        <v>27</v>
      </c>
      <c r="G41" t="s">
        <v>24</v>
      </c>
      <c r="H41" t="s">
        <v>26</v>
      </c>
      <c r="I41" t="s">
        <v>26</v>
      </c>
      <c r="J41" t="s">
        <v>25</v>
      </c>
      <c r="K41">
        <v>54</v>
      </c>
      <c r="L41">
        <v>0</v>
      </c>
      <c r="M41">
        <v>0</v>
      </c>
      <c r="N41">
        <v>0</v>
      </c>
      <c r="O41">
        <v>11</v>
      </c>
      <c r="P41">
        <v>9</v>
      </c>
      <c r="Q41">
        <v>9</v>
      </c>
      <c r="R41">
        <v>6</v>
      </c>
      <c r="S41">
        <v>3</v>
      </c>
      <c r="T41">
        <v>1</v>
      </c>
      <c r="U41">
        <v>0</v>
      </c>
      <c r="V41">
        <v>54</v>
      </c>
    </row>
    <row r="42" spans="1:22" x14ac:dyDescent="0.25">
      <c r="A42">
        <v>2025</v>
      </c>
      <c r="B42">
        <v>3</v>
      </c>
      <c r="C42" t="s">
        <v>75</v>
      </c>
      <c r="D42" t="s">
        <v>22</v>
      </c>
      <c r="E42" t="s">
        <v>61</v>
      </c>
      <c r="F42" t="s">
        <v>35</v>
      </c>
      <c r="G42" t="s">
        <v>24</v>
      </c>
      <c r="H42" t="s">
        <v>25</v>
      </c>
      <c r="I42" t="s">
        <v>26</v>
      </c>
      <c r="J42" t="s">
        <v>26</v>
      </c>
      <c r="K42">
        <v>46</v>
      </c>
      <c r="L42">
        <v>3</v>
      </c>
      <c r="M42">
        <v>0</v>
      </c>
      <c r="N42">
        <v>3</v>
      </c>
      <c r="O42">
        <v>2</v>
      </c>
      <c r="P42">
        <v>2</v>
      </c>
      <c r="Q42">
        <v>2</v>
      </c>
      <c r="R42">
        <v>2</v>
      </c>
      <c r="S42">
        <v>2</v>
      </c>
      <c r="T42">
        <v>0</v>
      </c>
      <c r="U42">
        <v>0</v>
      </c>
      <c r="V42">
        <v>43</v>
      </c>
    </row>
    <row r="43" spans="1:22" x14ac:dyDescent="0.25">
      <c r="A43">
        <v>2025</v>
      </c>
      <c r="B43">
        <v>3</v>
      </c>
      <c r="C43" t="s">
        <v>75</v>
      </c>
      <c r="D43" t="s">
        <v>22</v>
      </c>
      <c r="E43" t="s">
        <v>124</v>
      </c>
      <c r="F43" t="s">
        <v>70</v>
      </c>
      <c r="G43" t="s">
        <v>28</v>
      </c>
      <c r="H43" t="s">
        <v>26</v>
      </c>
      <c r="I43" t="s">
        <v>26</v>
      </c>
      <c r="J43" t="s">
        <v>25</v>
      </c>
      <c r="K43">
        <v>2</v>
      </c>
      <c r="L43">
        <v>0</v>
      </c>
      <c r="M43">
        <v>0</v>
      </c>
      <c r="N43">
        <v>0</v>
      </c>
      <c r="O43">
        <v>1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2</v>
      </c>
    </row>
    <row r="44" spans="1:22" x14ac:dyDescent="0.25">
      <c r="A44">
        <v>2025</v>
      </c>
      <c r="B44">
        <v>3</v>
      </c>
      <c r="C44" t="s">
        <v>75</v>
      </c>
      <c r="D44" t="s">
        <v>22</v>
      </c>
      <c r="E44" t="s">
        <v>124</v>
      </c>
      <c r="F44" t="s">
        <v>70</v>
      </c>
      <c r="G44" t="s">
        <v>24</v>
      </c>
      <c r="H44" t="s">
        <v>26</v>
      </c>
      <c r="I44" t="s">
        <v>26</v>
      </c>
      <c r="J44" t="s">
        <v>25</v>
      </c>
      <c r="K44">
        <v>1012</v>
      </c>
      <c r="L44">
        <v>0</v>
      </c>
      <c r="M44">
        <v>1</v>
      </c>
      <c r="N44">
        <v>1</v>
      </c>
      <c r="O44">
        <v>185</v>
      </c>
      <c r="P44">
        <v>111</v>
      </c>
      <c r="Q44">
        <v>111</v>
      </c>
      <c r="R44">
        <v>86</v>
      </c>
      <c r="S44">
        <v>70</v>
      </c>
      <c r="T44">
        <v>42</v>
      </c>
      <c r="U44">
        <v>16</v>
      </c>
      <c r="V44">
        <v>1012</v>
      </c>
    </row>
    <row r="45" spans="1:22" x14ac:dyDescent="0.25">
      <c r="A45">
        <v>2025</v>
      </c>
      <c r="B45">
        <v>3</v>
      </c>
      <c r="C45" t="s">
        <v>75</v>
      </c>
      <c r="D45" t="s">
        <v>22</v>
      </c>
      <c r="E45" t="s">
        <v>124</v>
      </c>
      <c r="F45" t="s">
        <v>70</v>
      </c>
      <c r="G45" t="s">
        <v>29</v>
      </c>
      <c r="H45" t="s">
        <v>26</v>
      </c>
      <c r="I45" t="s">
        <v>26</v>
      </c>
      <c r="J45" t="s">
        <v>25</v>
      </c>
      <c r="K45">
        <v>12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 x14ac:dyDescent="0.25">
      <c r="A46">
        <v>2025</v>
      </c>
      <c r="B46">
        <v>3</v>
      </c>
      <c r="C46" t="s">
        <v>75</v>
      </c>
      <c r="D46" t="s">
        <v>22</v>
      </c>
      <c r="E46" t="s">
        <v>72</v>
      </c>
      <c r="F46" t="s">
        <v>23</v>
      </c>
      <c r="G46" t="s">
        <v>24</v>
      </c>
      <c r="H46" t="s">
        <v>25</v>
      </c>
      <c r="I46" t="s">
        <v>26</v>
      </c>
      <c r="J46" t="s">
        <v>25</v>
      </c>
      <c r="K46">
        <v>1574</v>
      </c>
      <c r="L46">
        <v>2</v>
      </c>
      <c r="M46">
        <v>14</v>
      </c>
      <c r="N46">
        <v>16</v>
      </c>
      <c r="O46">
        <v>103</v>
      </c>
      <c r="P46">
        <v>62</v>
      </c>
      <c r="Q46">
        <v>47</v>
      </c>
      <c r="R46">
        <v>15</v>
      </c>
      <c r="S46">
        <v>9</v>
      </c>
      <c r="T46">
        <v>1</v>
      </c>
      <c r="U46">
        <v>0</v>
      </c>
      <c r="V46">
        <v>1572</v>
      </c>
    </row>
    <row r="47" spans="1:22" x14ac:dyDescent="0.25">
      <c r="A47">
        <v>2025</v>
      </c>
      <c r="B47">
        <v>3</v>
      </c>
      <c r="C47" t="s">
        <v>75</v>
      </c>
      <c r="D47" t="s">
        <v>22</v>
      </c>
      <c r="E47" t="s">
        <v>75</v>
      </c>
      <c r="F47" t="s">
        <v>39</v>
      </c>
      <c r="G47" t="s">
        <v>24</v>
      </c>
      <c r="H47" t="s">
        <v>26</v>
      </c>
      <c r="I47" t="s">
        <v>26</v>
      </c>
      <c r="J47" t="s">
        <v>25</v>
      </c>
      <c r="K47">
        <v>44</v>
      </c>
      <c r="L47">
        <v>2</v>
      </c>
      <c r="M47">
        <v>0</v>
      </c>
      <c r="N47">
        <v>2</v>
      </c>
      <c r="O47">
        <v>3</v>
      </c>
      <c r="P47">
        <v>1</v>
      </c>
      <c r="Q47">
        <v>1</v>
      </c>
      <c r="R47">
        <v>0</v>
      </c>
      <c r="S47">
        <v>0</v>
      </c>
      <c r="T47">
        <v>0</v>
      </c>
      <c r="U47">
        <v>0</v>
      </c>
      <c r="V47">
        <v>42</v>
      </c>
    </row>
    <row r="48" spans="1:22" x14ac:dyDescent="0.25">
      <c r="A48">
        <v>2025</v>
      </c>
      <c r="B48">
        <v>3</v>
      </c>
      <c r="C48" t="s">
        <v>75</v>
      </c>
      <c r="D48" t="s">
        <v>22</v>
      </c>
      <c r="E48" t="s">
        <v>75</v>
      </c>
      <c r="F48" t="s">
        <v>39</v>
      </c>
      <c r="G48" t="s">
        <v>29</v>
      </c>
      <c r="H48" t="s">
        <v>26</v>
      </c>
      <c r="I48" t="s">
        <v>26</v>
      </c>
      <c r="J48" t="s">
        <v>25</v>
      </c>
      <c r="K48">
        <v>2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 x14ac:dyDescent="0.25">
      <c r="A49">
        <v>2025</v>
      </c>
      <c r="B49">
        <v>3</v>
      </c>
      <c r="C49" t="s">
        <v>75</v>
      </c>
      <c r="D49" t="s">
        <v>22</v>
      </c>
      <c r="E49" t="s">
        <v>75</v>
      </c>
      <c r="F49" t="s">
        <v>77</v>
      </c>
      <c r="G49" t="s">
        <v>28</v>
      </c>
      <c r="H49" t="s">
        <v>25</v>
      </c>
      <c r="I49" t="s">
        <v>26</v>
      </c>
      <c r="J49" t="s">
        <v>25</v>
      </c>
      <c r="K49">
        <v>2122</v>
      </c>
      <c r="L49">
        <v>11</v>
      </c>
      <c r="M49">
        <v>14</v>
      </c>
      <c r="N49">
        <v>25</v>
      </c>
      <c r="O49">
        <v>565</v>
      </c>
      <c r="P49">
        <v>358</v>
      </c>
      <c r="Q49">
        <v>358</v>
      </c>
      <c r="R49">
        <v>257</v>
      </c>
      <c r="S49">
        <v>209</v>
      </c>
      <c r="T49">
        <v>125</v>
      </c>
      <c r="U49">
        <v>56</v>
      </c>
      <c r="V49">
        <v>2107</v>
      </c>
    </row>
    <row r="50" spans="1:22" x14ac:dyDescent="0.25">
      <c r="A50">
        <v>2025</v>
      </c>
      <c r="B50">
        <v>3</v>
      </c>
      <c r="C50" t="s">
        <v>75</v>
      </c>
      <c r="D50" t="s">
        <v>22</v>
      </c>
      <c r="E50" t="s">
        <v>75</v>
      </c>
      <c r="F50" t="s">
        <v>77</v>
      </c>
      <c r="G50" t="s">
        <v>29</v>
      </c>
      <c r="H50" t="s">
        <v>25</v>
      </c>
      <c r="I50" t="s">
        <v>26</v>
      </c>
      <c r="J50" t="s">
        <v>25</v>
      </c>
      <c r="K50">
        <v>27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 x14ac:dyDescent="0.25">
      <c r="A51">
        <v>2025</v>
      </c>
      <c r="B51">
        <v>3</v>
      </c>
      <c r="C51" t="s">
        <v>75</v>
      </c>
      <c r="D51" t="s">
        <v>22</v>
      </c>
      <c r="E51" t="s">
        <v>75</v>
      </c>
      <c r="F51" t="s">
        <v>78</v>
      </c>
      <c r="G51" t="s">
        <v>28</v>
      </c>
      <c r="H51" t="s">
        <v>25</v>
      </c>
      <c r="I51" t="s">
        <v>26</v>
      </c>
      <c r="J51" t="s">
        <v>26</v>
      </c>
      <c r="K51">
        <v>133</v>
      </c>
      <c r="L51">
        <v>2</v>
      </c>
      <c r="M51">
        <v>2</v>
      </c>
      <c r="N51">
        <v>4</v>
      </c>
      <c r="O51">
        <v>39</v>
      </c>
      <c r="P51">
        <v>29</v>
      </c>
      <c r="Q51">
        <v>29</v>
      </c>
      <c r="R51">
        <v>18</v>
      </c>
      <c r="S51">
        <v>14</v>
      </c>
      <c r="T51">
        <v>5</v>
      </c>
      <c r="U51">
        <v>2</v>
      </c>
      <c r="V51">
        <v>129</v>
      </c>
    </row>
    <row r="52" spans="1:22" x14ac:dyDescent="0.25">
      <c r="A52">
        <v>2025</v>
      </c>
      <c r="B52">
        <v>3</v>
      </c>
      <c r="C52" t="s">
        <v>75</v>
      </c>
      <c r="D52" t="s">
        <v>22</v>
      </c>
      <c r="E52" t="s">
        <v>75</v>
      </c>
      <c r="F52" t="s">
        <v>78</v>
      </c>
      <c r="G52" t="s">
        <v>29</v>
      </c>
      <c r="H52" t="s">
        <v>25</v>
      </c>
      <c r="I52" t="s">
        <v>26</v>
      </c>
      <c r="J52" t="s">
        <v>26</v>
      </c>
      <c r="K52">
        <v>81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 x14ac:dyDescent="0.25">
      <c r="A53">
        <v>2025</v>
      </c>
      <c r="B53">
        <v>3</v>
      </c>
      <c r="C53" t="s">
        <v>75</v>
      </c>
      <c r="D53" t="s">
        <v>22</v>
      </c>
      <c r="E53" t="s">
        <v>75</v>
      </c>
      <c r="F53" t="s">
        <v>27</v>
      </c>
      <c r="G53" t="s">
        <v>28</v>
      </c>
      <c r="H53" t="s">
        <v>26</v>
      </c>
      <c r="I53" t="s">
        <v>26</v>
      </c>
      <c r="J53" t="s">
        <v>25</v>
      </c>
      <c r="K53">
        <v>13880</v>
      </c>
      <c r="L53">
        <v>29</v>
      </c>
      <c r="M53">
        <v>102</v>
      </c>
      <c r="N53">
        <v>131</v>
      </c>
      <c r="O53">
        <v>2914</v>
      </c>
      <c r="P53">
        <v>1621</v>
      </c>
      <c r="Q53">
        <v>1620</v>
      </c>
      <c r="R53">
        <v>1124</v>
      </c>
      <c r="S53">
        <v>885</v>
      </c>
      <c r="T53">
        <v>421</v>
      </c>
      <c r="U53">
        <v>168</v>
      </c>
      <c r="V53">
        <v>13815</v>
      </c>
    </row>
    <row r="54" spans="1:22" x14ac:dyDescent="0.25">
      <c r="A54">
        <v>2025</v>
      </c>
      <c r="B54">
        <v>3</v>
      </c>
      <c r="C54" t="s">
        <v>75</v>
      </c>
      <c r="D54" t="s">
        <v>22</v>
      </c>
      <c r="E54" t="s">
        <v>75</v>
      </c>
      <c r="F54" t="s">
        <v>27</v>
      </c>
      <c r="G54" t="s">
        <v>24</v>
      </c>
      <c r="H54" t="s">
        <v>26</v>
      </c>
      <c r="I54" t="s">
        <v>26</v>
      </c>
      <c r="J54" t="s">
        <v>25</v>
      </c>
      <c r="K54">
        <v>859</v>
      </c>
      <c r="L54">
        <v>0</v>
      </c>
      <c r="M54">
        <v>6</v>
      </c>
      <c r="N54">
        <v>6</v>
      </c>
      <c r="O54">
        <v>310</v>
      </c>
      <c r="P54">
        <v>172</v>
      </c>
      <c r="Q54">
        <v>172</v>
      </c>
      <c r="R54">
        <v>137</v>
      </c>
      <c r="S54">
        <v>96</v>
      </c>
      <c r="T54">
        <v>47</v>
      </c>
      <c r="U54">
        <v>15</v>
      </c>
      <c r="V54">
        <v>859</v>
      </c>
    </row>
    <row r="55" spans="1:22" x14ac:dyDescent="0.25">
      <c r="A55">
        <v>2025</v>
      </c>
      <c r="B55">
        <v>3</v>
      </c>
      <c r="C55" t="s">
        <v>75</v>
      </c>
      <c r="D55" t="s">
        <v>22</v>
      </c>
      <c r="E55" t="s">
        <v>75</v>
      </c>
      <c r="F55" t="s">
        <v>27</v>
      </c>
      <c r="G55" t="s">
        <v>29</v>
      </c>
      <c r="H55" t="s">
        <v>26</v>
      </c>
      <c r="I55" t="s">
        <v>26</v>
      </c>
      <c r="J55" t="s">
        <v>25</v>
      </c>
      <c r="K55">
        <v>1069</v>
      </c>
      <c r="L55">
        <v>7</v>
      </c>
      <c r="M55">
        <v>0</v>
      </c>
      <c r="N55">
        <v>7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 x14ac:dyDescent="0.25">
      <c r="A56">
        <v>2025</v>
      </c>
      <c r="B56">
        <v>4</v>
      </c>
      <c r="C56" t="s">
        <v>75</v>
      </c>
      <c r="D56" t="s">
        <v>22</v>
      </c>
      <c r="E56" t="s">
        <v>123</v>
      </c>
      <c r="F56" t="s">
        <v>39</v>
      </c>
      <c r="G56" t="s">
        <v>24</v>
      </c>
      <c r="H56" t="s">
        <v>26</v>
      </c>
      <c r="I56" t="s">
        <v>26</v>
      </c>
      <c r="J56" t="s">
        <v>25</v>
      </c>
      <c r="K56">
        <v>579</v>
      </c>
      <c r="L56">
        <v>2</v>
      </c>
      <c r="M56">
        <v>4</v>
      </c>
      <c r="N56">
        <v>6</v>
      </c>
      <c r="O56">
        <v>197</v>
      </c>
      <c r="P56">
        <v>129</v>
      </c>
      <c r="Q56">
        <v>124</v>
      </c>
      <c r="R56">
        <v>75</v>
      </c>
      <c r="S56">
        <v>53</v>
      </c>
      <c r="T56">
        <v>27</v>
      </c>
      <c r="U56">
        <v>8</v>
      </c>
      <c r="V56">
        <v>575</v>
      </c>
    </row>
    <row r="57" spans="1:22" x14ac:dyDescent="0.25">
      <c r="A57">
        <v>2025</v>
      </c>
      <c r="B57">
        <v>4</v>
      </c>
      <c r="C57" t="s">
        <v>75</v>
      </c>
      <c r="D57" t="s">
        <v>22</v>
      </c>
      <c r="E57" t="s">
        <v>123</v>
      </c>
      <c r="F57" t="s">
        <v>42</v>
      </c>
      <c r="G57" t="s">
        <v>24</v>
      </c>
      <c r="H57" t="s">
        <v>26</v>
      </c>
      <c r="I57" t="s">
        <v>26</v>
      </c>
      <c r="J57" t="s">
        <v>25</v>
      </c>
      <c r="K57">
        <v>31</v>
      </c>
      <c r="L57">
        <v>1</v>
      </c>
      <c r="M57">
        <v>0</v>
      </c>
      <c r="N57">
        <v>1</v>
      </c>
      <c r="O57">
        <v>16</v>
      </c>
      <c r="P57">
        <v>15</v>
      </c>
      <c r="Q57">
        <v>14</v>
      </c>
      <c r="R57">
        <v>9</v>
      </c>
      <c r="S57">
        <v>6</v>
      </c>
      <c r="T57">
        <v>3</v>
      </c>
      <c r="U57">
        <v>2</v>
      </c>
      <c r="V57">
        <v>30</v>
      </c>
    </row>
    <row r="58" spans="1:22" x14ac:dyDescent="0.25">
      <c r="A58">
        <v>2025</v>
      </c>
      <c r="B58">
        <v>4</v>
      </c>
      <c r="C58" t="s">
        <v>75</v>
      </c>
      <c r="D58" t="s">
        <v>22</v>
      </c>
      <c r="E58" t="s">
        <v>123</v>
      </c>
      <c r="F58" t="s">
        <v>27</v>
      </c>
      <c r="G58" t="s">
        <v>24</v>
      </c>
      <c r="H58" t="s">
        <v>26</v>
      </c>
      <c r="I58" t="s">
        <v>26</v>
      </c>
      <c r="J58" t="s">
        <v>25</v>
      </c>
      <c r="K58">
        <v>33</v>
      </c>
      <c r="L58">
        <v>0</v>
      </c>
      <c r="M58">
        <v>0</v>
      </c>
      <c r="N58">
        <v>0</v>
      </c>
      <c r="O58">
        <v>9</v>
      </c>
      <c r="P58">
        <v>5</v>
      </c>
      <c r="Q58">
        <v>5</v>
      </c>
      <c r="R58">
        <v>0</v>
      </c>
      <c r="S58">
        <v>0</v>
      </c>
      <c r="T58">
        <v>0</v>
      </c>
      <c r="U58">
        <v>0</v>
      </c>
      <c r="V58">
        <v>33</v>
      </c>
    </row>
    <row r="59" spans="1:22" x14ac:dyDescent="0.25">
      <c r="A59">
        <v>2025</v>
      </c>
      <c r="B59">
        <v>4</v>
      </c>
      <c r="C59" t="s">
        <v>75</v>
      </c>
      <c r="D59" t="s">
        <v>22</v>
      </c>
      <c r="E59" t="s">
        <v>61</v>
      </c>
      <c r="F59" t="s">
        <v>35</v>
      </c>
      <c r="G59" t="s">
        <v>24</v>
      </c>
      <c r="H59" t="s">
        <v>25</v>
      </c>
      <c r="I59" t="s">
        <v>26</v>
      </c>
      <c r="J59" t="s">
        <v>26</v>
      </c>
      <c r="K59">
        <v>10</v>
      </c>
      <c r="L59">
        <v>1</v>
      </c>
      <c r="M59">
        <v>0</v>
      </c>
      <c r="N59">
        <v>1</v>
      </c>
      <c r="O59">
        <v>4</v>
      </c>
      <c r="P59">
        <v>4</v>
      </c>
      <c r="Q59">
        <v>4</v>
      </c>
      <c r="R59">
        <v>4</v>
      </c>
      <c r="S59">
        <v>4</v>
      </c>
      <c r="T59">
        <v>4</v>
      </c>
      <c r="U59">
        <v>2</v>
      </c>
      <c r="V59">
        <v>9</v>
      </c>
    </row>
    <row r="60" spans="1:22" x14ac:dyDescent="0.25">
      <c r="A60">
        <v>2025</v>
      </c>
      <c r="B60">
        <v>4</v>
      </c>
      <c r="C60" t="s">
        <v>75</v>
      </c>
      <c r="D60" t="s">
        <v>22</v>
      </c>
      <c r="E60" t="s">
        <v>124</v>
      </c>
      <c r="F60" t="s">
        <v>70</v>
      </c>
      <c r="G60" t="s">
        <v>28</v>
      </c>
      <c r="H60" t="s">
        <v>26</v>
      </c>
      <c r="I60" t="s">
        <v>26</v>
      </c>
      <c r="J60" t="s">
        <v>25</v>
      </c>
      <c r="K60">
        <v>8</v>
      </c>
      <c r="L60">
        <v>0</v>
      </c>
      <c r="M60">
        <v>0</v>
      </c>
      <c r="N60">
        <v>0</v>
      </c>
      <c r="O60">
        <v>1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8</v>
      </c>
    </row>
    <row r="61" spans="1:22" x14ac:dyDescent="0.25">
      <c r="A61">
        <v>2025</v>
      </c>
      <c r="B61">
        <v>4</v>
      </c>
      <c r="C61" t="s">
        <v>75</v>
      </c>
      <c r="D61" t="s">
        <v>22</v>
      </c>
      <c r="E61" t="s">
        <v>124</v>
      </c>
      <c r="F61" t="s">
        <v>70</v>
      </c>
      <c r="G61" t="s">
        <v>24</v>
      </c>
      <c r="H61" t="s">
        <v>26</v>
      </c>
      <c r="I61" t="s">
        <v>26</v>
      </c>
      <c r="J61" t="s">
        <v>25</v>
      </c>
      <c r="K61">
        <v>1027</v>
      </c>
      <c r="L61">
        <v>0</v>
      </c>
      <c r="M61">
        <v>1</v>
      </c>
      <c r="N61">
        <v>1</v>
      </c>
      <c r="O61">
        <v>143</v>
      </c>
      <c r="P61">
        <v>72</v>
      </c>
      <c r="Q61">
        <v>72</v>
      </c>
      <c r="R61">
        <v>50</v>
      </c>
      <c r="S61">
        <v>37</v>
      </c>
      <c r="T61">
        <v>19</v>
      </c>
      <c r="U61">
        <v>5</v>
      </c>
      <c r="V61">
        <v>1027</v>
      </c>
    </row>
    <row r="62" spans="1:22" x14ac:dyDescent="0.25">
      <c r="A62">
        <v>2025</v>
      </c>
      <c r="B62">
        <v>4</v>
      </c>
      <c r="C62" t="s">
        <v>75</v>
      </c>
      <c r="D62" t="s">
        <v>22</v>
      </c>
      <c r="E62" t="s">
        <v>124</v>
      </c>
      <c r="F62" t="s">
        <v>70</v>
      </c>
      <c r="G62" t="s">
        <v>29</v>
      </c>
      <c r="H62" t="s">
        <v>26</v>
      </c>
      <c r="I62" t="s">
        <v>26</v>
      </c>
      <c r="J62" t="s">
        <v>25</v>
      </c>
      <c r="K62">
        <v>20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</row>
    <row r="63" spans="1:22" x14ac:dyDescent="0.25">
      <c r="A63">
        <v>2025</v>
      </c>
      <c r="B63">
        <v>4</v>
      </c>
      <c r="C63" t="s">
        <v>75</v>
      </c>
      <c r="D63" t="s">
        <v>22</v>
      </c>
      <c r="E63" t="s">
        <v>72</v>
      </c>
      <c r="F63" t="s">
        <v>23</v>
      </c>
      <c r="G63" t="s">
        <v>24</v>
      </c>
      <c r="H63" t="s">
        <v>25</v>
      </c>
      <c r="I63" t="s">
        <v>26</v>
      </c>
      <c r="J63" t="s">
        <v>25</v>
      </c>
      <c r="K63">
        <v>1149</v>
      </c>
      <c r="L63">
        <v>2</v>
      </c>
      <c r="M63">
        <v>5</v>
      </c>
      <c r="N63">
        <v>7</v>
      </c>
      <c r="O63">
        <v>65</v>
      </c>
      <c r="P63">
        <v>36</v>
      </c>
      <c r="Q63">
        <v>25</v>
      </c>
      <c r="R63">
        <v>15</v>
      </c>
      <c r="S63">
        <v>9</v>
      </c>
      <c r="T63">
        <v>1</v>
      </c>
      <c r="U63">
        <v>0</v>
      </c>
      <c r="V63">
        <v>1147</v>
      </c>
    </row>
    <row r="64" spans="1:22" x14ac:dyDescent="0.25">
      <c r="A64">
        <v>2025</v>
      </c>
      <c r="B64">
        <v>4</v>
      </c>
      <c r="C64" t="s">
        <v>75</v>
      </c>
      <c r="D64" t="s">
        <v>22</v>
      </c>
      <c r="E64" t="s">
        <v>75</v>
      </c>
      <c r="F64" t="s">
        <v>39</v>
      </c>
      <c r="G64" t="s">
        <v>28</v>
      </c>
      <c r="H64" t="s">
        <v>26</v>
      </c>
      <c r="I64" t="s">
        <v>26</v>
      </c>
      <c r="J64" t="s">
        <v>25</v>
      </c>
      <c r="K64">
        <v>2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2</v>
      </c>
    </row>
    <row r="65" spans="1:22" x14ac:dyDescent="0.25">
      <c r="A65">
        <v>2025</v>
      </c>
      <c r="B65">
        <v>4</v>
      </c>
      <c r="C65" t="s">
        <v>75</v>
      </c>
      <c r="D65" t="s">
        <v>22</v>
      </c>
      <c r="E65" t="s">
        <v>75</v>
      </c>
      <c r="F65" t="s">
        <v>39</v>
      </c>
      <c r="G65" t="s">
        <v>24</v>
      </c>
      <c r="H65" t="s">
        <v>26</v>
      </c>
      <c r="I65" t="s">
        <v>26</v>
      </c>
      <c r="J65" t="s">
        <v>25</v>
      </c>
      <c r="K65">
        <v>77</v>
      </c>
      <c r="L65">
        <v>1</v>
      </c>
      <c r="M65">
        <v>1</v>
      </c>
      <c r="N65">
        <v>2</v>
      </c>
      <c r="O65">
        <v>35</v>
      </c>
      <c r="P65">
        <v>23</v>
      </c>
      <c r="Q65">
        <v>22</v>
      </c>
      <c r="R65">
        <v>15</v>
      </c>
      <c r="S65">
        <v>12</v>
      </c>
      <c r="T65">
        <v>4</v>
      </c>
      <c r="U65">
        <v>3</v>
      </c>
      <c r="V65">
        <v>75</v>
      </c>
    </row>
    <row r="66" spans="1:22" x14ac:dyDescent="0.25">
      <c r="A66">
        <v>2025</v>
      </c>
      <c r="B66">
        <v>4</v>
      </c>
      <c r="C66" t="s">
        <v>75</v>
      </c>
      <c r="D66" t="s">
        <v>22</v>
      </c>
      <c r="E66" t="s">
        <v>75</v>
      </c>
      <c r="F66" t="s">
        <v>39</v>
      </c>
      <c r="G66" t="s">
        <v>29</v>
      </c>
      <c r="H66" t="s">
        <v>26</v>
      </c>
      <c r="I66" t="s">
        <v>26</v>
      </c>
      <c r="J66" t="s">
        <v>25</v>
      </c>
      <c r="K66">
        <v>5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</row>
    <row r="67" spans="1:22" x14ac:dyDescent="0.25">
      <c r="A67">
        <v>2025</v>
      </c>
      <c r="B67">
        <v>4</v>
      </c>
      <c r="C67" t="s">
        <v>75</v>
      </c>
      <c r="D67" t="s">
        <v>22</v>
      </c>
      <c r="E67" t="s">
        <v>75</v>
      </c>
      <c r="F67" t="s">
        <v>77</v>
      </c>
      <c r="G67" t="s">
        <v>28</v>
      </c>
      <c r="H67" t="s">
        <v>25</v>
      </c>
      <c r="I67" t="s">
        <v>26</v>
      </c>
      <c r="J67" t="s">
        <v>25</v>
      </c>
      <c r="K67">
        <v>2021</v>
      </c>
      <c r="L67">
        <v>10</v>
      </c>
      <c r="M67">
        <v>18</v>
      </c>
      <c r="N67">
        <v>28</v>
      </c>
      <c r="O67">
        <v>623</v>
      </c>
      <c r="P67">
        <v>394</v>
      </c>
      <c r="Q67">
        <v>393</v>
      </c>
      <c r="R67">
        <v>288</v>
      </c>
      <c r="S67">
        <v>236</v>
      </c>
      <c r="T67">
        <v>135</v>
      </c>
      <c r="U67">
        <v>47</v>
      </c>
      <c r="V67">
        <v>2003</v>
      </c>
    </row>
    <row r="68" spans="1:22" x14ac:dyDescent="0.25">
      <c r="A68">
        <v>2025</v>
      </c>
      <c r="B68">
        <v>4</v>
      </c>
      <c r="C68" t="s">
        <v>75</v>
      </c>
      <c r="D68" t="s">
        <v>22</v>
      </c>
      <c r="E68" t="s">
        <v>75</v>
      </c>
      <c r="F68" t="s">
        <v>77</v>
      </c>
      <c r="G68" t="s">
        <v>29</v>
      </c>
      <c r="H68" t="s">
        <v>25</v>
      </c>
      <c r="I68" t="s">
        <v>26</v>
      </c>
      <c r="J68" t="s">
        <v>25</v>
      </c>
      <c r="K68">
        <v>27</v>
      </c>
      <c r="L68">
        <v>1</v>
      </c>
      <c r="M68">
        <v>0</v>
      </c>
      <c r="N68">
        <v>1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</row>
    <row r="69" spans="1:22" x14ac:dyDescent="0.25">
      <c r="A69">
        <v>2025</v>
      </c>
      <c r="B69">
        <v>4</v>
      </c>
      <c r="C69" t="s">
        <v>75</v>
      </c>
      <c r="D69" t="s">
        <v>22</v>
      </c>
      <c r="E69" t="s">
        <v>75</v>
      </c>
      <c r="F69" t="s">
        <v>78</v>
      </c>
      <c r="G69" t="s">
        <v>28</v>
      </c>
      <c r="H69" t="s">
        <v>25</v>
      </c>
      <c r="I69" t="s">
        <v>26</v>
      </c>
      <c r="J69" t="s">
        <v>26</v>
      </c>
      <c r="K69">
        <v>141</v>
      </c>
      <c r="L69">
        <v>0</v>
      </c>
      <c r="M69">
        <v>2</v>
      </c>
      <c r="N69">
        <v>2</v>
      </c>
      <c r="O69">
        <v>50</v>
      </c>
      <c r="P69">
        <v>29</v>
      </c>
      <c r="Q69">
        <v>29</v>
      </c>
      <c r="R69">
        <v>21</v>
      </c>
      <c r="S69">
        <v>18</v>
      </c>
      <c r="T69">
        <v>11</v>
      </c>
      <c r="U69">
        <v>6</v>
      </c>
      <c r="V69">
        <v>140</v>
      </c>
    </row>
    <row r="70" spans="1:22" x14ac:dyDescent="0.25">
      <c r="A70">
        <v>2025</v>
      </c>
      <c r="B70">
        <v>4</v>
      </c>
      <c r="C70" t="s">
        <v>75</v>
      </c>
      <c r="D70" t="s">
        <v>22</v>
      </c>
      <c r="E70" t="s">
        <v>75</v>
      </c>
      <c r="F70" t="s">
        <v>78</v>
      </c>
      <c r="G70" t="s">
        <v>29</v>
      </c>
      <c r="H70" t="s">
        <v>25</v>
      </c>
      <c r="I70" t="s">
        <v>26</v>
      </c>
      <c r="J70" t="s">
        <v>26</v>
      </c>
      <c r="K70">
        <v>107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</row>
    <row r="71" spans="1:22" x14ac:dyDescent="0.25">
      <c r="A71">
        <v>2025</v>
      </c>
      <c r="B71">
        <v>4</v>
      </c>
      <c r="C71" t="s">
        <v>75</v>
      </c>
      <c r="D71" t="s">
        <v>22</v>
      </c>
      <c r="E71" t="s">
        <v>75</v>
      </c>
      <c r="F71" t="s">
        <v>42</v>
      </c>
      <c r="G71" t="s">
        <v>29</v>
      </c>
      <c r="H71" t="s">
        <v>26</v>
      </c>
      <c r="I71" t="s">
        <v>26</v>
      </c>
      <c r="J71" t="s">
        <v>25</v>
      </c>
      <c r="K71">
        <v>1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</row>
    <row r="72" spans="1:22" x14ac:dyDescent="0.25">
      <c r="A72">
        <v>2025</v>
      </c>
      <c r="B72">
        <v>4</v>
      </c>
      <c r="C72" t="s">
        <v>75</v>
      </c>
      <c r="D72" t="s">
        <v>22</v>
      </c>
      <c r="E72" t="s">
        <v>75</v>
      </c>
      <c r="F72" t="s">
        <v>27</v>
      </c>
      <c r="G72" t="s">
        <v>28</v>
      </c>
      <c r="H72" t="s">
        <v>26</v>
      </c>
      <c r="I72" t="s">
        <v>26</v>
      </c>
      <c r="J72" t="s">
        <v>25</v>
      </c>
      <c r="K72">
        <v>13974</v>
      </c>
      <c r="L72">
        <v>14</v>
      </c>
      <c r="M72">
        <v>96</v>
      </c>
      <c r="N72">
        <v>110</v>
      </c>
      <c r="O72">
        <v>3154</v>
      </c>
      <c r="P72">
        <v>1723</v>
      </c>
      <c r="Q72">
        <v>1723</v>
      </c>
      <c r="R72">
        <v>1092</v>
      </c>
      <c r="S72">
        <v>768</v>
      </c>
      <c r="T72">
        <v>342</v>
      </c>
      <c r="U72">
        <v>109</v>
      </c>
      <c r="V72">
        <v>13941</v>
      </c>
    </row>
    <row r="73" spans="1:22" x14ac:dyDescent="0.25">
      <c r="A73">
        <v>2025</v>
      </c>
      <c r="B73">
        <v>4</v>
      </c>
      <c r="C73" t="s">
        <v>75</v>
      </c>
      <c r="D73" t="s">
        <v>22</v>
      </c>
      <c r="E73" t="s">
        <v>75</v>
      </c>
      <c r="F73" t="s">
        <v>27</v>
      </c>
      <c r="G73" t="s">
        <v>24</v>
      </c>
      <c r="H73" t="s">
        <v>26</v>
      </c>
      <c r="I73" t="s">
        <v>26</v>
      </c>
      <c r="J73" t="s">
        <v>25</v>
      </c>
      <c r="K73">
        <v>947</v>
      </c>
      <c r="L73">
        <v>15</v>
      </c>
      <c r="M73">
        <v>7</v>
      </c>
      <c r="N73">
        <v>22</v>
      </c>
      <c r="O73">
        <v>370</v>
      </c>
      <c r="P73">
        <v>221</v>
      </c>
      <c r="Q73">
        <v>221</v>
      </c>
      <c r="R73">
        <v>166</v>
      </c>
      <c r="S73">
        <v>123</v>
      </c>
      <c r="T73">
        <v>58</v>
      </c>
      <c r="U73">
        <v>18</v>
      </c>
      <c r="V73">
        <v>930</v>
      </c>
    </row>
    <row r="74" spans="1:22" x14ac:dyDescent="0.25">
      <c r="A74">
        <v>2025</v>
      </c>
      <c r="B74">
        <v>4</v>
      </c>
      <c r="C74" t="s">
        <v>75</v>
      </c>
      <c r="D74" t="s">
        <v>22</v>
      </c>
      <c r="E74" t="s">
        <v>75</v>
      </c>
      <c r="F74" t="s">
        <v>27</v>
      </c>
      <c r="G74" t="s">
        <v>29</v>
      </c>
      <c r="H74" t="s">
        <v>26</v>
      </c>
      <c r="I74" t="s">
        <v>26</v>
      </c>
      <c r="J74" t="s">
        <v>25</v>
      </c>
      <c r="K74">
        <v>1090</v>
      </c>
      <c r="L74">
        <v>3</v>
      </c>
      <c r="M74">
        <v>0</v>
      </c>
      <c r="N74">
        <v>3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</row>
    <row r="75" spans="1:22" x14ac:dyDescent="0.25">
      <c r="A75">
        <v>2025</v>
      </c>
      <c r="B75">
        <v>5</v>
      </c>
      <c r="C75" t="s">
        <v>75</v>
      </c>
      <c r="D75" t="s">
        <v>22</v>
      </c>
      <c r="E75" t="s">
        <v>123</v>
      </c>
      <c r="F75" t="s">
        <v>39</v>
      </c>
      <c r="G75" t="s">
        <v>28</v>
      </c>
      <c r="H75" t="s">
        <v>26</v>
      </c>
      <c r="I75" t="s">
        <v>26</v>
      </c>
      <c r="J75" t="s">
        <v>25</v>
      </c>
      <c r="K75">
        <v>1</v>
      </c>
      <c r="L75">
        <v>0</v>
      </c>
      <c r="M75">
        <v>0</v>
      </c>
      <c r="N75">
        <v>0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1</v>
      </c>
      <c r="V75">
        <v>1</v>
      </c>
    </row>
    <row r="76" spans="1:22" x14ac:dyDescent="0.25">
      <c r="A76">
        <v>2025</v>
      </c>
      <c r="B76">
        <v>5</v>
      </c>
      <c r="C76" t="s">
        <v>75</v>
      </c>
      <c r="D76" t="s">
        <v>22</v>
      </c>
      <c r="E76" t="s">
        <v>123</v>
      </c>
      <c r="F76" t="s">
        <v>39</v>
      </c>
      <c r="G76" t="s">
        <v>24</v>
      </c>
      <c r="H76" t="s">
        <v>26</v>
      </c>
      <c r="I76" t="s">
        <v>26</v>
      </c>
      <c r="J76" t="s">
        <v>25</v>
      </c>
      <c r="K76">
        <v>653</v>
      </c>
      <c r="L76">
        <v>3</v>
      </c>
      <c r="M76">
        <v>2</v>
      </c>
      <c r="N76">
        <v>5</v>
      </c>
      <c r="O76">
        <v>229</v>
      </c>
      <c r="P76">
        <v>159</v>
      </c>
      <c r="Q76">
        <v>151</v>
      </c>
      <c r="R76">
        <v>109</v>
      </c>
      <c r="S76">
        <v>76</v>
      </c>
      <c r="T76">
        <v>30</v>
      </c>
      <c r="U76">
        <v>8</v>
      </c>
      <c r="V76">
        <v>648</v>
      </c>
    </row>
    <row r="77" spans="1:22" x14ac:dyDescent="0.25">
      <c r="A77">
        <v>2025</v>
      </c>
      <c r="B77">
        <v>5</v>
      </c>
      <c r="C77" t="s">
        <v>75</v>
      </c>
      <c r="D77" t="s">
        <v>22</v>
      </c>
      <c r="E77" t="s">
        <v>123</v>
      </c>
      <c r="F77" t="s">
        <v>42</v>
      </c>
      <c r="G77" t="s">
        <v>24</v>
      </c>
      <c r="H77" t="s">
        <v>26</v>
      </c>
      <c r="I77" t="s">
        <v>26</v>
      </c>
      <c r="J77" t="s">
        <v>25</v>
      </c>
      <c r="K77">
        <v>21</v>
      </c>
      <c r="L77">
        <v>1</v>
      </c>
      <c r="M77">
        <v>0</v>
      </c>
      <c r="N77">
        <v>1</v>
      </c>
      <c r="O77">
        <v>11</v>
      </c>
      <c r="P77">
        <v>10</v>
      </c>
      <c r="Q77">
        <v>10</v>
      </c>
      <c r="R77">
        <v>9</v>
      </c>
      <c r="S77">
        <v>7</v>
      </c>
      <c r="T77">
        <v>4</v>
      </c>
      <c r="U77">
        <v>1</v>
      </c>
      <c r="V77">
        <v>20</v>
      </c>
    </row>
    <row r="78" spans="1:22" x14ac:dyDescent="0.25">
      <c r="A78">
        <v>2025</v>
      </c>
      <c r="B78">
        <v>5</v>
      </c>
      <c r="C78" t="s">
        <v>75</v>
      </c>
      <c r="D78" t="s">
        <v>22</v>
      </c>
      <c r="E78" t="s">
        <v>123</v>
      </c>
      <c r="F78" t="s">
        <v>27</v>
      </c>
      <c r="G78" t="s">
        <v>24</v>
      </c>
      <c r="H78" t="s">
        <v>26</v>
      </c>
      <c r="I78" t="s">
        <v>26</v>
      </c>
      <c r="J78" t="s">
        <v>25</v>
      </c>
      <c r="K78">
        <v>56</v>
      </c>
      <c r="L78">
        <v>0</v>
      </c>
      <c r="M78">
        <v>0</v>
      </c>
      <c r="N78">
        <v>0</v>
      </c>
      <c r="O78">
        <v>15</v>
      </c>
      <c r="P78">
        <v>12</v>
      </c>
      <c r="Q78">
        <v>12</v>
      </c>
      <c r="R78">
        <v>8</v>
      </c>
      <c r="S78">
        <v>6</v>
      </c>
      <c r="T78">
        <v>2</v>
      </c>
      <c r="U78">
        <v>0</v>
      </c>
      <c r="V78">
        <v>56</v>
      </c>
    </row>
    <row r="79" spans="1:22" x14ac:dyDescent="0.25">
      <c r="A79">
        <v>2025</v>
      </c>
      <c r="B79">
        <v>5</v>
      </c>
      <c r="C79" t="s">
        <v>75</v>
      </c>
      <c r="D79" t="s">
        <v>22</v>
      </c>
      <c r="E79" t="s">
        <v>61</v>
      </c>
      <c r="F79" t="s">
        <v>35</v>
      </c>
      <c r="G79" t="s">
        <v>24</v>
      </c>
      <c r="H79" t="s">
        <v>25</v>
      </c>
      <c r="I79" t="s">
        <v>26</v>
      </c>
      <c r="J79" t="s">
        <v>26</v>
      </c>
      <c r="K79">
        <v>13</v>
      </c>
      <c r="L79">
        <v>2</v>
      </c>
      <c r="M79">
        <v>0</v>
      </c>
      <c r="N79">
        <v>2</v>
      </c>
      <c r="O79">
        <v>6</v>
      </c>
      <c r="P79">
        <v>4</v>
      </c>
      <c r="Q79">
        <v>4</v>
      </c>
      <c r="R79">
        <v>4</v>
      </c>
      <c r="S79">
        <v>4</v>
      </c>
      <c r="T79">
        <v>2</v>
      </c>
      <c r="U79">
        <v>0</v>
      </c>
      <c r="V79">
        <v>11</v>
      </c>
    </row>
    <row r="80" spans="1:22" x14ac:dyDescent="0.25">
      <c r="A80">
        <v>2025</v>
      </c>
      <c r="B80">
        <v>5</v>
      </c>
      <c r="C80" t="s">
        <v>75</v>
      </c>
      <c r="D80" t="s">
        <v>22</v>
      </c>
      <c r="E80" t="s">
        <v>124</v>
      </c>
      <c r="F80" t="s">
        <v>70</v>
      </c>
      <c r="G80" t="s">
        <v>24</v>
      </c>
      <c r="H80" t="s">
        <v>26</v>
      </c>
      <c r="I80" t="s">
        <v>26</v>
      </c>
      <c r="J80" t="s">
        <v>25</v>
      </c>
      <c r="K80">
        <v>1039</v>
      </c>
      <c r="L80">
        <v>0</v>
      </c>
      <c r="M80">
        <v>4</v>
      </c>
      <c r="N80">
        <v>4</v>
      </c>
      <c r="O80">
        <v>147</v>
      </c>
      <c r="P80">
        <v>80</v>
      </c>
      <c r="Q80">
        <v>80</v>
      </c>
      <c r="R80">
        <v>52</v>
      </c>
      <c r="S80">
        <v>41</v>
      </c>
      <c r="T80">
        <v>22</v>
      </c>
      <c r="U80">
        <v>10</v>
      </c>
      <c r="V80">
        <v>1039</v>
      </c>
    </row>
    <row r="81" spans="1:22" x14ac:dyDescent="0.25">
      <c r="A81">
        <v>2025</v>
      </c>
      <c r="B81">
        <v>5</v>
      </c>
      <c r="C81" t="s">
        <v>75</v>
      </c>
      <c r="D81" t="s">
        <v>22</v>
      </c>
      <c r="E81" t="s">
        <v>124</v>
      </c>
      <c r="F81" t="s">
        <v>70</v>
      </c>
      <c r="G81" t="s">
        <v>29</v>
      </c>
      <c r="H81" t="s">
        <v>26</v>
      </c>
      <c r="I81" t="s">
        <v>26</v>
      </c>
      <c r="J81" t="s">
        <v>25</v>
      </c>
      <c r="K81">
        <v>10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</row>
    <row r="82" spans="1:22" x14ac:dyDescent="0.25">
      <c r="A82">
        <v>2025</v>
      </c>
      <c r="B82">
        <v>5</v>
      </c>
      <c r="C82" t="s">
        <v>75</v>
      </c>
      <c r="D82" t="s">
        <v>22</v>
      </c>
      <c r="E82" t="s">
        <v>72</v>
      </c>
      <c r="F82" t="s">
        <v>23</v>
      </c>
      <c r="G82" t="s">
        <v>28</v>
      </c>
      <c r="H82" t="s">
        <v>25</v>
      </c>
      <c r="I82" t="s">
        <v>26</v>
      </c>
      <c r="J82" t="s">
        <v>25</v>
      </c>
      <c r="K82">
        <v>1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1</v>
      </c>
    </row>
    <row r="83" spans="1:22" x14ac:dyDescent="0.25">
      <c r="A83">
        <v>2025</v>
      </c>
      <c r="B83">
        <v>5</v>
      </c>
      <c r="C83" t="s">
        <v>75</v>
      </c>
      <c r="D83" t="s">
        <v>22</v>
      </c>
      <c r="E83" t="s">
        <v>72</v>
      </c>
      <c r="F83" t="s">
        <v>23</v>
      </c>
      <c r="G83" t="s">
        <v>24</v>
      </c>
      <c r="H83" t="s">
        <v>25</v>
      </c>
      <c r="I83" t="s">
        <v>26</v>
      </c>
      <c r="J83" t="s">
        <v>25</v>
      </c>
      <c r="K83">
        <v>1931</v>
      </c>
      <c r="L83">
        <v>4</v>
      </c>
      <c r="M83">
        <v>25</v>
      </c>
      <c r="N83">
        <v>29</v>
      </c>
      <c r="O83">
        <v>183</v>
      </c>
      <c r="P83">
        <v>130</v>
      </c>
      <c r="Q83">
        <v>114</v>
      </c>
      <c r="R83">
        <v>71</v>
      </c>
      <c r="S83">
        <v>42</v>
      </c>
      <c r="T83">
        <v>2</v>
      </c>
      <c r="U83">
        <v>0</v>
      </c>
      <c r="V83">
        <v>1927</v>
      </c>
    </row>
    <row r="84" spans="1:22" x14ac:dyDescent="0.25">
      <c r="A84">
        <v>2025</v>
      </c>
      <c r="B84">
        <v>5</v>
      </c>
      <c r="C84" t="s">
        <v>75</v>
      </c>
      <c r="D84" t="s">
        <v>22</v>
      </c>
      <c r="E84" t="s">
        <v>75</v>
      </c>
      <c r="F84" t="s">
        <v>39</v>
      </c>
      <c r="G84" t="s">
        <v>24</v>
      </c>
      <c r="H84" t="s">
        <v>26</v>
      </c>
      <c r="I84" t="s">
        <v>26</v>
      </c>
      <c r="J84" t="s">
        <v>25</v>
      </c>
      <c r="K84">
        <v>71</v>
      </c>
      <c r="L84">
        <v>2</v>
      </c>
      <c r="M84">
        <v>0</v>
      </c>
      <c r="N84">
        <v>2</v>
      </c>
      <c r="O84">
        <v>23</v>
      </c>
      <c r="P84">
        <v>19</v>
      </c>
      <c r="Q84">
        <v>19</v>
      </c>
      <c r="R84">
        <v>10</v>
      </c>
      <c r="S84">
        <v>10</v>
      </c>
      <c r="T84">
        <v>1</v>
      </c>
      <c r="U84">
        <v>0</v>
      </c>
      <c r="V84">
        <v>69</v>
      </c>
    </row>
    <row r="85" spans="1:22" x14ac:dyDescent="0.25">
      <c r="A85">
        <v>2025</v>
      </c>
      <c r="B85">
        <v>5</v>
      </c>
      <c r="C85" t="s">
        <v>75</v>
      </c>
      <c r="D85" t="s">
        <v>22</v>
      </c>
      <c r="E85" t="s">
        <v>75</v>
      </c>
      <c r="F85" t="s">
        <v>39</v>
      </c>
      <c r="G85" t="s">
        <v>29</v>
      </c>
      <c r="H85" t="s">
        <v>26</v>
      </c>
      <c r="I85" t="s">
        <v>26</v>
      </c>
      <c r="J85" t="s">
        <v>25</v>
      </c>
      <c r="K85">
        <v>6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</row>
    <row r="86" spans="1:22" x14ac:dyDescent="0.25">
      <c r="A86">
        <v>2025</v>
      </c>
      <c r="B86">
        <v>5</v>
      </c>
      <c r="C86" t="s">
        <v>75</v>
      </c>
      <c r="D86" t="s">
        <v>22</v>
      </c>
      <c r="E86" t="s">
        <v>75</v>
      </c>
      <c r="F86" t="s">
        <v>77</v>
      </c>
      <c r="G86" t="s">
        <v>28</v>
      </c>
      <c r="H86" t="s">
        <v>25</v>
      </c>
      <c r="I86" t="s">
        <v>26</v>
      </c>
      <c r="J86" t="s">
        <v>25</v>
      </c>
      <c r="K86">
        <v>1925</v>
      </c>
      <c r="L86">
        <v>37</v>
      </c>
      <c r="M86">
        <v>17</v>
      </c>
      <c r="N86">
        <v>54</v>
      </c>
      <c r="O86">
        <v>599</v>
      </c>
      <c r="P86">
        <v>373</v>
      </c>
      <c r="Q86">
        <v>373</v>
      </c>
      <c r="R86">
        <v>291</v>
      </c>
      <c r="S86">
        <v>235</v>
      </c>
      <c r="T86">
        <v>129</v>
      </c>
      <c r="U86">
        <v>53</v>
      </c>
      <c r="V86">
        <v>1881</v>
      </c>
    </row>
    <row r="87" spans="1:22" x14ac:dyDescent="0.25">
      <c r="A87">
        <v>2025</v>
      </c>
      <c r="B87">
        <v>5</v>
      </c>
      <c r="C87" t="s">
        <v>75</v>
      </c>
      <c r="D87" t="s">
        <v>22</v>
      </c>
      <c r="E87" t="s">
        <v>75</v>
      </c>
      <c r="F87" t="s">
        <v>77</v>
      </c>
      <c r="G87" t="s">
        <v>29</v>
      </c>
      <c r="H87" t="s">
        <v>25</v>
      </c>
      <c r="I87" t="s">
        <v>26</v>
      </c>
      <c r="J87" t="s">
        <v>25</v>
      </c>
      <c r="K87">
        <v>24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</row>
    <row r="88" spans="1:22" x14ac:dyDescent="0.25">
      <c r="A88">
        <v>2025</v>
      </c>
      <c r="B88">
        <v>5</v>
      </c>
      <c r="C88" t="s">
        <v>75</v>
      </c>
      <c r="D88" t="s">
        <v>22</v>
      </c>
      <c r="E88" t="s">
        <v>75</v>
      </c>
      <c r="F88" t="s">
        <v>78</v>
      </c>
      <c r="G88" t="s">
        <v>28</v>
      </c>
      <c r="H88" t="s">
        <v>25</v>
      </c>
      <c r="I88" t="s">
        <v>26</v>
      </c>
      <c r="J88" t="s">
        <v>26</v>
      </c>
      <c r="K88">
        <v>136</v>
      </c>
      <c r="L88">
        <v>11</v>
      </c>
      <c r="M88">
        <v>1</v>
      </c>
      <c r="N88">
        <v>12</v>
      </c>
      <c r="O88">
        <v>48</v>
      </c>
      <c r="P88">
        <v>31</v>
      </c>
      <c r="Q88">
        <v>31</v>
      </c>
      <c r="R88">
        <v>25</v>
      </c>
      <c r="S88">
        <v>21</v>
      </c>
      <c r="T88">
        <v>11</v>
      </c>
      <c r="U88">
        <v>3</v>
      </c>
      <c r="V88">
        <v>125</v>
      </c>
    </row>
    <row r="89" spans="1:22" x14ac:dyDescent="0.25">
      <c r="A89">
        <v>2025</v>
      </c>
      <c r="B89">
        <v>5</v>
      </c>
      <c r="C89" t="s">
        <v>75</v>
      </c>
      <c r="D89" t="s">
        <v>22</v>
      </c>
      <c r="E89" t="s">
        <v>75</v>
      </c>
      <c r="F89" t="s">
        <v>78</v>
      </c>
      <c r="G89" t="s">
        <v>29</v>
      </c>
      <c r="H89" t="s">
        <v>25</v>
      </c>
      <c r="I89" t="s">
        <v>26</v>
      </c>
      <c r="J89" t="s">
        <v>26</v>
      </c>
      <c r="K89">
        <v>90</v>
      </c>
      <c r="L89">
        <v>1</v>
      </c>
      <c r="M89">
        <v>0</v>
      </c>
      <c r="N89">
        <v>1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</row>
    <row r="90" spans="1:22" x14ac:dyDescent="0.25">
      <c r="A90">
        <v>2025</v>
      </c>
      <c r="B90">
        <v>5</v>
      </c>
      <c r="C90" t="s">
        <v>75</v>
      </c>
      <c r="D90" t="s">
        <v>22</v>
      </c>
      <c r="E90" t="s">
        <v>75</v>
      </c>
      <c r="F90" t="s">
        <v>27</v>
      </c>
      <c r="G90" t="s">
        <v>28</v>
      </c>
      <c r="H90" t="s">
        <v>26</v>
      </c>
      <c r="I90" t="s">
        <v>26</v>
      </c>
      <c r="J90" t="s">
        <v>25</v>
      </c>
      <c r="K90">
        <v>13522</v>
      </c>
      <c r="L90">
        <v>46</v>
      </c>
      <c r="M90">
        <v>113</v>
      </c>
      <c r="N90">
        <v>159</v>
      </c>
      <c r="O90">
        <v>2785</v>
      </c>
      <c r="P90">
        <v>1599</v>
      </c>
      <c r="Q90">
        <v>1599</v>
      </c>
      <c r="R90">
        <v>1067</v>
      </c>
      <c r="S90">
        <v>808</v>
      </c>
      <c r="T90">
        <v>389</v>
      </c>
      <c r="U90">
        <v>140</v>
      </c>
      <c r="V90">
        <v>13442</v>
      </c>
    </row>
    <row r="91" spans="1:22" x14ac:dyDescent="0.25">
      <c r="A91">
        <v>2025</v>
      </c>
      <c r="B91">
        <v>5</v>
      </c>
      <c r="C91" t="s">
        <v>75</v>
      </c>
      <c r="D91" t="s">
        <v>22</v>
      </c>
      <c r="E91" t="s">
        <v>75</v>
      </c>
      <c r="F91" t="s">
        <v>27</v>
      </c>
      <c r="G91" t="s">
        <v>24</v>
      </c>
      <c r="H91" t="s">
        <v>26</v>
      </c>
      <c r="I91" t="s">
        <v>26</v>
      </c>
      <c r="J91" t="s">
        <v>25</v>
      </c>
      <c r="K91">
        <v>894</v>
      </c>
      <c r="L91">
        <v>2</v>
      </c>
      <c r="M91">
        <v>7</v>
      </c>
      <c r="N91">
        <v>9</v>
      </c>
      <c r="O91">
        <v>342</v>
      </c>
      <c r="P91">
        <v>190</v>
      </c>
      <c r="Q91">
        <v>190</v>
      </c>
      <c r="R91">
        <v>138</v>
      </c>
      <c r="S91">
        <v>98</v>
      </c>
      <c r="T91">
        <v>47</v>
      </c>
      <c r="U91">
        <v>17</v>
      </c>
      <c r="V91">
        <v>890</v>
      </c>
    </row>
    <row r="92" spans="1:22" x14ac:dyDescent="0.25">
      <c r="A92">
        <v>2025</v>
      </c>
      <c r="B92">
        <v>5</v>
      </c>
      <c r="C92" t="s">
        <v>75</v>
      </c>
      <c r="D92" t="s">
        <v>22</v>
      </c>
      <c r="E92" t="s">
        <v>75</v>
      </c>
      <c r="F92" t="s">
        <v>27</v>
      </c>
      <c r="G92" t="s">
        <v>29</v>
      </c>
      <c r="H92" t="s">
        <v>26</v>
      </c>
      <c r="I92" t="s">
        <v>26</v>
      </c>
      <c r="J92" t="s">
        <v>25</v>
      </c>
      <c r="K92">
        <v>997</v>
      </c>
      <c r="L92">
        <v>7</v>
      </c>
      <c r="M92">
        <v>0</v>
      </c>
      <c r="N92">
        <v>7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</row>
    <row r="93" spans="1:22" x14ac:dyDescent="0.25">
      <c r="A93">
        <v>2025</v>
      </c>
      <c r="B93">
        <v>6</v>
      </c>
      <c r="C93" t="s">
        <v>75</v>
      </c>
      <c r="D93" t="s">
        <v>22</v>
      </c>
      <c r="E93" t="s">
        <v>123</v>
      </c>
      <c r="F93" t="s">
        <v>39</v>
      </c>
      <c r="G93" t="s">
        <v>24</v>
      </c>
      <c r="H93" t="s">
        <v>26</v>
      </c>
      <c r="I93" t="s">
        <v>26</v>
      </c>
      <c r="J93" t="s">
        <v>25</v>
      </c>
      <c r="K93">
        <v>633</v>
      </c>
      <c r="L93">
        <v>10</v>
      </c>
      <c r="M93">
        <v>6</v>
      </c>
      <c r="N93">
        <v>16</v>
      </c>
      <c r="O93">
        <v>269</v>
      </c>
      <c r="P93">
        <v>203</v>
      </c>
      <c r="Q93">
        <v>197</v>
      </c>
      <c r="R93">
        <v>155</v>
      </c>
      <c r="S93">
        <v>111</v>
      </c>
      <c r="T93">
        <v>54</v>
      </c>
      <c r="U93">
        <v>16</v>
      </c>
      <c r="V93">
        <v>618</v>
      </c>
    </row>
    <row r="94" spans="1:22" x14ac:dyDescent="0.25">
      <c r="A94">
        <v>2025</v>
      </c>
      <c r="B94">
        <v>6</v>
      </c>
      <c r="C94" t="s">
        <v>75</v>
      </c>
      <c r="D94" t="s">
        <v>22</v>
      </c>
      <c r="E94" t="s">
        <v>123</v>
      </c>
      <c r="F94" t="s">
        <v>42</v>
      </c>
      <c r="G94" t="s">
        <v>24</v>
      </c>
      <c r="H94" t="s">
        <v>26</v>
      </c>
      <c r="I94" t="s">
        <v>26</v>
      </c>
      <c r="J94" t="s">
        <v>25</v>
      </c>
      <c r="K94">
        <v>43</v>
      </c>
      <c r="L94">
        <v>0</v>
      </c>
      <c r="M94">
        <v>0</v>
      </c>
      <c r="N94">
        <v>0</v>
      </c>
      <c r="O94">
        <v>25</v>
      </c>
      <c r="P94">
        <v>17</v>
      </c>
      <c r="Q94">
        <v>15</v>
      </c>
      <c r="R94">
        <v>13</v>
      </c>
      <c r="S94">
        <v>8</v>
      </c>
      <c r="T94">
        <v>5</v>
      </c>
      <c r="U94">
        <v>2</v>
      </c>
      <c r="V94">
        <v>43</v>
      </c>
    </row>
    <row r="95" spans="1:22" x14ac:dyDescent="0.25">
      <c r="A95">
        <v>2025</v>
      </c>
      <c r="B95">
        <v>6</v>
      </c>
      <c r="C95" t="s">
        <v>75</v>
      </c>
      <c r="D95" t="s">
        <v>22</v>
      </c>
      <c r="E95" t="s">
        <v>123</v>
      </c>
      <c r="F95" t="s">
        <v>27</v>
      </c>
      <c r="G95" t="s">
        <v>24</v>
      </c>
      <c r="H95" t="s">
        <v>26</v>
      </c>
      <c r="I95" t="s">
        <v>26</v>
      </c>
      <c r="J95" t="s">
        <v>25</v>
      </c>
      <c r="K95">
        <v>52</v>
      </c>
      <c r="L95">
        <v>0</v>
      </c>
      <c r="M95">
        <v>0</v>
      </c>
      <c r="N95">
        <v>0</v>
      </c>
      <c r="O95">
        <v>13</v>
      </c>
      <c r="P95">
        <v>10</v>
      </c>
      <c r="Q95">
        <v>10</v>
      </c>
      <c r="R95">
        <v>7</v>
      </c>
      <c r="S95">
        <v>6</v>
      </c>
      <c r="T95">
        <v>3</v>
      </c>
      <c r="U95">
        <v>2</v>
      </c>
      <c r="V95">
        <v>52</v>
      </c>
    </row>
    <row r="96" spans="1:22" x14ac:dyDescent="0.25">
      <c r="A96">
        <v>2025</v>
      </c>
      <c r="B96">
        <v>6</v>
      </c>
      <c r="C96" t="s">
        <v>75</v>
      </c>
      <c r="D96" t="s">
        <v>22</v>
      </c>
      <c r="E96" t="s">
        <v>61</v>
      </c>
      <c r="F96" t="s">
        <v>35</v>
      </c>
      <c r="G96" t="s">
        <v>24</v>
      </c>
      <c r="H96" t="s">
        <v>25</v>
      </c>
      <c r="I96" t="s">
        <v>26</v>
      </c>
      <c r="J96" t="s">
        <v>26</v>
      </c>
      <c r="K96">
        <v>52</v>
      </c>
      <c r="L96">
        <v>0</v>
      </c>
      <c r="M96">
        <v>2</v>
      </c>
      <c r="N96">
        <v>2</v>
      </c>
      <c r="O96">
        <v>14</v>
      </c>
      <c r="P96">
        <v>14</v>
      </c>
      <c r="Q96">
        <v>12</v>
      </c>
      <c r="R96">
        <v>12</v>
      </c>
      <c r="S96">
        <v>12</v>
      </c>
      <c r="T96">
        <v>8</v>
      </c>
      <c r="U96">
        <v>6</v>
      </c>
      <c r="V96">
        <v>50</v>
      </c>
    </row>
    <row r="97" spans="1:22" x14ac:dyDescent="0.25">
      <c r="A97">
        <v>2025</v>
      </c>
      <c r="B97">
        <v>6</v>
      </c>
      <c r="C97" t="s">
        <v>75</v>
      </c>
      <c r="D97" t="s">
        <v>22</v>
      </c>
      <c r="E97" t="s">
        <v>124</v>
      </c>
      <c r="F97" t="s">
        <v>70</v>
      </c>
      <c r="G97" t="s">
        <v>28</v>
      </c>
      <c r="H97" t="s">
        <v>26</v>
      </c>
      <c r="I97" t="s">
        <v>26</v>
      </c>
      <c r="J97" t="s">
        <v>25</v>
      </c>
      <c r="K97">
        <v>2</v>
      </c>
      <c r="L97">
        <v>0</v>
      </c>
      <c r="M97">
        <v>0</v>
      </c>
      <c r="N97">
        <v>0</v>
      </c>
      <c r="O97">
        <v>1</v>
      </c>
      <c r="P97">
        <v>1</v>
      </c>
      <c r="Q97">
        <v>1</v>
      </c>
      <c r="R97">
        <v>0</v>
      </c>
      <c r="S97">
        <v>0</v>
      </c>
      <c r="T97">
        <v>0</v>
      </c>
      <c r="U97">
        <v>0</v>
      </c>
      <c r="V97">
        <v>2</v>
      </c>
    </row>
    <row r="98" spans="1:22" x14ac:dyDescent="0.25">
      <c r="A98">
        <v>2025</v>
      </c>
      <c r="B98">
        <v>6</v>
      </c>
      <c r="C98" t="s">
        <v>75</v>
      </c>
      <c r="D98" t="s">
        <v>22</v>
      </c>
      <c r="E98" t="s">
        <v>124</v>
      </c>
      <c r="F98" t="s">
        <v>70</v>
      </c>
      <c r="G98" t="s">
        <v>24</v>
      </c>
      <c r="H98" t="s">
        <v>26</v>
      </c>
      <c r="I98" t="s">
        <v>26</v>
      </c>
      <c r="J98" t="s">
        <v>25</v>
      </c>
      <c r="K98">
        <v>1002</v>
      </c>
      <c r="L98">
        <v>1</v>
      </c>
      <c r="M98">
        <v>4</v>
      </c>
      <c r="N98">
        <v>5</v>
      </c>
      <c r="O98">
        <v>226</v>
      </c>
      <c r="P98">
        <v>136</v>
      </c>
      <c r="Q98">
        <v>136</v>
      </c>
      <c r="R98">
        <v>104</v>
      </c>
      <c r="S98">
        <v>78</v>
      </c>
      <c r="T98">
        <v>36</v>
      </c>
      <c r="U98">
        <v>13</v>
      </c>
      <c r="V98">
        <v>1001</v>
      </c>
    </row>
    <row r="99" spans="1:22" x14ac:dyDescent="0.25">
      <c r="A99">
        <v>2025</v>
      </c>
      <c r="B99">
        <v>6</v>
      </c>
      <c r="C99" t="s">
        <v>75</v>
      </c>
      <c r="D99" t="s">
        <v>22</v>
      </c>
      <c r="E99" t="s">
        <v>124</v>
      </c>
      <c r="F99" t="s">
        <v>70</v>
      </c>
      <c r="G99" t="s">
        <v>29</v>
      </c>
      <c r="H99" t="s">
        <v>26</v>
      </c>
      <c r="I99" t="s">
        <v>26</v>
      </c>
      <c r="J99" t="s">
        <v>25</v>
      </c>
      <c r="K99">
        <v>22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</row>
    <row r="100" spans="1:22" x14ac:dyDescent="0.25">
      <c r="A100">
        <v>2025</v>
      </c>
      <c r="B100">
        <v>6</v>
      </c>
      <c r="C100" t="s">
        <v>75</v>
      </c>
      <c r="D100" t="s">
        <v>22</v>
      </c>
      <c r="E100" t="s">
        <v>72</v>
      </c>
      <c r="F100" t="s">
        <v>23</v>
      </c>
      <c r="G100" t="s">
        <v>24</v>
      </c>
      <c r="H100" t="s">
        <v>25</v>
      </c>
      <c r="I100" t="s">
        <v>26</v>
      </c>
      <c r="J100" t="s">
        <v>25</v>
      </c>
      <c r="K100">
        <v>1717</v>
      </c>
      <c r="L100">
        <v>9</v>
      </c>
      <c r="M100">
        <v>2</v>
      </c>
      <c r="N100">
        <v>11</v>
      </c>
      <c r="O100">
        <v>22</v>
      </c>
      <c r="P100">
        <v>13</v>
      </c>
      <c r="Q100">
        <v>11</v>
      </c>
      <c r="R100">
        <v>3</v>
      </c>
      <c r="S100">
        <v>0</v>
      </c>
      <c r="T100">
        <v>0</v>
      </c>
      <c r="U100">
        <v>0</v>
      </c>
      <c r="V100">
        <v>1708</v>
      </c>
    </row>
    <row r="101" spans="1:22" x14ac:dyDescent="0.25">
      <c r="A101">
        <v>2025</v>
      </c>
      <c r="B101">
        <v>6</v>
      </c>
      <c r="C101" t="s">
        <v>75</v>
      </c>
      <c r="D101" t="s">
        <v>22</v>
      </c>
      <c r="E101" t="s">
        <v>75</v>
      </c>
      <c r="F101" t="s">
        <v>39</v>
      </c>
      <c r="G101" t="s">
        <v>24</v>
      </c>
      <c r="H101" t="s">
        <v>26</v>
      </c>
      <c r="I101" t="s">
        <v>26</v>
      </c>
      <c r="J101" t="s">
        <v>25</v>
      </c>
      <c r="K101">
        <v>45</v>
      </c>
      <c r="L101">
        <v>3</v>
      </c>
      <c r="M101">
        <v>1</v>
      </c>
      <c r="N101">
        <v>4</v>
      </c>
      <c r="O101">
        <v>17</v>
      </c>
      <c r="P101">
        <v>16</v>
      </c>
      <c r="Q101">
        <v>16</v>
      </c>
      <c r="R101">
        <v>11</v>
      </c>
      <c r="S101">
        <v>8</v>
      </c>
      <c r="T101">
        <v>4</v>
      </c>
      <c r="U101">
        <v>2</v>
      </c>
      <c r="V101">
        <v>41</v>
      </c>
    </row>
    <row r="102" spans="1:22" x14ac:dyDescent="0.25">
      <c r="A102">
        <v>2025</v>
      </c>
      <c r="B102">
        <v>6</v>
      </c>
      <c r="C102" t="s">
        <v>75</v>
      </c>
      <c r="D102" t="s">
        <v>22</v>
      </c>
      <c r="E102" t="s">
        <v>75</v>
      </c>
      <c r="F102" t="s">
        <v>39</v>
      </c>
      <c r="G102" t="s">
        <v>29</v>
      </c>
      <c r="H102" t="s">
        <v>26</v>
      </c>
      <c r="I102" t="s">
        <v>26</v>
      </c>
      <c r="J102" t="s">
        <v>25</v>
      </c>
      <c r="K102">
        <v>2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</row>
    <row r="103" spans="1:22" x14ac:dyDescent="0.25">
      <c r="A103">
        <v>2025</v>
      </c>
      <c r="B103">
        <v>6</v>
      </c>
      <c r="C103" t="s">
        <v>75</v>
      </c>
      <c r="D103" t="s">
        <v>22</v>
      </c>
      <c r="E103" t="s">
        <v>75</v>
      </c>
      <c r="F103" t="s">
        <v>77</v>
      </c>
      <c r="G103" t="s">
        <v>28</v>
      </c>
      <c r="H103" t="s">
        <v>25</v>
      </c>
      <c r="I103" t="s">
        <v>26</v>
      </c>
      <c r="J103" t="s">
        <v>25</v>
      </c>
      <c r="K103">
        <v>2010</v>
      </c>
      <c r="L103">
        <v>55</v>
      </c>
      <c r="M103">
        <v>31</v>
      </c>
      <c r="N103">
        <v>86</v>
      </c>
      <c r="O103">
        <v>767</v>
      </c>
      <c r="P103">
        <v>537</v>
      </c>
      <c r="Q103">
        <v>536</v>
      </c>
      <c r="R103">
        <v>406</v>
      </c>
      <c r="S103">
        <v>349</v>
      </c>
      <c r="T103">
        <v>218</v>
      </c>
      <c r="U103">
        <v>90</v>
      </c>
      <c r="V103">
        <v>1944</v>
      </c>
    </row>
    <row r="104" spans="1:22" x14ac:dyDescent="0.25">
      <c r="A104">
        <v>2025</v>
      </c>
      <c r="B104">
        <v>6</v>
      </c>
      <c r="C104" t="s">
        <v>75</v>
      </c>
      <c r="D104" t="s">
        <v>22</v>
      </c>
      <c r="E104" t="s">
        <v>75</v>
      </c>
      <c r="F104" t="s">
        <v>77</v>
      </c>
      <c r="G104" t="s">
        <v>29</v>
      </c>
      <c r="H104" t="s">
        <v>25</v>
      </c>
      <c r="I104" t="s">
        <v>26</v>
      </c>
      <c r="J104" t="s">
        <v>25</v>
      </c>
      <c r="K104">
        <v>30</v>
      </c>
      <c r="L104">
        <v>1</v>
      </c>
      <c r="M104">
        <v>0</v>
      </c>
      <c r="N104">
        <v>1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</row>
    <row r="105" spans="1:22" x14ac:dyDescent="0.25">
      <c r="A105">
        <v>2025</v>
      </c>
      <c r="B105">
        <v>6</v>
      </c>
      <c r="C105" t="s">
        <v>75</v>
      </c>
      <c r="D105" t="s">
        <v>22</v>
      </c>
      <c r="E105" t="s">
        <v>75</v>
      </c>
      <c r="F105" t="s">
        <v>78</v>
      </c>
      <c r="G105" t="s">
        <v>28</v>
      </c>
      <c r="H105" t="s">
        <v>25</v>
      </c>
      <c r="I105" t="s">
        <v>26</v>
      </c>
      <c r="J105" t="s">
        <v>26</v>
      </c>
      <c r="K105">
        <v>134</v>
      </c>
      <c r="L105">
        <v>1</v>
      </c>
      <c r="M105">
        <v>4</v>
      </c>
      <c r="N105">
        <v>5</v>
      </c>
      <c r="O105">
        <v>54</v>
      </c>
      <c r="P105">
        <v>34</v>
      </c>
      <c r="Q105">
        <v>34</v>
      </c>
      <c r="R105">
        <v>33</v>
      </c>
      <c r="S105">
        <v>28</v>
      </c>
      <c r="T105">
        <v>15</v>
      </c>
      <c r="U105">
        <v>5</v>
      </c>
      <c r="V105">
        <v>131</v>
      </c>
    </row>
    <row r="106" spans="1:22" x14ac:dyDescent="0.25">
      <c r="A106">
        <v>2025</v>
      </c>
      <c r="B106">
        <v>6</v>
      </c>
      <c r="C106" t="s">
        <v>75</v>
      </c>
      <c r="D106" t="s">
        <v>22</v>
      </c>
      <c r="E106" t="s">
        <v>75</v>
      </c>
      <c r="F106" t="s">
        <v>78</v>
      </c>
      <c r="G106" t="s">
        <v>29</v>
      </c>
      <c r="H106" t="s">
        <v>25</v>
      </c>
      <c r="I106" t="s">
        <v>26</v>
      </c>
      <c r="J106" t="s">
        <v>26</v>
      </c>
      <c r="K106">
        <v>65</v>
      </c>
      <c r="L106">
        <v>1</v>
      </c>
      <c r="M106">
        <v>0</v>
      </c>
      <c r="N106">
        <v>1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</row>
    <row r="107" spans="1:22" x14ac:dyDescent="0.25">
      <c r="A107">
        <v>2025</v>
      </c>
      <c r="B107">
        <v>6</v>
      </c>
      <c r="C107" t="s">
        <v>75</v>
      </c>
      <c r="D107" t="s">
        <v>22</v>
      </c>
      <c r="E107" t="s">
        <v>75</v>
      </c>
      <c r="F107" t="s">
        <v>27</v>
      </c>
      <c r="G107" t="s">
        <v>28</v>
      </c>
      <c r="H107" t="s">
        <v>26</v>
      </c>
      <c r="I107" t="s">
        <v>26</v>
      </c>
      <c r="J107" t="s">
        <v>25</v>
      </c>
      <c r="K107">
        <v>13210</v>
      </c>
      <c r="L107">
        <v>19</v>
      </c>
      <c r="M107">
        <v>110</v>
      </c>
      <c r="N107">
        <v>129</v>
      </c>
      <c r="O107">
        <v>3869</v>
      </c>
      <c r="P107">
        <v>2369</v>
      </c>
      <c r="Q107">
        <v>2369</v>
      </c>
      <c r="R107">
        <v>1705</v>
      </c>
      <c r="S107">
        <v>1325</v>
      </c>
      <c r="T107">
        <v>663</v>
      </c>
      <c r="U107">
        <v>213</v>
      </c>
      <c r="V107">
        <v>13165</v>
      </c>
    </row>
    <row r="108" spans="1:22" x14ac:dyDescent="0.25">
      <c r="A108">
        <v>2025</v>
      </c>
      <c r="B108">
        <v>6</v>
      </c>
      <c r="C108" t="s">
        <v>75</v>
      </c>
      <c r="D108" t="s">
        <v>22</v>
      </c>
      <c r="E108" t="s">
        <v>75</v>
      </c>
      <c r="F108" t="s">
        <v>27</v>
      </c>
      <c r="G108" t="s">
        <v>24</v>
      </c>
      <c r="H108" t="s">
        <v>26</v>
      </c>
      <c r="I108" t="s">
        <v>26</v>
      </c>
      <c r="J108" t="s">
        <v>25</v>
      </c>
      <c r="K108">
        <v>909</v>
      </c>
      <c r="L108">
        <v>9</v>
      </c>
      <c r="M108">
        <v>5</v>
      </c>
      <c r="N108">
        <v>14</v>
      </c>
      <c r="O108">
        <v>430</v>
      </c>
      <c r="P108">
        <v>255</v>
      </c>
      <c r="Q108">
        <v>255</v>
      </c>
      <c r="R108">
        <v>192</v>
      </c>
      <c r="S108">
        <v>133</v>
      </c>
      <c r="T108">
        <v>57</v>
      </c>
      <c r="U108">
        <v>15</v>
      </c>
      <c r="V108">
        <v>897</v>
      </c>
    </row>
    <row r="109" spans="1:22" x14ac:dyDescent="0.25">
      <c r="A109">
        <v>2025</v>
      </c>
      <c r="B109">
        <v>6</v>
      </c>
      <c r="C109" t="s">
        <v>75</v>
      </c>
      <c r="D109" t="s">
        <v>22</v>
      </c>
      <c r="E109" t="s">
        <v>75</v>
      </c>
      <c r="F109" t="s">
        <v>27</v>
      </c>
      <c r="G109" t="s">
        <v>29</v>
      </c>
      <c r="H109" t="s">
        <v>26</v>
      </c>
      <c r="I109" t="s">
        <v>26</v>
      </c>
      <c r="J109" t="s">
        <v>25</v>
      </c>
      <c r="K109">
        <v>1008</v>
      </c>
      <c r="L109">
        <v>1</v>
      </c>
      <c r="M109">
        <v>0</v>
      </c>
      <c r="N109">
        <v>1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</row>
    <row r="110" spans="1:22" x14ac:dyDescent="0.25">
      <c r="A110">
        <v>2025</v>
      </c>
      <c r="B110">
        <v>7</v>
      </c>
      <c r="C110" t="s">
        <v>75</v>
      </c>
      <c r="D110" t="s">
        <v>22</v>
      </c>
      <c r="E110" t="s">
        <v>123</v>
      </c>
      <c r="F110" t="s">
        <v>39</v>
      </c>
      <c r="G110" t="s">
        <v>24</v>
      </c>
      <c r="H110" t="s">
        <v>26</v>
      </c>
      <c r="I110" t="s">
        <v>26</v>
      </c>
      <c r="J110" t="s">
        <v>25</v>
      </c>
      <c r="K110">
        <v>632</v>
      </c>
      <c r="L110">
        <v>7</v>
      </c>
      <c r="M110">
        <v>1</v>
      </c>
      <c r="N110">
        <v>8</v>
      </c>
      <c r="O110">
        <v>266</v>
      </c>
      <c r="P110">
        <v>183</v>
      </c>
      <c r="Q110">
        <v>178</v>
      </c>
      <c r="R110">
        <v>133</v>
      </c>
      <c r="S110">
        <v>107</v>
      </c>
      <c r="T110">
        <v>49</v>
      </c>
      <c r="U110">
        <v>18</v>
      </c>
      <c r="V110">
        <v>624</v>
      </c>
    </row>
    <row r="111" spans="1:22" x14ac:dyDescent="0.25">
      <c r="A111">
        <v>2025</v>
      </c>
      <c r="B111">
        <v>7</v>
      </c>
      <c r="C111" t="s">
        <v>75</v>
      </c>
      <c r="D111" t="s">
        <v>22</v>
      </c>
      <c r="E111" t="s">
        <v>123</v>
      </c>
      <c r="F111" t="s">
        <v>42</v>
      </c>
      <c r="G111" t="s">
        <v>24</v>
      </c>
      <c r="H111" t="s">
        <v>26</v>
      </c>
      <c r="I111" t="s">
        <v>26</v>
      </c>
      <c r="J111" t="s">
        <v>25</v>
      </c>
      <c r="K111">
        <v>89</v>
      </c>
      <c r="L111">
        <v>0</v>
      </c>
      <c r="M111">
        <v>0</v>
      </c>
      <c r="N111">
        <v>0</v>
      </c>
      <c r="O111">
        <v>31</v>
      </c>
      <c r="P111">
        <v>26</v>
      </c>
      <c r="Q111">
        <v>26</v>
      </c>
      <c r="R111">
        <v>20</v>
      </c>
      <c r="S111">
        <v>14</v>
      </c>
      <c r="T111">
        <v>8</v>
      </c>
      <c r="U111">
        <v>5</v>
      </c>
      <c r="V111">
        <v>89</v>
      </c>
    </row>
    <row r="112" spans="1:22" x14ac:dyDescent="0.25">
      <c r="A112">
        <v>2025</v>
      </c>
      <c r="B112">
        <v>7</v>
      </c>
      <c r="C112" t="s">
        <v>75</v>
      </c>
      <c r="D112" t="s">
        <v>22</v>
      </c>
      <c r="E112" t="s">
        <v>123</v>
      </c>
      <c r="F112" t="s">
        <v>27</v>
      </c>
      <c r="G112" t="s">
        <v>24</v>
      </c>
      <c r="H112" t="s">
        <v>26</v>
      </c>
      <c r="I112" t="s">
        <v>26</v>
      </c>
      <c r="J112" t="s">
        <v>25</v>
      </c>
      <c r="K112">
        <v>47</v>
      </c>
      <c r="L112">
        <v>0</v>
      </c>
      <c r="M112">
        <v>0</v>
      </c>
      <c r="N112">
        <v>0</v>
      </c>
      <c r="O112">
        <v>14</v>
      </c>
      <c r="P112">
        <v>12</v>
      </c>
      <c r="Q112">
        <v>12</v>
      </c>
      <c r="R112">
        <v>5</v>
      </c>
      <c r="S112">
        <v>5</v>
      </c>
      <c r="T112">
        <v>1</v>
      </c>
      <c r="U112">
        <v>0</v>
      </c>
      <c r="V112">
        <v>47</v>
      </c>
    </row>
    <row r="113" spans="1:22" x14ac:dyDescent="0.25">
      <c r="A113">
        <v>2025</v>
      </c>
      <c r="B113">
        <v>7</v>
      </c>
      <c r="C113" t="s">
        <v>75</v>
      </c>
      <c r="D113" t="s">
        <v>22</v>
      </c>
      <c r="E113" t="s">
        <v>61</v>
      </c>
      <c r="F113" t="s">
        <v>35</v>
      </c>
      <c r="G113" t="s">
        <v>24</v>
      </c>
      <c r="H113" t="s">
        <v>25</v>
      </c>
      <c r="I113" t="s">
        <v>26</v>
      </c>
      <c r="J113" t="s">
        <v>26</v>
      </c>
      <c r="K113">
        <v>52</v>
      </c>
      <c r="L113">
        <v>2</v>
      </c>
      <c r="M113">
        <v>0</v>
      </c>
      <c r="N113">
        <v>2</v>
      </c>
      <c r="O113">
        <v>5</v>
      </c>
      <c r="P113">
        <v>5</v>
      </c>
      <c r="Q113">
        <v>5</v>
      </c>
      <c r="R113">
        <v>5</v>
      </c>
      <c r="S113">
        <v>5</v>
      </c>
      <c r="T113">
        <v>1</v>
      </c>
      <c r="U113">
        <v>0</v>
      </c>
      <c r="V113">
        <v>50</v>
      </c>
    </row>
    <row r="114" spans="1:22" x14ac:dyDescent="0.25">
      <c r="A114">
        <v>2025</v>
      </c>
      <c r="B114">
        <v>7</v>
      </c>
      <c r="C114" t="s">
        <v>75</v>
      </c>
      <c r="D114" t="s">
        <v>22</v>
      </c>
      <c r="E114" t="s">
        <v>124</v>
      </c>
      <c r="F114" t="s">
        <v>70</v>
      </c>
      <c r="G114" t="s">
        <v>24</v>
      </c>
      <c r="H114" t="s">
        <v>26</v>
      </c>
      <c r="I114" t="s">
        <v>26</v>
      </c>
      <c r="J114" t="s">
        <v>25</v>
      </c>
      <c r="K114">
        <v>1106</v>
      </c>
      <c r="L114">
        <v>0</v>
      </c>
      <c r="M114">
        <v>4</v>
      </c>
      <c r="N114">
        <v>4</v>
      </c>
      <c r="O114">
        <v>210</v>
      </c>
      <c r="P114">
        <v>137</v>
      </c>
      <c r="Q114">
        <v>137</v>
      </c>
      <c r="R114">
        <v>109</v>
      </c>
      <c r="S114">
        <v>86</v>
      </c>
      <c r="T114">
        <v>40</v>
      </c>
      <c r="U114">
        <v>19</v>
      </c>
      <c r="V114">
        <v>1106</v>
      </c>
    </row>
    <row r="115" spans="1:22" x14ac:dyDescent="0.25">
      <c r="A115">
        <v>2025</v>
      </c>
      <c r="B115">
        <v>7</v>
      </c>
      <c r="C115" t="s">
        <v>75</v>
      </c>
      <c r="D115" t="s">
        <v>22</v>
      </c>
      <c r="E115" t="s">
        <v>124</v>
      </c>
      <c r="F115" t="s">
        <v>70</v>
      </c>
      <c r="G115" t="s">
        <v>29</v>
      </c>
      <c r="H115" t="s">
        <v>26</v>
      </c>
      <c r="I115" t="s">
        <v>26</v>
      </c>
      <c r="J115" t="s">
        <v>25</v>
      </c>
      <c r="K115">
        <v>7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</row>
    <row r="116" spans="1:22" x14ac:dyDescent="0.25">
      <c r="A116">
        <v>2025</v>
      </c>
      <c r="B116">
        <v>7</v>
      </c>
      <c r="C116" t="s">
        <v>75</v>
      </c>
      <c r="D116" t="s">
        <v>22</v>
      </c>
      <c r="E116" t="s">
        <v>72</v>
      </c>
      <c r="F116" t="s">
        <v>23</v>
      </c>
      <c r="G116" t="s">
        <v>24</v>
      </c>
      <c r="H116" t="s">
        <v>25</v>
      </c>
      <c r="I116" t="s">
        <v>26</v>
      </c>
      <c r="J116" t="s">
        <v>25</v>
      </c>
      <c r="K116">
        <v>2179</v>
      </c>
      <c r="L116">
        <v>27</v>
      </c>
      <c r="M116">
        <v>0</v>
      </c>
      <c r="N116">
        <v>27</v>
      </c>
      <c r="O116">
        <v>8</v>
      </c>
      <c r="P116">
        <v>7</v>
      </c>
      <c r="Q116">
        <v>6</v>
      </c>
      <c r="R116">
        <v>2</v>
      </c>
      <c r="S116">
        <v>0</v>
      </c>
      <c r="T116">
        <v>0</v>
      </c>
      <c r="U116">
        <v>0</v>
      </c>
      <c r="V116">
        <v>2152</v>
      </c>
    </row>
    <row r="117" spans="1:22" x14ac:dyDescent="0.25">
      <c r="A117">
        <v>2025</v>
      </c>
      <c r="B117">
        <v>7</v>
      </c>
      <c r="C117" t="s">
        <v>75</v>
      </c>
      <c r="D117" t="s">
        <v>22</v>
      </c>
      <c r="E117" t="s">
        <v>75</v>
      </c>
      <c r="F117" t="s">
        <v>39</v>
      </c>
      <c r="G117" t="s">
        <v>24</v>
      </c>
      <c r="H117" t="s">
        <v>26</v>
      </c>
      <c r="I117" t="s">
        <v>26</v>
      </c>
      <c r="J117" t="s">
        <v>25</v>
      </c>
      <c r="K117">
        <v>28</v>
      </c>
      <c r="L117">
        <v>2</v>
      </c>
      <c r="M117">
        <v>1</v>
      </c>
      <c r="N117">
        <v>3</v>
      </c>
      <c r="O117">
        <v>10</v>
      </c>
      <c r="P117">
        <v>9</v>
      </c>
      <c r="Q117">
        <v>8</v>
      </c>
      <c r="R117">
        <v>5</v>
      </c>
      <c r="S117">
        <v>5</v>
      </c>
      <c r="T117">
        <v>0</v>
      </c>
      <c r="U117">
        <v>0</v>
      </c>
      <c r="V117">
        <v>25</v>
      </c>
    </row>
    <row r="118" spans="1:22" x14ac:dyDescent="0.25">
      <c r="A118">
        <v>2025</v>
      </c>
      <c r="B118">
        <v>7</v>
      </c>
      <c r="C118" t="s">
        <v>75</v>
      </c>
      <c r="D118" t="s">
        <v>22</v>
      </c>
      <c r="E118" t="s">
        <v>75</v>
      </c>
      <c r="F118" t="s">
        <v>39</v>
      </c>
      <c r="G118" t="s">
        <v>29</v>
      </c>
      <c r="H118" t="s">
        <v>26</v>
      </c>
      <c r="I118" t="s">
        <v>26</v>
      </c>
      <c r="J118" t="s">
        <v>25</v>
      </c>
      <c r="K118">
        <v>3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</row>
    <row r="119" spans="1:22" x14ac:dyDescent="0.25">
      <c r="A119">
        <v>2025</v>
      </c>
      <c r="B119">
        <v>7</v>
      </c>
      <c r="C119" t="s">
        <v>75</v>
      </c>
      <c r="D119" t="s">
        <v>22</v>
      </c>
      <c r="E119" t="s">
        <v>75</v>
      </c>
      <c r="F119" t="s">
        <v>77</v>
      </c>
      <c r="G119" t="s">
        <v>28</v>
      </c>
      <c r="H119" t="s">
        <v>25</v>
      </c>
      <c r="I119" t="s">
        <v>26</v>
      </c>
      <c r="J119" t="s">
        <v>25</v>
      </c>
      <c r="K119">
        <v>1885</v>
      </c>
      <c r="L119">
        <v>29</v>
      </c>
      <c r="M119">
        <v>10</v>
      </c>
      <c r="N119">
        <v>39</v>
      </c>
      <c r="O119">
        <v>602</v>
      </c>
      <c r="P119">
        <v>409</v>
      </c>
      <c r="Q119">
        <v>409</v>
      </c>
      <c r="R119">
        <v>309</v>
      </c>
      <c r="S119">
        <v>251</v>
      </c>
      <c r="T119">
        <v>155</v>
      </c>
      <c r="U119">
        <v>55</v>
      </c>
      <c r="V119">
        <v>1851</v>
      </c>
    </row>
    <row r="120" spans="1:22" x14ac:dyDescent="0.25">
      <c r="A120">
        <v>2025</v>
      </c>
      <c r="B120">
        <v>7</v>
      </c>
      <c r="C120" t="s">
        <v>75</v>
      </c>
      <c r="D120" t="s">
        <v>22</v>
      </c>
      <c r="E120" t="s">
        <v>75</v>
      </c>
      <c r="F120" t="s">
        <v>77</v>
      </c>
      <c r="G120" t="s">
        <v>29</v>
      </c>
      <c r="H120" t="s">
        <v>25</v>
      </c>
      <c r="I120" t="s">
        <v>26</v>
      </c>
      <c r="J120" t="s">
        <v>25</v>
      </c>
      <c r="K120">
        <v>12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</row>
    <row r="121" spans="1:22" x14ac:dyDescent="0.25">
      <c r="A121">
        <v>2025</v>
      </c>
      <c r="B121">
        <v>7</v>
      </c>
      <c r="C121" t="s">
        <v>75</v>
      </c>
      <c r="D121" t="s">
        <v>22</v>
      </c>
      <c r="E121" t="s">
        <v>75</v>
      </c>
      <c r="F121" t="s">
        <v>78</v>
      </c>
      <c r="G121" t="s">
        <v>28</v>
      </c>
      <c r="H121" t="s">
        <v>25</v>
      </c>
      <c r="I121" t="s">
        <v>26</v>
      </c>
      <c r="J121" t="s">
        <v>26</v>
      </c>
      <c r="K121">
        <v>168</v>
      </c>
      <c r="L121">
        <v>6</v>
      </c>
      <c r="M121">
        <v>2</v>
      </c>
      <c r="N121">
        <v>8</v>
      </c>
      <c r="O121">
        <v>48</v>
      </c>
      <c r="P121">
        <v>33</v>
      </c>
      <c r="Q121">
        <v>33</v>
      </c>
      <c r="R121">
        <v>24</v>
      </c>
      <c r="S121">
        <v>19</v>
      </c>
      <c r="T121">
        <v>11</v>
      </c>
      <c r="U121">
        <v>3</v>
      </c>
      <c r="V121">
        <v>161</v>
      </c>
    </row>
    <row r="122" spans="1:22" x14ac:dyDescent="0.25">
      <c r="A122">
        <v>2025</v>
      </c>
      <c r="B122">
        <v>7</v>
      </c>
      <c r="C122" t="s">
        <v>75</v>
      </c>
      <c r="D122" t="s">
        <v>22</v>
      </c>
      <c r="E122" t="s">
        <v>75</v>
      </c>
      <c r="F122" t="s">
        <v>78</v>
      </c>
      <c r="G122" t="s">
        <v>29</v>
      </c>
      <c r="H122" t="s">
        <v>25</v>
      </c>
      <c r="I122" t="s">
        <v>26</v>
      </c>
      <c r="J122" t="s">
        <v>26</v>
      </c>
      <c r="K122">
        <v>104</v>
      </c>
      <c r="L122">
        <v>3</v>
      </c>
      <c r="M122">
        <v>0</v>
      </c>
      <c r="N122">
        <v>3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</row>
    <row r="123" spans="1:22" x14ac:dyDescent="0.25">
      <c r="A123">
        <v>2025</v>
      </c>
      <c r="B123">
        <v>7</v>
      </c>
      <c r="C123" t="s">
        <v>75</v>
      </c>
      <c r="D123" t="s">
        <v>22</v>
      </c>
      <c r="E123" t="s">
        <v>75</v>
      </c>
      <c r="F123" t="s">
        <v>27</v>
      </c>
      <c r="G123" t="s">
        <v>28</v>
      </c>
      <c r="H123" t="s">
        <v>26</v>
      </c>
      <c r="I123" t="s">
        <v>26</v>
      </c>
      <c r="J123" t="s">
        <v>25</v>
      </c>
      <c r="K123">
        <v>12249</v>
      </c>
      <c r="L123">
        <v>36</v>
      </c>
      <c r="M123">
        <v>133</v>
      </c>
      <c r="N123">
        <v>169</v>
      </c>
      <c r="O123">
        <v>3508</v>
      </c>
      <c r="P123">
        <v>2185</v>
      </c>
      <c r="Q123">
        <v>2182</v>
      </c>
      <c r="R123">
        <v>1606</v>
      </c>
      <c r="S123">
        <v>1238</v>
      </c>
      <c r="T123">
        <v>660</v>
      </c>
      <c r="U123">
        <v>273</v>
      </c>
      <c r="V123">
        <v>12173</v>
      </c>
    </row>
    <row r="124" spans="1:22" x14ac:dyDescent="0.25">
      <c r="A124">
        <v>2025</v>
      </c>
      <c r="B124">
        <v>7</v>
      </c>
      <c r="C124" t="s">
        <v>75</v>
      </c>
      <c r="D124" t="s">
        <v>22</v>
      </c>
      <c r="E124" t="s">
        <v>75</v>
      </c>
      <c r="F124" t="s">
        <v>27</v>
      </c>
      <c r="G124" t="s">
        <v>24</v>
      </c>
      <c r="H124" t="s">
        <v>26</v>
      </c>
      <c r="I124" t="s">
        <v>26</v>
      </c>
      <c r="J124" t="s">
        <v>25</v>
      </c>
      <c r="K124">
        <v>815</v>
      </c>
      <c r="L124">
        <v>20</v>
      </c>
      <c r="M124">
        <v>12</v>
      </c>
      <c r="N124">
        <v>32</v>
      </c>
      <c r="O124">
        <v>374</v>
      </c>
      <c r="P124">
        <v>243</v>
      </c>
      <c r="Q124">
        <v>243</v>
      </c>
      <c r="R124">
        <v>191</v>
      </c>
      <c r="S124">
        <v>131</v>
      </c>
      <c r="T124">
        <v>60</v>
      </c>
      <c r="U124">
        <v>25</v>
      </c>
      <c r="V124">
        <v>789</v>
      </c>
    </row>
    <row r="125" spans="1:22" x14ac:dyDescent="0.25">
      <c r="A125">
        <v>2025</v>
      </c>
      <c r="B125">
        <v>7</v>
      </c>
      <c r="C125" t="s">
        <v>75</v>
      </c>
      <c r="D125" t="s">
        <v>22</v>
      </c>
      <c r="E125" t="s">
        <v>75</v>
      </c>
      <c r="F125" t="s">
        <v>27</v>
      </c>
      <c r="G125" t="s">
        <v>29</v>
      </c>
      <c r="H125" t="s">
        <v>26</v>
      </c>
      <c r="I125" t="s">
        <v>26</v>
      </c>
      <c r="J125" t="s">
        <v>25</v>
      </c>
      <c r="K125">
        <v>812</v>
      </c>
      <c r="L125">
        <v>4</v>
      </c>
      <c r="M125">
        <v>0</v>
      </c>
      <c r="N125">
        <v>4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</row>
    <row r="126" spans="1:22" x14ac:dyDescent="0.25">
      <c r="A126">
        <v>2025</v>
      </c>
      <c r="B126">
        <v>7</v>
      </c>
      <c r="C126" t="s">
        <v>75</v>
      </c>
      <c r="D126" t="s">
        <v>22</v>
      </c>
      <c r="E126" t="s">
        <v>80</v>
      </c>
      <c r="F126" t="s">
        <v>76</v>
      </c>
      <c r="G126" t="s">
        <v>24</v>
      </c>
      <c r="H126" t="s">
        <v>25</v>
      </c>
      <c r="I126" t="s">
        <v>26</v>
      </c>
      <c r="J126" t="s">
        <v>25</v>
      </c>
      <c r="K126">
        <v>1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1</v>
      </c>
    </row>
    <row r="127" spans="1:22" x14ac:dyDescent="0.25">
      <c r="A127">
        <v>2025</v>
      </c>
      <c r="B127">
        <v>8</v>
      </c>
      <c r="C127" t="s">
        <v>75</v>
      </c>
      <c r="D127" t="s">
        <v>22</v>
      </c>
      <c r="E127" t="s">
        <v>123</v>
      </c>
      <c r="F127" t="s">
        <v>39</v>
      </c>
      <c r="G127" t="s">
        <v>28</v>
      </c>
      <c r="H127" t="s">
        <v>26</v>
      </c>
      <c r="I127" t="s">
        <v>26</v>
      </c>
      <c r="J127" t="s">
        <v>25</v>
      </c>
      <c r="K127">
        <v>1</v>
      </c>
      <c r="L127">
        <v>0</v>
      </c>
      <c r="M127">
        <v>0</v>
      </c>
      <c r="N127">
        <v>0</v>
      </c>
      <c r="O127">
        <v>1</v>
      </c>
      <c r="P127">
        <v>1</v>
      </c>
      <c r="Q127">
        <v>1</v>
      </c>
      <c r="R127">
        <v>1</v>
      </c>
      <c r="S127">
        <v>1</v>
      </c>
      <c r="T127">
        <v>1</v>
      </c>
      <c r="U127">
        <v>1</v>
      </c>
      <c r="V127">
        <v>1</v>
      </c>
    </row>
    <row r="128" spans="1:22" x14ac:dyDescent="0.25">
      <c r="A128">
        <v>2025</v>
      </c>
      <c r="B128">
        <v>8</v>
      </c>
      <c r="C128" t="s">
        <v>75</v>
      </c>
      <c r="D128" t="s">
        <v>22</v>
      </c>
      <c r="E128" t="s">
        <v>123</v>
      </c>
      <c r="F128" t="s">
        <v>39</v>
      </c>
      <c r="G128" t="s">
        <v>24</v>
      </c>
      <c r="H128" t="s">
        <v>26</v>
      </c>
      <c r="I128" t="s">
        <v>26</v>
      </c>
      <c r="J128" t="s">
        <v>25</v>
      </c>
      <c r="K128">
        <v>688</v>
      </c>
      <c r="L128">
        <v>2</v>
      </c>
      <c r="M128">
        <v>3</v>
      </c>
      <c r="N128">
        <v>5</v>
      </c>
      <c r="O128">
        <v>239</v>
      </c>
      <c r="P128">
        <v>167</v>
      </c>
      <c r="Q128">
        <v>165</v>
      </c>
      <c r="R128">
        <v>115</v>
      </c>
      <c r="S128">
        <v>72</v>
      </c>
      <c r="T128">
        <v>34</v>
      </c>
      <c r="U128">
        <v>12</v>
      </c>
      <c r="V128">
        <v>684</v>
      </c>
    </row>
    <row r="129" spans="1:22" x14ac:dyDescent="0.25">
      <c r="A129">
        <v>2025</v>
      </c>
      <c r="B129">
        <v>8</v>
      </c>
      <c r="C129" t="s">
        <v>75</v>
      </c>
      <c r="D129" t="s">
        <v>22</v>
      </c>
      <c r="E129" t="s">
        <v>123</v>
      </c>
      <c r="F129" t="s">
        <v>42</v>
      </c>
      <c r="G129" t="s">
        <v>24</v>
      </c>
      <c r="H129" t="s">
        <v>26</v>
      </c>
      <c r="I129" t="s">
        <v>26</v>
      </c>
      <c r="J129" t="s">
        <v>25</v>
      </c>
      <c r="K129">
        <v>39</v>
      </c>
      <c r="L129">
        <v>0</v>
      </c>
      <c r="M129">
        <v>0</v>
      </c>
      <c r="N129">
        <v>0</v>
      </c>
      <c r="O129">
        <v>14</v>
      </c>
      <c r="P129">
        <v>12</v>
      </c>
      <c r="Q129">
        <v>11</v>
      </c>
      <c r="R129">
        <v>7</v>
      </c>
      <c r="S129">
        <v>5</v>
      </c>
      <c r="T129">
        <v>0</v>
      </c>
      <c r="U129">
        <v>0</v>
      </c>
      <c r="V129">
        <v>39</v>
      </c>
    </row>
    <row r="130" spans="1:22" x14ac:dyDescent="0.25">
      <c r="A130">
        <v>2025</v>
      </c>
      <c r="B130">
        <v>8</v>
      </c>
      <c r="C130" t="s">
        <v>75</v>
      </c>
      <c r="D130" t="s">
        <v>22</v>
      </c>
      <c r="E130" t="s">
        <v>123</v>
      </c>
      <c r="F130" t="s">
        <v>27</v>
      </c>
      <c r="G130" t="s">
        <v>24</v>
      </c>
      <c r="H130" t="s">
        <v>26</v>
      </c>
      <c r="I130" t="s">
        <v>26</v>
      </c>
      <c r="J130" t="s">
        <v>25</v>
      </c>
      <c r="K130">
        <v>63</v>
      </c>
      <c r="L130">
        <v>0</v>
      </c>
      <c r="M130">
        <v>0</v>
      </c>
      <c r="N130">
        <v>0</v>
      </c>
      <c r="O130">
        <v>14</v>
      </c>
      <c r="P130">
        <v>10</v>
      </c>
      <c r="Q130">
        <v>9</v>
      </c>
      <c r="R130">
        <v>2</v>
      </c>
      <c r="S130">
        <v>2</v>
      </c>
      <c r="T130">
        <v>1</v>
      </c>
      <c r="U130">
        <v>0</v>
      </c>
      <c r="V130">
        <v>63</v>
      </c>
    </row>
    <row r="131" spans="1:22" x14ac:dyDescent="0.25">
      <c r="A131">
        <v>2025</v>
      </c>
      <c r="B131">
        <v>8</v>
      </c>
      <c r="C131" t="s">
        <v>75</v>
      </c>
      <c r="D131" t="s">
        <v>22</v>
      </c>
      <c r="E131" t="s">
        <v>61</v>
      </c>
      <c r="F131" t="s">
        <v>35</v>
      </c>
      <c r="G131" t="s">
        <v>24</v>
      </c>
      <c r="H131" t="s">
        <v>25</v>
      </c>
      <c r="I131" t="s">
        <v>26</v>
      </c>
      <c r="J131" t="s">
        <v>26</v>
      </c>
      <c r="K131">
        <v>52</v>
      </c>
      <c r="L131">
        <v>0</v>
      </c>
      <c r="M131">
        <v>0</v>
      </c>
      <c r="N131">
        <v>0</v>
      </c>
      <c r="O131">
        <v>16</v>
      </c>
      <c r="P131">
        <v>16</v>
      </c>
      <c r="Q131">
        <v>16</v>
      </c>
      <c r="R131">
        <v>16</v>
      </c>
      <c r="S131">
        <v>16</v>
      </c>
      <c r="T131">
        <v>10</v>
      </c>
      <c r="U131">
        <v>10</v>
      </c>
      <c r="V131">
        <v>52</v>
      </c>
    </row>
    <row r="132" spans="1:22" x14ac:dyDescent="0.25">
      <c r="A132">
        <v>2025</v>
      </c>
      <c r="B132">
        <v>8</v>
      </c>
      <c r="C132" t="s">
        <v>75</v>
      </c>
      <c r="D132" t="s">
        <v>22</v>
      </c>
      <c r="E132" t="s">
        <v>124</v>
      </c>
      <c r="F132" t="s">
        <v>70</v>
      </c>
      <c r="G132" t="s">
        <v>24</v>
      </c>
      <c r="H132" t="s">
        <v>26</v>
      </c>
      <c r="I132" t="s">
        <v>26</v>
      </c>
      <c r="J132" t="s">
        <v>25</v>
      </c>
      <c r="K132">
        <v>998</v>
      </c>
      <c r="L132">
        <v>0</v>
      </c>
      <c r="M132">
        <v>3</v>
      </c>
      <c r="N132">
        <v>3</v>
      </c>
      <c r="O132">
        <v>166</v>
      </c>
      <c r="P132">
        <v>89</v>
      </c>
      <c r="Q132">
        <v>88</v>
      </c>
      <c r="R132">
        <v>70</v>
      </c>
      <c r="S132">
        <v>46</v>
      </c>
      <c r="T132">
        <v>23</v>
      </c>
      <c r="U132">
        <v>9</v>
      </c>
      <c r="V132">
        <v>998</v>
      </c>
    </row>
    <row r="133" spans="1:22" x14ac:dyDescent="0.25">
      <c r="A133">
        <v>2025</v>
      </c>
      <c r="B133">
        <v>8</v>
      </c>
      <c r="C133" t="s">
        <v>75</v>
      </c>
      <c r="D133" t="s">
        <v>22</v>
      </c>
      <c r="E133" t="s">
        <v>124</v>
      </c>
      <c r="F133" t="s">
        <v>70</v>
      </c>
      <c r="G133" t="s">
        <v>29</v>
      </c>
      <c r="H133" t="s">
        <v>26</v>
      </c>
      <c r="I133" t="s">
        <v>26</v>
      </c>
      <c r="J133" t="s">
        <v>25</v>
      </c>
      <c r="K133">
        <v>11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</row>
    <row r="134" spans="1:22" x14ac:dyDescent="0.25">
      <c r="A134">
        <v>2025</v>
      </c>
      <c r="B134">
        <v>8</v>
      </c>
      <c r="C134" t="s">
        <v>75</v>
      </c>
      <c r="D134" t="s">
        <v>22</v>
      </c>
      <c r="E134" t="s">
        <v>72</v>
      </c>
      <c r="F134" t="s">
        <v>23</v>
      </c>
      <c r="G134" t="s">
        <v>24</v>
      </c>
      <c r="H134" t="s">
        <v>25</v>
      </c>
      <c r="I134" t="s">
        <v>26</v>
      </c>
      <c r="J134" t="s">
        <v>25</v>
      </c>
      <c r="K134">
        <v>2199</v>
      </c>
      <c r="L134">
        <v>10</v>
      </c>
      <c r="M134">
        <v>0</v>
      </c>
      <c r="N134">
        <v>10</v>
      </c>
      <c r="O134">
        <v>9</v>
      </c>
      <c r="P134">
        <v>9</v>
      </c>
      <c r="Q134">
        <v>7</v>
      </c>
      <c r="R134">
        <v>4</v>
      </c>
      <c r="S134">
        <v>1</v>
      </c>
      <c r="T134">
        <v>0</v>
      </c>
      <c r="U134">
        <v>0</v>
      </c>
      <c r="V134">
        <v>2189</v>
      </c>
    </row>
    <row r="135" spans="1:22" x14ac:dyDescent="0.25">
      <c r="A135">
        <v>2025</v>
      </c>
      <c r="B135">
        <v>8</v>
      </c>
      <c r="C135" t="s">
        <v>75</v>
      </c>
      <c r="D135" t="s">
        <v>22</v>
      </c>
      <c r="E135" t="s">
        <v>75</v>
      </c>
      <c r="F135" t="s">
        <v>39</v>
      </c>
      <c r="G135" t="s">
        <v>24</v>
      </c>
      <c r="H135" t="s">
        <v>26</v>
      </c>
      <c r="I135" t="s">
        <v>26</v>
      </c>
      <c r="J135" t="s">
        <v>25</v>
      </c>
      <c r="K135">
        <v>5</v>
      </c>
      <c r="L135">
        <v>0</v>
      </c>
      <c r="M135">
        <v>1</v>
      </c>
      <c r="N135">
        <v>1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4</v>
      </c>
    </row>
    <row r="136" spans="1:22" x14ac:dyDescent="0.25">
      <c r="A136">
        <v>2025</v>
      </c>
      <c r="B136">
        <v>8</v>
      </c>
      <c r="C136" t="s">
        <v>75</v>
      </c>
      <c r="D136" t="s">
        <v>22</v>
      </c>
      <c r="E136" t="s">
        <v>75</v>
      </c>
      <c r="F136" t="s">
        <v>39</v>
      </c>
      <c r="G136" t="s">
        <v>29</v>
      </c>
      <c r="H136" t="s">
        <v>26</v>
      </c>
      <c r="I136" t="s">
        <v>26</v>
      </c>
      <c r="J136" t="s">
        <v>25</v>
      </c>
      <c r="K136">
        <v>1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</row>
    <row r="137" spans="1:22" x14ac:dyDescent="0.25">
      <c r="A137">
        <v>2025</v>
      </c>
      <c r="B137">
        <v>8</v>
      </c>
      <c r="C137" t="s">
        <v>75</v>
      </c>
      <c r="D137" t="s">
        <v>22</v>
      </c>
      <c r="E137" t="s">
        <v>75</v>
      </c>
      <c r="F137" t="s">
        <v>77</v>
      </c>
      <c r="G137" t="s">
        <v>28</v>
      </c>
      <c r="H137" t="s">
        <v>25</v>
      </c>
      <c r="I137" t="s">
        <v>26</v>
      </c>
      <c r="J137" t="s">
        <v>25</v>
      </c>
      <c r="K137">
        <v>1956</v>
      </c>
      <c r="L137">
        <v>18</v>
      </c>
      <c r="M137">
        <v>19</v>
      </c>
      <c r="N137">
        <v>37</v>
      </c>
      <c r="O137">
        <v>674</v>
      </c>
      <c r="P137">
        <v>471</v>
      </c>
      <c r="Q137">
        <v>470</v>
      </c>
      <c r="R137">
        <v>367</v>
      </c>
      <c r="S137">
        <v>307</v>
      </c>
      <c r="T137">
        <v>180</v>
      </c>
      <c r="U137">
        <v>74</v>
      </c>
      <c r="V137">
        <v>1930</v>
      </c>
    </row>
    <row r="138" spans="1:22" x14ac:dyDescent="0.25">
      <c r="A138">
        <v>2025</v>
      </c>
      <c r="B138">
        <v>8</v>
      </c>
      <c r="C138" t="s">
        <v>75</v>
      </c>
      <c r="D138" t="s">
        <v>22</v>
      </c>
      <c r="E138" t="s">
        <v>75</v>
      </c>
      <c r="F138" t="s">
        <v>77</v>
      </c>
      <c r="G138" t="s">
        <v>29</v>
      </c>
      <c r="H138" t="s">
        <v>25</v>
      </c>
      <c r="I138" t="s">
        <v>26</v>
      </c>
      <c r="J138" t="s">
        <v>25</v>
      </c>
      <c r="K138">
        <v>10</v>
      </c>
      <c r="L138">
        <v>1</v>
      </c>
      <c r="M138">
        <v>0</v>
      </c>
      <c r="N138">
        <v>1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</row>
    <row r="139" spans="1:22" x14ac:dyDescent="0.25">
      <c r="A139">
        <v>2025</v>
      </c>
      <c r="B139">
        <v>8</v>
      </c>
      <c r="C139" t="s">
        <v>75</v>
      </c>
      <c r="D139" t="s">
        <v>22</v>
      </c>
      <c r="E139" t="s">
        <v>75</v>
      </c>
      <c r="F139" t="s">
        <v>78</v>
      </c>
      <c r="G139" t="s">
        <v>28</v>
      </c>
      <c r="H139" t="s">
        <v>25</v>
      </c>
      <c r="I139" t="s">
        <v>26</v>
      </c>
      <c r="J139" t="s">
        <v>26</v>
      </c>
      <c r="K139">
        <v>190</v>
      </c>
      <c r="L139">
        <v>3</v>
      </c>
      <c r="M139">
        <v>2</v>
      </c>
      <c r="N139">
        <v>5</v>
      </c>
      <c r="O139">
        <v>67</v>
      </c>
      <c r="P139">
        <v>45</v>
      </c>
      <c r="Q139">
        <v>45</v>
      </c>
      <c r="R139">
        <v>30</v>
      </c>
      <c r="S139">
        <v>24</v>
      </c>
      <c r="T139">
        <v>14</v>
      </c>
      <c r="U139">
        <v>3</v>
      </c>
      <c r="V139">
        <v>187</v>
      </c>
    </row>
    <row r="140" spans="1:22" x14ac:dyDescent="0.25">
      <c r="A140">
        <v>2025</v>
      </c>
      <c r="B140">
        <v>8</v>
      </c>
      <c r="C140" t="s">
        <v>75</v>
      </c>
      <c r="D140" t="s">
        <v>22</v>
      </c>
      <c r="E140" t="s">
        <v>75</v>
      </c>
      <c r="F140" t="s">
        <v>78</v>
      </c>
      <c r="G140" t="s">
        <v>29</v>
      </c>
      <c r="H140" t="s">
        <v>25</v>
      </c>
      <c r="I140" t="s">
        <v>26</v>
      </c>
      <c r="J140" t="s">
        <v>26</v>
      </c>
      <c r="K140">
        <v>121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</row>
    <row r="141" spans="1:22" x14ac:dyDescent="0.25">
      <c r="A141">
        <v>2025</v>
      </c>
      <c r="B141">
        <v>8</v>
      </c>
      <c r="C141" t="s">
        <v>75</v>
      </c>
      <c r="D141" t="s">
        <v>22</v>
      </c>
      <c r="E141" t="s">
        <v>75</v>
      </c>
      <c r="F141" t="s">
        <v>27</v>
      </c>
      <c r="G141" t="s">
        <v>28</v>
      </c>
      <c r="H141" t="s">
        <v>26</v>
      </c>
      <c r="I141" t="s">
        <v>26</v>
      </c>
      <c r="J141" t="s">
        <v>25</v>
      </c>
      <c r="K141">
        <v>13670</v>
      </c>
      <c r="L141">
        <v>35</v>
      </c>
      <c r="M141">
        <v>122</v>
      </c>
      <c r="N141">
        <v>157</v>
      </c>
      <c r="O141">
        <v>3729</v>
      </c>
      <c r="P141">
        <v>2322</v>
      </c>
      <c r="Q141">
        <v>2321</v>
      </c>
      <c r="R141">
        <v>1723</v>
      </c>
      <c r="S141">
        <v>1344</v>
      </c>
      <c r="T141">
        <v>712</v>
      </c>
      <c r="U141">
        <v>296</v>
      </c>
      <c r="V141">
        <v>13609</v>
      </c>
    </row>
    <row r="142" spans="1:22" x14ac:dyDescent="0.25">
      <c r="A142">
        <v>2025</v>
      </c>
      <c r="B142">
        <v>8</v>
      </c>
      <c r="C142" t="s">
        <v>75</v>
      </c>
      <c r="D142" t="s">
        <v>22</v>
      </c>
      <c r="E142" t="s">
        <v>75</v>
      </c>
      <c r="F142" t="s">
        <v>27</v>
      </c>
      <c r="G142" t="s">
        <v>24</v>
      </c>
      <c r="H142" t="s">
        <v>26</v>
      </c>
      <c r="I142" t="s">
        <v>26</v>
      </c>
      <c r="J142" t="s">
        <v>25</v>
      </c>
      <c r="K142">
        <v>870</v>
      </c>
      <c r="L142">
        <v>4</v>
      </c>
      <c r="M142">
        <v>9</v>
      </c>
      <c r="N142">
        <v>13</v>
      </c>
      <c r="O142">
        <v>393</v>
      </c>
      <c r="P142">
        <v>234</v>
      </c>
      <c r="Q142">
        <v>234</v>
      </c>
      <c r="R142">
        <v>182</v>
      </c>
      <c r="S142">
        <v>140</v>
      </c>
      <c r="T142">
        <v>79</v>
      </c>
      <c r="U142">
        <v>28</v>
      </c>
      <c r="V142">
        <v>864</v>
      </c>
    </row>
    <row r="143" spans="1:22" x14ac:dyDescent="0.25">
      <c r="A143">
        <v>2025</v>
      </c>
      <c r="B143">
        <v>8</v>
      </c>
      <c r="C143" t="s">
        <v>75</v>
      </c>
      <c r="D143" t="s">
        <v>22</v>
      </c>
      <c r="E143" t="s">
        <v>75</v>
      </c>
      <c r="F143" t="s">
        <v>27</v>
      </c>
      <c r="G143" t="s">
        <v>29</v>
      </c>
      <c r="H143" t="s">
        <v>26</v>
      </c>
      <c r="I143" t="s">
        <v>26</v>
      </c>
      <c r="J143" t="s">
        <v>25</v>
      </c>
      <c r="K143">
        <v>726</v>
      </c>
      <c r="L143">
        <v>3</v>
      </c>
      <c r="M143">
        <v>0</v>
      </c>
      <c r="N143">
        <v>3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</row>
    <row r="144" spans="1:22" x14ac:dyDescent="0.25">
      <c r="A144">
        <v>2025</v>
      </c>
      <c r="B144">
        <v>9</v>
      </c>
      <c r="C144" t="s">
        <v>75</v>
      </c>
      <c r="D144" t="s">
        <v>22</v>
      </c>
      <c r="E144" t="s">
        <v>123</v>
      </c>
      <c r="F144" t="s">
        <v>39</v>
      </c>
      <c r="G144" t="s">
        <v>24</v>
      </c>
      <c r="H144" t="s">
        <v>26</v>
      </c>
      <c r="I144" t="s">
        <v>26</v>
      </c>
      <c r="J144" t="s">
        <v>25</v>
      </c>
      <c r="K144">
        <v>679</v>
      </c>
      <c r="L144">
        <v>4</v>
      </c>
      <c r="M144">
        <v>9</v>
      </c>
      <c r="N144">
        <v>13</v>
      </c>
      <c r="O144">
        <v>260</v>
      </c>
      <c r="P144">
        <v>194</v>
      </c>
      <c r="Q144">
        <v>188</v>
      </c>
      <c r="R144">
        <v>137</v>
      </c>
      <c r="S144">
        <v>105</v>
      </c>
      <c r="T144">
        <v>42</v>
      </c>
      <c r="U144">
        <v>10</v>
      </c>
      <c r="V144">
        <v>673</v>
      </c>
    </row>
    <row r="145" spans="1:22" x14ac:dyDescent="0.25">
      <c r="A145">
        <v>2025</v>
      </c>
      <c r="B145">
        <v>9</v>
      </c>
      <c r="C145" t="s">
        <v>75</v>
      </c>
      <c r="D145" t="s">
        <v>22</v>
      </c>
      <c r="E145" t="s">
        <v>123</v>
      </c>
      <c r="F145" t="s">
        <v>42</v>
      </c>
      <c r="G145" t="s">
        <v>24</v>
      </c>
      <c r="H145" t="s">
        <v>26</v>
      </c>
      <c r="I145" t="s">
        <v>26</v>
      </c>
      <c r="J145" t="s">
        <v>25</v>
      </c>
      <c r="K145">
        <v>28</v>
      </c>
      <c r="L145">
        <v>0</v>
      </c>
      <c r="M145">
        <v>0</v>
      </c>
      <c r="N145">
        <v>0</v>
      </c>
      <c r="O145">
        <v>19</v>
      </c>
      <c r="P145">
        <v>19</v>
      </c>
      <c r="Q145">
        <v>19</v>
      </c>
      <c r="R145">
        <v>17</v>
      </c>
      <c r="S145">
        <v>16</v>
      </c>
      <c r="T145">
        <v>9</v>
      </c>
      <c r="U145">
        <v>1</v>
      </c>
      <c r="V145">
        <v>28</v>
      </c>
    </row>
    <row r="146" spans="1:22" x14ac:dyDescent="0.25">
      <c r="A146">
        <v>2025</v>
      </c>
      <c r="B146">
        <v>9</v>
      </c>
      <c r="C146" t="s">
        <v>75</v>
      </c>
      <c r="D146" t="s">
        <v>22</v>
      </c>
      <c r="E146" t="s">
        <v>123</v>
      </c>
      <c r="F146" t="s">
        <v>27</v>
      </c>
      <c r="G146" t="s">
        <v>24</v>
      </c>
      <c r="H146" t="s">
        <v>26</v>
      </c>
      <c r="I146" t="s">
        <v>26</v>
      </c>
      <c r="J146" t="s">
        <v>25</v>
      </c>
      <c r="K146">
        <v>55</v>
      </c>
      <c r="L146">
        <v>0</v>
      </c>
      <c r="M146">
        <v>0</v>
      </c>
      <c r="N146">
        <v>0</v>
      </c>
      <c r="O146">
        <v>6</v>
      </c>
      <c r="P146">
        <v>4</v>
      </c>
      <c r="Q146">
        <v>4</v>
      </c>
      <c r="R146">
        <v>1</v>
      </c>
      <c r="S146">
        <v>1</v>
      </c>
      <c r="T146">
        <v>0</v>
      </c>
      <c r="U146">
        <v>0</v>
      </c>
      <c r="V146">
        <v>55</v>
      </c>
    </row>
    <row r="147" spans="1:22" x14ac:dyDescent="0.25">
      <c r="A147">
        <v>2025</v>
      </c>
      <c r="B147">
        <v>9</v>
      </c>
      <c r="C147" t="s">
        <v>75</v>
      </c>
      <c r="D147" t="s">
        <v>22</v>
      </c>
      <c r="E147" t="s">
        <v>61</v>
      </c>
      <c r="F147" t="s">
        <v>35</v>
      </c>
      <c r="G147" t="s">
        <v>24</v>
      </c>
      <c r="H147" t="s">
        <v>25</v>
      </c>
      <c r="I147" t="s">
        <v>26</v>
      </c>
      <c r="J147" t="s">
        <v>26</v>
      </c>
      <c r="K147">
        <v>42</v>
      </c>
      <c r="L147">
        <v>2</v>
      </c>
      <c r="M147">
        <v>0</v>
      </c>
      <c r="N147">
        <v>2</v>
      </c>
      <c r="O147">
        <v>18</v>
      </c>
      <c r="P147">
        <v>16</v>
      </c>
      <c r="Q147">
        <v>16</v>
      </c>
      <c r="R147">
        <v>16</v>
      </c>
      <c r="S147">
        <v>16</v>
      </c>
      <c r="T147">
        <v>16</v>
      </c>
      <c r="U147">
        <v>8</v>
      </c>
      <c r="V147">
        <v>40</v>
      </c>
    </row>
    <row r="148" spans="1:22" x14ac:dyDescent="0.25">
      <c r="A148">
        <v>2025</v>
      </c>
      <c r="B148">
        <v>9</v>
      </c>
      <c r="C148" t="s">
        <v>75</v>
      </c>
      <c r="D148" t="s">
        <v>22</v>
      </c>
      <c r="E148" t="s">
        <v>124</v>
      </c>
      <c r="F148" t="s">
        <v>70</v>
      </c>
      <c r="G148" t="s">
        <v>24</v>
      </c>
      <c r="H148" t="s">
        <v>26</v>
      </c>
      <c r="I148" t="s">
        <v>26</v>
      </c>
      <c r="J148" t="s">
        <v>25</v>
      </c>
      <c r="K148">
        <v>921</v>
      </c>
      <c r="L148">
        <v>0</v>
      </c>
      <c r="M148">
        <v>3</v>
      </c>
      <c r="N148">
        <v>3</v>
      </c>
      <c r="O148">
        <v>185</v>
      </c>
      <c r="P148">
        <v>108</v>
      </c>
      <c r="Q148">
        <v>106</v>
      </c>
      <c r="R148">
        <v>85</v>
      </c>
      <c r="S148">
        <v>69</v>
      </c>
      <c r="T148">
        <v>40</v>
      </c>
      <c r="U148">
        <v>8</v>
      </c>
      <c r="V148">
        <v>921</v>
      </c>
    </row>
    <row r="149" spans="1:22" x14ac:dyDescent="0.25">
      <c r="A149">
        <v>2025</v>
      </c>
      <c r="B149">
        <v>9</v>
      </c>
      <c r="C149" t="s">
        <v>75</v>
      </c>
      <c r="D149" t="s">
        <v>22</v>
      </c>
      <c r="E149" t="s">
        <v>124</v>
      </c>
      <c r="F149" t="s">
        <v>70</v>
      </c>
      <c r="G149" t="s">
        <v>29</v>
      </c>
      <c r="H149" t="s">
        <v>26</v>
      </c>
      <c r="I149" t="s">
        <v>26</v>
      </c>
      <c r="J149" t="s">
        <v>25</v>
      </c>
      <c r="K149">
        <v>13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</row>
    <row r="150" spans="1:22" x14ac:dyDescent="0.25">
      <c r="A150">
        <v>2025</v>
      </c>
      <c r="B150">
        <v>9</v>
      </c>
      <c r="C150" t="s">
        <v>75</v>
      </c>
      <c r="D150" t="s">
        <v>22</v>
      </c>
      <c r="E150" t="s">
        <v>72</v>
      </c>
      <c r="F150" t="s">
        <v>23</v>
      </c>
      <c r="G150" t="s">
        <v>24</v>
      </c>
      <c r="H150" t="s">
        <v>25</v>
      </c>
      <c r="I150" t="s">
        <v>26</v>
      </c>
      <c r="J150" t="s">
        <v>25</v>
      </c>
      <c r="K150">
        <v>2026</v>
      </c>
      <c r="L150">
        <v>28</v>
      </c>
      <c r="M150">
        <v>0</v>
      </c>
      <c r="N150">
        <v>28</v>
      </c>
      <c r="O150">
        <v>6</v>
      </c>
      <c r="P150">
        <v>2</v>
      </c>
      <c r="Q150">
        <v>2</v>
      </c>
      <c r="R150">
        <v>1</v>
      </c>
      <c r="S150">
        <v>1</v>
      </c>
      <c r="T150">
        <v>0</v>
      </c>
      <c r="U150">
        <v>0</v>
      </c>
      <c r="V150">
        <v>1998</v>
      </c>
    </row>
    <row r="151" spans="1:22" x14ac:dyDescent="0.25">
      <c r="A151">
        <v>2025</v>
      </c>
      <c r="B151">
        <v>9</v>
      </c>
      <c r="C151" t="s">
        <v>75</v>
      </c>
      <c r="D151" t="s">
        <v>22</v>
      </c>
      <c r="E151" t="s">
        <v>75</v>
      </c>
      <c r="F151" t="s">
        <v>109</v>
      </c>
      <c r="G151" t="s">
        <v>28</v>
      </c>
      <c r="H151" t="s">
        <v>25</v>
      </c>
      <c r="I151" t="s">
        <v>25</v>
      </c>
      <c r="J151" t="s">
        <v>25</v>
      </c>
      <c r="K151">
        <v>842</v>
      </c>
      <c r="L151">
        <v>0</v>
      </c>
      <c r="M151">
        <v>0</v>
      </c>
      <c r="N151">
        <v>0</v>
      </c>
      <c r="O151">
        <v>13</v>
      </c>
      <c r="P151">
        <v>3</v>
      </c>
      <c r="Q151">
        <v>3</v>
      </c>
      <c r="R151">
        <v>1</v>
      </c>
      <c r="S151">
        <v>0</v>
      </c>
      <c r="T151">
        <v>0</v>
      </c>
      <c r="U151">
        <v>0</v>
      </c>
      <c r="V151">
        <v>842</v>
      </c>
    </row>
    <row r="152" spans="1:22" x14ac:dyDescent="0.25">
      <c r="A152">
        <v>2025</v>
      </c>
      <c r="B152">
        <v>9</v>
      </c>
      <c r="C152" t="s">
        <v>75</v>
      </c>
      <c r="D152" t="s">
        <v>22</v>
      </c>
      <c r="E152" t="s">
        <v>75</v>
      </c>
      <c r="F152" t="s">
        <v>109</v>
      </c>
      <c r="G152" t="s">
        <v>24</v>
      </c>
      <c r="H152" t="s">
        <v>25</v>
      </c>
      <c r="I152" t="s">
        <v>25</v>
      </c>
      <c r="J152" t="s">
        <v>25</v>
      </c>
      <c r="K152">
        <v>7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7</v>
      </c>
    </row>
    <row r="153" spans="1:22" x14ac:dyDescent="0.25">
      <c r="A153">
        <v>2025</v>
      </c>
      <c r="B153">
        <v>9</v>
      </c>
      <c r="C153" t="s">
        <v>75</v>
      </c>
      <c r="D153" t="s">
        <v>22</v>
      </c>
      <c r="E153" t="s">
        <v>75</v>
      </c>
      <c r="F153" t="s">
        <v>109</v>
      </c>
      <c r="G153" t="s">
        <v>29</v>
      </c>
      <c r="H153" t="s">
        <v>25</v>
      </c>
      <c r="I153" t="s">
        <v>25</v>
      </c>
      <c r="J153" t="s">
        <v>25</v>
      </c>
      <c r="K153">
        <v>65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</row>
    <row r="154" spans="1:22" x14ac:dyDescent="0.25">
      <c r="A154">
        <v>2025</v>
      </c>
      <c r="B154">
        <v>9</v>
      </c>
      <c r="C154" t="s">
        <v>75</v>
      </c>
      <c r="D154" t="s">
        <v>22</v>
      </c>
      <c r="E154" t="s">
        <v>75</v>
      </c>
      <c r="F154" t="s">
        <v>39</v>
      </c>
      <c r="G154" t="s">
        <v>24</v>
      </c>
      <c r="H154" t="s">
        <v>26</v>
      </c>
      <c r="I154" t="s">
        <v>26</v>
      </c>
      <c r="J154" t="s">
        <v>25</v>
      </c>
      <c r="K154">
        <v>3</v>
      </c>
      <c r="L154">
        <v>1</v>
      </c>
      <c r="M154">
        <v>0</v>
      </c>
      <c r="N154">
        <v>1</v>
      </c>
      <c r="O154">
        <v>1</v>
      </c>
      <c r="P154">
        <v>1</v>
      </c>
      <c r="Q154">
        <v>1</v>
      </c>
      <c r="R154">
        <v>1</v>
      </c>
      <c r="S154">
        <v>1</v>
      </c>
      <c r="T154">
        <v>0</v>
      </c>
      <c r="U154">
        <v>0</v>
      </c>
      <c r="V154">
        <v>2</v>
      </c>
    </row>
    <row r="155" spans="1:22" x14ac:dyDescent="0.25">
      <c r="A155">
        <v>2025</v>
      </c>
      <c r="B155">
        <v>9</v>
      </c>
      <c r="C155" t="s">
        <v>75</v>
      </c>
      <c r="D155" t="s">
        <v>22</v>
      </c>
      <c r="E155" t="s">
        <v>75</v>
      </c>
      <c r="F155" t="s">
        <v>77</v>
      </c>
      <c r="G155" t="s">
        <v>28</v>
      </c>
      <c r="H155" t="s">
        <v>25</v>
      </c>
      <c r="I155" t="s">
        <v>26</v>
      </c>
      <c r="J155" t="s">
        <v>25</v>
      </c>
      <c r="K155">
        <v>1984</v>
      </c>
      <c r="L155">
        <v>26</v>
      </c>
      <c r="M155">
        <v>25</v>
      </c>
      <c r="N155">
        <v>51</v>
      </c>
      <c r="O155">
        <v>595</v>
      </c>
      <c r="P155">
        <v>400</v>
      </c>
      <c r="Q155">
        <v>398</v>
      </c>
      <c r="R155">
        <v>298</v>
      </c>
      <c r="S155">
        <v>250</v>
      </c>
      <c r="T155">
        <v>151</v>
      </c>
      <c r="U155">
        <v>69</v>
      </c>
      <c r="V155">
        <v>1949</v>
      </c>
    </row>
    <row r="156" spans="1:22" x14ac:dyDescent="0.25">
      <c r="A156">
        <v>2025</v>
      </c>
      <c r="B156">
        <v>9</v>
      </c>
      <c r="C156" t="s">
        <v>75</v>
      </c>
      <c r="D156" t="s">
        <v>22</v>
      </c>
      <c r="E156" t="s">
        <v>75</v>
      </c>
      <c r="F156" t="s">
        <v>77</v>
      </c>
      <c r="G156" t="s">
        <v>29</v>
      </c>
      <c r="H156" t="s">
        <v>25</v>
      </c>
      <c r="I156" t="s">
        <v>26</v>
      </c>
      <c r="J156" t="s">
        <v>25</v>
      </c>
      <c r="K156">
        <v>27</v>
      </c>
      <c r="L156">
        <v>1</v>
      </c>
      <c r="M156">
        <v>0</v>
      </c>
      <c r="N156">
        <v>1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</row>
    <row r="157" spans="1:22" x14ac:dyDescent="0.25">
      <c r="A157">
        <v>2025</v>
      </c>
      <c r="B157">
        <v>9</v>
      </c>
      <c r="C157" t="s">
        <v>75</v>
      </c>
      <c r="D157" t="s">
        <v>22</v>
      </c>
      <c r="E157" t="s">
        <v>75</v>
      </c>
      <c r="F157" t="s">
        <v>78</v>
      </c>
      <c r="G157" t="s">
        <v>28</v>
      </c>
      <c r="H157" t="s">
        <v>25</v>
      </c>
      <c r="I157" t="s">
        <v>26</v>
      </c>
      <c r="J157" t="s">
        <v>26</v>
      </c>
      <c r="K157">
        <v>264</v>
      </c>
      <c r="L157">
        <v>24</v>
      </c>
      <c r="M157">
        <v>3</v>
      </c>
      <c r="N157">
        <v>27</v>
      </c>
      <c r="O157">
        <v>87</v>
      </c>
      <c r="P157">
        <v>50</v>
      </c>
      <c r="Q157">
        <v>50</v>
      </c>
      <c r="R157">
        <v>29</v>
      </c>
      <c r="S157">
        <v>18</v>
      </c>
      <c r="T157">
        <v>14</v>
      </c>
      <c r="U157">
        <v>8</v>
      </c>
      <c r="V157">
        <v>238</v>
      </c>
    </row>
    <row r="158" spans="1:22" x14ac:dyDescent="0.25">
      <c r="A158">
        <v>2025</v>
      </c>
      <c r="B158">
        <v>9</v>
      </c>
      <c r="C158" t="s">
        <v>75</v>
      </c>
      <c r="D158" t="s">
        <v>22</v>
      </c>
      <c r="E158" t="s">
        <v>75</v>
      </c>
      <c r="F158" t="s">
        <v>78</v>
      </c>
      <c r="G158" t="s">
        <v>29</v>
      </c>
      <c r="H158" t="s">
        <v>25</v>
      </c>
      <c r="I158" t="s">
        <v>26</v>
      </c>
      <c r="J158" t="s">
        <v>26</v>
      </c>
      <c r="K158">
        <v>80</v>
      </c>
      <c r="L158">
        <v>11</v>
      </c>
      <c r="M158">
        <v>0</v>
      </c>
      <c r="N158">
        <v>11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</row>
    <row r="159" spans="1:22" x14ac:dyDescent="0.25">
      <c r="A159">
        <v>2025</v>
      </c>
      <c r="B159">
        <v>9</v>
      </c>
      <c r="C159" t="s">
        <v>75</v>
      </c>
      <c r="D159" t="s">
        <v>22</v>
      </c>
      <c r="E159" t="s">
        <v>75</v>
      </c>
      <c r="F159" t="s">
        <v>110</v>
      </c>
      <c r="G159" t="s">
        <v>28</v>
      </c>
      <c r="H159" t="s">
        <v>25</v>
      </c>
      <c r="I159" t="s">
        <v>25</v>
      </c>
      <c r="J159" t="s">
        <v>25</v>
      </c>
      <c r="K159">
        <v>1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1</v>
      </c>
    </row>
    <row r="160" spans="1:22" x14ac:dyDescent="0.25">
      <c r="A160">
        <v>2025</v>
      </c>
      <c r="B160">
        <v>9</v>
      </c>
      <c r="C160" t="s">
        <v>75</v>
      </c>
      <c r="D160" t="s">
        <v>22</v>
      </c>
      <c r="E160" t="s">
        <v>75</v>
      </c>
      <c r="F160" t="s">
        <v>27</v>
      </c>
      <c r="G160" t="s">
        <v>28</v>
      </c>
      <c r="H160" t="s">
        <v>26</v>
      </c>
      <c r="I160" t="s">
        <v>26</v>
      </c>
      <c r="J160" t="s">
        <v>25</v>
      </c>
      <c r="K160">
        <v>13898</v>
      </c>
      <c r="L160">
        <v>37</v>
      </c>
      <c r="M160">
        <v>134</v>
      </c>
      <c r="N160">
        <v>171</v>
      </c>
      <c r="O160">
        <v>3339</v>
      </c>
      <c r="P160">
        <v>2036</v>
      </c>
      <c r="Q160">
        <v>2036</v>
      </c>
      <c r="R160">
        <v>1512</v>
      </c>
      <c r="S160">
        <v>1175</v>
      </c>
      <c r="T160">
        <v>700</v>
      </c>
      <c r="U160">
        <v>319</v>
      </c>
      <c r="V160">
        <v>13822</v>
      </c>
    </row>
    <row r="161" spans="1:22" x14ac:dyDescent="0.25">
      <c r="A161">
        <v>2025</v>
      </c>
      <c r="B161">
        <v>9</v>
      </c>
      <c r="C161" t="s">
        <v>75</v>
      </c>
      <c r="D161" t="s">
        <v>22</v>
      </c>
      <c r="E161" t="s">
        <v>75</v>
      </c>
      <c r="F161" t="s">
        <v>27</v>
      </c>
      <c r="G161" t="s">
        <v>24</v>
      </c>
      <c r="H161" t="s">
        <v>26</v>
      </c>
      <c r="I161" t="s">
        <v>26</v>
      </c>
      <c r="J161" t="s">
        <v>25</v>
      </c>
      <c r="K161">
        <v>1311</v>
      </c>
      <c r="L161">
        <v>4</v>
      </c>
      <c r="M161">
        <v>11</v>
      </c>
      <c r="N161">
        <v>15</v>
      </c>
      <c r="O161">
        <v>464</v>
      </c>
      <c r="P161">
        <v>268</v>
      </c>
      <c r="Q161">
        <v>268</v>
      </c>
      <c r="R161">
        <v>200</v>
      </c>
      <c r="S161">
        <v>146</v>
      </c>
      <c r="T161">
        <v>63</v>
      </c>
      <c r="U161">
        <v>36</v>
      </c>
      <c r="V161">
        <v>1305</v>
      </c>
    </row>
    <row r="162" spans="1:22" x14ac:dyDescent="0.25">
      <c r="A162">
        <v>2025</v>
      </c>
      <c r="B162">
        <v>9</v>
      </c>
      <c r="C162" t="s">
        <v>75</v>
      </c>
      <c r="D162" t="s">
        <v>22</v>
      </c>
      <c r="E162" t="s">
        <v>75</v>
      </c>
      <c r="F162" t="s">
        <v>27</v>
      </c>
      <c r="G162" t="s">
        <v>29</v>
      </c>
      <c r="H162" t="s">
        <v>26</v>
      </c>
      <c r="I162" t="s">
        <v>26</v>
      </c>
      <c r="J162" t="s">
        <v>25</v>
      </c>
      <c r="K162">
        <v>1269</v>
      </c>
      <c r="L162">
        <v>6</v>
      </c>
      <c r="M162">
        <v>0</v>
      </c>
      <c r="N162">
        <v>6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</row>
    <row r="163" spans="1:22" x14ac:dyDescent="0.25">
      <c r="A163">
        <v>2025</v>
      </c>
      <c r="B163">
        <v>10</v>
      </c>
      <c r="C163" t="s">
        <v>75</v>
      </c>
      <c r="D163" t="s">
        <v>22</v>
      </c>
      <c r="E163" t="s">
        <v>37</v>
      </c>
      <c r="F163" t="s">
        <v>39</v>
      </c>
      <c r="G163" t="s">
        <v>28</v>
      </c>
      <c r="H163" t="s">
        <v>26</v>
      </c>
      <c r="I163" t="s">
        <v>26</v>
      </c>
      <c r="J163" t="s">
        <v>25</v>
      </c>
      <c r="K163">
        <v>1</v>
      </c>
      <c r="L163">
        <v>0</v>
      </c>
      <c r="M163">
        <v>0</v>
      </c>
      <c r="N163">
        <v>0</v>
      </c>
      <c r="O163">
        <v>1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1</v>
      </c>
    </row>
    <row r="164" spans="1:22" x14ac:dyDescent="0.25">
      <c r="A164">
        <v>2025</v>
      </c>
      <c r="B164">
        <v>10</v>
      </c>
      <c r="C164" t="s">
        <v>75</v>
      </c>
      <c r="D164" t="s">
        <v>22</v>
      </c>
      <c r="E164" t="s">
        <v>123</v>
      </c>
      <c r="F164" t="s">
        <v>39</v>
      </c>
      <c r="G164" t="s">
        <v>24</v>
      </c>
      <c r="H164" t="s">
        <v>26</v>
      </c>
      <c r="I164" t="s">
        <v>26</v>
      </c>
      <c r="J164" t="s">
        <v>25</v>
      </c>
      <c r="K164">
        <v>540</v>
      </c>
      <c r="L164">
        <v>1</v>
      </c>
      <c r="M164">
        <v>2</v>
      </c>
      <c r="N164">
        <v>3</v>
      </c>
      <c r="O164">
        <v>198</v>
      </c>
      <c r="P164">
        <v>137</v>
      </c>
      <c r="Q164">
        <v>129</v>
      </c>
      <c r="R164">
        <v>100</v>
      </c>
      <c r="S164">
        <v>76</v>
      </c>
      <c r="T164">
        <v>44</v>
      </c>
      <c r="U164">
        <v>10</v>
      </c>
      <c r="V164">
        <v>539</v>
      </c>
    </row>
    <row r="165" spans="1:22" x14ac:dyDescent="0.25">
      <c r="A165">
        <v>2025</v>
      </c>
      <c r="B165">
        <v>10</v>
      </c>
      <c r="C165" t="s">
        <v>75</v>
      </c>
      <c r="D165" t="s">
        <v>22</v>
      </c>
      <c r="E165" t="s">
        <v>123</v>
      </c>
      <c r="F165" t="s">
        <v>111</v>
      </c>
      <c r="G165" t="s">
        <v>24</v>
      </c>
      <c r="H165" t="s">
        <v>26</v>
      </c>
      <c r="I165" t="s">
        <v>26</v>
      </c>
      <c r="J165" t="s">
        <v>25</v>
      </c>
      <c r="K165">
        <v>35</v>
      </c>
      <c r="L165">
        <v>6</v>
      </c>
      <c r="M165">
        <v>0</v>
      </c>
      <c r="N165">
        <v>6</v>
      </c>
      <c r="O165">
        <v>3</v>
      </c>
      <c r="P165">
        <v>2</v>
      </c>
      <c r="Q165">
        <v>2</v>
      </c>
      <c r="R165">
        <v>1</v>
      </c>
      <c r="S165">
        <v>1</v>
      </c>
      <c r="T165">
        <v>0</v>
      </c>
      <c r="U165">
        <v>0</v>
      </c>
      <c r="V165">
        <v>29</v>
      </c>
    </row>
    <row r="166" spans="1:22" x14ac:dyDescent="0.25">
      <c r="A166">
        <v>2025</v>
      </c>
      <c r="B166">
        <v>10</v>
      </c>
      <c r="C166" t="s">
        <v>75</v>
      </c>
      <c r="D166" t="s">
        <v>22</v>
      </c>
      <c r="E166" t="s">
        <v>123</v>
      </c>
      <c r="F166" t="s">
        <v>42</v>
      </c>
      <c r="G166" t="s">
        <v>24</v>
      </c>
      <c r="H166" t="s">
        <v>26</v>
      </c>
      <c r="I166" t="s">
        <v>26</v>
      </c>
      <c r="J166" t="s">
        <v>25</v>
      </c>
      <c r="K166">
        <v>207</v>
      </c>
      <c r="L166">
        <v>0</v>
      </c>
      <c r="M166">
        <v>0</v>
      </c>
      <c r="N166">
        <v>0</v>
      </c>
      <c r="O166">
        <v>60</v>
      </c>
      <c r="P166">
        <v>50</v>
      </c>
      <c r="Q166">
        <v>48</v>
      </c>
      <c r="R166">
        <v>37</v>
      </c>
      <c r="S166">
        <v>28</v>
      </c>
      <c r="T166">
        <v>11</v>
      </c>
      <c r="U166">
        <v>2</v>
      </c>
      <c r="V166">
        <v>207</v>
      </c>
    </row>
    <row r="167" spans="1:22" x14ac:dyDescent="0.25">
      <c r="A167">
        <v>2025</v>
      </c>
      <c r="B167">
        <v>10</v>
      </c>
      <c r="C167" t="s">
        <v>75</v>
      </c>
      <c r="D167" t="s">
        <v>22</v>
      </c>
      <c r="E167" t="s">
        <v>61</v>
      </c>
      <c r="F167" t="s">
        <v>35</v>
      </c>
      <c r="G167" t="s">
        <v>24</v>
      </c>
      <c r="H167" t="s">
        <v>25</v>
      </c>
      <c r="I167" t="s">
        <v>26</v>
      </c>
      <c r="J167" t="s">
        <v>26</v>
      </c>
      <c r="K167">
        <v>38</v>
      </c>
      <c r="L167">
        <v>1</v>
      </c>
      <c r="M167">
        <v>2</v>
      </c>
      <c r="N167">
        <v>3</v>
      </c>
      <c r="O167">
        <v>14</v>
      </c>
      <c r="P167">
        <v>14</v>
      </c>
      <c r="Q167">
        <v>14</v>
      </c>
      <c r="R167">
        <v>14</v>
      </c>
      <c r="S167">
        <v>12</v>
      </c>
      <c r="T167">
        <v>6</v>
      </c>
      <c r="U167">
        <v>4</v>
      </c>
      <c r="V167">
        <v>37</v>
      </c>
    </row>
    <row r="168" spans="1:22" x14ac:dyDescent="0.25">
      <c r="A168">
        <v>2025</v>
      </c>
      <c r="B168">
        <v>10</v>
      </c>
      <c r="C168" t="s">
        <v>75</v>
      </c>
      <c r="D168" t="s">
        <v>22</v>
      </c>
      <c r="E168" t="s">
        <v>61</v>
      </c>
      <c r="F168" t="s">
        <v>35</v>
      </c>
      <c r="G168" t="s">
        <v>29</v>
      </c>
      <c r="H168" t="s">
        <v>25</v>
      </c>
      <c r="I168" t="s">
        <v>26</v>
      </c>
      <c r="J168" t="s">
        <v>26</v>
      </c>
      <c r="K168">
        <v>1</v>
      </c>
      <c r="L168">
        <v>1</v>
      </c>
      <c r="M168">
        <v>0</v>
      </c>
      <c r="N168">
        <v>1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</row>
    <row r="169" spans="1:22" x14ac:dyDescent="0.25">
      <c r="A169">
        <v>2025</v>
      </c>
      <c r="B169">
        <v>10</v>
      </c>
      <c r="C169" t="s">
        <v>75</v>
      </c>
      <c r="D169" t="s">
        <v>22</v>
      </c>
      <c r="E169" t="s">
        <v>124</v>
      </c>
      <c r="F169" t="s">
        <v>113</v>
      </c>
      <c r="G169" t="s">
        <v>24</v>
      </c>
      <c r="H169" t="s">
        <v>26</v>
      </c>
      <c r="I169" t="s">
        <v>26</v>
      </c>
      <c r="J169" t="s">
        <v>25</v>
      </c>
      <c r="K169">
        <v>121</v>
      </c>
      <c r="L169">
        <v>1</v>
      </c>
      <c r="M169">
        <v>0</v>
      </c>
      <c r="N169">
        <v>1</v>
      </c>
      <c r="O169">
        <v>9</v>
      </c>
      <c r="P169">
        <v>2</v>
      </c>
      <c r="Q169">
        <v>2</v>
      </c>
      <c r="R169">
        <v>2</v>
      </c>
      <c r="S169">
        <v>1</v>
      </c>
      <c r="T169">
        <v>0</v>
      </c>
      <c r="U169">
        <v>0</v>
      </c>
      <c r="V169">
        <v>120</v>
      </c>
    </row>
    <row r="170" spans="1:22" x14ac:dyDescent="0.25">
      <c r="A170">
        <v>2025</v>
      </c>
      <c r="B170">
        <v>10</v>
      </c>
      <c r="C170" t="s">
        <v>75</v>
      </c>
      <c r="D170" t="s">
        <v>22</v>
      </c>
      <c r="E170" t="s">
        <v>124</v>
      </c>
      <c r="F170" t="s">
        <v>70</v>
      </c>
      <c r="G170" t="s">
        <v>24</v>
      </c>
      <c r="H170" t="s">
        <v>26</v>
      </c>
      <c r="I170" t="s">
        <v>26</v>
      </c>
      <c r="J170" t="s">
        <v>25</v>
      </c>
      <c r="K170">
        <v>218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218</v>
      </c>
    </row>
    <row r="171" spans="1:22" x14ac:dyDescent="0.25">
      <c r="A171">
        <v>2025</v>
      </c>
      <c r="B171">
        <v>10</v>
      </c>
      <c r="C171" t="s">
        <v>75</v>
      </c>
      <c r="D171" t="s">
        <v>22</v>
      </c>
      <c r="E171" t="s">
        <v>72</v>
      </c>
      <c r="F171" t="s">
        <v>23</v>
      </c>
      <c r="G171" t="s">
        <v>24</v>
      </c>
      <c r="H171" t="s">
        <v>25</v>
      </c>
      <c r="I171" t="s">
        <v>26</v>
      </c>
      <c r="J171" t="s">
        <v>25</v>
      </c>
      <c r="K171">
        <v>1375</v>
      </c>
      <c r="L171">
        <v>16</v>
      </c>
      <c r="M171">
        <v>0</v>
      </c>
      <c r="N171">
        <v>16</v>
      </c>
      <c r="O171">
        <v>7</v>
      </c>
      <c r="P171">
        <v>6</v>
      </c>
      <c r="Q171">
        <v>4</v>
      </c>
      <c r="R171">
        <v>0</v>
      </c>
      <c r="S171">
        <v>0</v>
      </c>
      <c r="T171">
        <v>0</v>
      </c>
      <c r="U171">
        <v>0</v>
      </c>
      <c r="V171">
        <v>1359</v>
      </c>
    </row>
    <row r="172" spans="1:22" x14ac:dyDescent="0.25">
      <c r="A172">
        <v>2025</v>
      </c>
      <c r="B172">
        <v>10</v>
      </c>
      <c r="C172" t="s">
        <v>75</v>
      </c>
      <c r="D172" t="s">
        <v>22</v>
      </c>
      <c r="E172" t="s">
        <v>125</v>
      </c>
      <c r="F172" t="s">
        <v>23</v>
      </c>
      <c r="G172" t="s">
        <v>24</v>
      </c>
      <c r="H172" t="s">
        <v>25</v>
      </c>
      <c r="I172" t="s">
        <v>26</v>
      </c>
      <c r="J172" t="s">
        <v>25</v>
      </c>
      <c r="K172">
        <v>2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2</v>
      </c>
    </row>
    <row r="173" spans="1:22" x14ac:dyDescent="0.25">
      <c r="A173">
        <v>2025</v>
      </c>
      <c r="B173">
        <v>10</v>
      </c>
      <c r="C173" t="s">
        <v>75</v>
      </c>
      <c r="D173" t="s">
        <v>22</v>
      </c>
      <c r="E173" t="s">
        <v>125</v>
      </c>
      <c r="F173" t="s">
        <v>110</v>
      </c>
      <c r="G173" t="s">
        <v>24</v>
      </c>
      <c r="H173" t="s">
        <v>25</v>
      </c>
      <c r="I173" t="s">
        <v>25</v>
      </c>
      <c r="J173" t="s">
        <v>25</v>
      </c>
      <c r="K173">
        <v>948</v>
      </c>
      <c r="L173">
        <v>11</v>
      </c>
      <c r="M173">
        <v>8</v>
      </c>
      <c r="N173">
        <v>19</v>
      </c>
      <c r="O173">
        <v>77</v>
      </c>
      <c r="P173">
        <v>16</v>
      </c>
      <c r="Q173">
        <v>16</v>
      </c>
      <c r="R173">
        <v>4</v>
      </c>
      <c r="S173">
        <v>1</v>
      </c>
      <c r="T173">
        <v>0</v>
      </c>
      <c r="U173">
        <v>0</v>
      </c>
      <c r="V173">
        <v>935</v>
      </c>
    </row>
    <row r="174" spans="1:22" x14ac:dyDescent="0.25">
      <c r="A174">
        <v>2025</v>
      </c>
      <c r="B174">
        <v>10</v>
      </c>
      <c r="C174" t="s">
        <v>75</v>
      </c>
      <c r="D174" t="s">
        <v>22</v>
      </c>
      <c r="E174" t="s">
        <v>75</v>
      </c>
      <c r="F174" t="s">
        <v>109</v>
      </c>
      <c r="G174" t="s">
        <v>28</v>
      </c>
      <c r="H174" t="s">
        <v>25</v>
      </c>
      <c r="I174" t="s">
        <v>25</v>
      </c>
      <c r="J174" t="s">
        <v>25</v>
      </c>
      <c r="K174">
        <v>2727</v>
      </c>
      <c r="L174">
        <v>0</v>
      </c>
      <c r="M174">
        <v>29</v>
      </c>
      <c r="N174">
        <v>29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2726</v>
      </c>
    </row>
    <row r="175" spans="1:22" x14ac:dyDescent="0.25">
      <c r="A175">
        <v>2025</v>
      </c>
      <c r="B175">
        <v>10</v>
      </c>
      <c r="C175" t="s">
        <v>75</v>
      </c>
      <c r="D175" t="s">
        <v>22</v>
      </c>
      <c r="E175" t="s">
        <v>75</v>
      </c>
      <c r="F175" t="s">
        <v>109</v>
      </c>
      <c r="G175" t="s">
        <v>24</v>
      </c>
      <c r="H175" t="s">
        <v>25</v>
      </c>
      <c r="I175" t="s">
        <v>25</v>
      </c>
      <c r="J175" t="s">
        <v>25</v>
      </c>
      <c r="K175">
        <v>40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40</v>
      </c>
    </row>
    <row r="176" spans="1:22" x14ac:dyDescent="0.25">
      <c r="A176">
        <v>2025</v>
      </c>
      <c r="B176">
        <v>10</v>
      </c>
      <c r="C176" t="s">
        <v>75</v>
      </c>
      <c r="D176" t="s">
        <v>22</v>
      </c>
      <c r="E176" t="s">
        <v>75</v>
      </c>
      <c r="F176" t="s">
        <v>109</v>
      </c>
      <c r="G176" t="s">
        <v>29</v>
      </c>
      <c r="H176" t="s">
        <v>25</v>
      </c>
      <c r="I176" t="s">
        <v>25</v>
      </c>
      <c r="J176" t="s">
        <v>25</v>
      </c>
      <c r="K176">
        <v>193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</row>
    <row r="177" spans="1:22" x14ac:dyDescent="0.25">
      <c r="A177">
        <v>2025</v>
      </c>
      <c r="B177">
        <v>10</v>
      </c>
      <c r="C177" t="s">
        <v>75</v>
      </c>
      <c r="D177" t="s">
        <v>22</v>
      </c>
      <c r="E177" t="s">
        <v>75</v>
      </c>
      <c r="F177" t="s">
        <v>114</v>
      </c>
      <c r="G177" t="s">
        <v>28</v>
      </c>
      <c r="H177" t="s">
        <v>25</v>
      </c>
      <c r="I177" t="s">
        <v>25</v>
      </c>
      <c r="J177" t="s">
        <v>25</v>
      </c>
      <c r="K177">
        <v>12405</v>
      </c>
      <c r="L177">
        <v>5</v>
      </c>
      <c r="M177">
        <v>80</v>
      </c>
      <c r="N177">
        <v>85</v>
      </c>
      <c r="O177">
        <v>8</v>
      </c>
      <c r="P177">
        <v>5</v>
      </c>
      <c r="Q177">
        <v>5</v>
      </c>
      <c r="R177">
        <v>2</v>
      </c>
      <c r="S177">
        <v>2</v>
      </c>
      <c r="T177">
        <v>2</v>
      </c>
      <c r="U177">
        <v>1</v>
      </c>
      <c r="V177">
        <v>12389</v>
      </c>
    </row>
    <row r="178" spans="1:22" x14ac:dyDescent="0.25">
      <c r="A178">
        <v>2025</v>
      </c>
      <c r="B178">
        <v>10</v>
      </c>
      <c r="C178" t="s">
        <v>75</v>
      </c>
      <c r="D178" t="s">
        <v>22</v>
      </c>
      <c r="E178" t="s">
        <v>75</v>
      </c>
      <c r="F178" t="s">
        <v>114</v>
      </c>
      <c r="G178" t="s">
        <v>24</v>
      </c>
      <c r="H178" t="s">
        <v>25</v>
      </c>
      <c r="I178" t="s">
        <v>25</v>
      </c>
      <c r="J178" t="s">
        <v>25</v>
      </c>
      <c r="K178">
        <v>197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197</v>
      </c>
    </row>
    <row r="179" spans="1:22" x14ac:dyDescent="0.25">
      <c r="A179">
        <v>2025</v>
      </c>
      <c r="B179">
        <v>10</v>
      </c>
      <c r="C179" t="s">
        <v>75</v>
      </c>
      <c r="D179" t="s">
        <v>22</v>
      </c>
      <c r="E179" t="s">
        <v>75</v>
      </c>
      <c r="F179" t="s">
        <v>114</v>
      </c>
      <c r="G179" t="s">
        <v>29</v>
      </c>
      <c r="H179" t="s">
        <v>25</v>
      </c>
      <c r="I179" t="s">
        <v>25</v>
      </c>
      <c r="J179" t="s">
        <v>25</v>
      </c>
      <c r="K179">
        <v>780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</row>
    <row r="180" spans="1:22" x14ac:dyDescent="0.25">
      <c r="A180">
        <v>2025</v>
      </c>
      <c r="B180">
        <v>10</v>
      </c>
      <c r="C180" t="s">
        <v>75</v>
      </c>
      <c r="D180" t="s">
        <v>22</v>
      </c>
      <c r="E180" t="s">
        <v>75</v>
      </c>
      <c r="F180" t="s">
        <v>23</v>
      </c>
      <c r="G180" t="s">
        <v>28</v>
      </c>
      <c r="H180" t="s">
        <v>25</v>
      </c>
      <c r="I180" t="s">
        <v>25</v>
      </c>
      <c r="J180" t="s">
        <v>25</v>
      </c>
      <c r="K180">
        <v>1427</v>
      </c>
      <c r="L180">
        <v>10</v>
      </c>
      <c r="M180">
        <v>0</v>
      </c>
      <c r="N180">
        <v>10</v>
      </c>
      <c r="O180">
        <v>384</v>
      </c>
      <c r="P180">
        <v>259</v>
      </c>
      <c r="Q180">
        <v>259</v>
      </c>
      <c r="R180">
        <v>181</v>
      </c>
      <c r="S180">
        <v>152</v>
      </c>
      <c r="T180">
        <v>86</v>
      </c>
      <c r="U180">
        <v>29</v>
      </c>
      <c r="V180">
        <v>1417</v>
      </c>
    </row>
    <row r="181" spans="1:22" x14ac:dyDescent="0.25">
      <c r="A181">
        <v>2025</v>
      </c>
      <c r="B181">
        <v>10</v>
      </c>
      <c r="C181" t="s">
        <v>75</v>
      </c>
      <c r="D181" t="s">
        <v>22</v>
      </c>
      <c r="E181" t="s">
        <v>75</v>
      </c>
      <c r="F181" t="s">
        <v>23</v>
      </c>
      <c r="G181" t="s">
        <v>29</v>
      </c>
      <c r="H181" t="s">
        <v>25</v>
      </c>
      <c r="I181" t="s">
        <v>25</v>
      </c>
      <c r="J181" t="s">
        <v>25</v>
      </c>
      <c r="K181">
        <v>18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</row>
    <row r="182" spans="1:22" x14ac:dyDescent="0.25">
      <c r="A182">
        <v>2025</v>
      </c>
      <c r="B182">
        <v>10</v>
      </c>
      <c r="C182" t="s">
        <v>75</v>
      </c>
      <c r="D182" t="s">
        <v>22</v>
      </c>
      <c r="E182" t="s">
        <v>75</v>
      </c>
      <c r="F182" t="s">
        <v>39</v>
      </c>
      <c r="G182" t="s">
        <v>24</v>
      </c>
      <c r="H182" t="s">
        <v>26</v>
      </c>
      <c r="I182" t="s">
        <v>26</v>
      </c>
      <c r="J182" t="s">
        <v>25</v>
      </c>
      <c r="K182">
        <v>5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5</v>
      </c>
    </row>
    <row r="183" spans="1:22" x14ac:dyDescent="0.25">
      <c r="A183">
        <v>2025</v>
      </c>
      <c r="B183">
        <v>10</v>
      </c>
      <c r="C183" t="s">
        <v>75</v>
      </c>
      <c r="D183" t="s">
        <v>22</v>
      </c>
      <c r="E183" t="s">
        <v>75</v>
      </c>
      <c r="F183" t="s">
        <v>84</v>
      </c>
      <c r="G183" t="s">
        <v>28</v>
      </c>
      <c r="H183" t="s">
        <v>25</v>
      </c>
      <c r="I183" t="s">
        <v>25</v>
      </c>
      <c r="J183" t="s">
        <v>25</v>
      </c>
      <c r="K183">
        <v>179</v>
      </c>
      <c r="L183">
        <v>5</v>
      </c>
      <c r="M183">
        <v>0</v>
      </c>
      <c r="N183">
        <v>5</v>
      </c>
      <c r="O183">
        <v>10</v>
      </c>
      <c r="P183">
        <v>3</v>
      </c>
      <c r="Q183">
        <v>3</v>
      </c>
      <c r="R183">
        <v>1</v>
      </c>
      <c r="S183">
        <v>0</v>
      </c>
      <c r="T183">
        <v>0</v>
      </c>
      <c r="U183">
        <v>0</v>
      </c>
      <c r="V183">
        <v>174</v>
      </c>
    </row>
    <row r="184" spans="1:22" x14ac:dyDescent="0.25">
      <c r="A184">
        <v>2025</v>
      </c>
      <c r="B184">
        <v>10</v>
      </c>
      <c r="C184" t="s">
        <v>75</v>
      </c>
      <c r="D184" t="s">
        <v>22</v>
      </c>
      <c r="E184" t="s">
        <v>75</v>
      </c>
      <c r="F184" t="s">
        <v>84</v>
      </c>
      <c r="G184" t="s">
        <v>29</v>
      </c>
      <c r="H184" t="s">
        <v>25</v>
      </c>
      <c r="I184" t="s">
        <v>25</v>
      </c>
      <c r="J184" t="s">
        <v>25</v>
      </c>
      <c r="K184">
        <v>52</v>
      </c>
      <c r="L184">
        <v>4</v>
      </c>
      <c r="M184">
        <v>0</v>
      </c>
      <c r="N184">
        <v>4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</row>
    <row r="185" spans="1:22" x14ac:dyDescent="0.25">
      <c r="A185">
        <v>2025</v>
      </c>
      <c r="B185">
        <v>10</v>
      </c>
      <c r="C185" t="s">
        <v>75</v>
      </c>
      <c r="D185" t="s">
        <v>22</v>
      </c>
      <c r="E185" t="s">
        <v>75</v>
      </c>
      <c r="F185" t="s">
        <v>113</v>
      </c>
      <c r="G185" t="s">
        <v>28</v>
      </c>
      <c r="H185" t="s">
        <v>26</v>
      </c>
      <c r="I185" t="s">
        <v>26</v>
      </c>
      <c r="J185" t="s">
        <v>25</v>
      </c>
      <c r="K185">
        <v>10</v>
      </c>
      <c r="L185">
        <v>0</v>
      </c>
      <c r="M185">
        <v>0</v>
      </c>
      <c r="N185">
        <v>0</v>
      </c>
      <c r="O185">
        <v>1</v>
      </c>
      <c r="P185">
        <v>1</v>
      </c>
      <c r="Q185">
        <v>1</v>
      </c>
      <c r="R185">
        <v>1</v>
      </c>
      <c r="S185">
        <v>0</v>
      </c>
      <c r="T185">
        <v>0</v>
      </c>
      <c r="U185">
        <v>0</v>
      </c>
      <c r="V185">
        <v>10</v>
      </c>
    </row>
    <row r="186" spans="1:22" x14ac:dyDescent="0.25">
      <c r="A186">
        <v>2025</v>
      </c>
      <c r="B186">
        <v>10</v>
      </c>
      <c r="C186" t="s">
        <v>75</v>
      </c>
      <c r="D186" t="s">
        <v>22</v>
      </c>
      <c r="E186" t="s">
        <v>75</v>
      </c>
      <c r="F186" t="s">
        <v>113</v>
      </c>
      <c r="G186" t="s">
        <v>24</v>
      </c>
      <c r="H186" t="s">
        <v>26</v>
      </c>
      <c r="I186" t="s">
        <v>26</v>
      </c>
      <c r="J186" t="s">
        <v>25</v>
      </c>
      <c r="K186">
        <v>434</v>
      </c>
      <c r="L186">
        <v>0</v>
      </c>
      <c r="M186">
        <v>0</v>
      </c>
      <c r="N186">
        <v>0</v>
      </c>
      <c r="O186">
        <v>89</v>
      </c>
      <c r="P186">
        <v>33</v>
      </c>
      <c r="Q186">
        <v>33</v>
      </c>
      <c r="R186">
        <v>22</v>
      </c>
      <c r="S186">
        <v>18</v>
      </c>
      <c r="T186">
        <v>8</v>
      </c>
      <c r="U186">
        <v>3</v>
      </c>
      <c r="V186">
        <v>434</v>
      </c>
    </row>
    <row r="187" spans="1:22" x14ac:dyDescent="0.25">
      <c r="A187">
        <v>2025</v>
      </c>
      <c r="B187">
        <v>10</v>
      </c>
      <c r="C187" t="s">
        <v>75</v>
      </c>
      <c r="D187" t="s">
        <v>22</v>
      </c>
      <c r="E187" t="s">
        <v>75</v>
      </c>
      <c r="F187" t="s">
        <v>113</v>
      </c>
      <c r="G187" t="s">
        <v>29</v>
      </c>
      <c r="H187" t="s">
        <v>26</v>
      </c>
      <c r="I187" t="s">
        <v>26</v>
      </c>
      <c r="J187" t="s">
        <v>25</v>
      </c>
      <c r="K187">
        <v>5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</row>
    <row r="188" spans="1:22" x14ac:dyDescent="0.25">
      <c r="A188">
        <v>2025</v>
      </c>
      <c r="B188">
        <v>10</v>
      </c>
      <c r="C188" t="s">
        <v>75</v>
      </c>
      <c r="D188" t="s">
        <v>22</v>
      </c>
      <c r="E188" t="s">
        <v>75</v>
      </c>
      <c r="F188" t="s">
        <v>115</v>
      </c>
      <c r="G188" t="s">
        <v>28</v>
      </c>
      <c r="H188" t="s">
        <v>25</v>
      </c>
      <c r="I188" t="s">
        <v>25</v>
      </c>
      <c r="J188" t="s">
        <v>25</v>
      </c>
      <c r="K188">
        <v>316</v>
      </c>
      <c r="L188">
        <v>0</v>
      </c>
      <c r="M188">
        <v>0</v>
      </c>
      <c r="N188">
        <v>0</v>
      </c>
      <c r="O188">
        <v>2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316</v>
      </c>
    </row>
    <row r="189" spans="1:22" x14ac:dyDescent="0.25">
      <c r="A189">
        <v>2025</v>
      </c>
      <c r="B189">
        <v>10</v>
      </c>
      <c r="C189" t="s">
        <v>75</v>
      </c>
      <c r="D189" t="s">
        <v>22</v>
      </c>
      <c r="E189" t="s">
        <v>75</v>
      </c>
      <c r="F189" t="s">
        <v>115</v>
      </c>
      <c r="G189" t="s">
        <v>29</v>
      </c>
      <c r="H189" t="s">
        <v>25</v>
      </c>
      <c r="I189" t="s">
        <v>25</v>
      </c>
      <c r="J189" t="s">
        <v>25</v>
      </c>
      <c r="K189">
        <v>180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</row>
    <row r="190" spans="1:22" x14ac:dyDescent="0.25">
      <c r="A190">
        <v>2025</v>
      </c>
      <c r="B190">
        <v>10</v>
      </c>
      <c r="C190" t="s">
        <v>75</v>
      </c>
      <c r="D190" t="s">
        <v>22</v>
      </c>
      <c r="E190" t="s">
        <v>75</v>
      </c>
      <c r="F190" t="s">
        <v>111</v>
      </c>
      <c r="G190" t="s">
        <v>28</v>
      </c>
      <c r="H190" t="s">
        <v>26</v>
      </c>
      <c r="I190" t="s">
        <v>26</v>
      </c>
      <c r="J190" t="s">
        <v>25</v>
      </c>
      <c r="K190">
        <v>9832</v>
      </c>
      <c r="L190">
        <v>54</v>
      </c>
      <c r="M190">
        <v>18</v>
      </c>
      <c r="N190">
        <v>72</v>
      </c>
      <c r="O190">
        <v>2126</v>
      </c>
      <c r="P190">
        <v>1166</v>
      </c>
      <c r="Q190">
        <v>1166</v>
      </c>
      <c r="R190">
        <v>848</v>
      </c>
      <c r="S190">
        <v>654</v>
      </c>
      <c r="T190">
        <v>320</v>
      </c>
      <c r="U190">
        <v>108</v>
      </c>
      <c r="V190">
        <v>9772</v>
      </c>
    </row>
    <row r="191" spans="1:22" x14ac:dyDescent="0.25">
      <c r="A191">
        <v>2025</v>
      </c>
      <c r="B191">
        <v>10</v>
      </c>
      <c r="C191" t="s">
        <v>75</v>
      </c>
      <c r="D191" t="s">
        <v>22</v>
      </c>
      <c r="E191" t="s">
        <v>75</v>
      </c>
      <c r="F191" t="s">
        <v>111</v>
      </c>
      <c r="G191" t="s">
        <v>24</v>
      </c>
      <c r="H191" t="s">
        <v>26</v>
      </c>
      <c r="I191" t="s">
        <v>26</v>
      </c>
      <c r="J191" t="s">
        <v>25</v>
      </c>
      <c r="K191">
        <v>885</v>
      </c>
      <c r="L191">
        <v>3</v>
      </c>
      <c r="M191">
        <v>2</v>
      </c>
      <c r="N191">
        <v>5</v>
      </c>
      <c r="O191">
        <v>319</v>
      </c>
      <c r="P191">
        <v>156</v>
      </c>
      <c r="Q191">
        <v>156</v>
      </c>
      <c r="R191">
        <v>109</v>
      </c>
      <c r="S191">
        <v>77</v>
      </c>
      <c r="T191">
        <v>38</v>
      </c>
      <c r="U191">
        <v>15</v>
      </c>
      <c r="V191">
        <v>880</v>
      </c>
    </row>
    <row r="192" spans="1:22" x14ac:dyDescent="0.25">
      <c r="A192">
        <v>2025</v>
      </c>
      <c r="B192">
        <v>10</v>
      </c>
      <c r="C192" t="s">
        <v>75</v>
      </c>
      <c r="D192" t="s">
        <v>22</v>
      </c>
      <c r="E192" t="s">
        <v>75</v>
      </c>
      <c r="F192" t="s">
        <v>111</v>
      </c>
      <c r="G192" t="s">
        <v>29</v>
      </c>
      <c r="H192" t="s">
        <v>26</v>
      </c>
      <c r="I192" t="s">
        <v>26</v>
      </c>
      <c r="J192" t="s">
        <v>25</v>
      </c>
      <c r="K192">
        <v>769</v>
      </c>
      <c r="L192">
        <v>4</v>
      </c>
      <c r="M192">
        <v>0</v>
      </c>
      <c r="N192">
        <v>4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</row>
    <row r="193" spans="1:22" x14ac:dyDescent="0.25">
      <c r="A193">
        <v>2025</v>
      </c>
      <c r="B193">
        <v>10</v>
      </c>
      <c r="C193" t="s">
        <v>75</v>
      </c>
      <c r="D193" t="s">
        <v>22</v>
      </c>
      <c r="E193" t="s">
        <v>75</v>
      </c>
      <c r="F193" t="s">
        <v>110</v>
      </c>
      <c r="G193" t="s">
        <v>28</v>
      </c>
      <c r="H193" t="s">
        <v>25</v>
      </c>
      <c r="I193" t="s">
        <v>25</v>
      </c>
      <c r="J193" t="s">
        <v>25</v>
      </c>
      <c r="K193">
        <v>137194</v>
      </c>
      <c r="L193">
        <v>4814</v>
      </c>
      <c r="M193">
        <v>792</v>
      </c>
      <c r="N193">
        <v>5606</v>
      </c>
      <c r="O193">
        <v>15170</v>
      </c>
      <c r="P193">
        <v>6707</v>
      </c>
      <c r="Q193">
        <v>6703</v>
      </c>
      <c r="R193">
        <v>4332</v>
      </c>
      <c r="S193">
        <v>3061</v>
      </c>
      <c r="T193">
        <v>1260</v>
      </c>
      <c r="U193">
        <v>219</v>
      </c>
      <c r="V193">
        <v>132215</v>
      </c>
    </row>
    <row r="194" spans="1:22" x14ac:dyDescent="0.25">
      <c r="A194">
        <v>2025</v>
      </c>
      <c r="B194">
        <v>10</v>
      </c>
      <c r="C194" t="s">
        <v>75</v>
      </c>
      <c r="D194" t="s">
        <v>22</v>
      </c>
      <c r="E194" t="s">
        <v>75</v>
      </c>
      <c r="F194" t="s">
        <v>110</v>
      </c>
      <c r="G194" t="s">
        <v>24</v>
      </c>
      <c r="H194" t="s">
        <v>25</v>
      </c>
      <c r="I194" t="s">
        <v>25</v>
      </c>
      <c r="J194" t="s">
        <v>25</v>
      </c>
      <c r="K194">
        <v>17474</v>
      </c>
      <c r="L194">
        <v>216</v>
      </c>
      <c r="M194">
        <v>7</v>
      </c>
      <c r="N194">
        <v>223</v>
      </c>
      <c r="O194">
        <v>1668</v>
      </c>
      <c r="P194">
        <v>656</v>
      </c>
      <c r="Q194">
        <v>654</v>
      </c>
      <c r="R194">
        <v>343</v>
      </c>
      <c r="S194">
        <v>216</v>
      </c>
      <c r="T194">
        <v>72</v>
      </c>
      <c r="U194">
        <v>7</v>
      </c>
      <c r="V194">
        <v>17256</v>
      </c>
    </row>
    <row r="195" spans="1:22" x14ac:dyDescent="0.25">
      <c r="A195">
        <v>2025</v>
      </c>
      <c r="B195">
        <v>10</v>
      </c>
      <c r="C195" t="s">
        <v>75</v>
      </c>
      <c r="D195" t="s">
        <v>22</v>
      </c>
      <c r="E195" t="s">
        <v>75</v>
      </c>
      <c r="F195" t="s">
        <v>110</v>
      </c>
      <c r="G195" t="s">
        <v>29</v>
      </c>
      <c r="H195" t="s">
        <v>25</v>
      </c>
      <c r="I195" t="s">
        <v>25</v>
      </c>
      <c r="J195" t="s">
        <v>25</v>
      </c>
      <c r="K195">
        <v>1432</v>
      </c>
      <c r="L195">
        <v>22</v>
      </c>
      <c r="M195">
        <v>0</v>
      </c>
      <c r="N195">
        <v>22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</row>
    <row r="196" spans="1:22" x14ac:dyDescent="0.25">
      <c r="A196">
        <v>2025</v>
      </c>
      <c r="B196">
        <v>10</v>
      </c>
      <c r="C196" t="s">
        <v>75</v>
      </c>
      <c r="D196" t="s">
        <v>22</v>
      </c>
      <c r="E196" t="s">
        <v>75</v>
      </c>
      <c r="F196" t="s">
        <v>42</v>
      </c>
      <c r="G196" t="s">
        <v>24</v>
      </c>
      <c r="H196" t="s">
        <v>26</v>
      </c>
      <c r="I196" t="s">
        <v>26</v>
      </c>
      <c r="J196" t="s">
        <v>25</v>
      </c>
      <c r="K196">
        <v>3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3</v>
      </c>
    </row>
    <row r="197" spans="1:22" x14ac:dyDescent="0.25">
      <c r="A197">
        <v>2025</v>
      </c>
      <c r="B197">
        <v>10</v>
      </c>
      <c r="C197" t="s">
        <v>75</v>
      </c>
      <c r="D197" t="s">
        <v>22</v>
      </c>
      <c r="E197" t="s">
        <v>75</v>
      </c>
      <c r="F197" t="s">
        <v>116</v>
      </c>
      <c r="G197" t="s">
        <v>28</v>
      </c>
      <c r="H197" t="s">
        <v>25</v>
      </c>
      <c r="I197" t="s">
        <v>25</v>
      </c>
      <c r="J197" t="s">
        <v>25</v>
      </c>
      <c r="K197">
        <v>1150</v>
      </c>
      <c r="L197">
        <v>0</v>
      </c>
      <c r="M197">
        <v>0</v>
      </c>
      <c r="N197">
        <v>0</v>
      </c>
      <c r="O197">
        <v>136</v>
      </c>
      <c r="P197">
        <v>44</v>
      </c>
      <c r="Q197">
        <v>44</v>
      </c>
      <c r="R197">
        <v>26</v>
      </c>
      <c r="S197">
        <v>23</v>
      </c>
      <c r="T197">
        <v>5</v>
      </c>
      <c r="U197">
        <v>1</v>
      </c>
      <c r="V197">
        <v>1150</v>
      </c>
    </row>
    <row r="198" spans="1:22" x14ac:dyDescent="0.25">
      <c r="A198">
        <v>2025</v>
      </c>
      <c r="B198">
        <v>10</v>
      </c>
      <c r="C198" t="s">
        <v>75</v>
      </c>
      <c r="D198" t="s">
        <v>22</v>
      </c>
      <c r="E198" t="s">
        <v>75</v>
      </c>
      <c r="F198" t="s">
        <v>116</v>
      </c>
      <c r="G198" t="s">
        <v>24</v>
      </c>
      <c r="H198" t="s">
        <v>25</v>
      </c>
      <c r="I198" t="s">
        <v>25</v>
      </c>
      <c r="J198" t="s">
        <v>25</v>
      </c>
      <c r="K198">
        <v>32</v>
      </c>
      <c r="L198">
        <v>0</v>
      </c>
      <c r="M198">
        <v>0</v>
      </c>
      <c r="N198">
        <v>0</v>
      </c>
      <c r="O198">
        <v>31</v>
      </c>
      <c r="P198">
        <v>24</v>
      </c>
      <c r="Q198">
        <v>24</v>
      </c>
      <c r="R198">
        <v>9</v>
      </c>
      <c r="S198">
        <v>5</v>
      </c>
      <c r="T198">
        <v>1</v>
      </c>
      <c r="U198">
        <v>0</v>
      </c>
      <c r="V198">
        <v>32</v>
      </c>
    </row>
    <row r="199" spans="1:22" x14ac:dyDescent="0.25">
      <c r="A199">
        <v>2025</v>
      </c>
      <c r="B199">
        <v>10</v>
      </c>
      <c r="C199" t="s">
        <v>75</v>
      </c>
      <c r="D199" t="s">
        <v>22</v>
      </c>
      <c r="E199" t="s">
        <v>75</v>
      </c>
      <c r="F199" t="s">
        <v>116</v>
      </c>
      <c r="G199" t="s">
        <v>29</v>
      </c>
      <c r="H199" t="s">
        <v>25</v>
      </c>
      <c r="I199" t="s">
        <v>25</v>
      </c>
      <c r="J199" t="s">
        <v>25</v>
      </c>
      <c r="K199">
        <v>17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</row>
    <row r="200" spans="1:22" x14ac:dyDescent="0.25">
      <c r="A200">
        <v>2025</v>
      </c>
      <c r="B200">
        <v>11</v>
      </c>
      <c r="C200" t="s">
        <v>75</v>
      </c>
      <c r="D200" t="s">
        <v>22</v>
      </c>
      <c r="E200" t="s">
        <v>123</v>
      </c>
      <c r="F200" t="s">
        <v>39</v>
      </c>
      <c r="G200" t="s">
        <v>24</v>
      </c>
      <c r="H200" t="s">
        <v>26</v>
      </c>
      <c r="I200" t="s">
        <v>26</v>
      </c>
      <c r="J200" t="s">
        <v>25</v>
      </c>
      <c r="K200">
        <v>570</v>
      </c>
      <c r="L200">
        <v>7</v>
      </c>
      <c r="M200">
        <v>0</v>
      </c>
      <c r="N200">
        <v>7</v>
      </c>
      <c r="O200">
        <v>221</v>
      </c>
      <c r="P200">
        <v>145</v>
      </c>
      <c r="Q200">
        <v>142</v>
      </c>
      <c r="R200">
        <v>104</v>
      </c>
      <c r="S200">
        <v>72</v>
      </c>
      <c r="T200">
        <v>24</v>
      </c>
      <c r="U200">
        <v>12</v>
      </c>
      <c r="V200">
        <v>563</v>
      </c>
    </row>
    <row r="201" spans="1:22" x14ac:dyDescent="0.25">
      <c r="A201">
        <v>2025</v>
      </c>
      <c r="B201">
        <v>11</v>
      </c>
      <c r="C201" t="s">
        <v>75</v>
      </c>
      <c r="D201" t="s">
        <v>22</v>
      </c>
      <c r="E201" t="s">
        <v>123</v>
      </c>
      <c r="F201" t="s">
        <v>111</v>
      </c>
      <c r="G201" t="s">
        <v>24</v>
      </c>
      <c r="H201" t="s">
        <v>26</v>
      </c>
      <c r="I201" t="s">
        <v>26</v>
      </c>
      <c r="J201" t="s">
        <v>25</v>
      </c>
      <c r="K201">
        <v>39</v>
      </c>
      <c r="L201">
        <v>0</v>
      </c>
      <c r="M201">
        <v>0</v>
      </c>
      <c r="N201">
        <v>0</v>
      </c>
      <c r="O201">
        <v>12</v>
      </c>
      <c r="P201">
        <v>8</v>
      </c>
      <c r="Q201">
        <v>8</v>
      </c>
      <c r="R201">
        <v>4</v>
      </c>
      <c r="S201">
        <v>3</v>
      </c>
      <c r="T201">
        <v>1</v>
      </c>
      <c r="U201">
        <v>1</v>
      </c>
      <c r="V201">
        <v>39</v>
      </c>
    </row>
    <row r="202" spans="1:22" x14ac:dyDescent="0.25">
      <c r="A202">
        <v>2025</v>
      </c>
      <c r="B202">
        <v>11</v>
      </c>
      <c r="C202" t="s">
        <v>75</v>
      </c>
      <c r="D202" t="s">
        <v>22</v>
      </c>
      <c r="E202" t="s">
        <v>123</v>
      </c>
      <c r="F202" t="s">
        <v>42</v>
      </c>
      <c r="G202" t="s">
        <v>24</v>
      </c>
      <c r="H202" t="s">
        <v>26</v>
      </c>
      <c r="I202" t="s">
        <v>26</v>
      </c>
      <c r="J202" t="s">
        <v>25</v>
      </c>
      <c r="K202">
        <v>136</v>
      </c>
      <c r="L202">
        <v>0</v>
      </c>
      <c r="M202">
        <v>0</v>
      </c>
      <c r="N202">
        <v>0</v>
      </c>
      <c r="O202">
        <v>50</v>
      </c>
      <c r="P202">
        <v>42</v>
      </c>
      <c r="Q202">
        <v>42</v>
      </c>
      <c r="R202">
        <v>30</v>
      </c>
      <c r="S202">
        <v>21</v>
      </c>
      <c r="T202">
        <v>11</v>
      </c>
      <c r="U202">
        <v>6</v>
      </c>
      <c r="V202">
        <v>136</v>
      </c>
    </row>
    <row r="203" spans="1:22" x14ac:dyDescent="0.25">
      <c r="A203">
        <v>2025</v>
      </c>
      <c r="B203">
        <v>11</v>
      </c>
      <c r="C203" t="s">
        <v>75</v>
      </c>
      <c r="D203" t="s">
        <v>22</v>
      </c>
      <c r="E203" t="s">
        <v>61</v>
      </c>
      <c r="F203" t="s">
        <v>35</v>
      </c>
      <c r="G203" t="s">
        <v>24</v>
      </c>
      <c r="H203" t="s">
        <v>25</v>
      </c>
      <c r="I203" t="s">
        <v>26</v>
      </c>
      <c r="J203" t="s">
        <v>26</v>
      </c>
      <c r="K203">
        <v>34</v>
      </c>
      <c r="L203">
        <v>7</v>
      </c>
      <c r="M203">
        <v>6</v>
      </c>
      <c r="N203">
        <v>13</v>
      </c>
      <c r="O203">
        <v>13</v>
      </c>
      <c r="P203">
        <v>13</v>
      </c>
      <c r="Q203">
        <v>13</v>
      </c>
      <c r="R203">
        <v>13</v>
      </c>
      <c r="S203">
        <v>13</v>
      </c>
      <c r="T203">
        <v>11</v>
      </c>
      <c r="U203">
        <v>6</v>
      </c>
      <c r="V203">
        <v>23</v>
      </c>
    </row>
    <row r="204" spans="1:22" x14ac:dyDescent="0.25">
      <c r="A204">
        <v>2025</v>
      </c>
      <c r="B204">
        <v>11</v>
      </c>
      <c r="C204" t="s">
        <v>75</v>
      </c>
      <c r="D204" t="s">
        <v>22</v>
      </c>
      <c r="E204" t="s">
        <v>124</v>
      </c>
      <c r="F204" t="s">
        <v>113</v>
      </c>
      <c r="G204" t="s">
        <v>28</v>
      </c>
      <c r="H204" t="s">
        <v>26</v>
      </c>
      <c r="I204" t="s">
        <v>26</v>
      </c>
      <c r="J204" t="s">
        <v>25</v>
      </c>
      <c r="K204">
        <v>1</v>
      </c>
      <c r="L204">
        <v>0</v>
      </c>
      <c r="M204">
        <v>0</v>
      </c>
      <c r="N204">
        <v>0</v>
      </c>
      <c r="O204">
        <v>1</v>
      </c>
      <c r="P204">
        <v>1</v>
      </c>
      <c r="Q204">
        <v>1</v>
      </c>
      <c r="R204">
        <v>1</v>
      </c>
      <c r="S204">
        <v>1</v>
      </c>
      <c r="T204">
        <v>1</v>
      </c>
      <c r="U204">
        <v>1</v>
      </c>
      <c r="V204">
        <v>1</v>
      </c>
    </row>
    <row r="205" spans="1:22" x14ac:dyDescent="0.25">
      <c r="A205">
        <v>2025</v>
      </c>
      <c r="B205">
        <v>11</v>
      </c>
      <c r="C205" t="s">
        <v>75</v>
      </c>
      <c r="D205" t="s">
        <v>22</v>
      </c>
      <c r="E205" t="s">
        <v>124</v>
      </c>
      <c r="F205" t="s">
        <v>113</v>
      </c>
      <c r="G205" t="s">
        <v>24</v>
      </c>
      <c r="H205" t="s">
        <v>26</v>
      </c>
      <c r="I205" t="s">
        <v>26</v>
      </c>
      <c r="J205" t="s">
        <v>25</v>
      </c>
      <c r="K205">
        <v>617</v>
      </c>
      <c r="L205">
        <v>0</v>
      </c>
      <c r="M205">
        <v>1</v>
      </c>
      <c r="N205">
        <v>1</v>
      </c>
      <c r="O205">
        <v>113</v>
      </c>
      <c r="P205">
        <v>70</v>
      </c>
      <c r="Q205">
        <v>70</v>
      </c>
      <c r="R205">
        <v>55</v>
      </c>
      <c r="S205">
        <v>37</v>
      </c>
      <c r="T205">
        <v>23</v>
      </c>
      <c r="U205">
        <v>12</v>
      </c>
      <c r="V205">
        <v>617</v>
      </c>
    </row>
    <row r="206" spans="1:22" x14ac:dyDescent="0.25">
      <c r="A206">
        <v>2025</v>
      </c>
      <c r="B206">
        <v>11</v>
      </c>
      <c r="C206" t="s">
        <v>75</v>
      </c>
      <c r="D206" t="s">
        <v>22</v>
      </c>
      <c r="E206" t="s">
        <v>124</v>
      </c>
      <c r="F206" t="s">
        <v>70</v>
      </c>
      <c r="G206" t="s">
        <v>24</v>
      </c>
      <c r="H206" t="s">
        <v>26</v>
      </c>
      <c r="I206" t="s">
        <v>26</v>
      </c>
      <c r="J206" t="s">
        <v>25</v>
      </c>
      <c r="K206">
        <v>163</v>
      </c>
      <c r="L206">
        <v>0</v>
      </c>
      <c r="M206">
        <v>0</v>
      </c>
      <c r="N206">
        <v>0</v>
      </c>
      <c r="O206">
        <v>2</v>
      </c>
      <c r="P206">
        <v>2</v>
      </c>
      <c r="Q206">
        <v>2</v>
      </c>
      <c r="R206">
        <v>1</v>
      </c>
      <c r="S206">
        <v>0</v>
      </c>
      <c r="T206">
        <v>0</v>
      </c>
      <c r="U206">
        <v>0</v>
      </c>
      <c r="V206">
        <v>163</v>
      </c>
    </row>
    <row r="207" spans="1:22" x14ac:dyDescent="0.25">
      <c r="A207">
        <v>2025</v>
      </c>
      <c r="B207">
        <v>11</v>
      </c>
      <c r="C207" t="s">
        <v>75</v>
      </c>
      <c r="D207" t="s">
        <v>22</v>
      </c>
      <c r="E207" t="s">
        <v>72</v>
      </c>
      <c r="F207" t="s">
        <v>23</v>
      </c>
      <c r="G207" t="s">
        <v>24</v>
      </c>
      <c r="H207" t="s">
        <v>25</v>
      </c>
      <c r="I207" t="s">
        <v>26</v>
      </c>
      <c r="J207" t="s">
        <v>25</v>
      </c>
      <c r="K207">
        <v>751</v>
      </c>
      <c r="L207">
        <v>9</v>
      </c>
      <c r="M207">
        <v>0</v>
      </c>
      <c r="N207">
        <v>9</v>
      </c>
      <c r="O207">
        <v>8</v>
      </c>
      <c r="P207">
        <v>8</v>
      </c>
      <c r="Q207">
        <v>7</v>
      </c>
      <c r="R207">
        <v>2</v>
      </c>
      <c r="S207">
        <v>2</v>
      </c>
      <c r="T207">
        <v>0</v>
      </c>
      <c r="U207">
        <v>0</v>
      </c>
      <c r="V207">
        <v>742</v>
      </c>
    </row>
    <row r="208" spans="1:22" x14ac:dyDescent="0.25">
      <c r="A208">
        <v>2025</v>
      </c>
      <c r="B208">
        <v>11</v>
      </c>
      <c r="C208" t="s">
        <v>75</v>
      </c>
      <c r="D208" t="s">
        <v>22</v>
      </c>
      <c r="E208" t="s">
        <v>125</v>
      </c>
      <c r="F208" t="s">
        <v>23</v>
      </c>
      <c r="G208" t="s">
        <v>24</v>
      </c>
      <c r="H208" t="s">
        <v>25</v>
      </c>
      <c r="I208" t="s">
        <v>26</v>
      </c>
      <c r="J208" t="s">
        <v>25</v>
      </c>
      <c r="K208">
        <v>3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3</v>
      </c>
    </row>
    <row r="209" spans="1:22" x14ac:dyDescent="0.25">
      <c r="A209">
        <v>2025</v>
      </c>
      <c r="B209">
        <v>11</v>
      </c>
      <c r="C209" t="s">
        <v>75</v>
      </c>
      <c r="D209" t="s">
        <v>22</v>
      </c>
      <c r="E209" t="s">
        <v>125</v>
      </c>
      <c r="F209" t="s">
        <v>110</v>
      </c>
      <c r="G209" t="s">
        <v>24</v>
      </c>
      <c r="H209" t="s">
        <v>25</v>
      </c>
      <c r="I209" t="s">
        <v>25</v>
      </c>
      <c r="J209" t="s">
        <v>25</v>
      </c>
      <c r="K209">
        <v>1365</v>
      </c>
      <c r="L209">
        <v>28</v>
      </c>
      <c r="M209">
        <v>21</v>
      </c>
      <c r="N209">
        <v>49</v>
      </c>
      <c r="O209">
        <v>132</v>
      </c>
      <c r="P209">
        <v>32</v>
      </c>
      <c r="Q209">
        <v>32</v>
      </c>
      <c r="R209">
        <v>20</v>
      </c>
      <c r="S209">
        <v>10</v>
      </c>
      <c r="T209">
        <v>3</v>
      </c>
      <c r="U209">
        <v>0</v>
      </c>
      <c r="V209">
        <v>1334</v>
      </c>
    </row>
    <row r="210" spans="1:22" x14ac:dyDescent="0.25">
      <c r="A210">
        <v>2025</v>
      </c>
      <c r="B210">
        <v>11</v>
      </c>
      <c r="C210" t="s">
        <v>75</v>
      </c>
      <c r="D210" t="s">
        <v>22</v>
      </c>
      <c r="E210" t="s">
        <v>75</v>
      </c>
      <c r="F210" t="s">
        <v>114</v>
      </c>
      <c r="G210" t="s">
        <v>28</v>
      </c>
      <c r="H210" t="s">
        <v>25</v>
      </c>
      <c r="I210" t="s">
        <v>25</v>
      </c>
      <c r="J210" t="s">
        <v>25</v>
      </c>
      <c r="K210">
        <v>15599</v>
      </c>
      <c r="L210">
        <v>15</v>
      </c>
      <c r="M210">
        <v>41</v>
      </c>
      <c r="N210">
        <v>56</v>
      </c>
      <c r="O210">
        <v>4200</v>
      </c>
      <c r="P210">
        <v>1273</v>
      </c>
      <c r="Q210">
        <v>1270</v>
      </c>
      <c r="R210">
        <v>522</v>
      </c>
      <c r="S210">
        <v>274</v>
      </c>
      <c r="T210">
        <v>59</v>
      </c>
      <c r="U210">
        <v>10</v>
      </c>
      <c r="V210">
        <v>15583</v>
      </c>
    </row>
    <row r="211" spans="1:22" x14ac:dyDescent="0.25">
      <c r="A211">
        <v>2025</v>
      </c>
      <c r="B211">
        <v>11</v>
      </c>
      <c r="C211" t="s">
        <v>75</v>
      </c>
      <c r="D211" t="s">
        <v>22</v>
      </c>
      <c r="E211" t="s">
        <v>75</v>
      </c>
      <c r="F211" t="s">
        <v>114</v>
      </c>
      <c r="G211" t="s">
        <v>24</v>
      </c>
      <c r="H211" t="s">
        <v>25</v>
      </c>
      <c r="I211" t="s">
        <v>25</v>
      </c>
      <c r="J211" t="s">
        <v>25</v>
      </c>
      <c r="K211">
        <v>883</v>
      </c>
      <c r="L211">
        <v>0</v>
      </c>
      <c r="M211">
        <v>0</v>
      </c>
      <c r="N211">
        <v>0</v>
      </c>
      <c r="O211">
        <v>130</v>
      </c>
      <c r="P211">
        <v>49</v>
      </c>
      <c r="Q211">
        <v>49</v>
      </c>
      <c r="R211">
        <v>24</v>
      </c>
      <c r="S211">
        <v>16</v>
      </c>
      <c r="T211">
        <v>3</v>
      </c>
      <c r="U211">
        <v>0</v>
      </c>
      <c r="V211">
        <v>883</v>
      </c>
    </row>
    <row r="212" spans="1:22" x14ac:dyDescent="0.25">
      <c r="A212">
        <v>2025</v>
      </c>
      <c r="B212">
        <v>11</v>
      </c>
      <c r="C212" t="s">
        <v>75</v>
      </c>
      <c r="D212" t="s">
        <v>22</v>
      </c>
      <c r="E212" t="s">
        <v>75</v>
      </c>
      <c r="F212" t="s">
        <v>114</v>
      </c>
      <c r="G212" t="s">
        <v>29</v>
      </c>
      <c r="H212" t="s">
        <v>25</v>
      </c>
      <c r="I212" t="s">
        <v>25</v>
      </c>
      <c r="J212" t="s">
        <v>25</v>
      </c>
      <c r="K212">
        <v>1107</v>
      </c>
      <c r="L212">
        <v>2</v>
      </c>
      <c r="M212">
        <v>0</v>
      </c>
      <c r="N212">
        <v>2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</row>
    <row r="213" spans="1:22" x14ac:dyDescent="0.25">
      <c r="A213">
        <v>2025</v>
      </c>
      <c r="B213">
        <v>11</v>
      </c>
      <c r="C213" t="s">
        <v>75</v>
      </c>
      <c r="D213" t="s">
        <v>22</v>
      </c>
      <c r="E213" t="s">
        <v>75</v>
      </c>
      <c r="F213" t="s">
        <v>23</v>
      </c>
      <c r="G213" t="s">
        <v>28</v>
      </c>
      <c r="H213" t="s">
        <v>25</v>
      </c>
      <c r="I213" t="s">
        <v>25</v>
      </c>
      <c r="J213" t="s">
        <v>25</v>
      </c>
      <c r="K213">
        <v>1605</v>
      </c>
      <c r="L213">
        <v>20</v>
      </c>
      <c r="M213">
        <v>16</v>
      </c>
      <c r="N213">
        <v>36</v>
      </c>
      <c r="O213">
        <v>530</v>
      </c>
      <c r="P213">
        <v>349</v>
      </c>
      <c r="Q213">
        <v>349</v>
      </c>
      <c r="R213">
        <v>256</v>
      </c>
      <c r="S213">
        <v>211</v>
      </c>
      <c r="T213">
        <v>117</v>
      </c>
      <c r="U213">
        <v>43</v>
      </c>
      <c r="V213">
        <v>1581</v>
      </c>
    </row>
    <row r="214" spans="1:22" x14ac:dyDescent="0.25">
      <c r="A214">
        <v>2025</v>
      </c>
      <c r="B214">
        <v>11</v>
      </c>
      <c r="C214" t="s">
        <v>75</v>
      </c>
      <c r="D214" t="s">
        <v>22</v>
      </c>
      <c r="E214" t="s">
        <v>75</v>
      </c>
      <c r="F214" t="s">
        <v>23</v>
      </c>
      <c r="G214" t="s">
        <v>29</v>
      </c>
      <c r="H214" t="s">
        <v>25</v>
      </c>
      <c r="I214" t="s">
        <v>25</v>
      </c>
      <c r="J214" t="s">
        <v>25</v>
      </c>
      <c r="K214">
        <v>18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</row>
    <row r="215" spans="1:22" x14ac:dyDescent="0.25">
      <c r="A215">
        <v>2025</v>
      </c>
      <c r="B215">
        <v>11</v>
      </c>
      <c r="C215" t="s">
        <v>75</v>
      </c>
      <c r="D215" t="s">
        <v>22</v>
      </c>
      <c r="E215" t="s">
        <v>75</v>
      </c>
      <c r="F215" t="s">
        <v>39</v>
      </c>
      <c r="G215" t="s">
        <v>24</v>
      </c>
      <c r="H215" t="s">
        <v>26</v>
      </c>
      <c r="I215" t="s">
        <v>26</v>
      </c>
      <c r="J215" t="s">
        <v>25</v>
      </c>
      <c r="K215">
        <v>7</v>
      </c>
      <c r="L215">
        <v>3</v>
      </c>
      <c r="M215">
        <v>0</v>
      </c>
      <c r="N215">
        <v>3</v>
      </c>
      <c r="O215">
        <v>3</v>
      </c>
      <c r="P215">
        <v>1</v>
      </c>
      <c r="Q215">
        <v>1</v>
      </c>
      <c r="R215">
        <v>1</v>
      </c>
      <c r="S215">
        <v>1</v>
      </c>
      <c r="T215">
        <v>0</v>
      </c>
      <c r="U215">
        <v>0</v>
      </c>
      <c r="V215">
        <v>4</v>
      </c>
    </row>
    <row r="216" spans="1:22" x14ac:dyDescent="0.25">
      <c r="A216">
        <v>2025</v>
      </c>
      <c r="B216">
        <v>11</v>
      </c>
      <c r="C216" t="s">
        <v>75</v>
      </c>
      <c r="D216" t="s">
        <v>22</v>
      </c>
      <c r="E216" t="s">
        <v>75</v>
      </c>
      <c r="F216" t="s">
        <v>39</v>
      </c>
      <c r="G216" t="s">
        <v>29</v>
      </c>
      <c r="H216" t="s">
        <v>26</v>
      </c>
      <c r="I216" t="s">
        <v>26</v>
      </c>
      <c r="J216" t="s">
        <v>25</v>
      </c>
      <c r="K216">
        <v>2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</row>
    <row r="217" spans="1:22" x14ac:dyDescent="0.25">
      <c r="A217">
        <v>2025</v>
      </c>
      <c r="B217">
        <v>11</v>
      </c>
      <c r="C217" t="s">
        <v>75</v>
      </c>
      <c r="D217" t="s">
        <v>22</v>
      </c>
      <c r="E217" t="s">
        <v>75</v>
      </c>
      <c r="F217" t="s">
        <v>84</v>
      </c>
      <c r="G217" t="s">
        <v>28</v>
      </c>
      <c r="H217" t="s">
        <v>25</v>
      </c>
      <c r="I217" t="s">
        <v>25</v>
      </c>
      <c r="J217" t="s">
        <v>25</v>
      </c>
      <c r="K217">
        <v>183</v>
      </c>
      <c r="L217">
        <v>12</v>
      </c>
      <c r="M217">
        <v>8</v>
      </c>
      <c r="N217">
        <v>20</v>
      </c>
      <c r="O217">
        <v>36</v>
      </c>
      <c r="P217">
        <v>19</v>
      </c>
      <c r="Q217">
        <v>19</v>
      </c>
      <c r="R217">
        <v>16</v>
      </c>
      <c r="S217">
        <v>12</v>
      </c>
      <c r="T217">
        <v>7</v>
      </c>
      <c r="U217">
        <v>3</v>
      </c>
      <c r="V217">
        <v>165</v>
      </c>
    </row>
    <row r="218" spans="1:22" x14ac:dyDescent="0.25">
      <c r="A218">
        <v>2025</v>
      </c>
      <c r="B218">
        <v>11</v>
      </c>
      <c r="C218" t="s">
        <v>75</v>
      </c>
      <c r="D218" t="s">
        <v>22</v>
      </c>
      <c r="E218" t="s">
        <v>75</v>
      </c>
      <c r="F218" t="s">
        <v>84</v>
      </c>
      <c r="G218" t="s">
        <v>29</v>
      </c>
      <c r="H218" t="s">
        <v>25</v>
      </c>
      <c r="I218" t="s">
        <v>25</v>
      </c>
      <c r="J218" t="s">
        <v>25</v>
      </c>
      <c r="K218">
        <v>40</v>
      </c>
      <c r="L218">
        <v>11</v>
      </c>
      <c r="M218">
        <v>0</v>
      </c>
      <c r="N218">
        <v>11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</row>
    <row r="219" spans="1:22" x14ac:dyDescent="0.25">
      <c r="A219">
        <v>2025</v>
      </c>
      <c r="B219">
        <v>11</v>
      </c>
      <c r="C219" t="s">
        <v>75</v>
      </c>
      <c r="D219" t="s">
        <v>22</v>
      </c>
      <c r="E219" t="s">
        <v>75</v>
      </c>
      <c r="F219" t="s">
        <v>113</v>
      </c>
      <c r="G219" t="s">
        <v>28</v>
      </c>
      <c r="H219" t="s">
        <v>26</v>
      </c>
      <c r="I219" t="s">
        <v>26</v>
      </c>
      <c r="J219" t="s">
        <v>25</v>
      </c>
      <c r="K219">
        <v>3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3</v>
      </c>
    </row>
    <row r="220" spans="1:22" x14ac:dyDescent="0.25">
      <c r="A220">
        <v>2025</v>
      </c>
      <c r="B220">
        <v>11</v>
      </c>
      <c r="C220" t="s">
        <v>75</v>
      </c>
      <c r="D220" t="s">
        <v>22</v>
      </c>
      <c r="E220" t="s">
        <v>75</v>
      </c>
      <c r="F220" t="s">
        <v>113</v>
      </c>
      <c r="G220" t="s">
        <v>24</v>
      </c>
      <c r="H220" t="s">
        <v>26</v>
      </c>
      <c r="I220" t="s">
        <v>26</v>
      </c>
      <c r="J220" t="s">
        <v>25</v>
      </c>
      <c r="K220">
        <v>84</v>
      </c>
      <c r="L220">
        <v>1</v>
      </c>
      <c r="M220">
        <v>1</v>
      </c>
      <c r="N220">
        <v>2</v>
      </c>
      <c r="O220">
        <v>24</v>
      </c>
      <c r="P220">
        <v>10</v>
      </c>
      <c r="Q220">
        <v>10</v>
      </c>
      <c r="R220">
        <v>9</v>
      </c>
      <c r="S220">
        <v>4</v>
      </c>
      <c r="T220">
        <v>2</v>
      </c>
      <c r="U220">
        <v>0</v>
      </c>
      <c r="V220">
        <v>83</v>
      </c>
    </row>
    <row r="221" spans="1:22" x14ac:dyDescent="0.25">
      <c r="A221">
        <v>2025</v>
      </c>
      <c r="B221">
        <v>11</v>
      </c>
      <c r="C221" t="s">
        <v>75</v>
      </c>
      <c r="D221" t="s">
        <v>22</v>
      </c>
      <c r="E221" t="s">
        <v>75</v>
      </c>
      <c r="F221" t="s">
        <v>113</v>
      </c>
      <c r="G221" t="s">
        <v>29</v>
      </c>
      <c r="H221" t="s">
        <v>26</v>
      </c>
      <c r="I221" t="s">
        <v>26</v>
      </c>
      <c r="J221" t="s">
        <v>25</v>
      </c>
      <c r="K221">
        <v>10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</row>
    <row r="222" spans="1:22" x14ac:dyDescent="0.25">
      <c r="A222">
        <v>2025</v>
      </c>
      <c r="B222">
        <v>11</v>
      </c>
      <c r="C222" t="s">
        <v>75</v>
      </c>
      <c r="D222" t="s">
        <v>22</v>
      </c>
      <c r="E222" t="s">
        <v>75</v>
      </c>
      <c r="F222" t="s">
        <v>115</v>
      </c>
      <c r="G222" t="s">
        <v>28</v>
      </c>
      <c r="H222" t="s">
        <v>25</v>
      </c>
      <c r="I222" t="s">
        <v>25</v>
      </c>
      <c r="J222" t="s">
        <v>25</v>
      </c>
      <c r="K222">
        <v>144</v>
      </c>
      <c r="L222">
        <v>0</v>
      </c>
      <c r="M222">
        <v>0</v>
      </c>
      <c r="N222">
        <v>0</v>
      </c>
      <c r="O222">
        <v>25</v>
      </c>
      <c r="P222">
        <v>8</v>
      </c>
      <c r="Q222">
        <v>8</v>
      </c>
      <c r="R222">
        <v>1</v>
      </c>
      <c r="S222">
        <v>0</v>
      </c>
      <c r="T222">
        <v>0</v>
      </c>
      <c r="U222">
        <v>0</v>
      </c>
      <c r="V222">
        <v>144</v>
      </c>
    </row>
    <row r="223" spans="1:22" x14ac:dyDescent="0.25">
      <c r="A223">
        <v>2025</v>
      </c>
      <c r="B223">
        <v>11</v>
      </c>
      <c r="C223" t="s">
        <v>75</v>
      </c>
      <c r="D223" t="s">
        <v>22</v>
      </c>
      <c r="E223" t="s">
        <v>75</v>
      </c>
      <c r="F223" t="s">
        <v>115</v>
      </c>
      <c r="G223" t="s">
        <v>29</v>
      </c>
      <c r="H223" t="s">
        <v>25</v>
      </c>
      <c r="I223" t="s">
        <v>25</v>
      </c>
      <c r="J223" t="s">
        <v>25</v>
      </c>
      <c r="K223">
        <v>86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</row>
    <row r="224" spans="1:22" x14ac:dyDescent="0.25">
      <c r="A224">
        <v>2025</v>
      </c>
      <c r="B224">
        <v>11</v>
      </c>
      <c r="C224" t="s">
        <v>75</v>
      </c>
      <c r="D224" t="s">
        <v>22</v>
      </c>
      <c r="E224" t="s">
        <v>75</v>
      </c>
      <c r="F224" t="s">
        <v>111</v>
      </c>
      <c r="G224" t="s">
        <v>28</v>
      </c>
      <c r="H224" t="s">
        <v>26</v>
      </c>
      <c r="I224" t="s">
        <v>26</v>
      </c>
      <c r="J224" t="s">
        <v>25</v>
      </c>
      <c r="K224">
        <v>11482</v>
      </c>
      <c r="L224">
        <v>31</v>
      </c>
      <c r="M224">
        <v>68</v>
      </c>
      <c r="N224">
        <v>99</v>
      </c>
      <c r="O224">
        <v>2954</v>
      </c>
      <c r="P224">
        <v>1821</v>
      </c>
      <c r="Q224">
        <v>1821</v>
      </c>
      <c r="R224">
        <v>1296</v>
      </c>
      <c r="S224">
        <v>963</v>
      </c>
      <c r="T224">
        <v>451</v>
      </c>
      <c r="U224">
        <v>153</v>
      </c>
      <c r="V224">
        <v>11424</v>
      </c>
    </row>
    <row r="225" spans="1:22" x14ac:dyDescent="0.25">
      <c r="A225">
        <v>2025</v>
      </c>
      <c r="B225">
        <v>11</v>
      </c>
      <c r="C225" t="s">
        <v>75</v>
      </c>
      <c r="D225" t="s">
        <v>22</v>
      </c>
      <c r="E225" t="s">
        <v>75</v>
      </c>
      <c r="F225" t="s">
        <v>111</v>
      </c>
      <c r="G225" t="s">
        <v>24</v>
      </c>
      <c r="H225" t="s">
        <v>26</v>
      </c>
      <c r="I225" t="s">
        <v>26</v>
      </c>
      <c r="J225" t="s">
        <v>25</v>
      </c>
      <c r="K225">
        <v>1077</v>
      </c>
      <c r="L225">
        <v>2</v>
      </c>
      <c r="M225">
        <v>3</v>
      </c>
      <c r="N225">
        <v>5</v>
      </c>
      <c r="O225">
        <v>433</v>
      </c>
      <c r="P225">
        <v>275</v>
      </c>
      <c r="Q225">
        <v>275</v>
      </c>
      <c r="R225">
        <v>214</v>
      </c>
      <c r="S225">
        <v>157</v>
      </c>
      <c r="T225">
        <v>83</v>
      </c>
      <c r="U225">
        <v>22</v>
      </c>
      <c r="V225">
        <v>1074</v>
      </c>
    </row>
    <row r="226" spans="1:22" x14ac:dyDescent="0.25">
      <c r="A226">
        <v>2025</v>
      </c>
      <c r="B226">
        <v>11</v>
      </c>
      <c r="C226" t="s">
        <v>75</v>
      </c>
      <c r="D226" t="s">
        <v>22</v>
      </c>
      <c r="E226" t="s">
        <v>75</v>
      </c>
      <c r="F226" t="s">
        <v>111</v>
      </c>
      <c r="G226" t="s">
        <v>29</v>
      </c>
      <c r="H226" t="s">
        <v>26</v>
      </c>
      <c r="I226" t="s">
        <v>26</v>
      </c>
      <c r="J226" t="s">
        <v>25</v>
      </c>
      <c r="K226">
        <v>999</v>
      </c>
      <c r="L226">
        <v>10</v>
      </c>
      <c r="M226">
        <v>0</v>
      </c>
      <c r="N226">
        <v>10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</row>
    <row r="227" spans="1:22" x14ac:dyDescent="0.25">
      <c r="A227">
        <v>2025</v>
      </c>
      <c r="B227">
        <v>11</v>
      </c>
      <c r="C227" t="s">
        <v>75</v>
      </c>
      <c r="D227" t="s">
        <v>22</v>
      </c>
      <c r="E227" t="s">
        <v>75</v>
      </c>
      <c r="F227" t="s">
        <v>110</v>
      </c>
      <c r="G227" t="s">
        <v>28</v>
      </c>
      <c r="H227" t="s">
        <v>25</v>
      </c>
      <c r="I227" t="s">
        <v>25</v>
      </c>
      <c r="J227" t="s">
        <v>25</v>
      </c>
      <c r="K227">
        <v>153433</v>
      </c>
      <c r="L227">
        <v>2936</v>
      </c>
      <c r="M227">
        <v>1600</v>
      </c>
      <c r="N227">
        <v>4536</v>
      </c>
      <c r="O227">
        <v>24230</v>
      </c>
      <c r="P227">
        <v>11323</v>
      </c>
      <c r="Q227">
        <v>11298</v>
      </c>
      <c r="R227">
        <v>7276</v>
      </c>
      <c r="S227">
        <v>5168</v>
      </c>
      <c r="T227">
        <v>2228</v>
      </c>
      <c r="U227">
        <v>467</v>
      </c>
      <c r="V227">
        <v>149986</v>
      </c>
    </row>
    <row r="228" spans="1:22" x14ac:dyDescent="0.25">
      <c r="A228">
        <v>2025</v>
      </c>
      <c r="B228">
        <v>11</v>
      </c>
      <c r="C228" t="s">
        <v>75</v>
      </c>
      <c r="D228" t="s">
        <v>22</v>
      </c>
      <c r="E228" t="s">
        <v>75</v>
      </c>
      <c r="F228" t="s">
        <v>110</v>
      </c>
      <c r="G228" t="s">
        <v>24</v>
      </c>
      <c r="H228" t="s">
        <v>25</v>
      </c>
      <c r="I228" t="s">
        <v>25</v>
      </c>
      <c r="J228" t="s">
        <v>25</v>
      </c>
      <c r="K228">
        <v>19899</v>
      </c>
      <c r="L228">
        <v>309</v>
      </c>
      <c r="M228">
        <v>97</v>
      </c>
      <c r="N228">
        <v>406</v>
      </c>
      <c r="O228">
        <v>2554</v>
      </c>
      <c r="P228">
        <v>1021</v>
      </c>
      <c r="Q228">
        <v>1019</v>
      </c>
      <c r="R228">
        <v>560</v>
      </c>
      <c r="S228">
        <v>352</v>
      </c>
      <c r="T228">
        <v>118</v>
      </c>
      <c r="U228">
        <v>26</v>
      </c>
      <c r="V228">
        <v>19557</v>
      </c>
    </row>
    <row r="229" spans="1:22" x14ac:dyDescent="0.25">
      <c r="A229">
        <v>2025</v>
      </c>
      <c r="B229">
        <v>11</v>
      </c>
      <c r="C229" t="s">
        <v>75</v>
      </c>
      <c r="D229" t="s">
        <v>22</v>
      </c>
      <c r="E229" t="s">
        <v>75</v>
      </c>
      <c r="F229" t="s">
        <v>110</v>
      </c>
      <c r="G229" t="s">
        <v>29</v>
      </c>
      <c r="H229" t="s">
        <v>25</v>
      </c>
      <c r="I229" t="s">
        <v>25</v>
      </c>
      <c r="J229" t="s">
        <v>25</v>
      </c>
      <c r="K229">
        <v>2091</v>
      </c>
      <c r="L229">
        <v>58</v>
      </c>
      <c r="M229">
        <v>0</v>
      </c>
      <c r="N229">
        <v>58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</row>
    <row r="230" spans="1:22" x14ac:dyDescent="0.25">
      <c r="A230">
        <v>2025</v>
      </c>
      <c r="B230">
        <v>11</v>
      </c>
      <c r="C230" t="s">
        <v>75</v>
      </c>
      <c r="D230" t="s">
        <v>22</v>
      </c>
      <c r="E230" t="s">
        <v>75</v>
      </c>
      <c r="F230" t="s">
        <v>116</v>
      </c>
      <c r="G230" t="s">
        <v>28</v>
      </c>
      <c r="H230" t="s">
        <v>25</v>
      </c>
      <c r="I230" t="s">
        <v>25</v>
      </c>
      <c r="J230" t="s">
        <v>25</v>
      </c>
      <c r="K230">
        <v>3259</v>
      </c>
      <c r="L230">
        <v>77</v>
      </c>
      <c r="M230">
        <v>13</v>
      </c>
      <c r="N230">
        <v>90</v>
      </c>
      <c r="O230">
        <v>271</v>
      </c>
      <c r="P230">
        <v>103</v>
      </c>
      <c r="Q230">
        <v>103</v>
      </c>
      <c r="R230">
        <v>54</v>
      </c>
      <c r="S230">
        <v>33</v>
      </c>
      <c r="T230">
        <v>9</v>
      </c>
      <c r="U230">
        <v>0</v>
      </c>
      <c r="V230">
        <v>3179</v>
      </c>
    </row>
    <row r="231" spans="1:22" x14ac:dyDescent="0.25">
      <c r="A231">
        <v>2025</v>
      </c>
      <c r="B231">
        <v>11</v>
      </c>
      <c r="C231" t="s">
        <v>75</v>
      </c>
      <c r="D231" t="s">
        <v>22</v>
      </c>
      <c r="E231" t="s">
        <v>75</v>
      </c>
      <c r="F231" t="s">
        <v>116</v>
      </c>
      <c r="G231" t="s">
        <v>24</v>
      </c>
      <c r="H231" t="s">
        <v>25</v>
      </c>
      <c r="I231" t="s">
        <v>25</v>
      </c>
      <c r="J231" t="s">
        <v>25</v>
      </c>
      <c r="K231">
        <v>62</v>
      </c>
      <c r="L231">
        <v>0</v>
      </c>
      <c r="M231">
        <v>0</v>
      </c>
      <c r="N231">
        <v>0</v>
      </c>
      <c r="O231">
        <v>57</v>
      </c>
      <c r="P231">
        <v>37</v>
      </c>
      <c r="Q231">
        <v>37</v>
      </c>
      <c r="R231">
        <v>15</v>
      </c>
      <c r="S231">
        <v>11</v>
      </c>
      <c r="T231">
        <v>2</v>
      </c>
      <c r="U231">
        <v>1</v>
      </c>
      <c r="V231">
        <v>62</v>
      </c>
    </row>
    <row r="232" spans="1:22" x14ac:dyDescent="0.25">
      <c r="A232">
        <v>2025</v>
      </c>
      <c r="B232">
        <v>11</v>
      </c>
      <c r="C232" t="s">
        <v>75</v>
      </c>
      <c r="D232" t="s">
        <v>22</v>
      </c>
      <c r="E232" t="s">
        <v>75</v>
      </c>
      <c r="F232" t="s">
        <v>116</v>
      </c>
      <c r="G232" t="s">
        <v>29</v>
      </c>
      <c r="H232" t="s">
        <v>25</v>
      </c>
      <c r="I232" t="s">
        <v>25</v>
      </c>
      <c r="J232" t="s">
        <v>25</v>
      </c>
      <c r="K232">
        <v>78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</row>
    <row r="233" spans="1:22" x14ac:dyDescent="0.25">
      <c r="A233">
        <v>2025</v>
      </c>
      <c r="B233">
        <v>11</v>
      </c>
      <c r="C233" t="s">
        <v>75</v>
      </c>
      <c r="D233" t="s">
        <v>22</v>
      </c>
      <c r="E233" t="s">
        <v>75</v>
      </c>
      <c r="G233" t="s">
        <v>28</v>
      </c>
      <c r="H233" t="s">
        <v>25</v>
      </c>
      <c r="I233" t="s">
        <v>25</v>
      </c>
      <c r="J233" t="s">
        <v>25</v>
      </c>
      <c r="K233">
        <v>15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15</v>
      </c>
    </row>
    <row r="234" spans="1:22" x14ac:dyDescent="0.25">
      <c r="A234">
        <v>2025</v>
      </c>
      <c r="B234">
        <v>11</v>
      </c>
      <c r="C234" t="s">
        <v>75</v>
      </c>
      <c r="D234" t="s">
        <v>22</v>
      </c>
      <c r="E234" t="s">
        <v>75</v>
      </c>
      <c r="G234" t="s">
        <v>29</v>
      </c>
      <c r="H234" t="s">
        <v>25</v>
      </c>
      <c r="I234" t="s">
        <v>25</v>
      </c>
      <c r="J234" t="s">
        <v>25</v>
      </c>
      <c r="K234">
        <v>8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</row>
    <row r="235" spans="1:22" x14ac:dyDescent="0.25">
      <c r="A235">
        <v>2025</v>
      </c>
      <c r="B235">
        <v>12</v>
      </c>
      <c r="C235" t="s">
        <v>75</v>
      </c>
      <c r="D235" t="s">
        <v>22</v>
      </c>
      <c r="E235" t="s">
        <v>123</v>
      </c>
      <c r="F235" t="s">
        <v>39</v>
      </c>
      <c r="G235" t="s">
        <v>24</v>
      </c>
      <c r="H235" t="s">
        <v>26</v>
      </c>
      <c r="I235" t="s">
        <v>26</v>
      </c>
      <c r="J235" t="s">
        <v>25</v>
      </c>
      <c r="K235">
        <v>669</v>
      </c>
      <c r="L235">
        <v>4</v>
      </c>
      <c r="M235">
        <v>4</v>
      </c>
      <c r="N235">
        <v>8</v>
      </c>
      <c r="O235">
        <v>252</v>
      </c>
      <c r="P235">
        <v>188</v>
      </c>
      <c r="Q235">
        <v>177</v>
      </c>
      <c r="R235">
        <v>144</v>
      </c>
      <c r="S235">
        <v>112</v>
      </c>
      <c r="T235">
        <v>51</v>
      </c>
      <c r="U235">
        <v>20</v>
      </c>
      <c r="V235">
        <v>663</v>
      </c>
    </row>
    <row r="236" spans="1:22" x14ac:dyDescent="0.25">
      <c r="A236">
        <v>2025</v>
      </c>
      <c r="B236">
        <v>12</v>
      </c>
      <c r="C236" t="s">
        <v>75</v>
      </c>
      <c r="D236" t="s">
        <v>22</v>
      </c>
      <c r="E236" t="s">
        <v>123</v>
      </c>
      <c r="F236" t="s">
        <v>111</v>
      </c>
      <c r="G236" t="s">
        <v>24</v>
      </c>
      <c r="H236" t="s">
        <v>26</v>
      </c>
      <c r="I236" t="s">
        <v>26</v>
      </c>
      <c r="J236" t="s">
        <v>25</v>
      </c>
      <c r="K236">
        <v>10</v>
      </c>
      <c r="L236">
        <v>0</v>
      </c>
      <c r="M236">
        <v>0</v>
      </c>
      <c r="N236">
        <v>0</v>
      </c>
      <c r="O236">
        <v>3</v>
      </c>
      <c r="P236">
        <v>2</v>
      </c>
      <c r="Q236">
        <v>2</v>
      </c>
      <c r="R236">
        <v>2</v>
      </c>
      <c r="S236">
        <v>1</v>
      </c>
      <c r="T236">
        <v>0</v>
      </c>
      <c r="U236">
        <v>0</v>
      </c>
      <c r="V236">
        <v>10</v>
      </c>
    </row>
    <row r="237" spans="1:22" x14ac:dyDescent="0.25">
      <c r="A237">
        <v>2025</v>
      </c>
      <c r="B237">
        <v>12</v>
      </c>
      <c r="C237" t="s">
        <v>75</v>
      </c>
      <c r="D237" t="s">
        <v>22</v>
      </c>
      <c r="E237" t="s">
        <v>123</v>
      </c>
      <c r="F237" t="s">
        <v>42</v>
      </c>
      <c r="G237" t="s">
        <v>24</v>
      </c>
      <c r="H237" t="s">
        <v>26</v>
      </c>
      <c r="I237" t="s">
        <v>26</v>
      </c>
      <c r="J237" t="s">
        <v>25</v>
      </c>
      <c r="K237">
        <v>99</v>
      </c>
      <c r="L237">
        <v>2</v>
      </c>
      <c r="M237">
        <v>1</v>
      </c>
      <c r="N237">
        <v>3</v>
      </c>
      <c r="O237">
        <v>46</v>
      </c>
      <c r="P237">
        <v>39</v>
      </c>
      <c r="Q237">
        <v>38</v>
      </c>
      <c r="R237">
        <v>33</v>
      </c>
      <c r="S237">
        <v>20</v>
      </c>
      <c r="T237">
        <v>7</v>
      </c>
      <c r="U237">
        <v>1</v>
      </c>
      <c r="V237">
        <v>97</v>
      </c>
    </row>
    <row r="238" spans="1:22" x14ac:dyDescent="0.25">
      <c r="A238">
        <v>2025</v>
      </c>
      <c r="B238">
        <v>12</v>
      </c>
      <c r="C238" t="s">
        <v>75</v>
      </c>
      <c r="D238" t="s">
        <v>22</v>
      </c>
      <c r="E238" t="s">
        <v>123</v>
      </c>
      <c r="F238" t="s">
        <v>27</v>
      </c>
      <c r="G238" t="s">
        <v>24</v>
      </c>
      <c r="H238" t="s">
        <v>26</v>
      </c>
      <c r="I238" t="s">
        <v>26</v>
      </c>
      <c r="J238" t="s">
        <v>25</v>
      </c>
      <c r="K238">
        <v>34</v>
      </c>
      <c r="L238">
        <v>0</v>
      </c>
      <c r="M238">
        <v>0</v>
      </c>
      <c r="N238">
        <v>0</v>
      </c>
      <c r="O238">
        <v>5</v>
      </c>
      <c r="P238">
        <v>2</v>
      </c>
      <c r="Q238">
        <v>2</v>
      </c>
      <c r="R238">
        <v>0</v>
      </c>
      <c r="S238">
        <v>0</v>
      </c>
      <c r="T238">
        <v>0</v>
      </c>
      <c r="U238">
        <v>0</v>
      </c>
      <c r="V238">
        <v>34</v>
      </c>
    </row>
    <row r="239" spans="1:22" x14ac:dyDescent="0.25">
      <c r="A239">
        <v>2025</v>
      </c>
      <c r="B239">
        <v>12</v>
      </c>
      <c r="C239" t="s">
        <v>75</v>
      </c>
      <c r="D239" t="s">
        <v>22</v>
      </c>
      <c r="E239" t="s">
        <v>61</v>
      </c>
      <c r="F239" t="s">
        <v>35</v>
      </c>
      <c r="G239" t="s">
        <v>24</v>
      </c>
      <c r="H239" t="s">
        <v>25</v>
      </c>
      <c r="I239" t="s">
        <v>26</v>
      </c>
      <c r="J239" t="s">
        <v>26</v>
      </c>
      <c r="K239">
        <v>12</v>
      </c>
      <c r="L239">
        <v>0</v>
      </c>
      <c r="M239">
        <v>2</v>
      </c>
      <c r="N239">
        <v>2</v>
      </c>
      <c r="O239">
        <v>2</v>
      </c>
      <c r="P239">
        <v>2</v>
      </c>
      <c r="Q239">
        <v>2</v>
      </c>
      <c r="R239">
        <v>2</v>
      </c>
      <c r="S239">
        <v>0</v>
      </c>
      <c r="T239">
        <v>0</v>
      </c>
      <c r="U239">
        <v>0</v>
      </c>
      <c r="V239">
        <v>10</v>
      </c>
    </row>
    <row r="240" spans="1:22" x14ac:dyDescent="0.25">
      <c r="A240">
        <v>2025</v>
      </c>
      <c r="B240">
        <v>12</v>
      </c>
      <c r="C240" t="s">
        <v>75</v>
      </c>
      <c r="D240" t="s">
        <v>22</v>
      </c>
      <c r="E240" t="s">
        <v>124</v>
      </c>
      <c r="F240" t="s">
        <v>113</v>
      </c>
      <c r="G240" t="s">
        <v>24</v>
      </c>
      <c r="H240" t="s">
        <v>26</v>
      </c>
      <c r="I240" t="s">
        <v>26</v>
      </c>
      <c r="J240" t="s">
        <v>25</v>
      </c>
      <c r="K240">
        <v>93</v>
      </c>
      <c r="L240">
        <v>0</v>
      </c>
      <c r="M240">
        <v>1</v>
      </c>
      <c r="N240">
        <v>1</v>
      </c>
      <c r="O240">
        <v>21</v>
      </c>
      <c r="P240">
        <v>11</v>
      </c>
      <c r="Q240">
        <v>11</v>
      </c>
      <c r="R240">
        <v>11</v>
      </c>
      <c r="S240">
        <v>6</v>
      </c>
      <c r="T240">
        <v>2</v>
      </c>
      <c r="U240">
        <v>0</v>
      </c>
      <c r="V240">
        <v>93</v>
      </c>
    </row>
    <row r="241" spans="1:22" x14ac:dyDescent="0.25">
      <c r="A241">
        <v>2025</v>
      </c>
      <c r="B241">
        <v>12</v>
      </c>
      <c r="C241" t="s">
        <v>75</v>
      </c>
      <c r="D241" t="s">
        <v>22</v>
      </c>
      <c r="E241" t="s">
        <v>124</v>
      </c>
      <c r="F241" t="s">
        <v>70</v>
      </c>
      <c r="G241" t="s">
        <v>28</v>
      </c>
      <c r="H241" t="s">
        <v>26</v>
      </c>
      <c r="I241" t="s">
        <v>26</v>
      </c>
      <c r="J241" t="s">
        <v>25</v>
      </c>
      <c r="K241">
        <v>25</v>
      </c>
      <c r="L241">
        <v>0</v>
      </c>
      <c r="M241">
        <v>0</v>
      </c>
      <c r="N241">
        <v>0</v>
      </c>
      <c r="O241">
        <v>25</v>
      </c>
      <c r="P241">
        <v>25</v>
      </c>
      <c r="Q241">
        <v>25</v>
      </c>
      <c r="R241">
        <v>23</v>
      </c>
      <c r="S241">
        <v>20</v>
      </c>
      <c r="T241">
        <v>13</v>
      </c>
      <c r="U241">
        <v>3</v>
      </c>
      <c r="V241">
        <v>25</v>
      </c>
    </row>
    <row r="242" spans="1:22" x14ac:dyDescent="0.25">
      <c r="A242">
        <v>2025</v>
      </c>
      <c r="B242">
        <v>12</v>
      </c>
      <c r="C242" t="s">
        <v>75</v>
      </c>
      <c r="D242" t="s">
        <v>22</v>
      </c>
      <c r="E242" t="s">
        <v>124</v>
      </c>
      <c r="F242" t="s">
        <v>70</v>
      </c>
      <c r="G242" t="s">
        <v>24</v>
      </c>
      <c r="H242" t="s">
        <v>26</v>
      </c>
      <c r="I242" t="s">
        <v>26</v>
      </c>
      <c r="J242" t="s">
        <v>25</v>
      </c>
      <c r="K242">
        <v>843</v>
      </c>
      <c r="L242">
        <v>0</v>
      </c>
      <c r="M242">
        <v>0</v>
      </c>
      <c r="N242">
        <v>0</v>
      </c>
      <c r="O242">
        <v>76</v>
      </c>
      <c r="P242">
        <v>38</v>
      </c>
      <c r="Q242">
        <v>36</v>
      </c>
      <c r="R242">
        <v>32</v>
      </c>
      <c r="S242">
        <v>28</v>
      </c>
      <c r="T242">
        <v>13</v>
      </c>
      <c r="U242">
        <v>2</v>
      </c>
      <c r="V242">
        <v>843</v>
      </c>
    </row>
    <row r="243" spans="1:22" x14ac:dyDescent="0.25">
      <c r="A243">
        <v>2025</v>
      </c>
      <c r="B243">
        <v>12</v>
      </c>
      <c r="C243" t="s">
        <v>75</v>
      </c>
      <c r="D243" t="s">
        <v>22</v>
      </c>
      <c r="E243" t="s">
        <v>124</v>
      </c>
      <c r="F243" t="s">
        <v>70</v>
      </c>
      <c r="G243" t="s">
        <v>29</v>
      </c>
      <c r="H243" t="s">
        <v>26</v>
      </c>
      <c r="I243" t="s">
        <v>26</v>
      </c>
      <c r="J243" t="s">
        <v>25</v>
      </c>
      <c r="K243">
        <v>9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</row>
    <row r="244" spans="1:22" x14ac:dyDescent="0.25">
      <c r="A244">
        <v>2025</v>
      </c>
      <c r="B244">
        <v>12</v>
      </c>
      <c r="C244" t="s">
        <v>75</v>
      </c>
      <c r="D244" t="s">
        <v>22</v>
      </c>
      <c r="E244" t="s">
        <v>72</v>
      </c>
      <c r="F244" t="s">
        <v>23</v>
      </c>
      <c r="G244" t="s">
        <v>24</v>
      </c>
      <c r="H244" t="s">
        <v>25</v>
      </c>
      <c r="I244" t="s">
        <v>26</v>
      </c>
      <c r="J244" t="s">
        <v>25</v>
      </c>
      <c r="K244">
        <v>785</v>
      </c>
      <c r="L244">
        <v>6</v>
      </c>
      <c r="M244">
        <v>0</v>
      </c>
      <c r="N244">
        <v>6</v>
      </c>
      <c r="O244">
        <v>2</v>
      </c>
      <c r="P244">
        <v>2</v>
      </c>
      <c r="Q244">
        <v>2</v>
      </c>
      <c r="R244">
        <v>1</v>
      </c>
      <c r="S244">
        <v>1</v>
      </c>
      <c r="T244">
        <v>1</v>
      </c>
      <c r="U244">
        <v>0</v>
      </c>
      <c r="V244">
        <v>779</v>
      </c>
    </row>
    <row r="245" spans="1:22" x14ac:dyDescent="0.25">
      <c r="A245">
        <v>2025</v>
      </c>
      <c r="B245">
        <v>12</v>
      </c>
      <c r="C245" t="s">
        <v>75</v>
      </c>
      <c r="D245" t="s">
        <v>22</v>
      </c>
      <c r="E245" t="s">
        <v>125</v>
      </c>
      <c r="F245" t="s">
        <v>23</v>
      </c>
      <c r="G245" t="s">
        <v>24</v>
      </c>
      <c r="H245" t="s">
        <v>25</v>
      </c>
      <c r="I245" t="s">
        <v>26</v>
      </c>
      <c r="J245" t="s">
        <v>25</v>
      </c>
      <c r="K245">
        <v>4</v>
      </c>
      <c r="L245">
        <v>0</v>
      </c>
      <c r="M245">
        <v>0</v>
      </c>
      <c r="N245">
        <v>0</v>
      </c>
      <c r="O245">
        <v>3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4</v>
      </c>
    </row>
    <row r="246" spans="1:22" x14ac:dyDescent="0.25">
      <c r="A246">
        <v>2025</v>
      </c>
      <c r="B246">
        <v>12</v>
      </c>
      <c r="C246" t="s">
        <v>75</v>
      </c>
      <c r="D246" t="s">
        <v>22</v>
      </c>
      <c r="E246" t="s">
        <v>125</v>
      </c>
      <c r="F246" t="s">
        <v>110</v>
      </c>
      <c r="G246" t="s">
        <v>24</v>
      </c>
      <c r="H246" t="s">
        <v>25</v>
      </c>
      <c r="I246" t="s">
        <v>25</v>
      </c>
      <c r="J246" t="s">
        <v>25</v>
      </c>
      <c r="K246">
        <v>327</v>
      </c>
      <c r="L246">
        <v>0</v>
      </c>
      <c r="M246">
        <v>1</v>
      </c>
      <c r="N246">
        <v>1</v>
      </c>
      <c r="O246">
        <v>51</v>
      </c>
      <c r="P246">
        <v>11</v>
      </c>
      <c r="Q246">
        <v>11</v>
      </c>
      <c r="R246">
        <v>6</v>
      </c>
      <c r="S246">
        <v>1</v>
      </c>
      <c r="T246">
        <v>0</v>
      </c>
      <c r="U246">
        <v>0</v>
      </c>
      <c r="V246">
        <v>327</v>
      </c>
    </row>
    <row r="247" spans="1:22" x14ac:dyDescent="0.25">
      <c r="A247">
        <v>2025</v>
      </c>
      <c r="B247">
        <v>12</v>
      </c>
      <c r="C247" t="s">
        <v>75</v>
      </c>
      <c r="D247" t="s">
        <v>22</v>
      </c>
      <c r="E247" t="s">
        <v>125</v>
      </c>
      <c r="F247" t="s">
        <v>117</v>
      </c>
      <c r="G247" t="s">
        <v>24</v>
      </c>
      <c r="H247" t="s">
        <v>25</v>
      </c>
      <c r="I247" t="s">
        <v>25</v>
      </c>
      <c r="J247" t="s">
        <v>25</v>
      </c>
      <c r="K247">
        <v>1364</v>
      </c>
      <c r="L247">
        <v>0</v>
      </c>
      <c r="M247">
        <v>0</v>
      </c>
      <c r="N247">
        <v>0</v>
      </c>
      <c r="O247">
        <v>39</v>
      </c>
      <c r="P247">
        <v>5</v>
      </c>
      <c r="Q247">
        <v>5</v>
      </c>
      <c r="R247">
        <v>0</v>
      </c>
      <c r="S247">
        <v>0</v>
      </c>
      <c r="T247">
        <v>0</v>
      </c>
      <c r="U247">
        <v>0</v>
      </c>
      <c r="V247">
        <v>1364</v>
      </c>
    </row>
    <row r="248" spans="1:22" x14ac:dyDescent="0.25">
      <c r="A248">
        <v>2025</v>
      </c>
      <c r="B248">
        <v>12</v>
      </c>
      <c r="C248" t="s">
        <v>75</v>
      </c>
      <c r="D248" t="s">
        <v>22</v>
      </c>
      <c r="E248" t="s">
        <v>75</v>
      </c>
      <c r="F248" t="s">
        <v>118</v>
      </c>
      <c r="G248" t="s">
        <v>28</v>
      </c>
      <c r="H248" t="s">
        <v>25</v>
      </c>
      <c r="I248" t="s">
        <v>25</v>
      </c>
      <c r="J248" t="s">
        <v>25</v>
      </c>
      <c r="K248">
        <v>13150</v>
      </c>
      <c r="L248">
        <v>0</v>
      </c>
      <c r="M248">
        <v>0</v>
      </c>
      <c r="N248">
        <v>0</v>
      </c>
      <c r="O248">
        <v>3882</v>
      </c>
      <c r="P248">
        <v>1000</v>
      </c>
      <c r="Q248">
        <v>995</v>
      </c>
      <c r="R248">
        <v>363</v>
      </c>
      <c r="S248">
        <v>163</v>
      </c>
      <c r="T248">
        <v>28</v>
      </c>
      <c r="U248">
        <v>0</v>
      </c>
      <c r="V248">
        <v>13150</v>
      </c>
    </row>
    <row r="249" spans="1:22" x14ac:dyDescent="0.25">
      <c r="A249">
        <v>2025</v>
      </c>
      <c r="B249">
        <v>12</v>
      </c>
      <c r="C249" t="s">
        <v>75</v>
      </c>
      <c r="D249" t="s">
        <v>22</v>
      </c>
      <c r="E249" t="s">
        <v>75</v>
      </c>
      <c r="F249" t="s">
        <v>118</v>
      </c>
      <c r="G249" t="s">
        <v>24</v>
      </c>
      <c r="H249" t="s">
        <v>25</v>
      </c>
      <c r="I249" t="s">
        <v>25</v>
      </c>
      <c r="J249" t="s">
        <v>25</v>
      </c>
      <c r="K249">
        <v>481</v>
      </c>
      <c r="L249">
        <v>0</v>
      </c>
      <c r="M249">
        <v>0</v>
      </c>
      <c r="N249">
        <v>0</v>
      </c>
      <c r="O249">
        <v>70</v>
      </c>
      <c r="P249">
        <v>22</v>
      </c>
      <c r="Q249">
        <v>22</v>
      </c>
      <c r="R249">
        <v>5</v>
      </c>
      <c r="S249">
        <v>1</v>
      </c>
      <c r="T249">
        <v>0</v>
      </c>
      <c r="U249">
        <v>0</v>
      </c>
      <c r="V249">
        <v>481</v>
      </c>
    </row>
    <row r="250" spans="1:22" x14ac:dyDescent="0.25">
      <c r="A250">
        <v>2025</v>
      </c>
      <c r="B250">
        <v>12</v>
      </c>
      <c r="C250" t="s">
        <v>75</v>
      </c>
      <c r="D250" t="s">
        <v>22</v>
      </c>
      <c r="E250" t="s">
        <v>75</v>
      </c>
      <c r="F250" t="s">
        <v>118</v>
      </c>
      <c r="G250" t="s">
        <v>29</v>
      </c>
      <c r="H250" t="s">
        <v>25</v>
      </c>
      <c r="I250" t="s">
        <v>25</v>
      </c>
      <c r="J250" t="s">
        <v>25</v>
      </c>
      <c r="K250">
        <v>156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</row>
    <row r="251" spans="1:22" x14ac:dyDescent="0.25">
      <c r="A251">
        <v>2025</v>
      </c>
      <c r="B251">
        <v>12</v>
      </c>
      <c r="C251" t="s">
        <v>75</v>
      </c>
      <c r="D251" t="s">
        <v>22</v>
      </c>
      <c r="E251" t="s">
        <v>75</v>
      </c>
      <c r="F251" t="s">
        <v>114</v>
      </c>
      <c r="G251" t="s">
        <v>28</v>
      </c>
      <c r="H251" t="s">
        <v>25</v>
      </c>
      <c r="I251" t="s">
        <v>25</v>
      </c>
      <c r="J251" t="s">
        <v>25</v>
      </c>
      <c r="K251">
        <v>3913</v>
      </c>
      <c r="L251">
        <v>6</v>
      </c>
      <c r="M251">
        <v>32</v>
      </c>
      <c r="N251">
        <v>38</v>
      </c>
      <c r="O251">
        <v>1411</v>
      </c>
      <c r="P251">
        <v>363</v>
      </c>
      <c r="Q251">
        <v>362</v>
      </c>
      <c r="R251">
        <v>128</v>
      </c>
      <c r="S251">
        <v>54</v>
      </c>
      <c r="T251">
        <v>7</v>
      </c>
      <c r="U251">
        <v>0</v>
      </c>
      <c r="V251">
        <v>3906</v>
      </c>
    </row>
    <row r="252" spans="1:22" x14ac:dyDescent="0.25">
      <c r="A252">
        <v>2025</v>
      </c>
      <c r="B252">
        <v>12</v>
      </c>
      <c r="C252" t="s">
        <v>75</v>
      </c>
      <c r="D252" t="s">
        <v>22</v>
      </c>
      <c r="E252" t="s">
        <v>75</v>
      </c>
      <c r="F252" t="s">
        <v>114</v>
      </c>
      <c r="G252" t="s">
        <v>24</v>
      </c>
      <c r="H252" t="s">
        <v>25</v>
      </c>
      <c r="I252" t="s">
        <v>25</v>
      </c>
      <c r="J252" t="s">
        <v>25</v>
      </c>
      <c r="K252">
        <v>199</v>
      </c>
      <c r="L252">
        <v>0</v>
      </c>
      <c r="M252">
        <v>0</v>
      </c>
      <c r="N252">
        <v>0</v>
      </c>
      <c r="O252">
        <v>48</v>
      </c>
      <c r="P252">
        <v>10</v>
      </c>
      <c r="Q252">
        <v>10</v>
      </c>
      <c r="R252">
        <v>0</v>
      </c>
      <c r="S252">
        <v>0</v>
      </c>
      <c r="T252">
        <v>0</v>
      </c>
      <c r="U252">
        <v>0</v>
      </c>
      <c r="V252">
        <v>199</v>
      </c>
    </row>
    <row r="253" spans="1:22" x14ac:dyDescent="0.25">
      <c r="A253">
        <v>2025</v>
      </c>
      <c r="B253">
        <v>12</v>
      </c>
      <c r="C253" t="s">
        <v>75</v>
      </c>
      <c r="D253" t="s">
        <v>22</v>
      </c>
      <c r="E253" t="s">
        <v>75</v>
      </c>
      <c r="F253" t="s">
        <v>114</v>
      </c>
      <c r="G253" t="s">
        <v>29</v>
      </c>
      <c r="H253" t="s">
        <v>25</v>
      </c>
      <c r="I253" t="s">
        <v>25</v>
      </c>
      <c r="J253" t="s">
        <v>25</v>
      </c>
      <c r="K253">
        <v>244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</row>
    <row r="254" spans="1:22" x14ac:dyDescent="0.25">
      <c r="A254">
        <v>2025</v>
      </c>
      <c r="B254">
        <v>12</v>
      </c>
      <c r="C254" t="s">
        <v>75</v>
      </c>
      <c r="D254" t="s">
        <v>22</v>
      </c>
      <c r="E254" t="s">
        <v>75</v>
      </c>
      <c r="F254" t="s">
        <v>23</v>
      </c>
      <c r="G254" t="s">
        <v>28</v>
      </c>
      <c r="H254" t="s">
        <v>25</v>
      </c>
      <c r="I254" t="s">
        <v>25</v>
      </c>
      <c r="J254" t="s">
        <v>25</v>
      </c>
      <c r="K254">
        <v>344</v>
      </c>
      <c r="L254">
        <v>6</v>
      </c>
      <c r="M254">
        <v>10</v>
      </c>
      <c r="N254">
        <v>16</v>
      </c>
      <c r="O254">
        <v>136</v>
      </c>
      <c r="P254">
        <v>95</v>
      </c>
      <c r="Q254">
        <v>95</v>
      </c>
      <c r="R254">
        <v>67</v>
      </c>
      <c r="S254">
        <v>58</v>
      </c>
      <c r="T254">
        <v>30</v>
      </c>
      <c r="U254">
        <v>16</v>
      </c>
      <c r="V254">
        <v>333</v>
      </c>
    </row>
    <row r="255" spans="1:22" x14ac:dyDescent="0.25">
      <c r="A255">
        <v>2025</v>
      </c>
      <c r="B255">
        <v>12</v>
      </c>
      <c r="C255" t="s">
        <v>75</v>
      </c>
      <c r="D255" t="s">
        <v>22</v>
      </c>
      <c r="E255" t="s">
        <v>75</v>
      </c>
      <c r="F255" t="s">
        <v>23</v>
      </c>
      <c r="G255" t="s">
        <v>29</v>
      </c>
      <c r="H255" t="s">
        <v>25</v>
      </c>
      <c r="I255" t="s">
        <v>25</v>
      </c>
      <c r="J255" t="s">
        <v>25</v>
      </c>
      <c r="K255">
        <v>6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</row>
    <row r="256" spans="1:22" x14ac:dyDescent="0.25">
      <c r="A256">
        <v>2025</v>
      </c>
      <c r="B256">
        <v>12</v>
      </c>
      <c r="C256" t="s">
        <v>75</v>
      </c>
      <c r="D256" t="s">
        <v>22</v>
      </c>
      <c r="E256" t="s">
        <v>75</v>
      </c>
      <c r="F256" t="s">
        <v>39</v>
      </c>
      <c r="G256" t="s">
        <v>28</v>
      </c>
      <c r="H256" t="s">
        <v>26</v>
      </c>
      <c r="I256" t="s">
        <v>26</v>
      </c>
      <c r="J256" t="s">
        <v>25</v>
      </c>
      <c r="K256">
        <v>8</v>
      </c>
      <c r="L256">
        <v>0</v>
      </c>
      <c r="M256">
        <v>0</v>
      </c>
      <c r="N256">
        <v>0</v>
      </c>
      <c r="O256">
        <v>8</v>
      </c>
      <c r="P256">
        <v>8</v>
      </c>
      <c r="Q256">
        <v>8</v>
      </c>
      <c r="R256">
        <v>7</v>
      </c>
      <c r="S256">
        <v>7</v>
      </c>
      <c r="T256">
        <v>4</v>
      </c>
      <c r="U256">
        <v>2</v>
      </c>
      <c r="V256">
        <v>8</v>
      </c>
    </row>
    <row r="257" spans="1:22" x14ac:dyDescent="0.25">
      <c r="A257">
        <v>2025</v>
      </c>
      <c r="B257">
        <v>12</v>
      </c>
      <c r="C257" t="s">
        <v>75</v>
      </c>
      <c r="D257" t="s">
        <v>22</v>
      </c>
      <c r="E257" t="s">
        <v>75</v>
      </c>
      <c r="F257" t="s">
        <v>39</v>
      </c>
      <c r="G257" t="s">
        <v>29</v>
      </c>
      <c r="H257" t="s">
        <v>26</v>
      </c>
      <c r="I257" t="s">
        <v>26</v>
      </c>
      <c r="J257" t="s">
        <v>25</v>
      </c>
      <c r="K257">
        <v>3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</row>
    <row r="258" spans="1:22" x14ac:dyDescent="0.25">
      <c r="A258">
        <v>2025</v>
      </c>
      <c r="B258">
        <v>12</v>
      </c>
      <c r="C258" t="s">
        <v>75</v>
      </c>
      <c r="D258" t="s">
        <v>22</v>
      </c>
      <c r="E258" t="s">
        <v>75</v>
      </c>
      <c r="F258" t="s">
        <v>84</v>
      </c>
      <c r="G258" t="s">
        <v>28</v>
      </c>
      <c r="H258" t="s">
        <v>25</v>
      </c>
      <c r="I258" t="s">
        <v>25</v>
      </c>
      <c r="J258" t="s">
        <v>25</v>
      </c>
      <c r="K258">
        <v>40</v>
      </c>
      <c r="L258">
        <v>10</v>
      </c>
      <c r="M258">
        <v>2</v>
      </c>
      <c r="N258">
        <v>12</v>
      </c>
      <c r="O258">
        <v>10</v>
      </c>
      <c r="P258">
        <v>3</v>
      </c>
      <c r="Q258">
        <v>3</v>
      </c>
      <c r="R258">
        <v>2</v>
      </c>
      <c r="S258">
        <v>2</v>
      </c>
      <c r="T258">
        <v>2</v>
      </c>
      <c r="U258">
        <v>0</v>
      </c>
      <c r="V258">
        <v>28</v>
      </c>
    </row>
    <row r="259" spans="1:22" x14ac:dyDescent="0.25">
      <c r="A259">
        <v>2025</v>
      </c>
      <c r="B259">
        <v>12</v>
      </c>
      <c r="C259" t="s">
        <v>75</v>
      </c>
      <c r="D259" t="s">
        <v>22</v>
      </c>
      <c r="E259" t="s">
        <v>75</v>
      </c>
      <c r="F259" t="s">
        <v>84</v>
      </c>
      <c r="G259" t="s">
        <v>29</v>
      </c>
      <c r="H259" t="s">
        <v>25</v>
      </c>
      <c r="I259" t="s">
        <v>25</v>
      </c>
      <c r="J259" t="s">
        <v>25</v>
      </c>
      <c r="K259">
        <v>10</v>
      </c>
      <c r="L259">
        <v>5</v>
      </c>
      <c r="M259">
        <v>0</v>
      </c>
      <c r="N259">
        <v>5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</row>
    <row r="260" spans="1:22" x14ac:dyDescent="0.25">
      <c r="A260">
        <v>2025</v>
      </c>
      <c r="B260">
        <v>12</v>
      </c>
      <c r="C260" t="s">
        <v>75</v>
      </c>
      <c r="D260" t="s">
        <v>22</v>
      </c>
      <c r="E260" t="s">
        <v>75</v>
      </c>
      <c r="F260" t="s">
        <v>77</v>
      </c>
      <c r="G260" t="s">
        <v>28</v>
      </c>
      <c r="H260" t="s">
        <v>25</v>
      </c>
      <c r="I260" t="s">
        <v>26</v>
      </c>
      <c r="J260" t="s">
        <v>25</v>
      </c>
      <c r="K260">
        <v>1742</v>
      </c>
      <c r="L260">
        <v>0</v>
      </c>
      <c r="M260">
        <v>0</v>
      </c>
      <c r="N260">
        <v>0</v>
      </c>
      <c r="O260">
        <v>497</v>
      </c>
      <c r="P260">
        <v>341</v>
      </c>
      <c r="Q260">
        <v>341</v>
      </c>
      <c r="R260">
        <v>256</v>
      </c>
      <c r="S260">
        <v>199</v>
      </c>
      <c r="T260">
        <v>111</v>
      </c>
      <c r="U260">
        <v>27</v>
      </c>
      <c r="V260">
        <v>1742</v>
      </c>
    </row>
    <row r="261" spans="1:22" x14ac:dyDescent="0.25">
      <c r="A261">
        <v>2025</v>
      </c>
      <c r="B261">
        <v>12</v>
      </c>
      <c r="C261" t="s">
        <v>75</v>
      </c>
      <c r="D261" t="s">
        <v>22</v>
      </c>
      <c r="E261" t="s">
        <v>75</v>
      </c>
      <c r="F261" t="s">
        <v>77</v>
      </c>
      <c r="G261" t="s">
        <v>29</v>
      </c>
      <c r="H261" t="s">
        <v>25</v>
      </c>
      <c r="I261" t="s">
        <v>26</v>
      </c>
      <c r="J261" t="s">
        <v>25</v>
      </c>
      <c r="K261">
        <v>19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</row>
    <row r="262" spans="1:22" x14ac:dyDescent="0.25">
      <c r="A262">
        <v>2025</v>
      </c>
      <c r="B262">
        <v>12</v>
      </c>
      <c r="C262" t="s">
        <v>75</v>
      </c>
      <c r="D262" t="s">
        <v>22</v>
      </c>
      <c r="E262" t="s">
        <v>75</v>
      </c>
      <c r="F262" t="s">
        <v>78</v>
      </c>
      <c r="G262" t="s">
        <v>28</v>
      </c>
      <c r="H262" t="s">
        <v>25</v>
      </c>
      <c r="I262" t="s">
        <v>26</v>
      </c>
      <c r="J262" t="s">
        <v>26</v>
      </c>
      <c r="K262">
        <v>268</v>
      </c>
      <c r="L262">
        <v>0</v>
      </c>
      <c r="M262">
        <v>0</v>
      </c>
      <c r="N262">
        <v>0</v>
      </c>
      <c r="O262">
        <v>57</v>
      </c>
      <c r="P262">
        <v>42</v>
      </c>
      <c r="Q262">
        <v>42</v>
      </c>
      <c r="R262">
        <v>31</v>
      </c>
      <c r="S262">
        <v>27</v>
      </c>
      <c r="T262">
        <v>13</v>
      </c>
      <c r="U262">
        <v>4</v>
      </c>
      <c r="V262">
        <v>268</v>
      </c>
    </row>
    <row r="263" spans="1:22" x14ac:dyDescent="0.25">
      <c r="A263">
        <v>2025</v>
      </c>
      <c r="B263">
        <v>12</v>
      </c>
      <c r="C263" t="s">
        <v>75</v>
      </c>
      <c r="D263" t="s">
        <v>22</v>
      </c>
      <c r="E263" t="s">
        <v>75</v>
      </c>
      <c r="F263" t="s">
        <v>78</v>
      </c>
      <c r="G263" t="s">
        <v>29</v>
      </c>
      <c r="H263" t="s">
        <v>25</v>
      </c>
      <c r="I263" t="s">
        <v>26</v>
      </c>
      <c r="J263" t="s">
        <v>26</v>
      </c>
      <c r="K263">
        <v>37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</row>
    <row r="264" spans="1:22" x14ac:dyDescent="0.25">
      <c r="A264">
        <v>2025</v>
      </c>
      <c r="B264">
        <v>12</v>
      </c>
      <c r="C264" t="s">
        <v>75</v>
      </c>
      <c r="D264" t="s">
        <v>22</v>
      </c>
      <c r="E264" t="s">
        <v>75</v>
      </c>
      <c r="F264" t="s">
        <v>113</v>
      </c>
      <c r="G264" t="s">
        <v>24</v>
      </c>
      <c r="H264" t="s">
        <v>26</v>
      </c>
      <c r="I264" t="s">
        <v>26</v>
      </c>
      <c r="J264" t="s">
        <v>25</v>
      </c>
      <c r="K264">
        <v>44</v>
      </c>
      <c r="L264">
        <v>0</v>
      </c>
      <c r="M264">
        <v>1</v>
      </c>
      <c r="N264">
        <v>1</v>
      </c>
      <c r="O264">
        <v>11</v>
      </c>
      <c r="P264">
        <v>2</v>
      </c>
      <c r="Q264">
        <v>2</v>
      </c>
      <c r="R264">
        <v>2</v>
      </c>
      <c r="S264">
        <v>1</v>
      </c>
      <c r="T264">
        <v>0</v>
      </c>
      <c r="U264">
        <v>0</v>
      </c>
      <c r="V264">
        <v>44</v>
      </c>
    </row>
    <row r="265" spans="1:22" x14ac:dyDescent="0.25">
      <c r="A265">
        <v>2025</v>
      </c>
      <c r="B265">
        <v>12</v>
      </c>
      <c r="C265" t="s">
        <v>75</v>
      </c>
      <c r="D265" t="s">
        <v>22</v>
      </c>
      <c r="E265" t="s">
        <v>75</v>
      </c>
      <c r="F265" t="s">
        <v>113</v>
      </c>
      <c r="G265" t="s">
        <v>29</v>
      </c>
      <c r="H265" t="s">
        <v>26</v>
      </c>
      <c r="I265" t="s">
        <v>26</v>
      </c>
      <c r="J265" t="s">
        <v>25</v>
      </c>
      <c r="K265">
        <v>5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</row>
    <row r="266" spans="1:22" x14ac:dyDescent="0.25">
      <c r="A266">
        <v>2025</v>
      </c>
      <c r="B266">
        <v>12</v>
      </c>
      <c r="C266" t="s">
        <v>75</v>
      </c>
      <c r="D266" t="s">
        <v>22</v>
      </c>
      <c r="E266" t="s">
        <v>75</v>
      </c>
      <c r="F266" t="s">
        <v>115</v>
      </c>
      <c r="G266" t="s">
        <v>28</v>
      </c>
      <c r="H266" t="s">
        <v>25</v>
      </c>
      <c r="I266" t="s">
        <v>25</v>
      </c>
      <c r="J266" t="s">
        <v>25</v>
      </c>
      <c r="K266">
        <v>22</v>
      </c>
      <c r="L266">
        <v>0</v>
      </c>
      <c r="M266">
        <v>0</v>
      </c>
      <c r="N266">
        <v>0</v>
      </c>
      <c r="O266">
        <v>1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22</v>
      </c>
    </row>
    <row r="267" spans="1:22" x14ac:dyDescent="0.25">
      <c r="A267">
        <v>2025</v>
      </c>
      <c r="B267">
        <v>12</v>
      </c>
      <c r="C267" t="s">
        <v>75</v>
      </c>
      <c r="D267" t="s">
        <v>22</v>
      </c>
      <c r="E267" t="s">
        <v>75</v>
      </c>
      <c r="F267" t="s">
        <v>115</v>
      </c>
      <c r="G267" t="s">
        <v>29</v>
      </c>
      <c r="H267" t="s">
        <v>25</v>
      </c>
      <c r="I267" t="s">
        <v>25</v>
      </c>
      <c r="J267" t="s">
        <v>25</v>
      </c>
      <c r="K267">
        <v>17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</row>
    <row r="268" spans="1:22" x14ac:dyDescent="0.25">
      <c r="A268">
        <v>2025</v>
      </c>
      <c r="B268">
        <v>12</v>
      </c>
      <c r="C268" t="s">
        <v>75</v>
      </c>
      <c r="D268" t="s">
        <v>22</v>
      </c>
      <c r="E268" t="s">
        <v>75</v>
      </c>
      <c r="F268" t="s">
        <v>119</v>
      </c>
      <c r="G268" t="s">
        <v>28</v>
      </c>
      <c r="H268" t="s">
        <v>25</v>
      </c>
      <c r="I268" t="s">
        <v>25</v>
      </c>
      <c r="J268" t="s">
        <v>25</v>
      </c>
      <c r="K268">
        <v>40</v>
      </c>
      <c r="L268">
        <v>0</v>
      </c>
      <c r="M268">
        <v>0</v>
      </c>
      <c r="N268">
        <v>0</v>
      </c>
      <c r="O268">
        <v>6</v>
      </c>
      <c r="P268">
        <v>1</v>
      </c>
      <c r="Q268">
        <v>1</v>
      </c>
      <c r="R268">
        <v>1</v>
      </c>
      <c r="S268">
        <v>0</v>
      </c>
      <c r="T268">
        <v>0</v>
      </c>
      <c r="U268">
        <v>0</v>
      </c>
      <c r="V268">
        <v>40</v>
      </c>
    </row>
    <row r="269" spans="1:22" x14ac:dyDescent="0.25">
      <c r="A269">
        <v>2025</v>
      </c>
      <c r="B269">
        <v>12</v>
      </c>
      <c r="C269" t="s">
        <v>75</v>
      </c>
      <c r="D269" t="s">
        <v>22</v>
      </c>
      <c r="E269" t="s">
        <v>75</v>
      </c>
      <c r="F269" t="s">
        <v>119</v>
      </c>
      <c r="G269" t="s">
        <v>29</v>
      </c>
      <c r="H269" t="s">
        <v>25</v>
      </c>
      <c r="I269" t="s">
        <v>25</v>
      </c>
      <c r="J269" t="s">
        <v>25</v>
      </c>
      <c r="K269">
        <v>5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</row>
    <row r="270" spans="1:22" x14ac:dyDescent="0.25">
      <c r="A270">
        <v>2025</v>
      </c>
      <c r="B270">
        <v>12</v>
      </c>
      <c r="C270" t="s">
        <v>75</v>
      </c>
      <c r="D270" t="s">
        <v>22</v>
      </c>
      <c r="E270" t="s">
        <v>75</v>
      </c>
      <c r="F270" t="s">
        <v>111</v>
      </c>
      <c r="G270" t="s">
        <v>28</v>
      </c>
      <c r="H270" t="s">
        <v>26</v>
      </c>
      <c r="I270" t="s">
        <v>26</v>
      </c>
      <c r="J270" t="s">
        <v>25</v>
      </c>
      <c r="K270">
        <v>2437</v>
      </c>
      <c r="L270">
        <v>2</v>
      </c>
      <c r="M270">
        <v>24</v>
      </c>
      <c r="N270">
        <v>26</v>
      </c>
      <c r="O270">
        <v>798</v>
      </c>
      <c r="P270">
        <v>494</v>
      </c>
      <c r="Q270">
        <v>494</v>
      </c>
      <c r="R270">
        <v>356</v>
      </c>
      <c r="S270">
        <v>272</v>
      </c>
      <c r="T270">
        <v>126</v>
      </c>
      <c r="U270">
        <v>48</v>
      </c>
      <c r="V270">
        <v>2431</v>
      </c>
    </row>
    <row r="271" spans="1:22" x14ac:dyDescent="0.25">
      <c r="A271">
        <v>2025</v>
      </c>
      <c r="B271">
        <v>12</v>
      </c>
      <c r="C271" t="s">
        <v>75</v>
      </c>
      <c r="D271" t="s">
        <v>22</v>
      </c>
      <c r="E271" t="s">
        <v>75</v>
      </c>
      <c r="F271" t="s">
        <v>111</v>
      </c>
      <c r="G271" t="s">
        <v>24</v>
      </c>
      <c r="H271" t="s">
        <v>26</v>
      </c>
      <c r="I271" t="s">
        <v>26</v>
      </c>
      <c r="J271" t="s">
        <v>25</v>
      </c>
      <c r="K271">
        <v>215</v>
      </c>
      <c r="L271">
        <v>0</v>
      </c>
      <c r="M271">
        <v>1</v>
      </c>
      <c r="N271">
        <v>1</v>
      </c>
      <c r="O271">
        <v>102</v>
      </c>
      <c r="P271">
        <v>54</v>
      </c>
      <c r="Q271">
        <v>54</v>
      </c>
      <c r="R271">
        <v>42</v>
      </c>
      <c r="S271">
        <v>31</v>
      </c>
      <c r="T271">
        <v>19</v>
      </c>
      <c r="U271">
        <v>2</v>
      </c>
      <c r="V271">
        <v>215</v>
      </c>
    </row>
    <row r="272" spans="1:22" x14ac:dyDescent="0.25">
      <c r="A272">
        <v>2025</v>
      </c>
      <c r="B272">
        <v>12</v>
      </c>
      <c r="C272" t="s">
        <v>75</v>
      </c>
      <c r="D272" t="s">
        <v>22</v>
      </c>
      <c r="E272" t="s">
        <v>75</v>
      </c>
      <c r="F272" t="s">
        <v>111</v>
      </c>
      <c r="G272" t="s">
        <v>29</v>
      </c>
      <c r="H272" t="s">
        <v>26</v>
      </c>
      <c r="I272" t="s">
        <v>26</v>
      </c>
      <c r="J272" t="s">
        <v>25</v>
      </c>
      <c r="K272">
        <v>219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</row>
    <row r="273" spans="1:22" x14ac:dyDescent="0.25">
      <c r="A273">
        <v>2025</v>
      </c>
      <c r="B273">
        <v>12</v>
      </c>
      <c r="C273" t="s">
        <v>75</v>
      </c>
      <c r="D273" t="s">
        <v>22</v>
      </c>
      <c r="E273" t="s">
        <v>75</v>
      </c>
      <c r="F273" t="s">
        <v>110</v>
      </c>
      <c r="G273" t="s">
        <v>28</v>
      </c>
      <c r="H273" t="s">
        <v>25</v>
      </c>
      <c r="I273" t="s">
        <v>25</v>
      </c>
      <c r="J273" t="s">
        <v>25</v>
      </c>
      <c r="K273">
        <v>36197</v>
      </c>
      <c r="L273">
        <v>754</v>
      </c>
      <c r="M273">
        <v>529</v>
      </c>
      <c r="N273">
        <v>1283</v>
      </c>
      <c r="O273">
        <v>5928</v>
      </c>
      <c r="P273">
        <v>2857</v>
      </c>
      <c r="Q273">
        <v>2850</v>
      </c>
      <c r="R273">
        <v>1912</v>
      </c>
      <c r="S273">
        <v>1357</v>
      </c>
      <c r="T273">
        <v>585</v>
      </c>
      <c r="U273">
        <v>156</v>
      </c>
      <c r="V273">
        <v>35270</v>
      </c>
    </row>
    <row r="274" spans="1:22" x14ac:dyDescent="0.25">
      <c r="A274">
        <v>2025</v>
      </c>
      <c r="B274">
        <v>12</v>
      </c>
      <c r="C274" t="s">
        <v>75</v>
      </c>
      <c r="D274" t="s">
        <v>22</v>
      </c>
      <c r="E274" t="s">
        <v>75</v>
      </c>
      <c r="F274" t="s">
        <v>110</v>
      </c>
      <c r="G274" t="s">
        <v>24</v>
      </c>
      <c r="H274" t="s">
        <v>25</v>
      </c>
      <c r="I274" t="s">
        <v>25</v>
      </c>
      <c r="J274" t="s">
        <v>25</v>
      </c>
      <c r="K274">
        <v>4753</v>
      </c>
      <c r="L274">
        <v>94</v>
      </c>
      <c r="M274">
        <v>39</v>
      </c>
      <c r="N274">
        <v>133</v>
      </c>
      <c r="O274">
        <v>639</v>
      </c>
      <c r="P274">
        <v>216</v>
      </c>
      <c r="Q274">
        <v>216</v>
      </c>
      <c r="R274">
        <v>113</v>
      </c>
      <c r="S274">
        <v>67</v>
      </c>
      <c r="T274">
        <v>22</v>
      </c>
      <c r="U274">
        <v>7</v>
      </c>
      <c r="V274">
        <v>4643</v>
      </c>
    </row>
    <row r="275" spans="1:22" x14ac:dyDescent="0.25">
      <c r="A275">
        <v>2025</v>
      </c>
      <c r="B275">
        <v>12</v>
      </c>
      <c r="C275" t="s">
        <v>75</v>
      </c>
      <c r="D275" t="s">
        <v>22</v>
      </c>
      <c r="E275" t="s">
        <v>75</v>
      </c>
      <c r="F275" t="s">
        <v>110</v>
      </c>
      <c r="G275" t="s">
        <v>29</v>
      </c>
      <c r="H275" t="s">
        <v>25</v>
      </c>
      <c r="I275" t="s">
        <v>25</v>
      </c>
      <c r="J275" t="s">
        <v>25</v>
      </c>
      <c r="K275">
        <v>565</v>
      </c>
      <c r="L275">
        <v>13</v>
      </c>
      <c r="M275">
        <v>0</v>
      </c>
      <c r="N275">
        <v>13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</row>
    <row r="276" spans="1:22" x14ac:dyDescent="0.25">
      <c r="A276">
        <v>2025</v>
      </c>
      <c r="B276">
        <v>12</v>
      </c>
      <c r="C276" t="s">
        <v>75</v>
      </c>
      <c r="D276" t="s">
        <v>22</v>
      </c>
      <c r="E276" t="s">
        <v>75</v>
      </c>
      <c r="F276" t="s">
        <v>42</v>
      </c>
      <c r="G276" t="s">
        <v>24</v>
      </c>
      <c r="H276" t="s">
        <v>26</v>
      </c>
      <c r="I276" t="s">
        <v>26</v>
      </c>
      <c r="J276" t="s">
        <v>25</v>
      </c>
      <c r="K276">
        <v>1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1</v>
      </c>
    </row>
    <row r="277" spans="1:22" x14ac:dyDescent="0.25">
      <c r="A277">
        <v>2025</v>
      </c>
      <c r="B277">
        <v>12</v>
      </c>
      <c r="C277" t="s">
        <v>75</v>
      </c>
      <c r="D277" t="s">
        <v>22</v>
      </c>
      <c r="E277" t="s">
        <v>75</v>
      </c>
      <c r="F277" t="s">
        <v>27</v>
      </c>
      <c r="G277" t="s">
        <v>28</v>
      </c>
      <c r="H277" t="s">
        <v>26</v>
      </c>
      <c r="I277" t="s">
        <v>26</v>
      </c>
      <c r="J277" t="s">
        <v>25</v>
      </c>
      <c r="K277">
        <v>11254</v>
      </c>
      <c r="L277">
        <v>0</v>
      </c>
      <c r="M277">
        <v>0</v>
      </c>
      <c r="N277">
        <v>0</v>
      </c>
      <c r="O277">
        <v>2698</v>
      </c>
      <c r="P277">
        <v>1525</v>
      </c>
      <c r="Q277">
        <v>1525</v>
      </c>
      <c r="R277">
        <v>1033</v>
      </c>
      <c r="S277">
        <v>768</v>
      </c>
      <c r="T277">
        <v>328</v>
      </c>
      <c r="U277">
        <v>72</v>
      </c>
      <c r="V277">
        <v>11254</v>
      </c>
    </row>
    <row r="278" spans="1:22" x14ac:dyDescent="0.25">
      <c r="A278">
        <v>2025</v>
      </c>
      <c r="B278">
        <v>12</v>
      </c>
      <c r="C278" t="s">
        <v>75</v>
      </c>
      <c r="D278" t="s">
        <v>22</v>
      </c>
      <c r="E278" t="s">
        <v>75</v>
      </c>
      <c r="F278" t="s">
        <v>27</v>
      </c>
      <c r="G278" t="s">
        <v>24</v>
      </c>
      <c r="H278" t="s">
        <v>26</v>
      </c>
      <c r="I278" t="s">
        <v>26</v>
      </c>
      <c r="J278" t="s">
        <v>25</v>
      </c>
      <c r="K278">
        <v>1064</v>
      </c>
      <c r="L278">
        <v>0</v>
      </c>
      <c r="M278">
        <v>0</v>
      </c>
      <c r="N278">
        <v>0</v>
      </c>
      <c r="O278">
        <v>389</v>
      </c>
      <c r="P278">
        <v>252</v>
      </c>
      <c r="Q278">
        <v>252</v>
      </c>
      <c r="R278">
        <v>188</v>
      </c>
      <c r="S278">
        <v>140</v>
      </c>
      <c r="T278">
        <v>63</v>
      </c>
      <c r="U278">
        <v>26</v>
      </c>
      <c r="V278">
        <v>1064</v>
      </c>
    </row>
    <row r="279" spans="1:22" x14ac:dyDescent="0.25">
      <c r="A279">
        <v>2025</v>
      </c>
      <c r="B279">
        <v>12</v>
      </c>
      <c r="C279" t="s">
        <v>75</v>
      </c>
      <c r="D279" t="s">
        <v>22</v>
      </c>
      <c r="E279" t="s">
        <v>75</v>
      </c>
      <c r="F279" t="s">
        <v>27</v>
      </c>
      <c r="G279" t="s">
        <v>29</v>
      </c>
      <c r="H279" t="s">
        <v>26</v>
      </c>
      <c r="I279" t="s">
        <v>26</v>
      </c>
      <c r="J279" t="s">
        <v>25</v>
      </c>
      <c r="K279">
        <v>382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</row>
    <row r="280" spans="1:22" x14ac:dyDescent="0.25">
      <c r="A280">
        <v>2025</v>
      </c>
      <c r="B280">
        <v>12</v>
      </c>
      <c r="C280" t="s">
        <v>75</v>
      </c>
      <c r="D280" t="s">
        <v>22</v>
      </c>
      <c r="E280" t="s">
        <v>75</v>
      </c>
      <c r="F280" t="s">
        <v>117</v>
      </c>
      <c r="G280" t="s">
        <v>28</v>
      </c>
      <c r="H280" t="s">
        <v>25</v>
      </c>
      <c r="I280" t="s">
        <v>25</v>
      </c>
      <c r="J280" t="s">
        <v>25</v>
      </c>
      <c r="K280">
        <v>132706</v>
      </c>
      <c r="L280">
        <v>0</v>
      </c>
      <c r="M280">
        <v>0</v>
      </c>
      <c r="N280">
        <v>0</v>
      </c>
      <c r="O280">
        <v>18198</v>
      </c>
      <c r="P280">
        <v>8781</v>
      </c>
      <c r="Q280">
        <v>8766</v>
      </c>
      <c r="R280">
        <v>5512</v>
      </c>
      <c r="S280">
        <v>3807</v>
      </c>
      <c r="T280">
        <v>1269</v>
      </c>
      <c r="U280">
        <v>152</v>
      </c>
      <c r="V280">
        <v>132706</v>
      </c>
    </row>
    <row r="281" spans="1:22" x14ac:dyDescent="0.25">
      <c r="A281">
        <v>2025</v>
      </c>
      <c r="B281">
        <v>12</v>
      </c>
      <c r="C281" t="s">
        <v>75</v>
      </c>
      <c r="D281" t="s">
        <v>22</v>
      </c>
      <c r="E281" t="s">
        <v>75</v>
      </c>
      <c r="F281" t="s">
        <v>117</v>
      </c>
      <c r="G281" t="s">
        <v>24</v>
      </c>
      <c r="H281" t="s">
        <v>25</v>
      </c>
      <c r="I281" t="s">
        <v>25</v>
      </c>
      <c r="J281" t="s">
        <v>25</v>
      </c>
      <c r="K281">
        <v>21365</v>
      </c>
      <c r="L281">
        <v>0</v>
      </c>
      <c r="M281">
        <v>0</v>
      </c>
      <c r="N281">
        <v>0</v>
      </c>
      <c r="O281">
        <v>2086</v>
      </c>
      <c r="P281">
        <v>698</v>
      </c>
      <c r="Q281">
        <v>697</v>
      </c>
      <c r="R281">
        <v>304</v>
      </c>
      <c r="S281">
        <v>155</v>
      </c>
      <c r="T281">
        <v>35</v>
      </c>
      <c r="U281">
        <v>5</v>
      </c>
      <c r="V281">
        <v>21365</v>
      </c>
    </row>
    <row r="282" spans="1:22" x14ac:dyDescent="0.25">
      <c r="A282">
        <v>2025</v>
      </c>
      <c r="B282">
        <v>12</v>
      </c>
      <c r="C282" t="s">
        <v>75</v>
      </c>
      <c r="D282" t="s">
        <v>22</v>
      </c>
      <c r="E282" t="s">
        <v>75</v>
      </c>
      <c r="F282" t="s">
        <v>117</v>
      </c>
      <c r="G282" t="s">
        <v>29</v>
      </c>
      <c r="H282" t="s">
        <v>25</v>
      </c>
      <c r="I282" t="s">
        <v>25</v>
      </c>
      <c r="J282" t="s">
        <v>25</v>
      </c>
      <c r="K282">
        <v>553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</row>
    <row r="283" spans="1:22" x14ac:dyDescent="0.25">
      <c r="A283">
        <v>2025</v>
      </c>
      <c r="B283">
        <v>12</v>
      </c>
      <c r="C283" t="s">
        <v>75</v>
      </c>
      <c r="D283" t="s">
        <v>22</v>
      </c>
      <c r="E283" t="s">
        <v>75</v>
      </c>
      <c r="F283" t="s">
        <v>120</v>
      </c>
      <c r="G283" t="s">
        <v>28</v>
      </c>
      <c r="H283" t="s">
        <v>25</v>
      </c>
      <c r="I283" t="s">
        <v>25</v>
      </c>
      <c r="J283" t="s">
        <v>25</v>
      </c>
      <c r="K283">
        <v>3186</v>
      </c>
      <c r="L283">
        <v>0</v>
      </c>
      <c r="M283">
        <v>0</v>
      </c>
      <c r="N283">
        <v>0</v>
      </c>
      <c r="O283">
        <v>113</v>
      </c>
      <c r="P283">
        <v>36</v>
      </c>
      <c r="Q283">
        <v>36</v>
      </c>
      <c r="R283">
        <v>12</v>
      </c>
      <c r="S283">
        <v>9</v>
      </c>
      <c r="T283">
        <v>3</v>
      </c>
      <c r="U283">
        <v>0</v>
      </c>
      <c r="V283">
        <v>3186</v>
      </c>
    </row>
    <row r="284" spans="1:22" x14ac:dyDescent="0.25">
      <c r="A284">
        <v>2025</v>
      </c>
      <c r="B284">
        <v>12</v>
      </c>
      <c r="C284" t="s">
        <v>75</v>
      </c>
      <c r="D284" t="s">
        <v>22</v>
      </c>
      <c r="E284" t="s">
        <v>75</v>
      </c>
      <c r="F284" t="s">
        <v>120</v>
      </c>
      <c r="G284" t="s">
        <v>24</v>
      </c>
      <c r="H284" t="s">
        <v>25</v>
      </c>
      <c r="I284" t="s">
        <v>25</v>
      </c>
      <c r="J284" t="s">
        <v>25</v>
      </c>
      <c r="K284">
        <v>47</v>
      </c>
      <c r="L284">
        <v>0</v>
      </c>
      <c r="M284">
        <v>0</v>
      </c>
      <c r="N284">
        <v>0</v>
      </c>
      <c r="O284">
        <v>47</v>
      </c>
      <c r="P284">
        <v>25</v>
      </c>
      <c r="Q284">
        <v>25</v>
      </c>
      <c r="R284">
        <v>5</v>
      </c>
      <c r="S284">
        <v>0</v>
      </c>
      <c r="T284">
        <v>0</v>
      </c>
      <c r="U284">
        <v>0</v>
      </c>
      <c r="V284">
        <v>47</v>
      </c>
    </row>
    <row r="285" spans="1:22" x14ac:dyDescent="0.25">
      <c r="A285">
        <v>2025</v>
      </c>
      <c r="B285">
        <v>12</v>
      </c>
      <c r="C285" t="s">
        <v>75</v>
      </c>
      <c r="D285" t="s">
        <v>22</v>
      </c>
      <c r="E285" t="s">
        <v>75</v>
      </c>
      <c r="F285" t="s">
        <v>120</v>
      </c>
      <c r="G285" t="s">
        <v>29</v>
      </c>
      <c r="H285" t="s">
        <v>25</v>
      </c>
      <c r="I285" t="s">
        <v>25</v>
      </c>
      <c r="J285" t="s">
        <v>25</v>
      </c>
      <c r="K285">
        <v>14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</row>
    <row r="286" spans="1:22" x14ac:dyDescent="0.25">
      <c r="A286">
        <v>2025</v>
      </c>
      <c r="B286">
        <v>12</v>
      </c>
      <c r="C286" t="s">
        <v>75</v>
      </c>
      <c r="D286" t="s">
        <v>22</v>
      </c>
      <c r="E286" t="s">
        <v>75</v>
      </c>
      <c r="F286" t="s">
        <v>116</v>
      </c>
      <c r="G286" t="s">
        <v>28</v>
      </c>
      <c r="H286" t="s">
        <v>25</v>
      </c>
      <c r="I286" t="s">
        <v>25</v>
      </c>
      <c r="J286" t="s">
        <v>25</v>
      </c>
      <c r="K286">
        <v>866</v>
      </c>
      <c r="L286">
        <v>6</v>
      </c>
      <c r="M286">
        <v>0</v>
      </c>
      <c r="N286">
        <v>6</v>
      </c>
      <c r="O286">
        <v>37</v>
      </c>
      <c r="P286">
        <v>4</v>
      </c>
      <c r="Q286">
        <v>4</v>
      </c>
      <c r="R286">
        <v>1</v>
      </c>
      <c r="S286">
        <v>1</v>
      </c>
      <c r="T286">
        <v>0</v>
      </c>
      <c r="U286">
        <v>0</v>
      </c>
      <c r="V286">
        <v>860</v>
      </c>
    </row>
    <row r="287" spans="1:22" x14ac:dyDescent="0.25">
      <c r="A287">
        <v>2025</v>
      </c>
      <c r="B287">
        <v>12</v>
      </c>
      <c r="C287" t="s">
        <v>75</v>
      </c>
      <c r="D287" t="s">
        <v>22</v>
      </c>
      <c r="E287" t="s">
        <v>75</v>
      </c>
      <c r="F287" t="s">
        <v>116</v>
      </c>
      <c r="G287" t="s">
        <v>24</v>
      </c>
      <c r="H287" t="s">
        <v>25</v>
      </c>
      <c r="I287" t="s">
        <v>25</v>
      </c>
      <c r="J287" t="s">
        <v>25</v>
      </c>
      <c r="K287">
        <v>16</v>
      </c>
      <c r="L287">
        <v>0</v>
      </c>
      <c r="M287">
        <v>0</v>
      </c>
      <c r="N287">
        <v>0</v>
      </c>
      <c r="O287">
        <v>16</v>
      </c>
      <c r="P287">
        <v>11</v>
      </c>
      <c r="Q287">
        <v>11</v>
      </c>
      <c r="R287">
        <v>4</v>
      </c>
      <c r="S287">
        <v>0</v>
      </c>
      <c r="T287">
        <v>0</v>
      </c>
      <c r="U287">
        <v>0</v>
      </c>
      <c r="V287">
        <v>16</v>
      </c>
    </row>
    <row r="288" spans="1:22" x14ac:dyDescent="0.25">
      <c r="A288">
        <v>2025</v>
      </c>
      <c r="B288">
        <v>12</v>
      </c>
      <c r="C288" t="s">
        <v>75</v>
      </c>
      <c r="D288" t="s">
        <v>22</v>
      </c>
      <c r="E288" t="s">
        <v>75</v>
      </c>
      <c r="F288" t="s">
        <v>116</v>
      </c>
      <c r="G288" t="s">
        <v>29</v>
      </c>
      <c r="H288" t="s">
        <v>25</v>
      </c>
      <c r="I288" t="s">
        <v>25</v>
      </c>
      <c r="J288" t="s">
        <v>25</v>
      </c>
      <c r="K288">
        <v>11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</row>
    <row r="289" spans="1:22" x14ac:dyDescent="0.25">
      <c r="A289">
        <v>2025</v>
      </c>
      <c r="B289">
        <v>12</v>
      </c>
      <c r="C289" t="s">
        <v>75</v>
      </c>
      <c r="D289" t="s">
        <v>22</v>
      </c>
      <c r="E289" t="s">
        <v>80</v>
      </c>
      <c r="F289" t="s">
        <v>76</v>
      </c>
      <c r="G289" t="s">
        <v>24</v>
      </c>
      <c r="H289" t="s">
        <v>25</v>
      </c>
      <c r="I289" t="s">
        <v>26</v>
      </c>
      <c r="J289" t="s">
        <v>25</v>
      </c>
      <c r="K289">
        <v>2</v>
      </c>
      <c r="L289">
        <v>2</v>
      </c>
      <c r="M289">
        <v>0</v>
      </c>
      <c r="N289">
        <v>2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V688"/>
  <sheetViews>
    <sheetView workbookViewId="0">
      <selection activeCell="H11" sqref="H11"/>
    </sheetView>
  </sheetViews>
  <sheetFormatPr defaultRowHeight="15" x14ac:dyDescent="0.25"/>
  <cols>
    <col min="4" max="4" width="16.7109375" bestFit="1" customWidth="1"/>
    <col min="5" max="5" width="26.28515625" bestFit="1" customWidth="1"/>
    <col min="6" max="6" width="10.7109375" bestFit="1" customWidth="1"/>
  </cols>
  <sheetData>
    <row r="1" spans="1:2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122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</row>
    <row r="2" spans="1:22" x14ac:dyDescent="0.25">
      <c r="A2">
        <v>2025</v>
      </c>
      <c r="B2">
        <v>1</v>
      </c>
      <c r="C2" t="s">
        <v>37</v>
      </c>
      <c r="D2" t="s">
        <v>22</v>
      </c>
      <c r="E2" t="s">
        <v>33</v>
      </c>
      <c r="F2" t="s">
        <v>34</v>
      </c>
      <c r="G2" t="s">
        <v>24</v>
      </c>
      <c r="H2" t="s">
        <v>25</v>
      </c>
      <c r="I2" t="s">
        <v>26</v>
      </c>
      <c r="J2" t="s">
        <v>26</v>
      </c>
      <c r="K2">
        <v>12</v>
      </c>
      <c r="L2">
        <v>0</v>
      </c>
      <c r="M2">
        <v>0</v>
      </c>
      <c r="N2">
        <v>0</v>
      </c>
      <c r="O2">
        <v>4</v>
      </c>
      <c r="P2">
        <v>2</v>
      </c>
      <c r="Q2">
        <v>2</v>
      </c>
      <c r="R2">
        <v>2</v>
      </c>
      <c r="S2">
        <v>2</v>
      </c>
      <c r="T2">
        <v>2</v>
      </c>
      <c r="U2">
        <v>1</v>
      </c>
      <c r="V2">
        <v>12</v>
      </c>
    </row>
    <row r="3" spans="1:22" x14ac:dyDescent="0.25">
      <c r="A3">
        <v>2025</v>
      </c>
      <c r="B3">
        <v>1</v>
      </c>
      <c r="C3" t="s">
        <v>37</v>
      </c>
      <c r="D3" t="s">
        <v>22</v>
      </c>
      <c r="E3" t="s">
        <v>126</v>
      </c>
      <c r="F3" t="s">
        <v>32</v>
      </c>
      <c r="G3" t="s">
        <v>24</v>
      </c>
      <c r="H3" t="s">
        <v>25</v>
      </c>
      <c r="I3" t="s">
        <v>26</v>
      </c>
      <c r="J3" t="s">
        <v>25</v>
      </c>
      <c r="K3">
        <v>299</v>
      </c>
      <c r="L3">
        <v>2</v>
      </c>
      <c r="M3">
        <v>12</v>
      </c>
      <c r="N3">
        <v>14</v>
      </c>
      <c r="O3">
        <v>85</v>
      </c>
      <c r="P3">
        <v>59</v>
      </c>
      <c r="Q3">
        <v>52</v>
      </c>
      <c r="R3">
        <v>36</v>
      </c>
      <c r="S3">
        <v>26</v>
      </c>
      <c r="T3">
        <v>10</v>
      </c>
      <c r="U3">
        <v>5</v>
      </c>
      <c r="V3">
        <v>293</v>
      </c>
    </row>
    <row r="4" spans="1:22" x14ac:dyDescent="0.25">
      <c r="A4">
        <v>2025</v>
      </c>
      <c r="B4">
        <v>1</v>
      </c>
      <c r="C4" t="s">
        <v>37</v>
      </c>
      <c r="D4" t="s">
        <v>22</v>
      </c>
      <c r="E4" t="s">
        <v>126</v>
      </c>
      <c r="F4" t="s">
        <v>34</v>
      </c>
      <c r="G4" t="s">
        <v>24</v>
      </c>
      <c r="H4" t="s">
        <v>25</v>
      </c>
      <c r="I4" t="s">
        <v>26</v>
      </c>
      <c r="J4" t="s">
        <v>26</v>
      </c>
      <c r="K4">
        <v>2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2</v>
      </c>
    </row>
    <row r="5" spans="1:22" x14ac:dyDescent="0.25">
      <c r="A5">
        <v>2025</v>
      </c>
      <c r="B5">
        <v>1</v>
      </c>
      <c r="C5" t="s">
        <v>37</v>
      </c>
      <c r="D5" t="s">
        <v>22</v>
      </c>
      <c r="E5" t="s">
        <v>127</v>
      </c>
      <c r="F5" t="s">
        <v>32</v>
      </c>
      <c r="G5" t="s">
        <v>24</v>
      </c>
      <c r="H5" t="s">
        <v>25</v>
      </c>
      <c r="I5" t="s">
        <v>26</v>
      </c>
      <c r="J5" t="s">
        <v>25</v>
      </c>
      <c r="K5">
        <v>8</v>
      </c>
      <c r="L5">
        <v>0</v>
      </c>
      <c r="M5">
        <v>0</v>
      </c>
      <c r="N5">
        <v>0</v>
      </c>
      <c r="O5">
        <v>2</v>
      </c>
      <c r="P5">
        <v>2</v>
      </c>
      <c r="Q5">
        <v>1</v>
      </c>
      <c r="R5">
        <v>1</v>
      </c>
      <c r="S5">
        <v>1</v>
      </c>
      <c r="T5">
        <v>0</v>
      </c>
      <c r="U5">
        <v>0</v>
      </c>
      <c r="V5">
        <v>8</v>
      </c>
    </row>
    <row r="6" spans="1:22" x14ac:dyDescent="0.25">
      <c r="A6">
        <v>2025</v>
      </c>
      <c r="B6">
        <v>1</v>
      </c>
      <c r="C6" t="s">
        <v>37</v>
      </c>
      <c r="D6" t="s">
        <v>22</v>
      </c>
      <c r="E6" t="s">
        <v>128</v>
      </c>
      <c r="F6" t="s">
        <v>32</v>
      </c>
      <c r="G6" t="s">
        <v>24</v>
      </c>
      <c r="H6" t="s">
        <v>25</v>
      </c>
      <c r="I6" t="s">
        <v>26</v>
      </c>
      <c r="J6" t="s">
        <v>25</v>
      </c>
      <c r="K6">
        <v>52</v>
      </c>
      <c r="L6">
        <v>0</v>
      </c>
      <c r="M6">
        <v>4</v>
      </c>
      <c r="N6">
        <v>4</v>
      </c>
      <c r="O6">
        <v>19</v>
      </c>
      <c r="P6">
        <v>16</v>
      </c>
      <c r="Q6">
        <v>15</v>
      </c>
      <c r="R6">
        <v>10</v>
      </c>
      <c r="S6">
        <v>9</v>
      </c>
      <c r="T6">
        <v>4</v>
      </c>
      <c r="U6">
        <v>1</v>
      </c>
      <c r="V6">
        <v>50</v>
      </c>
    </row>
    <row r="7" spans="1:22" x14ac:dyDescent="0.25">
      <c r="A7">
        <v>2025</v>
      </c>
      <c r="B7">
        <v>1</v>
      </c>
      <c r="C7" t="s">
        <v>37</v>
      </c>
      <c r="D7" t="s">
        <v>22</v>
      </c>
      <c r="E7" t="s">
        <v>128</v>
      </c>
      <c r="F7" t="s">
        <v>34</v>
      </c>
      <c r="G7" t="s">
        <v>24</v>
      </c>
      <c r="H7" t="s">
        <v>25</v>
      </c>
      <c r="I7" t="s">
        <v>26</v>
      </c>
      <c r="J7" t="s">
        <v>26</v>
      </c>
      <c r="K7">
        <v>48</v>
      </c>
      <c r="L7">
        <v>2</v>
      </c>
      <c r="M7">
        <v>0</v>
      </c>
      <c r="N7">
        <v>2</v>
      </c>
      <c r="O7">
        <v>12</v>
      </c>
      <c r="P7">
        <v>11</v>
      </c>
      <c r="Q7">
        <v>10</v>
      </c>
      <c r="R7">
        <v>9</v>
      </c>
      <c r="S7">
        <v>7</v>
      </c>
      <c r="T7">
        <v>2</v>
      </c>
      <c r="U7">
        <v>1</v>
      </c>
      <c r="V7">
        <v>43</v>
      </c>
    </row>
    <row r="8" spans="1:22" x14ac:dyDescent="0.25">
      <c r="A8">
        <v>2025</v>
      </c>
      <c r="B8">
        <v>1</v>
      </c>
      <c r="C8" t="s">
        <v>37</v>
      </c>
      <c r="D8" t="s">
        <v>22</v>
      </c>
      <c r="E8" t="s">
        <v>129</v>
      </c>
      <c r="F8" t="s">
        <v>36</v>
      </c>
      <c r="G8" t="s">
        <v>24</v>
      </c>
      <c r="H8" t="s">
        <v>25</v>
      </c>
      <c r="I8" t="s">
        <v>26</v>
      </c>
      <c r="J8" t="s">
        <v>25</v>
      </c>
      <c r="K8">
        <v>60</v>
      </c>
      <c r="L8">
        <v>1</v>
      </c>
      <c r="M8">
        <v>5</v>
      </c>
      <c r="N8">
        <v>6</v>
      </c>
      <c r="O8">
        <v>13</v>
      </c>
      <c r="P8">
        <v>9</v>
      </c>
      <c r="Q8">
        <v>9</v>
      </c>
      <c r="R8">
        <v>6</v>
      </c>
      <c r="S8">
        <v>6</v>
      </c>
      <c r="T8">
        <v>2</v>
      </c>
      <c r="U8">
        <v>1</v>
      </c>
      <c r="V8">
        <v>54</v>
      </c>
    </row>
    <row r="9" spans="1:22" x14ac:dyDescent="0.25">
      <c r="A9">
        <v>2025</v>
      </c>
      <c r="B9">
        <v>1</v>
      </c>
      <c r="C9" t="s">
        <v>37</v>
      </c>
      <c r="D9" t="s">
        <v>22</v>
      </c>
      <c r="E9" t="s">
        <v>130</v>
      </c>
      <c r="F9" t="s">
        <v>34</v>
      </c>
      <c r="G9" t="s">
        <v>28</v>
      </c>
      <c r="H9" t="s">
        <v>25</v>
      </c>
      <c r="I9" t="s">
        <v>26</v>
      </c>
      <c r="J9" t="s">
        <v>26</v>
      </c>
      <c r="K9">
        <v>5</v>
      </c>
      <c r="L9">
        <v>0</v>
      </c>
      <c r="M9">
        <v>0</v>
      </c>
      <c r="N9">
        <v>0</v>
      </c>
      <c r="O9">
        <v>4</v>
      </c>
      <c r="P9">
        <v>4</v>
      </c>
      <c r="Q9">
        <v>4</v>
      </c>
      <c r="R9">
        <v>4</v>
      </c>
      <c r="S9">
        <v>3</v>
      </c>
      <c r="T9">
        <v>0</v>
      </c>
      <c r="U9">
        <v>0</v>
      </c>
      <c r="V9">
        <v>5</v>
      </c>
    </row>
    <row r="10" spans="1:22" x14ac:dyDescent="0.25">
      <c r="A10">
        <v>2025</v>
      </c>
      <c r="B10">
        <v>1</v>
      </c>
      <c r="C10" t="s">
        <v>37</v>
      </c>
      <c r="D10" t="s">
        <v>22</v>
      </c>
      <c r="E10" t="s">
        <v>130</v>
      </c>
      <c r="F10" t="s">
        <v>34</v>
      </c>
      <c r="G10" t="s">
        <v>24</v>
      </c>
      <c r="H10" t="s">
        <v>25</v>
      </c>
      <c r="I10" t="s">
        <v>26</v>
      </c>
      <c r="J10" t="s">
        <v>26</v>
      </c>
      <c r="K10">
        <v>7</v>
      </c>
      <c r="L10">
        <v>0</v>
      </c>
      <c r="M10">
        <v>0</v>
      </c>
      <c r="N10">
        <v>0</v>
      </c>
      <c r="O10">
        <v>1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7</v>
      </c>
    </row>
    <row r="11" spans="1:22" x14ac:dyDescent="0.25">
      <c r="A11">
        <v>2025</v>
      </c>
      <c r="B11">
        <v>1</v>
      </c>
      <c r="C11" t="s">
        <v>37</v>
      </c>
      <c r="D11" t="s">
        <v>22</v>
      </c>
      <c r="E11" t="s">
        <v>130</v>
      </c>
      <c r="F11" t="s">
        <v>23</v>
      </c>
      <c r="G11" t="s">
        <v>24</v>
      </c>
      <c r="H11" t="s">
        <v>25</v>
      </c>
      <c r="I11" t="s">
        <v>26</v>
      </c>
      <c r="J11" t="s">
        <v>25</v>
      </c>
      <c r="K11">
        <v>14</v>
      </c>
      <c r="L11">
        <v>0</v>
      </c>
      <c r="M11">
        <v>0</v>
      </c>
      <c r="N11">
        <v>0</v>
      </c>
      <c r="O11">
        <v>6</v>
      </c>
      <c r="P11">
        <v>5</v>
      </c>
      <c r="Q11">
        <v>5</v>
      </c>
      <c r="R11">
        <v>3</v>
      </c>
      <c r="S11">
        <v>3</v>
      </c>
      <c r="T11">
        <v>1</v>
      </c>
      <c r="U11">
        <v>1</v>
      </c>
      <c r="V11">
        <v>14</v>
      </c>
    </row>
    <row r="12" spans="1:22" x14ac:dyDescent="0.25">
      <c r="A12">
        <v>2025</v>
      </c>
      <c r="B12">
        <v>1</v>
      </c>
      <c r="C12" t="s">
        <v>37</v>
      </c>
      <c r="D12" t="s">
        <v>22</v>
      </c>
      <c r="E12" t="s">
        <v>131</v>
      </c>
      <c r="F12" t="s">
        <v>34</v>
      </c>
      <c r="G12" t="s">
        <v>24</v>
      </c>
      <c r="H12" t="s">
        <v>25</v>
      </c>
      <c r="I12" t="s">
        <v>26</v>
      </c>
      <c r="J12" t="s">
        <v>26</v>
      </c>
      <c r="K12">
        <v>30</v>
      </c>
      <c r="L12">
        <v>0</v>
      </c>
      <c r="M12">
        <v>1</v>
      </c>
      <c r="N12">
        <v>1</v>
      </c>
      <c r="O12">
        <v>13</v>
      </c>
      <c r="P12">
        <v>11</v>
      </c>
      <c r="Q12">
        <v>9</v>
      </c>
      <c r="R12">
        <v>6</v>
      </c>
      <c r="S12">
        <v>4</v>
      </c>
      <c r="T12">
        <v>2</v>
      </c>
      <c r="U12">
        <v>0</v>
      </c>
      <c r="V12">
        <v>30</v>
      </c>
    </row>
    <row r="13" spans="1:22" x14ac:dyDescent="0.25">
      <c r="A13">
        <v>2025</v>
      </c>
      <c r="B13">
        <v>1</v>
      </c>
      <c r="C13" t="s">
        <v>37</v>
      </c>
      <c r="D13" t="s">
        <v>22</v>
      </c>
      <c r="E13" t="s">
        <v>132</v>
      </c>
      <c r="F13" t="s">
        <v>32</v>
      </c>
      <c r="G13" t="s">
        <v>24</v>
      </c>
      <c r="H13" t="s">
        <v>25</v>
      </c>
      <c r="I13" t="s">
        <v>26</v>
      </c>
      <c r="J13" t="s">
        <v>25</v>
      </c>
      <c r="K13">
        <v>58</v>
      </c>
      <c r="L13">
        <v>0</v>
      </c>
      <c r="M13">
        <v>0</v>
      </c>
      <c r="N13">
        <v>0</v>
      </c>
      <c r="O13">
        <v>19</v>
      </c>
      <c r="P13">
        <v>16</v>
      </c>
      <c r="Q13">
        <v>14</v>
      </c>
      <c r="R13">
        <v>12</v>
      </c>
      <c r="S13">
        <v>10</v>
      </c>
      <c r="T13">
        <v>6</v>
      </c>
      <c r="U13">
        <v>4</v>
      </c>
      <c r="V13">
        <v>58</v>
      </c>
    </row>
    <row r="14" spans="1:22" x14ac:dyDescent="0.25">
      <c r="A14">
        <v>2025</v>
      </c>
      <c r="B14">
        <v>1</v>
      </c>
      <c r="C14" t="s">
        <v>37</v>
      </c>
      <c r="D14" t="s">
        <v>22</v>
      </c>
      <c r="E14" t="s">
        <v>132</v>
      </c>
      <c r="F14" t="s">
        <v>34</v>
      </c>
      <c r="G14" t="s">
        <v>24</v>
      </c>
      <c r="H14" t="s">
        <v>25</v>
      </c>
      <c r="I14" t="s">
        <v>26</v>
      </c>
      <c r="J14" t="s">
        <v>26</v>
      </c>
      <c r="K14">
        <v>46</v>
      </c>
      <c r="L14">
        <v>0</v>
      </c>
      <c r="M14">
        <v>0</v>
      </c>
      <c r="N14">
        <v>0</v>
      </c>
      <c r="O14">
        <v>15</v>
      </c>
      <c r="P14">
        <v>12</v>
      </c>
      <c r="Q14">
        <v>11</v>
      </c>
      <c r="R14">
        <v>10</v>
      </c>
      <c r="S14">
        <v>8</v>
      </c>
      <c r="T14">
        <v>4</v>
      </c>
      <c r="U14">
        <v>3</v>
      </c>
      <c r="V14">
        <v>46</v>
      </c>
    </row>
    <row r="15" spans="1:22" x14ac:dyDescent="0.25">
      <c r="A15">
        <v>2025</v>
      </c>
      <c r="B15">
        <v>1</v>
      </c>
      <c r="C15" t="s">
        <v>37</v>
      </c>
      <c r="D15" t="s">
        <v>22</v>
      </c>
      <c r="E15" t="s">
        <v>133</v>
      </c>
      <c r="F15" t="s">
        <v>34</v>
      </c>
      <c r="G15" t="s">
        <v>24</v>
      </c>
      <c r="H15" t="s">
        <v>25</v>
      </c>
      <c r="I15" t="s">
        <v>26</v>
      </c>
      <c r="J15" t="s">
        <v>26</v>
      </c>
      <c r="K15">
        <v>1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 x14ac:dyDescent="0.25">
      <c r="A16">
        <v>2025</v>
      </c>
      <c r="B16">
        <v>1</v>
      </c>
      <c r="C16" t="s">
        <v>37</v>
      </c>
      <c r="D16" t="s">
        <v>22</v>
      </c>
      <c r="E16" t="s">
        <v>134</v>
      </c>
      <c r="F16" t="s">
        <v>34</v>
      </c>
      <c r="G16" t="s">
        <v>24</v>
      </c>
      <c r="H16" t="s">
        <v>25</v>
      </c>
      <c r="I16" t="s">
        <v>26</v>
      </c>
      <c r="J16" t="s">
        <v>26</v>
      </c>
      <c r="K16">
        <v>2</v>
      </c>
      <c r="L16">
        <v>1</v>
      </c>
      <c r="M16">
        <v>0</v>
      </c>
      <c r="N16">
        <v>1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 x14ac:dyDescent="0.25">
      <c r="A17">
        <v>2025</v>
      </c>
      <c r="B17">
        <v>1</v>
      </c>
      <c r="C17" t="s">
        <v>37</v>
      </c>
      <c r="D17" t="s">
        <v>22</v>
      </c>
      <c r="E17" t="s">
        <v>37</v>
      </c>
      <c r="F17" t="s">
        <v>32</v>
      </c>
      <c r="G17" t="s">
        <v>28</v>
      </c>
      <c r="H17" t="s">
        <v>25</v>
      </c>
      <c r="I17" t="s">
        <v>26</v>
      </c>
      <c r="J17" t="s">
        <v>25</v>
      </c>
      <c r="K17">
        <v>5</v>
      </c>
      <c r="L17">
        <v>0</v>
      </c>
      <c r="M17">
        <v>1</v>
      </c>
      <c r="N17">
        <v>1</v>
      </c>
      <c r="O17">
        <v>1</v>
      </c>
      <c r="P17">
        <v>1</v>
      </c>
      <c r="Q17">
        <v>1</v>
      </c>
      <c r="R17">
        <v>0</v>
      </c>
      <c r="S17">
        <v>0</v>
      </c>
      <c r="T17">
        <v>0</v>
      </c>
      <c r="U17">
        <v>0</v>
      </c>
      <c r="V17">
        <v>5</v>
      </c>
    </row>
    <row r="18" spans="1:22" x14ac:dyDescent="0.25">
      <c r="A18">
        <v>2025</v>
      </c>
      <c r="B18">
        <v>1</v>
      </c>
      <c r="C18" t="s">
        <v>37</v>
      </c>
      <c r="D18" t="s">
        <v>22</v>
      </c>
      <c r="E18" t="s">
        <v>37</v>
      </c>
      <c r="F18" t="s">
        <v>32</v>
      </c>
      <c r="G18" t="s">
        <v>29</v>
      </c>
      <c r="H18" t="s">
        <v>25</v>
      </c>
      <c r="I18" t="s">
        <v>26</v>
      </c>
      <c r="J18" t="s">
        <v>25</v>
      </c>
      <c r="K18">
        <v>1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 x14ac:dyDescent="0.25">
      <c r="A19">
        <v>2025</v>
      </c>
      <c r="B19">
        <v>1</v>
      </c>
      <c r="C19" t="s">
        <v>37</v>
      </c>
      <c r="D19" t="s">
        <v>22</v>
      </c>
      <c r="E19" t="s">
        <v>37</v>
      </c>
      <c r="F19" t="s">
        <v>38</v>
      </c>
      <c r="G19" t="s">
        <v>24</v>
      </c>
      <c r="H19" t="s">
        <v>25</v>
      </c>
      <c r="I19" t="s">
        <v>26</v>
      </c>
      <c r="J19" t="s">
        <v>25</v>
      </c>
      <c r="K19">
        <v>5</v>
      </c>
      <c r="L19">
        <v>0</v>
      </c>
      <c r="M19">
        <v>0</v>
      </c>
      <c r="N19">
        <v>0</v>
      </c>
      <c r="O19">
        <v>3</v>
      </c>
      <c r="P19">
        <v>2</v>
      </c>
      <c r="Q19">
        <v>2</v>
      </c>
      <c r="R19">
        <v>2</v>
      </c>
      <c r="S19">
        <v>1</v>
      </c>
      <c r="T19">
        <v>1</v>
      </c>
      <c r="U19">
        <v>1</v>
      </c>
      <c r="V19">
        <v>5</v>
      </c>
    </row>
    <row r="20" spans="1:22" x14ac:dyDescent="0.25">
      <c r="A20">
        <v>2025</v>
      </c>
      <c r="B20">
        <v>1</v>
      </c>
      <c r="C20" t="s">
        <v>37</v>
      </c>
      <c r="D20" t="s">
        <v>22</v>
      </c>
      <c r="E20" t="s">
        <v>37</v>
      </c>
      <c r="F20" t="s">
        <v>34</v>
      </c>
      <c r="G20" t="s">
        <v>28</v>
      </c>
      <c r="H20" t="s">
        <v>25</v>
      </c>
      <c r="I20" t="s">
        <v>26</v>
      </c>
      <c r="J20" t="s">
        <v>26</v>
      </c>
      <c r="K20">
        <v>2</v>
      </c>
      <c r="L20">
        <v>1</v>
      </c>
      <c r="M20">
        <v>0</v>
      </c>
      <c r="N20">
        <v>1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1</v>
      </c>
    </row>
    <row r="21" spans="1:22" x14ac:dyDescent="0.25">
      <c r="A21">
        <v>2025</v>
      </c>
      <c r="B21">
        <v>1</v>
      </c>
      <c r="C21" t="s">
        <v>37</v>
      </c>
      <c r="D21" t="s">
        <v>22</v>
      </c>
      <c r="E21" t="s">
        <v>37</v>
      </c>
      <c r="F21" t="s">
        <v>23</v>
      </c>
      <c r="G21" t="s">
        <v>28</v>
      </c>
      <c r="H21" t="s">
        <v>25</v>
      </c>
      <c r="I21" t="s">
        <v>26</v>
      </c>
      <c r="J21" t="s">
        <v>25</v>
      </c>
      <c r="K21">
        <v>4203</v>
      </c>
      <c r="L21">
        <v>83</v>
      </c>
      <c r="M21">
        <v>256</v>
      </c>
      <c r="N21">
        <v>339</v>
      </c>
      <c r="O21">
        <v>1898</v>
      </c>
      <c r="P21">
        <v>1534</v>
      </c>
      <c r="Q21">
        <v>1386</v>
      </c>
      <c r="R21">
        <v>1000</v>
      </c>
      <c r="S21">
        <v>722</v>
      </c>
      <c r="T21">
        <v>321</v>
      </c>
      <c r="U21">
        <v>93</v>
      </c>
      <c r="V21">
        <v>4042</v>
      </c>
    </row>
    <row r="22" spans="1:22" x14ac:dyDescent="0.25">
      <c r="A22">
        <v>2025</v>
      </c>
      <c r="B22">
        <v>1</v>
      </c>
      <c r="C22" t="s">
        <v>37</v>
      </c>
      <c r="D22" t="s">
        <v>22</v>
      </c>
      <c r="E22" t="s">
        <v>37</v>
      </c>
      <c r="F22" t="s">
        <v>23</v>
      </c>
      <c r="G22" t="s">
        <v>24</v>
      </c>
      <c r="H22" t="s">
        <v>25</v>
      </c>
      <c r="I22" t="s">
        <v>26</v>
      </c>
      <c r="J22" t="s">
        <v>25</v>
      </c>
      <c r="K22">
        <v>602</v>
      </c>
      <c r="L22">
        <v>22</v>
      </c>
      <c r="M22">
        <v>33</v>
      </c>
      <c r="N22">
        <v>55</v>
      </c>
      <c r="O22">
        <v>336</v>
      </c>
      <c r="P22">
        <v>290</v>
      </c>
      <c r="Q22">
        <v>275</v>
      </c>
      <c r="R22">
        <v>232</v>
      </c>
      <c r="S22">
        <v>176</v>
      </c>
      <c r="T22">
        <v>79</v>
      </c>
      <c r="U22">
        <v>25</v>
      </c>
      <c r="V22">
        <v>567</v>
      </c>
    </row>
    <row r="23" spans="1:22" x14ac:dyDescent="0.25">
      <c r="A23">
        <v>2025</v>
      </c>
      <c r="B23">
        <v>1</v>
      </c>
      <c r="C23" t="s">
        <v>37</v>
      </c>
      <c r="D23" t="s">
        <v>22</v>
      </c>
      <c r="E23" t="s">
        <v>37</v>
      </c>
      <c r="F23" t="s">
        <v>39</v>
      </c>
      <c r="G23" t="s">
        <v>28</v>
      </c>
      <c r="H23" t="s">
        <v>26</v>
      </c>
      <c r="I23" t="s">
        <v>26</v>
      </c>
      <c r="J23" t="s">
        <v>25</v>
      </c>
      <c r="K23">
        <v>13812</v>
      </c>
      <c r="L23">
        <v>301</v>
      </c>
      <c r="M23">
        <v>799</v>
      </c>
      <c r="N23">
        <v>1100</v>
      </c>
      <c r="O23">
        <v>6986</v>
      </c>
      <c r="P23">
        <v>5976</v>
      </c>
      <c r="Q23">
        <v>5565</v>
      </c>
      <c r="R23">
        <v>4332</v>
      </c>
      <c r="S23">
        <v>3296</v>
      </c>
      <c r="T23">
        <v>1662</v>
      </c>
      <c r="U23">
        <v>429</v>
      </c>
      <c r="V23">
        <v>13192</v>
      </c>
    </row>
    <row r="24" spans="1:22" x14ac:dyDescent="0.25">
      <c r="A24">
        <v>2025</v>
      </c>
      <c r="B24">
        <v>1</v>
      </c>
      <c r="C24" t="s">
        <v>37</v>
      </c>
      <c r="D24" t="s">
        <v>22</v>
      </c>
      <c r="E24" t="s">
        <v>37</v>
      </c>
      <c r="F24" t="s">
        <v>39</v>
      </c>
      <c r="G24" t="s">
        <v>29</v>
      </c>
      <c r="H24" t="s">
        <v>26</v>
      </c>
      <c r="I24" t="s">
        <v>26</v>
      </c>
      <c r="J24" t="s">
        <v>25</v>
      </c>
      <c r="K24">
        <v>14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 x14ac:dyDescent="0.25">
      <c r="A25">
        <v>2025</v>
      </c>
      <c r="B25">
        <v>1</v>
      </c>
      <c r="C25" t="s">
        <v>37</v>
      </c>
      <c r="D25" t="s">
        <v>22</v>
      </c>
      <c r="E25" t="s">
        <v>135</v>
      </c>
      <c r="F25" t="s">
        <v>32</v>
      </c>
      <c r="G25" t="s">
        <v>24</v>
      </c>
      <c r="H25" t="s">
        <v>25</v>
      </c>
      <c r="I25" t="s">
        <v>26</v>
      </c>
      <c r="J25" t="s">
        <v>25</v>
      </c>
      <c r="K25">
        <v>247</v>
      </c>
      <c r="L25">
        <v>1</v>
      </c>
      <c r="M25">
        <v>1</v>
      </c>
      <c r="N25">
        <v>2</v>
      </c>
      <c r="O25">
        <v>122</v>
      </c>
      <c r="P25">
        <v>94</v>
      </c>
      <c r="Q25">
        <v>81</v>
      </c>
      <c r="R25">
        <v>54</v>
      </c>
      <c r="S25">
        <v>40</v>
      </c>
      <c r="T25">
        <v>17</v>
      </c>
      <c r="U25">
        <v>4</v>
      </c>
      <c r="V25">
        <v>245</v>
      </c>
    </row>
    <row r="26" spans="1:22" x14ac:dyDescent="0.25">
      <c r="A26">
        <v>2025</v>
      </c>
      <c r="B26">
        <v>1</v>
      </c>
      <c r="C26" t="s">
        <v>37</v>
      </c>
      <c r="D26" t="s">
        <v>22</v>
      </c>
      <c r="E26" t="s">
        <v>136</v>
      </c>
      <c r="F26" t="s">
        <v>34</v>
      </c>
      <c r="G26" t="s">
        <v>24</v>
      </c>
      <c r="H26" t="s">
        <v>25</v>
      </c>
      <c r="I26" t="s">
        <v>26</v>
      </c>
      <c r="J26" t="s">
        <v>26</v>
      </c>
      <c r="K26">
        <v>46</v>
      </c>
      <c r="L26">
        <v>1</v>
      </c>
      <c r="M26">
        <v>5</v>
      </c>
      <c r="N26">
        <v>6</v>
      </c>
      <c r="O26">
        <v>19</v>
      </c>
      <c r="P26">
        <v>17</v>
      </c>
      <c r="Q26">
        <v>16</v>
      </c>
      <c r="R26">
        <v>14</v>
      </c>
      <c r="S26">
        <v>12</v>
      </c>
      <c r="T26">
        <v>12</v>
      </c>
      <c r="U26">
        <v>7</v>
      </c>
      <c r="V26">
        <v>44</v>
      </c>
    </row>
    <row r="27" spans="1:22" x14ac:dyDescent="0.25">
      <c r="A27">
        <v>2025</v>
      </c>
      <c r="B27">
        <v>1</v>
      </c>
      <c r="C27" t="s">
        <v>37</v>
      </c>
      <c r="D27" t="s">
        <v>22</v>
      </c>
      <c r="E27" t="s">
        <v>137</v>
      </c>
      <c r="F27" t="s">
        <v>34</v>
      </c>
      <c r="G27" t="s">
        <v>24</v>
      </c>
      <c r="H27" t="s">
        <v>25</v>
      </c>
      <c r="I27" t="s">
        <v>26</v>
      </c>
      <c r="J27" t="s">
        <v>26</v>
      </c>
      <c r="K27">
        <v>7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7</v>
      </c>
    </row>
    <row r="28" spans="1:22" x14ac:dyDescent="0.25">
      <c r="A28">
        <v>2025</v>
      </c>
      <c r="B28">
        <v>1</v>
      </c>
      <c r="C28" t="s">
        <v>37</v>
      </c>
      <c r="D28" t="s">
        <v>22</v>
      </c>
      <c r="E28" t="s">
        <v>138</v>
      </c>
      <c r="F28" t="s">
        <v>34</v>
      </c>
      <c r="G28" t="s">
        <v>24</v>
      </c>
      <c r="H28" t="s">
        <v>25</v>
      </c>
      <c r="I28" t="s">
        <v>26</v>
      </c>
      <c r="J28" t="s">
        <v>26</v>
      </c>
      <c r="K28">
        <v>4</v>
      </c>
      <c r="L28">
        <v>0</v>
      </c>
      <c r="M28">
        <v>0</v>
      </c>
      <c r="N28">
        <v>0</v>
      </c>
      <c r="O28">
        <v>2</v>
      </c>
      <c r="P28">
        <v>1</v>
      </c>
      <c r="Q28">
        <v>1</v>
      </c>
      <c r="R28">
        <v>1</v>
      </c>
      <c r="S28">
        <v>0</v>
      </c>
      <c r="T28">
        <v>0</v>
      </c>
      <c r="U28">
        <v>0</v>
      </c>
      <c r="V28">
        <v>4</v>
      </c>
    </row>
    <row r="29" spans="1:22" x14ac:dyDescent="0.25">
      <c r="A29">
        <v>2025</v>
      </c>
      <c r="B29">
        <v>1</v>
      </c>
      <c r="C29" t="s">
        <v>37</v>
      </c>
      <c r="D29" t="s">
        <v>22</v>
      </c>
      <c r="E29" t="s">
        <v>139</v>
      </c>
      <c r="F29" t="s">
        <v>34</v>
      </c>
      <c r="G29" t="s">
        <v>24</v>
      </c>
      <c r="H29" t="s">
        <v>25</v>
      </c>
      <c r="I29" t="s">
        <v>26</v>
      </c>
      <c r="J29" t="s">
        <v>26</v>
      </c>
      <c r="K29">
        <v>21</v>
      </c>
      <c r="L29">
        <v>0</v>
      </c>
      <c r="M29">
        <v>0</v>
      </c>
      <c r="N29">
        <v>0</v>
      </c>
      <c r="O29">
        <v>6</v>
      </c>
      <c r="P29">
        <v>5</v>
      </c>
      <c r="Q29">
        <v>4</v>
      </c>
      <c r="R29">
        <v>3</v>
      </c>
      <c r="S29">
        <v>3</v>
      </c>
      <c r="T29">
        <v>2</v>
      </c>
      <c r="U29">
        <v>1</v>
      </c>
      <c r="V29">
        <v>21</v>
      </c>
    </row>
    <row r="30" spans="1:22" x14ac:dyDescent="0.25">
      <c r="A30">
        <v>2025</v>
      </c>
      <c r="B30">
        <v>1</v>
      </c>
      <c r="C30" t="s">
        <v>37</v>
      </c>
      <c r="D30" t="s">
        <v>22</v>
      </c>
      <c r="E30" t="s">
        <v>140</v>
      </c>
      <c r="F30" t="s">
        <v>34</v>
      </c>
      <c r="G30" t="s">
        <v>24</v>
      </c>
      <c r="H30" t="s">
        <v>25</v>
      </c>
      <c r="I30" t="s">
        <v>26</v>
      </c>
      <c r="J30" t="s">
        <v>26</v>
      </c>
      <c r="K30">
        <v>1</v>
      </c>
      <c r="L30">
        <v>0</v>
      </c>
      <c r="M30">
        <v>0</v>
      </c>
      <c r="N30">
        <v>0</v>
      </c>
      <c r="O30">
        <v>1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</v>
      </c>
    </row>
    <row r="31" spans="1:22" x14ac:dyDescent="0.25">
      <c r="A31">
        <v>2025</v>
      </c>
      <c r="B31">
        <v>1</v>
      </c>
      <c r="C31" t="s">
        <v>37</v>
      </c>
      <c r="D31" t="s">
        <v>22</v>
      </c>
      <c r="E31" t="s">
        <v>141</v>
      </c>
      <c r="F31" t="s">
        <v>34</v>
      </c>
      <c r="G31" t="s">
        <v>24</v>
      </c>
      <c r="H31" t="s">
        <v>25</v>
      </c>
      <c r="I31" t="s">
        <v>26</v>
      </c>
      <c r="J31" t="s">
        <v>26</v>
      </c>
      <c r="K31">
        <v>12</v>
      </c>
      <c r="L31">
        <v>0</v>
      </c>
      <c r="M31">
        <v>0</v>
      </c>
      <c r="N31">
        <v>0</v>
      </c>
      <c r="O31">
        <v>5</v>
      </c>
      <c r="P31">
        <v>2</v>
      </c>
      <c r="Q31">
        <v>1</v>
      </c>
      <c r="R31">
        <v>1</v>
      </c>
      <c r="S31">
        <v>0</v>
      </c>
      <c r="T31">
        <v>0</v>
      </c>
      <c r="U31">
        <v>0</v>
      </c>
      <c r="V31">
        <v>12</v>
      </c>
    </row>
    <row r="32" spans="1:22" x14ac:dyDescent="0.25">
      <c r="A32">
        <v>2025</v>
      </c>
      <c r="B32">
        <v>1</v>
      </c>
      <c r="C32" t="s">
        <v>37</v>
      </c>
      <c r="D32" t="s">
        <v>22</v>
      </c>
      <c r="E32" t="s">
        <v>142</v>
      </c>
      <c r="F32" t="s">
        <v>34</v>
      </c>
      <c r="G32" t="s">
        <v>24</v>
      </c>
      <c r="H32" t="s">
        <v>25</v>
      </c>
      <c r="I32" t="s">
        <v>26</v>
      </c>
      <c r="J32" t="s">
        <v>26</v>
      </c>
      <c r="K32">
        <v>24</v>
      </c>
      <c r="L32">
        <v>0</v>
      </c>
      <c r="M32">
        <v>0</v>
      </c>
      <c r="N32">
        <v>0</v>
      </c>
      <c r="O32">
        <v>6</v>
      </c>
      <c r="P32">
        <v>6</v>
      </c>
      <c r="Q32">
        <v>6</v>
      </c>
      <c r="R32">
        <v>4</v>
      </c>
      <c r="S32">
        <v>4</v>
      </c>
      <c r="T32">
        <v>3</v>
      </c>
      <c r="U32">
        <v>2</v>
      </c>
      <c r="V32">
        <v>24</v>
      </c>
    </row>
    <row r="33" spans="1:22" x14ac:dyDescent="0.25">
      <c r="A33">
        <v>2025</v>
      </c>
      <c r="B33">
        <v>1</v>
      </c>
      <c r="C33" t="s">
        <v>37</v>
      </c>
      <c r="D33" t="s">
        <v>22</v>
      </c>
      <c r="E33" t="s">
        <v>143</v>
      </c>
      <c r="F33" t="s">
        <v>39</v>
      </c>
      <c r="G33" t="s">
        <v>24</v>
      </c>
      <c r="H33" t="s">
        <v>26</v>
      </c>
      <c r="I33" t="s">
        <v>26</v>
      </c>
      <c r="J33" t="s">
        <v>25</v>
      </c>
      <c r="K33">
        <v>447</v>
      </c>
      <c r="L33">
        <v>0</v>
      </c>
      <c r="M33">
        <v>22</v>
      </c>
      <c r="N33">
        <v>22</v>
      </c>
      <c r="O33">
        <v>271</v>
      </c>
      <c r="P33">
        <v>232</v>
      </c>
      <c r="Q33">
        <v>216</v>
      </c>
      <c r="R33">
        <v>163</v>
      </c>
      <c r="S33">
        <v>124</v>
      </c>
      <c r="T33">
        <v>55</v>
      </c>
      <c r="U33">
        <v>10</v>
      </c>
      <c r="V33">
        <v>437</v>
      </c>
    </row>
    <row r="34" spans="1:22" x14ac:dyDescent="0.25">
      <c r="A34">
        <v>2025</v>
      </c>
      <c r="B34">
        <v>1</v>
      </c>
      <c r="C34" t="s">
        <v>37</v>
      </c>
      <c r="D34" t="s">
        <v>22</v>
      </c>
      <c r="E34" t="s">
        <v>144</v>
      </c>
      <c r="F34" t="s">
        <v>32</v>
      </c>
      <c r="G34" t="s">
        <v>24</v>
      </c>
      <c r="H34" t="s">
        <v>25</v>
      </c>
      <c r="I34" t="s">
        <v>26</v>
      </c>
      <c r="J34" t="s">
        <v>25</v>
      </c>
      <c r="K34">
        <v>182</v>
      </c>
      <c r="L34">
        <v>5</v>
      </c>
      <c r="M34">
        <v>16</v>
      </c>
      <c r="N34">
        <v>21</v>
      </c>
      <c r="O34">
        <v>115</v>
      </c>
      <c r="P34">
        <v>105</v>
      </c>
      <c r="Q34">
        <v>101</v>
      </c>
      <c r="R34">
        <v>85</v>
      </c>
      <c r="S34">
        <v>71</v>
      </c>
      <c r="T34">
        <v>30</v>
      </c>
      <c r="U34">
        <v>6</v>
      </c>
      <c r="V34">
        <v>168</v>
      </c>
    </row>
    <row r="35" spans="1:22" x14ac:dyDescent="0.25">
      <c r="A35">
        <v>2025</v>
      </c>
      <c r="B35">
        <v>1</v>
      </c>
      <c r="C35" t="s">
        <v>37</v>
      </c>
      <c r="D35" t="s">
        <v>22</v>
      </c>
      <c r="E35" t="s">
        <v>144</v>
      </c>
      <c r="F35" t="s">
        <v>38</v>
      </c>
      <c r="G35" t="s">
        <v>24</v>
      </c>
      <c r="H35" t="s">
        <v>25</v>
      </c>
      <c r="I35" t="s">
        <v>25</v>
      </c>
      <c r="J35" t="s">
        <v>25</v>
      </c>
      <c r="K35">
        <v>31</v>
      </c>
      <c r="L35">
        <v>0</v>
      </c>
      <c r="M35">
        <v>0</v>
      </c>
      <c r="N35">
        <v>0</v>
      </c>
      <c r="O35">
        <v>16</v>
      </c>
      <c r="P35">
        <v>12</v>
      </c>
      <c r="Q35">
        <v>7</v>
      </c>
      <c r="R35">
        <v>2</v>
      </c>
      <c r="S35">
        <v>2</v>
      </c>
      <c r="T35">
        <v>1</v>
      </c>
      <c r="U35">
        <v>0</v>
      </c>
      <c r="V35">
        <v>31</v>
      </c>
    </row>
    <row r="36" spans="1:22" x14ac:dyDescent="0.25">
      <c r="A36">
        <v>2025</v>
      </c>
      <c r="B36">
        <v>1</v>
      </c>
      <c r="C36" t="s">
        <v>37</v>
      </c>
      <c r="D36" t="s">
        <v>22</v>
      </c>
      <c r="E36" t="s">
        <v>144</v>
      </c>
      <c r="F36" t="s">
        <v>38</v>
      </c>
      <c r="G36" t="s">
        <v>24</v>
      </c>
      <c r="H36" t="s">
        <v>25</v>
      </c>
      <c r="I36" t="s">
        <v>26</v>
      </c>
      <c r="J36" t="s">
        <v>25</v>
      </c>
      <c r="K36">
        <v>5</v>
      </c>
      <c r="L36">
        <v>0</v>
      </c>
      <c r="M36">
        <v>0</v>
      </c>
      <c r="N36">
        <v>0</v>
      </c>
      <c r="O36">
        <v>4</v>
      </c>
      <c r="P36">
        <v>4</v>
      </c>
      <c r="Q36">
        <v>4</v>
      </c>
      <c r="R36">
        <v>3</v>
      </c>
      <c r="S36">
        <v>2</v>
      </c>
      <c r="T36">
        <v>2</v>
      </c>
      <c r="U36">
        <v>1</v>
      </c>
      <c r="V36">
        <v>5</v>
      </c>
    </row>
    <row r="37" spans="1:22" x14ac:dyDescent="0.25">
      <c r="A37">
        <v>2025</v>
      </c>
      <c r="B37">
        <v>1</v>
      </c>
      <c r="C37" t="s">
        <v>37</v>
      </c>
      <c r="D37" t="s">
        <v>22</v>
      </c>
      <c r="E37" t="s">
        <v>144</v>
      </c>
      <c r="F37" t="s">
        <v>23</v>
      </c>
      <c r="G37" t="s">
        <v>28</v>
      </c>
      <c r="H37" t="s">
        <v>25</v>
      </c>
      <c r="I37" t="s">
        <v>26</v>
      </c>
      <c r="J37" t="s">
        <v>25</v>
      </c>
      <c r="K37">
        <v>14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14</v>
      </c>
    </row>
    <row r="38" spans="1:22" x14ac:dyDescent="0.25">
      <c r="A38">
        <v>2025</v>
      </c>
      <c r="B38">
        <v>1</v>
      </c>
      <c r="C38" t="s">
        <v>37</v>
      </c>
      <c r="D38" t="s">
        <v>22</v>
      </c>
      <c r="E38" t="s">
        <v>144</v>
      </c>
      <c r="F38" t="s">
        <v>23</v>
      </c>
      <c r="G38" t="s">
        <v>24</v>
      </c>
      <c r="H38" t="s">
        <v>25</v>
      </c>
      <c r="I38" t="s">
        <v>26</v>
      </c>
      <c r="J38" t="s">
        <v>25</v>
      </c>
      <c r="K38">
        <v>163</v>
      </c>
      <c r="L38">
        <v>1</v>
      </c>
      <c r="M38">
        <v>9</v>
      </c>
      <c r="N38">
        <v>10</v>
      </c>
      <c r="O38">
        <v>52</v>
      </c>
      <c r="P38">
        <v>40</v>
      </c>
      <c r="Q38">
        <v>35</v>
      </c>
      <c r="R38">
        <v>23</v>
      </c>
      <c r="S38">
        <v>18</v>
      </c>
      <c r="T38">
        <v>7</v>
      </c>
      <c r="U38">
        <v>2</v>
      </c>
      <c r="V38">
        <v>160</v>
      </c>
    </row>
    <row r="39" spans="1:22" x14ac:dyDescent="0.25">
      <c r="A39">
        <v>2025</v>
      </c>
      <c r="B39">
        <v>1</v>
      </c>
      <c r="C39" t="s">
        <v>37</v>
      </c>
      <c r="D39" t="s">
        <v>22</v>
      </c>
      <c r="E39" t="s">
        <v>144</v>
      </c>
      <c r="F39" t="s">
        <v>39</v>
      </c>
      <c r="G39" t="s">
        <v>24</v>
      </c>
      <c r="H39" t="s">
        <v>26</v>
      </c>
      <c r="I39" t="s">
        <v>26</v>
      </c>
      <c r="J39" t="s">
        <v>25</v>
      </c>
      <c r="K39">
        <v>786</v>
      </c>
      <c r="L39">
        <v>5</v>
      </c>
      <c r="M39">
        <v>65</v>
      </c>
      <c r="N39">
        <v>70</v>
      </c>
      <c r="O39">
        <v>472</v>
      </c>
      <c r="P39">
        <v>402</v>
      </c>
      <c r="Q39">
        <v>381</v>
      </c>
      <c r="R39">
        <v>316</v>
      </c>
      <c r="S39">
        <v>263</v>
      </c>
      <c r="T39">
        <v>159</v>
      </c>
      <c r="U39">
        <v>50</v>
      </c>
      <c r="V39">
        <v>765</v>
      </c>
    </row>
    <row r="40" spans="1:22" x14ac:dyDescent="0.25">
      <c r="A40">
        <v>2025</v>
      </c>
      <c r="B40">
        <v>1</v>
      </c>
      <c r="C40" t="s">
        <v>37</v>
      </c>
      <c r="D40" t="s">
        <v>22</v>
      </c>
      <c r="E40" t="s">
        <v>144</v>
      </c>
      <c r="F40" t="s">
        <v>36</v>
      </c>
      <c r="G40" t="s">
        <v>24</v>
      </c>
      <c r="H40" t="s">
        <v>25</v>
      </c>
      <c r="I40" t="s">
        <v>26</v>
      </c>
      <c r="J40" t="s">
        <v>25</v>
      </c>
      <c r="K40">
        <v>314</v>
      </c>
      <c r="L40">
        <v>2</v>
      </c>
      <c r="M40">
        <v>6</v>
      </c>
      <c r="N40">
        <v>8</v>
      </c>
      <c r="O40">
        <v>98</v>
      </c>
      <c r="P40">
        <v>73</v>
      </c>
      <c r="Q40">
        <v>65</v>
      </c>
      <c r="R40">
        <v>41</v>
      </c>
      <c r="S40">
        <v>32</v>
      </c>
      <c r="T40">
        <v>10</v>
      </c>
      <c r="U40">
        <v>3</v>
      </c>
      <c r="V40">
        <v>311</v>
      </c>
    </row>
    <row r="41" spans="1:22" x14ac:dyDescent="0.25">
      <c r="A41">
        <v>2025</v>
      </c>
      <c r="B41">
        <v>1</v>
      </c>
      <c r="C41" t="s">
        <v>37</v>
      </c>
      <c r="D41" t="s">
        <v>22</v>
      </c>
      <c r="E41" t="s">
        <v>145</v>
      </c>
      <c r="F41" t="s">
        <v>32</v>
      </c>
      <c r="G41" t="s">
        <v>24</v>
      </c>
      <c r="H41" t="s">
        <v>25</v>
      </c>
      <c r="I41" t="s">
        <v>26</v>
      </c>
      <c r="J41" t="s">
        <v>25</v>
      </c>
      <c r="K41">
        <v>119</v>
      </c>
      <c r="L41">
        <v>0</v>
      </c>
      <c r="M41">
        <v>0</v>
      </c>
      <c r="N41">
        <v>0</v>
      </c>
      <c r="O41">
        <v>80</v>
      </c>
      <c r="P41">
        <v>63</v>
      </c>
      <c r="Q41">
        <v>62</v>
      </c>
      <c r="R41">
        <v>44</v>
      </c>
      <c r="S41">
        <v>34</v>
      </c>
      <c r="T41">
        <v>14</v>
      </c>
      <c r="U41">
        <v>3</v>
      </c>
      <c r="V41">
        <v>119</v>
      </c>
    </row>
    <row r="42" spans="1:22" x14ac:dyDescent="0.25">
      <c r="A42">
        <v>2025</v>
      </c>
      <c r="B42">
        <v>1</v>
      </c>
      <c r="C42" t="s">
        <v>37</v>
      </c>
      <c r="D42" t="s">
        <v>22</v>
      </c>
      <c r="E42" t="s">
        <v>145</v>
      </c>
      <c r="F42" t="s">
        <v>38</v>
      </c>
      <c r="G42" t="s">
        <v>28</v>
      </c>
      <c r="H42" t="s">
        <v>25</v>
      </c>
      <c r="I42" t="s">
        <v>26</v>
      </c>
      <c r="J42" t="s">
        <v>25</v>
      </c>
      <c r="K42">
        <v>1</v>
      </c>
      <c r="L42">
        <v>0</v>
      </c>
      <c r="M42">
        <v>0</v>
      </c>
      <c r="N42">
        <v>0</v>
      </c>
      <c r="O42">
        <v>1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1</v>
      </c>
    </row>
    <row r="43" spans="1:22" x14ac:dyDescent="0.25">
      <c r="A43">
        <v>2025</v>
      </c>
      <c r="B43">
        <v>1</v>
      </c>
      <c r="C43" t="s">
        <v>37</v>
      </c>
      <c r="D43" t="s">
        <v>22</v>
      </c>
      <c r="E43" t="s">
        <v>145</v>
      </c>
      <c r="F43" t="s">
        <v>38</v>
      </c>
      <c r="G43" t="s">
        <v>24</v>
      </c>
      <c r="H43" t="s">
        <v>25</v>
      </c>
      <c r="I43" t="s">
        <v>26</v>
      </c>
      <c r="J43" t="s">
        <v>25</v>
      </c>
      <c r="K43">
        <v>130</v>
      </c>
      <c r="L43">
        <v>0</v>
      </c>
      <c r="M43">
        <v>0</v>
      </c>
      <c r="N43">
        <v>0</v>
      </c>
      <c r="O43">
        <v>80</v>
      </c>
      <c r="P43">
        <v>68</v>
      </c>
      <c r="Q43">
        <v>59</v>
      </c>
      <c r="R43">
        <v>33</v>
      </c>
      <c r="S43">
        <v>22</v>
      </c>
      <c r="T43">
        <v>13</v>
      </c>
      <c r="U43">
        <v>3</v>
      </c>
      <c r="V43">
        <v>130</v>
      </c>
    </row>
    <row r="44" spans="1:22" x14ac:dyDescent="0.25">
      <c r="A44">
        <v>2025</v>
      </c>
      <c r="B44">
        <v>1</v>
      </c>
      <c r="C44" t="s">
        <v>37</v>
      </c>
      <c r="D44" t="s">
        <v>22</v>
      </c>
      <c r="E44" t="s">
        <v>146</v>
      </c>
      <c r="F44" t="s">
        <v>34</v>
      </c>
      <c r="G44" t="s">
        <v>24</v>
      </c>
      <c r="H44" t="s">
        <v>25</v>
      </c>
      <c r="I44" t="s">
        <v>26</v>
      </c>
      <c r="J44" t="s">
        <v>26</v>
      </c>
      <c r="K44">
        <v>2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2</v>
      </c>
    </row>
    <row r="45" spans="1:22" x14ac:dyDescent="0.25">
      <c r="A45">
        <v>2025</v>
      </c>
      <c r="B45">
        <v>1</v>
      </c>
      <c r="C45" t="s">
        <v>37</v>
      </c>
      <c r="D45" t="s">
        <v>22</v>
      </c>
      <c r="E45" t="s">
        <v>147</v>
      </c>
      <c r="F45" t="s">
        <v>32</v>
      </c>
      <c r="G45" t="s">
        <v>24</v>
      </c>
      <c r="H45" t="s">
        <v>25</v>
      </c>
      <c r="I45" t="s">
        <v>26</v>
      </c>
      <c r="J45" t="s">
        <v>25</v>
      </c>
      <c r="K45">
        <v>60</v>
      </c>
      <c r="L45">
        <v>0</v>
      </c>
      <c r="M45">
        <v>1</v>
      </c>
      <c r="N45">
        <v>1</v>
      </c>
      <c r="O45">
        <v>30</v>
      </c>
      <c r="P45">
        <v>24</v>
      </c>
      <c r="Q45">
        <v>22</v>
      </c>
      <c r="R45">
        <v>14</v>
      </c>
      <c r="S45">
        <v>11</v>
      </c>
      <c r="T45">
        <v>5</v>
      </c>
      <c r="U45">
        <v>1</v>
      </c>
      <c r="V45">
        <v>60</v>
      </c>
    </row>
    <row r="46" spans="1:22" x14ac:dyDescent="0.25">
      <c r="A46">
        <v>2025</v>
      </c>
      <c r="B46">
        <v>1</v>
      </c>
      <c r="C46" t="s">
        <v>37</v>
      </c>
      <c r="D46" t="s">
        <v>22</v>
      </c>
      <c r="E46" t="s">
        <v>147</v>
      </c>
      <c r="F46" t="s">
        <v>36</v>
      </c>
      <c r="G46" t="s">
        <v>24</v>
      </c>
      <c r="H46" t="s">
        <v>25</v>
      </c>
      <c r="I46" t="s">
        <v>26</v>
      </c>
      <c r="J46" t="s">
        <v>25</v>
      </c>
      <c r="K46">
        <v>228</v>
      </c>
      <c r="L46">
        <v>4</v>
      </c>
      <c r="M46">
        <v>8</v>
      </c>
      <c r="N46">
        <v>12</v>
      </c>
      <c r="O46">
        <v>123</v>
      </c>
      <c r="P46">
        <v>99</v>
      </c>
      <c r="Q46">
        <v>89</v>
      </c>
      <c r="R46">
        <v>71</v>
      </c>
      <c r="S46">
        <v>56</v>
      </c>
      <c r="T46">
        <v>28</v>
      </c>
      <c r="U46">
        <v>7</v>
      </c>
      <c r="V46">
        <v>220</v>
      </c>
    </row>
    <row r="47" spans="1:22" x14ac:dyDescent="0.25">
      <c r="A47">
        <v>2025</v>
      </c>
      <c r="B47">
        <v>1</v>
      </c>
      <c r="C47" t="s">
        <v>37</v>
      </c>
      <c r="D47" t="s">
        <v>22</v>
      </c>
      <c r="E47" t="s">
        <v>148</v>
      </c>
      <c r="F47" t="s">
        <v>32</v>
      </c>
      <c r="G47" t="s">
        <v>24</v>
      </c>
      <c r="H47" t="s">
        <v>25</v>
      </c>
      <c r="I47" t="s">
        <v>26</v>
      </c>
      <c r="J47" t="s">
        <v>25</v>
      </c>
      <c r="K47">
        <v>576</v>
      </c>
      <c r="L47">
        <v>3</v>
      </c>
      <c r="M47">
        <v>8</v>
      </c>
      <c r="N47">
        <v>11</v>
      </c>
      <c r="O47">
        <v>368</v>
      </c>
      <c r="P47">
        <v>330</v>
      </c>
      <c r="Q47">
        <v>314</v>
      </c>
      <c r="R47">
        <v>246</v>
      </c>
      <c r="S47">
        <v>195</v>
      </c>
      <c r="T47">
        <v>83</v>
      </c>
      <c r="U47">
        <v>22</v>
      </c>
      <c r="V47">
        <v>569</v>
      </c>
    </row>
    <row r="48" spans="1:22" x14ac:dyDescent="0.25">
      <c r="A48">
        <v>2025</v>
      </c>
      <c r="B48">
        <v>1</v>
      </c>
      <c r="C48" t="s">
        <v>37</v>
      </c>
      <c r="D48" t="s">
        <v>22</v>
      </c>
      <c r="E48" t="s">
        <v>148</v>
      </c>
      <c r="F48" t="s">
        <v>34</v>
      </c>
      <c r="G48" t="s">
        <v>24</v>
      </c>
      <c r="H48" t="s">
        <v>25</v>
      </c>
      <c r="I48" t="s">
        <v>26</v>
      </c>
      <c r="J48" t="s">
        <v>26</v>
      </c>
      <c r="K48">
        <v>4</v>
      </c>
      <c r="L48">
        <v>0</v>
      </c>
      <c r="M48">
        <v>0</v>
      </c>
      <c r="N48">
        <v>0</v>
      </c>
      <c r="O48">
        <v>2</v>
      </c>
      <c r="P48">
        <v>1</v>
      </c>
      <c r="Q48">
        <v>1</v>
      </c>
      <c r="R48">
        <v>1</v>
      </c>
      <c r="S48">
        <v>1</v>
      </c>
      <c r="T48">
        <v>0</v>
      </c>
      <c r="U48">
        <v>0</v>
      </c>
      <c r="V48">
        <v>4</v>
      </c>
    </row>
    <row r="49" spans="1:22" x14ac:dyDescent="0.25">
      <c r="A49">
        <v>2025</v>
      </c>
      <c r="B49">
        <v>1</v>
      </c>
      <c r="C49" t="s">
        <v>37</v>
      </c>
      <c r="D49" t="s">
        <v>22</v>
      </c>
      <c r="E49" t="s">
        <v>149</v>
      </c>
      <c r="F49" t="s">
        <v>32</v>
      </c>
      <c r="G49" t="s">
        <v>24</v>
      </c>
      <c r="H49" t="s">
        <v>25</v>
      </c>
      <c r="I49" t="s">
        <v>26</v>
      </c>
      <c r="J49" t="s">
        <v>25</v>
      </c>
      <c r="K49">
        <v>122</v>
      </c>
      <c r="L49">
        <v>2</v>
      </c>
      <c r="M49">
        <v>19</v>
      </c>
      <c r="N49">
        <v>21</v>
      </c>
      <c r="O49">
        <v>102</v>
      </c>
      <c r="P49">
        <v>93</v>
      </c>
      <c r="Q49">
        <v>93</v>
      </c>
      <c r="R49">
        <v>88</v>
      </c>
      <c r="S49">
        <v>76</v>
      </c>
      <c r="T49">
        <v>46</v>
      </c>
      <c r="U49">
        <v>16</v>
      </c>
      <c r="V49">
        <v>117</v>
      </c>
    </row>
    <row r="50" spans="1:22" x14ac:dyDescent="0.25">
      <c r="A50">
        <v>2025</v>
      </c>
      <c r="B50">
        <v>1</v>
      </c>
      <c r="C50" t="s">
        <v>37</v>
      </c>
      <c r="D50" t="s">
        <v>22</v>
      </c>
      <c r="E50" t="s">
        <v>149</v>
      </c>
      <c r="F50" t="s">
        <v>34</v>
      </c>
      <c r="G50" t="s">
        <v>24</v>
      </c>
      <c r="H50" t="s">
        <v>25</v>
      </c>
      <c r="I50" t="s">
        <v>26</v>
      </c>
      <c r="J50" t="s">
        <v>26</v>
      </c>
      <c r="K50">
        <v>1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1</v>
      </c>
    </row>
    <row r="51" spans="1:22" x14ac:dyDescent="0.25">
      <c r="A51">
        <v>2025</v>
      </c>
      <c r="B51">
        <v>1</v>
      </c>
      <c r="C51" t="s">
        <v>37</v>
      </c>
      <c r="D51" t="s">
        <v>22</v>
      </c>
      <c r="E51" t="s">
        <v>149</v>
      </c>
      <c r="F51" t="s">
        <v>23</v>
      </c>
      <c r="G51" t="s">
        <v>24</v>
      </c>
      <c r="H51" t="s">
        <v>25</v>
      </c>
      <c r="I51" t="s">
        <v>26</v>
      </c>
      <c r="J51" t="s">
        <v>25</v>
      </c>
      <c r="K51">
        <v>167</v>
      </c>
      <c r="L51">
        <v>0</v>
      </c>
      <c r="M51">
        <v>19</v>
      </c>
      <c r="N51">
        <v>19</v>
      </c>
      <c r="O51">
        <v>50</v>
      </c>
      <c r="P51">
        <v>38</v>
      </c>
      <c r="Q51">
        <v>35</v>
      </c>
      <c r="R51">
        <v>28</v>
      </c>
      <c r="S51">
        <v>21</v>
      </c>
      <c r="T51">
        <v>12</v>
      </c>
      <c r="U51">
        <v>5</v>
      </c>
      <c r="V51">
        <v>167</v>
      </c>
    </row>
    <row r="52" spans="1:22" x14ac:dyDescent="0.25">
      <c r="A52">
        <v>2025</v>
      </c>
      <c r="B52">
        <v>1</v>
      </c>
      <c r="C52" t="s">
        <v>37</v>
      </c>
      <c r="D52" t="s">
        <v>22</v>
      </c>
      <c r="E52" t="s">
        <v>149</v>
      </c>
      <c r="F52" t="s">
        <v>39</v>
      </c>
      <c r="G52" t="s">
        <v>28</v>
      </c>
      <c r="H52" t="s">
        <v>26</v>
      </c>
      <c r="I52" t="s">
        <v>26</v>
      </c>
      <c r="J52" t="s">
        <v>25</v>
      </c>
      <c r="K52">
        <v>15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15</v>
      </c>
    </row>
    <row r="53" spans="1:22" x14ac:dyDescent="0.25">
      <c r="A53">
        <v>2025</v>
      </c>
      <c r="B53">
        <v>1</v>
      </c>
      <c r="C53" t="s">
        <v>37</v>
      </c>
      <c r="D53" t="s">
        <v>22</v>
      </c>
      <c r="E53" t="s">
        <v>149</v>
      </c>
      <c r="F53" t="s">
        <v>39</v>
      </c>
      <c r="G53" t="s">
        <v>24</v>
      </c>
      <c r="H53" t="s">
        <v>26</v>
      </c>
      <c r="I53" t="s">
        <v>26</v>
      </c>
      <c r="J53" t="s">
        <v>25</v>
      </c>
      <c r="K53">
        <v>1220</v>
      </c>
      <c r="L53">
        <v>10</v>
      </c>
      <c r="M53">
        <v>54</v>
      </c>
      <c r="N53">
        <v>64</v>
      </c>
      <c r="O53">
        <v>652</v>
      </c>
      <c r="P53">
        <v>567</v>
      </c>
      <c r="Q53">
        <v>527</v>
      </c>
      <c r="R53">
        <v>433</v>
      </c>
      <c r="S53">
        <v>341</v>
      </c>
      <c r="T53">
        <v>183</v>
      </c>
      <c r="U53">
        <v>46</v>
      </c>
      <c r="V53">
        <v>1191</v>
      </c>
    </row>
    <row r="54" spans="1:22" x14ac:dyDescent="0.25">
      <c r="A54">
        <v>2025</v>
      </c>
      <c r="B54">
        <v>1</v>
      </c>
      <c r="C54" t="s">
        <v>37</v>
      </c>
      <c r="D54" t="s">
        <v>22</v>
      </c>
      <c r="E54" t="s">
        <v>150</v>
      </c>
      <c r="F54" t="s">
        <v>32</v>
      </c>
      <c r="G54" t="s">
        <v>24</v>
      </c>
      <c r="H54" t="s">
        <v>25</v>
      </c>
      <c r="I54" t="s">
        <v>26</v>
      </c>
      <c r="J54" t="s">
        <v>25</v>
      </c>
      <c r="K54">
        <v>14</v>
      </c>
      <c r="L54">
        <v>0</v>
      </c>
      <c r="M54">
        <v>0</v>
      </c>
      <c r="N54">
        <v>0</v>
      </c>
      <c r="O54">
        <v>7</v>
      </c>
      <c r="P54">
        <v>5</v>
      </c>
      <c r="Q54">
        <v>4</v>
      </c>
      <c r="R54">
        <v>3</v>
      </c>
      <c r="S54">
        <v>1</v>
      </c>
      <c r="T54">
        <v>0</v>
      </c>
      <c r="U54">
        <v>0</v>
      </c>
      <c r="V54">
        <v>14</v>
      </c>
    </row>
    <row r="55" spans="1:22" x14ac:dyDescent="0.25">
      <c r="A55">
        <v>2025</v>
      </c>
      <c r="B55">
        <v>1</v>
      </c>
      <c r="C55" t="s">
        <v>37</v>
      </c>
      <c r="D55" t="s">
        <v>22</v>
      </c>
      <c r="E55" t="s">
        <v>150</v>
      </c>
      <c r="F55" t="s">
        <v>38</v>
      </c>
      <c r="G55" t="s">
        <v>24</v>
      </c>
      <c r="H55" t="s">
        <v>25</v>
      </c>
      <c r="I55" t="s">
        <v>25</v>
      </c>
      <c r="J55" t="s">
        <v>25</v>
      </c>
      <c r="K55">
        <v>1</v>
      </c>
      <c r="L55">
        <v>0</v>
      </c>
      <c r="M55">
        <v>0</v>
      </c>
      <c r="N55">
        <v>0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</row>
    <row r="56" spans="1:22" x14ac:dyDescent="0.25">
      <c r="A56">
        <v>2025</v>
      </c>
      <c r="B56">
        <v>1</v>
      </c>
      <c r="C56" t="s">
        <v>37</v>
      </c>
      <c r="D56" t="s">
        <v>22</v>
      </c>
      <c r="E56" t="s">
        <v>150</v>
      </c>
      <c r="F56" t="s">
        <v>38</v>
      </c>
      <c r="G56" t="s">
        <v>24</v>
      </c>
      <c r="H56" t="s">
        <v>25</v>
      </c>
      <c r="I56" t="s">
        <v>26</v>
      </c>
      <c r="J56" t="s">
        <v>25</v>
      </c>
      <c r="K56">
        <v>16</v>
      </c>
      <c r="L56">
        <v>2</v>
      </c>
      <c r="M56">
        <v>0</v>
      </c>
      <c r="N56">
        <v>2</v>
      </c>
      <c r="O56">
        <v>6</v>
      </c>
      <c r="P56">
        <v>5</v>
      </c>
      <c r="Q56">
        <v>5</v>
      </c>
      <c r="R56">
        <v>4</v>
      </c>
      <c r="S56">
        <v>2</v>
      </c>
      <c r="T56">
        <v>0</v>
      </c>
      <c r="U56">
        <v>0</v>
      </c>
      <c r="V56">
        <v>14</v>
      </c>
    </row>
    <row r="57" spans="1:22" x14ac:dyDescent="0.25">
      <c r="A57">
        <v>2025</v>
      </c>
      <c r="B57">
        <v>1</v>
      </c>
      <c r="C57" t="s">
        <v>37</v>
      </c>
      <c r="D57" t="s">
        <v>22</v>
      </c>
      <c r="E57" t="s">
        <v>151</v>
      </c>
      <c r="F57" t="s">
        <v>39</v>
      </c>
      <c r="G57" t="s">
        <v>24</v>
      </c>
      <c r="H57" t="s">
        <v>26</v>
      </c>
      <c r="I57" t="s">
        <v>26</v>
      </c>
      <c r="J57" t="s">
        <v>25</v>
      </c>
      <c r="K57">
        <v>427</v>
      </c>
      <c r="L57">
        <v>3</v>
      </c>
      <c r="M57">
        <v>17</v>
      </c>
      <c r="N57">
        <v>20</v>
      </c>
      <c r="O57">
        <v>249</v>
      </c>
      <c r="P57">
        <v>206</v>
      </c>
      <c r="Q57">
        <v>189</v>
      </c>
      <c r="R57">
        <v>137</v>
      </c>
      <c r="S57">
        <v>95</v>
      </c>
      <c r="T57">
        <v>33</v>
      </c>
      <c r="U57">
        <v>8</v>
      </c>
      <c r="V57">
        <v>413</v>
      </c>
    </row>
    <row r="58" spans="1:22" x14ac:dyDescent="0.25">
      <c r="A58">
        <v>2025</v>
      </c>
      <c r="B58">
        <v>1</v>
      </c>
      <c r="C58" t="s">
        <v>37</v>
      </c>
      <c r="D58" t="s">
        <v>22</v>
      </c>
      <c r="E58" t="s">
        <v>123</v>
      </c>
      <c r="F58" t="s">
        <v>39</v>
      </c>
      <c r="G58" t="s">
        <v>24</v>
      </c>
      <c r="H58" t="s">
        <v>26</v>
      </c>
      <c r="I58" t="s">
        <v>26</v>
      </c>
      <c r="J58" t="s">
        <v>25</v>
      </c>
      <c r="K58">
        <v>514</v>
      </c>
      <c r="L58">
        <v>15</v>
      </c>
      <c r="M58">
        <v>7</v>
      </c>
      <c r="N58">
        <v>22</v>
      </c>
      <c r="O58">
        <v>304</v>
      </c>
      <c r="P58">
        <v>195</v>
      </c>
      <c r="Q58">
        <v>174</v>
      </c>
      <c r="R58">
        <v>113</v>
      </c>
      <c r="S58">
        <v>85</v>
      </c>
      <c r="T58">
        <v>44</v>
      </c>
      <c r="U58">
        <v>9</v>
      </c>
      <c r="V58">
        <v>497</v>
      </c>
    </row>
    <row r="59" spans="1:22" x14ac:dyDescent="0.25">
      <c r="A59">
        <v>2025</v>
      </c>
      <c r="B59">
        <v>1</v>
      </c>
      <c r="C59" t="s">
        <v>37</v>
      </c>
      <c r="D59" t="s">
        <v>22</v>
      </c>
      <c r="E59" t="s">
        <v>123</v>
      </c>
      <c r="F59" t="s">
        <v>42</v>
      </c>
      <c r="G59" t="s">
        <v>24</v>
      </c>
      <c r="H59" t="s">
        <v>26</v>
      </c>
      <c r="I59" t="s">
        <v>26</v>
      </c>
      <c r="J59" t="s">
        <v>25</v>
      </c>
      <c r="K59">
        <v>258</v>
      </c>
      <c r="L59">
        <v>0</v>
      </c>
      <c r="M59">
        <v>0</v>
      </c>
      <c r="N59">
        <v>0</v>
      </c>
      <c r="O59">
        <v>132</v>
      </c>
      <c r="P59">
        <v>96</v>
      </c>
      <c r="Q59">
        <v>84</v>
      </c>
      <c r="R59">
        <v>52</v>
      </c>
      <c r="S59">
        <v>27</v>
      </c>
      <c r="T59">
        <v>12</v>
      </c>
      <c r="U59">
        <v>3</v>
      </c>
      <c r="V59">
        <v>258</v>
      </c>
    </row>
    <row r="60" spans="1:22" x14ac:dyDescent="0.25">
      <c r="A60">
        <v>2025</v>
      </c>
      <c r="B60">
        <v>1</v>
      </c>
      <c r="C60" t="s">
        <v>37</v>
      </c>
      <c r="D60" t="s">
        <v>22</v>
      </c>
      <c r="E60" t="s">
        <v>43</v>
      </c>
      <c r="F60" t="s">
        <v>23</v>
      </c>
      <c r="G60" t="s">
        <v>24</v>
      </c>
      <c r="H60" t="s">
        <v>25</v>
      </c>
      <c r="I60" t="s">
        <v>26</v>
      </c>
      <c r="J60" t="s">
        <v>25</v>
      </c>
      <c r="K60">
        <v>97</v>
      </c>
      <c r="L60">
        <v>0</v>
      </c>
      <c r="M60">
        <v>0</v>
      </c>
      <c r="N60">
        <v>0</v>
      </c>
      <c r="O60">
        <v>22</v>
      </c>
      <c r="P60">
        <v>14</v>
      </c>
      <c r="Q60">
        <v>11</v>
      </c>
      <c r="R60">
        <v>2</v>
      </c>
      <c r="S60">
        <v>0</v>
      </c>
      <c r="T60">
        <v>0</v>
      </c>
      <c r="U60">
        <v>0</v>
      </c>
      <c r="V60">
        <v>97</v>
      </c>
    </row>
    <row r="61" spans="1:22" x14ac:dyDescent="0.25">
      <c r="A61">
        <v>2025</v>
      </c>
      <c r="B61">
        <v>1</v>
      </c>
      <c r="C61" t="s">
        <v>37</v>
      </c>
      <c r="D61" t="s">
        <v>22</v>
      </c>
      <c r="E61" t="s">
        <v>152</v>
      </c>
      <c r="F61" t="s">
        <v>34</v>
      </c>
      <c r="G61" t="s">
        <v>24</v>
      </c>
      <c r="H61" t="s">
        <v>25</v>
      </c>
      <c r="I61" t="s">
        <v>26</v>
      </c>
      <c r="J61" t="s">
        <v>26</v>
      </c>
      <c r="K61">
        <v>1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1</v>
      </c>
    </row>
    <row r="62" spans="1:22" x14ac:dyDescent="0.25">
      <c r="A62">
        <v>2025</v>
      </c>
      <c r="B62">
        <v>1</v>
      </c>
      <c r="C62" t="s">
        <v>37</v>
      </c>
      <c r="D62" t="s">
        <v>22</v>
      </c>
      <c r="E62" t="s">
        <v>52</v>
      </c>
      <c r="F62" t="s">
        <v>34</v>
      </c>
      <c r="G62" t="s">
        <v>24</v>
      </c>
      <c r="H62" t="s">
        <v>25</v>
      </c>
      <c r="I62" t="s">
        <v>26</v>
      </c>
      <c r="J62" t="s">
        <v>26</v>
      </c>
      <c r="K62">
        <v>12</v>
      </c>
      <c r="L62">
        <v>0</v>
      </c>
      <c r="M62">
        <v>0</v>
      </c>
      <c r="N62">
        <v>0</v>
      </c>
      <c r="O62">
        <v>10</v>
      </c>
      <c r="P62">
        <v>8</v>
      </c>
      <c r="Q62">
        <v>6</v>
      </c>
      <c r="R62">
        <v>1</v>
      </c>
      <c r="S62">
        <v>1</v>
      </c>
      <c r="T62">
        <v>0</v>
      </c>
      <c r="U62">
        <v>0</v>
      </c>
      <c r="V62">
        <v>12</v>
      </c>
    </row>
    <row r="63" spans="1:22" x14ac:dyDescent="0.25">
      <c r="A63">
        <v>2025</v>
      </c>
      <c r="B63">
        <v>1</v>
      </c>
      <c r="C63" t="s">
        <v>37</v>
      </c>
      <c r="D63" t="s">
        <v>22</v>
      </c>
      <c r="E63" t="s">
        <v>61</v>
      </c>
      <c r="F63" t="s">
        <v>34</v>
      </c>
      <c r="G63" t="s">
        <v>28</v>
      </c>
      <c r="H63" t="s">
        <v>25</v>
      </c>
      <c r="I63" t="s">
        <v>26</v>
      </c>
      <c r="J63" t="s">
        <v>26</v>
      </c>
      <c r="K63">
        <v>2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2</v>
      </c>
    </row>
    <row r="64" spans="1:22" x14ac:dyDescent="0.25">
      <c r="A64">
        <v>2025</v>
      </c>
      <c r="B64">
        <v>1</v>
      </c>
      <c r="C64" t="s">
        <v>37</v>
      </c>
      <c r="D64" t="s">
        <v>22</v>
      </c>
      <c r="E64" t="s">
        <v>61</v>
      </c>
      <c r="F64" t="s">
        <v>34</v>
      </c>
      <c r="G64" t="s">
        <v>24</v>
      </c>
      <c r="H64" t="s">
        <v>25</v>
      </c>
      <c r="I64" t="s">
        <v>26</v>
      </c>
      <c r="J64" t="s">
        <v>26</v>
      </c>
      <c r="K64">
        <v>5</v>
      </c>
      <c r="L64">
        <v>0</v>
      </c>
      <c r="M64">
        <v>0</v>
      </c>
      <c r="N64">
        <v>0</v>
      </c>
      <c r="O64">
        <v>4</v>
      </c>
      <c r="P64">
        <v>3</v>
      </c>
      <c r="Q64">
        <v>1</v>
      </c>
      <c r="R64">
        <v>0</v>
      </c>
      <c r="S64">
        <v>0</v>
      </c>
      <c r="T64">
        <v>0</v>
      </c>
      <c r="U64">
        <v>0</v>
      </c>
      <c r="V64">
        <v>5</v>
      </c>
    </row>
    <row r="65" spans="1:22" x14ac:dyDescent="0.25">
      <c r="A65">
        <v>2025</v>
      </c>
      <c r="B65">
        <v>1</v>
      </c>
      <c r="C65" t="s">
        <v>37</v>
      </c>
      <c r="D65" t="s">
        <v>22</v>
      </c>
      <c r="E65" t="s">
        <v>61</v>
      </c>
      <c r="F65" t="s">
        <v>35</v>
      </c>
      <c r="G65" t="s">
        <v>28</v>
      </c>
      <c r="H65" t="s">
        <v>25</v>
      </c>
      <c r="I65" t="s">
        <v>26</v>
      </c>
      <c r="J65" t="s">
        <v>26</v>
      </c>
      <c r="K65">
        <v>18</v>
      </c>
      <c r="L65">
        <v>0</v>
      </c>
      <c r="M65">
        <v>1</v>
      </c>
      <c r="N65">
        <v>1</v>
      </c>
      <c r="O65">
        <v>2</v>
      </c>
      <c r="P65">
        <v>2</v>
      </c>
      <c r="Q65">
        <v>2</v>
      </c>
      <c r="R65">
        <v>2</v>
      </c>
      <c r="S65">
        <v>2</v>
      </c>
      <c r="T65">
        <v>2</v>
      </c>
      <c r="U65">
        <v>0</v>
      </c>
      <c r="V65">
        <v>17</v>
      </c>
    </row>
    <row r="66" spans="1:22" x14ac:dyDescent="0.25">
      <c r="A66">
        <v>2025</v>
      </c>
      <c r="B66">
        <v>1</v>
      </c>
      <c r="C66" t="s">
        <v>37</v>
      </c>
      <c r="D66" t="s">
        <v>22</v>
      </c>
      <c r="E66" t="s">
        <v>61</v>
      </c>
      <c r="F66" t="s">
        <v>35</v>
      </c>
      <c r="G66" t="s">
        <v>24</v>
      </c>
      <c r="H66" t="s">
        <v>25</v>
      </c>
      <c r="I66" t="s">
        <v>26</v>
      </c>
      <c r="J66" t="s">
        <v>26</v>
      </c>
      <c r="K66">
        <v>577</v>
      </c>
      <c r="L66">
        <v>10</v>
      </c>
      <c r="M66">
        <v>32</v>
      </c>
      <c r="N66">
        <v>42</v>
      </c>
      <c r="O66">
        <v>254</v>
      </c>
      <c r="P66">
        <v>223</v>
      </c>
      <c r="Q66">
        <v>214</v>
      </c>
      <c r="R66">
        <v>185</v>
      </c>
      <c r="S66">
        <v>158</v>
      </c>
      <c r="T66">
        <v>114</v>
      </c>
      <c r="U66">
        <v>53</v>
      </c>
      <c r="V66">
        <v>564</v>
      </c>
    </row>
    <row r="67" spans="1:22" x14ac:dyDescent="0.25">
      <c r="A67">
        <v>2025</v>
      </c>
      <c r="B67">
        <v>1</v>
      </c>
      <c r="C67" t="s">
        <v>37</v>
      </c>
      <c r="D67" t="s">
        <v>22</v>
      </c>
      <c r="E67" t="s">
        <v>61</v>
      </c>
      <c r="F67" t="s">
        <v>41</v>
      </c>
      <c r="G67" t="s">
        <v>24</v>
      </c>
      <c r="H67" t="s">
        <v>26</v>
      </c>
      <c r="I67" t="s">
        <v>26</v>
      </c>
      <c r="J67" t="s">
        <v>25</v>
      </c>
      <c r="K67">
        <v>364</v>
      </c>
      <c r="L67">
        <v>8</v>
      </c>
      <c r="M67">
        <v>8</v>
      </c>
      <c r="N67">
        <v>16</v>
      </c>
      <c r="O67">
        <v>204</v>
      </c>
      <c r="P67">
        <v>170</v>
      </c>
      <c r="Q67">
        <v>148</v>
      </c>
      <c r="R67">
        <v>105</v>
      </c>
      <c r="S67">
        <v>80</v>
      </c>
      <c r="T67">
        <v>34</v>
      </c>
      <c r="U67">
        <v>6</v>
      </c>
      <c r="V67">
        <v>352</v>
      </c>
    </row>
    <row r="68" spans="1:22" x14ac:dyDescent="0.25">
      <c r="A68">
        <v>2025</v>
      </c>
      <c r="B68">
        <v>1</v>
      </c>
      <c r="C68" t="s">
        <v>37</v>
      </c>
      <c r="D68" t="s">
        <v>22</v>
      </c>
      <c r="E68" t="s">
        <v>66</v>
      </c>
      <c r="F68" t="s">
        <v>34</v>
      </c>
      <c r="G68" t="s">
        <v>28</v>
      </c>
      <c r="H68" t="s">
        <v>25</v>
      </c>
      <c r="I68" t="s">
        <v>26</v>
      </c>
      <c r="J68" t="s">
        <v>26</v>
      </c>
      <c r="K68">
        <v>1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1</v>
      </c>
    </row>
    <row r="69" spans="1:22" x14ac:dyDescent="0.25">
      <c r="A69">
        <v>2025</v>
      </c>
      <c r="B69">
        <v>1</v>
      </c>
      <c r="C69" t="s">
        <v>37</v>
      </c>
      <c r="D69" t="s">
        <v>22</v>
      </c>
      <c r="E69" t="s">
        <v>66</v>
      </c>
      <c r="F69" t="s">
        <v>34</v>
      </c>
      <c r="G69" t="s">
        <v>24</v>
      </c>
      <c r="H69" t="s">
        <v>25</v>
      </c>
      <c r="I69" t="s">
        <v>26</v>
      </c>
      <c r="J69" t="s">
        <v>26</v>
      </c>
      <c r="K69">
        <v>11</v>
      </c>
      <c r="L69">
        <v>0</v>
      </c>
      <c r="M69">
        <v>0</v>
      </c>
      <c r="N69">
        <v>0</v>
      </c>
      <c r="O69">
        <v>5</v>
      </c>
      <c r="P69">
        <v>4</v>
      </c>
      <c r="Q69">
        <v>4</v>
      </c>
      <c r="R69">
        <v>3</v>
      </c>
      <c r="S69">
        <v>3</v>
      </c>
      <c r="T69">
        <v>1</v>
      </c>
      <c r="U69">
        <v>1</v>
      </c>
      <c r="V69">
        <v>11</v>
      </c>
    </row>
    <row r="70" spans="1:22" x14ac:dyDescent="0.25">
      <c r="A70">
        <v>2025</v>
      </c>
      <c r="B70">
        <v>1</v>
      </c>
      <c r="C70" t="s">
        <v>37</v>
      </c>
      <c r="D70" t="s">
        <v>22</v>
      </c>
      <c r="E70" t="s">
        <v>69</v>
      </c>
      <c r="F70" t="s">
        <v>23</v>
      </c>
      <c r="G70" t="s">
        <v>28</v>
      </c>
      <c r="H70" t="s">
        <v>25</v>
      </c>
      <c r="I70" t="s">
        <v>26</v>
      </c>
      <c r="J70" t="s">
        <v>25</v>
      </c>
      <c r="K70">
        <v>20</v>
      </c>
      <c r="L70">
        <v>0</v>
      </c>
      <c r="M70">
        <v>0</v>
      </c>
      <c r="N70">
        <v>0</v>
      </c>
      <c r="O70">
        <v>11</v>
      </c>
      <c r="P70">
        <v>8</v>
      </c>
      <c r="Q70">
        <v>6</v>
      </c>
      <c r="R70">
        <v>5</v>
      </c>
      <c r="S70">
        <v>0</v>
      </c>
      <c r="T70">
        <v>0</v>
      </c>
      <c r="U70">
        <v>0</v>
      </c>
      <c r="V70">
        <v>20</v>
      </c>
    </row>
    <row r="71" spans="1:22" x14ac:dyDescent="0.25">
      <c r="A71">
        <v>2025</v>
      </c>
      <c r="B71">
        <v>1</v>
      </c>
      <c r="C71" t="s">
        <v>37</v>
      </c>
      <c r="D71" t="s">
        <v>22</v>
      </c>
      <c r="E71" t="s">
        <v>69</v>
      </c>
      <c r="F71" t="s">
        <v>23</v>
      </c>
      <c r="G71" t="s">
        <v>24</v>
      </c>
      <c r="H71" t="s">
        <v>25</v>
      </c>
      <c r="I71" t="s">
        <v>26</v>
      </c>
      <c r="J71" t="s">
        <v>25</v>
      </c>
      <c r="K71">
        <v>642</v>
      </c>
      <c r="L71">
        <v>5</v>
      </c>
      <c r="M71">
        <v>12</v>
      </c>
      <c r="N71">
        <v>17</v>
      </c>
      <c r="O71">
        <v>191</v>
      </c>
      <c r="P71">
        <v>130</v>
      </c>
      <c r="Q71">
        <v>109</v>
      </c>
      <c r="R71">
        <v>78</v>
      </c>
      <c r="S71">
        <v>51</v>
      </c>
      <c r="T71">
        <v>16</v>
      </c>
      <c r="U71">
        <v>1</v>
      </c>
      <c r="V71">
        <v>629</v>
      </c>
    </row>
    <row r="72" spans="1:22" x14ac:dyDescent="0.25">
      <c r="A72">
        <v>2025</v>
      </c>
      <c r="B72">
        <v>1</v>
      </c>
      <c r="C72" t="s">
        <v>37</v>
      </c>
      <c r="D72" t="s">
        <v>22</v>
      </c>
      <c r="E72" t="s">
        <v>69</v>
      </c>
      <c r="F72" t="s">
        <v>40</v>
      </c>
      <c r="G72" t="s">
        <v>24</v>
      </c>
      <c r="H72" t="s">
        <v>25</v>
      </c>
      <c r="I72" t="s">
        <v>26</v>
      </c>
      <c r="J72" t="s">
        <v>25</v>
      </c>
      <c r="K72">
        <v>373</v>
      </c>
      <c r="L72">
        <v>4</v>
      </c>
      <c r="M72">
        <v>0</v>
      </c>
      <c r="N72">
        <v>4</v>
      </c>
      <c r="O72">
        <v>23</v>
      </c>
      <c r="P72">
        <v>9</v>
      </c>
      <c r="Q72">
        <v>9</v>
      </c>
      <c r="R72">
        <v>4</v>
      </c>
      <c r="S72">
        <v>0</v>
      </c>
      <c r="T72">
        <v>0</v>
      </c>
      <c r="U72">
        <v>0</v>
      </c>
      <c r="V72">
        <v>369</v>
      </c>
    </row>
    <row r="73" spans="1:22" x14ac:dyDescent="0.25">
      <c r="A73">
        <v>2025</v>
      </c>
      <c r="B73">
        <v>1</v>
      </c>
      <c r="C73" t="s">
        <v>37</v>
      </c>
      <c r="D73" t="s">
        <v>22</v>
      </c>
      <c r="E73" t="s">
        <v>75</v>
      </c>
      <c r="F73" t="s">
        <v>39</v>
      </c>
      <c r="G73" t="s">
        <v>28</v>
      </c>
      <c r="H73" t="s">
        <v>26</v>
      </c>
      <c r="I73" t="s">
        <v>26</v>
      </c>
      <c r="J73" t="s">
        <v>25</v>
      </c>
      <c r="K73">
        <v>3</v>
      </c>
      <c r="L73">
        <v>0</v>
      </c>
      <c r="M73">
        <v>0</v>
      </c>
      <c r="N73">
        <v>0</v>
      </c>
      <c r="O73">
        <v>3</v>
      </c>
      <c r="P73">
        <v>2</v>
      </c>
      <c r="Q73">
        <v>2</v>
      </c>
      <c r="R73">
        <v>1</v>
      </c>
      <c r="S73">
        <v>1</v>
      </c>
      <c r="T73">
        <v>0</v>
      </c>
      <c r="U73">
        <v>0</v>
      </c>
      <c r="V73">
        <v>3</v>
      </c>
    </row>
    <row r="74" spans="1:22" x14ac:dyDescent="0.25">
      <c r="A74">
        <v>2025</v>
      </c>
      <c r="B74">
        <v>1</v>
      </c>
      <c r="C74" t="s">
        <v>37</v>
      </c>
      <c r="D74" t="s">
        <v>22</v>
      </c>
      <c r="E74" t="s">
        <v>75</v>
      </c>
      <c r="F74" t="s">
        <v>39</v>
      </c>
      <c r="G74" t="s">
        <v>24</v>
      </c>
      <c r="H74" t="s">
        <v>26</v>
      </c>
      <c r="I74" t="s">
        <v>26</v>
      </c>
      <c r="J74" t="s">
        <v>25</v>
      </c>
      <c r="K74">
        <v>27</v>
      </c>
      <c r="L74">
        <v>3</v>
      </c>
      <c r="M74">
        <v>2</v>
      </c>
      <c r="N74">
        <v>5</v>
      </c>
      <c r="O74">
        <v>11</v>
      </c>
      <c r="P74">
        <v>7</v>
      </c>
      <c r="Q74">
        <v>7</v>
      </c>
      <c r="R74">
        <v>4</v>
      </c>
      <c r="S74">
        <v>3</v>
      </c>
      <c r="T74">
        <v>0</v>
      </c>
      <c r="U74">
        <v>0</v>
      </c>
      <c r="V74">
        <v>23</v>
      </c>
    </row>
    <row r="75" spans="1:22" x14ac:dyDescent="0.25">
      <c r="A75">
        <v>2025</v>
      </c>
      <c r="B75">
        <v>1</v>
      </c>
      <c r="C75" t="s">
        <v>37</v>
      </c>
      <c r="D75" t="s">
        <v>22</v>
      </c>
      <c r="E75" t="s">
        <v>75</v>
      </c>
      <c r="F75" t="s">
        <v>39</v>
      </c>
      <c r="G75" t="s">
        <v>29</v>
      </c>
      <c r="H75" t="s">
        <v>26</v>
      </c>
      <c r="I75" t="s">
        <v>26</v>
      </c>
      <c r="J75" t="s">
        <v>25</v>
      </c>
      <c r="K75">
        <v>2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</row>
    <row r="76" spans="1:22" x14ac:dyDescent="0.25">
      <c r="A76">
        <v>2025</v>
      </c>
      <c r="B76">
        <v>1</v>
      </c>
      <c r="C76" t="s">
        <v>37</v>
      </c>
      <c r="D76" t="s">
        <v>22</v>
      </c>
      <c r="E76" t="s">
        <v>75</v>
      </c>
      <c r="F76" t="s">
        <v>27</v>
      </c>
      <c r="G76" t="s">
        <v>24</v>
      </c>
      <c r="H76" t="s">
        <v>26</v>
      </c>
      <c r="I76" t="s">
        <v>26</v>
      </c>
      <c r="J76" t="s">
        <v>25</v>
      </c>
      <c r="K76">
        <v>9</v>
      </c>
      <c r="L76">
        <v>0</v>
      </c>
      <c r="M76">
        <v>0</v>
      </c>
      <c r="N76">
        <v>0</v>
      </c>
      <c r="O76">
        <v>3</v>
      </c>
      <c r="P76">
        <v>2</v>
      </c>
      <c r="Q76">
        <v>2</v>
      </c>
      <c r="R76">
        <v>0</v>
      </c>
      <c r="S76">
        <v>0</v>
      </c>
      <c r="T76">
        <v>0</v>
      </c>
      <c r="U76">
        <v>0</v>
      </c>
      <c r="V76">
        <v>9</v>
      </c>
    </row>
    <row r="77" spans="1:22" x14ac:dyDescent="0.25">
      <c r="A77">
        <v>2025</v>
      </c>
      <c r="B77">
        <v>2</v>
      </c>
      <c r="C77" t="s">
        <v>37</v>
      </c>
      <c r="D77" t="s">
        <v>22</v>
      </c>
      <c r="E77" t="s">
        <v>33</v>
      </c>
      <c r="F77" t="s">
        <v>34</v>
      </c>
      <c r="G77" t="s">
        <v>24</v>
      </c>
      <c r="H77" t="s">
        <v>25</v>
      </c>
      <c r="I77" t="s">
        <v>26</v>
      </c>
      <c r="J77" t="s">
        <v>26</v>
      </c>
      <c r="K77">
        <v>1</v>
      </c>
      <c r="L77">
        <v>0</v>
      </c>
      <c r="M77">
        <v>0</v>
      </c>
      <c r="N77">
        <v>0</v>
      </c>
      <c r="O77">
        <v>1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1</v>
      </c>
    </row>
    <row r="78" spans="1:22" x14ac:dyDescent="0.25">
      <c r="A78">
        <v>2025</v>
      </c>
      <c r="B78">
        <v>2</v>
      </c>
      <c r="C78" t="s">
        <v>37</v>
      </c>
      <c r="D78" t="s">
        <v>22</v>
      </c>
      <c r="E78" t="s">
        <v>126</v>
      </c>
      <c r="F78" t="s">
        <v>32</v>
      </c>
      <c r="G78" t="s">
        <v>24</v>
      </c>
      <c r="H78" t="s">
        <v>25</v>
      </c>
      <c r="I78" t="s">
        <v>26</v>
      </c>
      <c r="J78" t="s">
        <v>25</v>
      </c>
      <c r="K78">
        <v>270</v>
      </c>
      <c r="L78">
        <v>2</v>
      </c>
      <c r="M78">
        <v>12</v>
      </c>
      <c r="N78">
        <v>14</v>
      </c>
      <c r="O78">
        <v>116</v>
      </c>
      <c r="P78">
        <v>79</v>
      </c>
      <c r="Q78">
        <v>67</v>
      </c>
      <c r="R78">
        <v>47</v>
      </c>
      <c r="S78">
        <v>31</v>
      </c>
      <c r="T78">
        <v>17</v>
      </c>
      <c r="U78">
        <v>4</v>
      </c>
      <c r="V78">
        <v>263</v>
      </c>
    </row>
    <row r="79" spans="1:22" x14ac:dyDescent="0.25">
      <c r="A79">
        <v>2025</v>
      </c>
      <c r="B79">
        <v>2</v>
      </c>
      <c r="C79" t="s">
        <v>37</v>
      </c>
      <c r="D79" t="s">
        <v>22</v>
      </c>
      <c r="E79" t="s">
        <v>126</v>
      </c>
      <c r="F79" t="s">
        <v>34</v>
      </c>
      <c r="G79" t="s">
        <v>24</v>
      </c>
      <c r="H79" t="s">
        <v>25</v>
      </c>
      <c r="I79" t="s">
        <v>26</v>
      </c>
      <c r="J79" t="s">
        <v>26</v>
      </c>
      <c r="K79">
        <v>9</v>
      </c>
      <c r="L79">
        <v>0</v>
      </c>
      <c r="M79">
        <v>0</v>
      </c>
      <c r="N79">
        <v>0</v>
      </c>
      <c r="O79">
        <v>5</v>
      </c>
      <c r="P79">
        <v>5</v>
      </c>
      <c r="Q79">
        <v>5</v>
      </c>
      <c r="R79">
        <v>4</v>
      </c>
      <c r="S79">
        <v>3</v>
      </c>
      <c r="T79">
        <v>1</v>
      </c>
      <c r="U79">
        <v>0</v>
      </c>
      <c r="V79">
        <v>9</v>
      </c>
    </row>
    <row r="80" spans="1:22" x14ac:dyDescent="0.25">
      <c r="A80">
        <v>2025</v>
      </c>
      <c r="B80">
        <v>2</v>
      </c>
      <c r="C80" t="s">
        <v>37</v>
      </c>
      <c r="D80" t="s">
        <v>22</v>
      </c>
      <c r="E80" t="s">
        <v>127</v>
      </c>
      <c r="F80" t="s">
        <v>32</v>
      </c>
      <c r="G80" t="s">
        <v>24</v>
      </c>
      <c r="H80" t="s">
        <v>25</v>
      </c>
      <c r="I80" t="s">
        <v>26</v>
      </c>
      <c r="J80" t="s">
        <v>25</v>
      </c>
      <c r="K80">
        <v>2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2</v>
      </c>
    </row>
    <row r="81" spans="1:22" x14ac:dyDescent="0.25">
      <c r="A81">
        <v>2025</v>
      </c>
      <c r="B81">
        <v>2</v>
      </c>
      <c r="C81" t="s">
        <v>37</v>
      </c>
      <c r="D81" t="s">
        <v>22</v>
      </c>
      <c r="E81" t="s">
        <v>128</v>
      </c>
      <c r="F81" t="s">
        <v>32</v>
      </c>
      <c r="G81" t="s">
        <v>24</v>
      </c>
      <c r="H81" t="s">
        <v>25</v>
      </c>
      <c r="I81" t="s">
        <v>26</v>
      </c>
      <c r="J81" t="s">
        <v>25</v>
      </c>
      <c r="K81">
        <v>52</v>
      </c>
      <c r="L81">
        <v>0</v>
      </c>
      <c r="M81">
        <v>6</v>
      </c>
      <c r="N81">
        <v>6</v>
      </c>
      <c r="O81">
        <v>12</v>
      </c>
      <c r="P81">
        <v>12</v>
      </c>
      <c r="Q81">
        <v>10</v>
      </c>
      <c r="R81">
        <v>9</v>
      </c>
      <c r="S81">
        <v>6</v>
      </c>
      <c r="T81">
        <v>3</v>
      </c>
      <c r="U81">
        <v>0</v>
      </c>
      <c r="V81">
        <v>49</v>
      </c>
    </row>
    <row r="82" spans="1:22" x14ac:dyDescent="0.25">
      <c r="A82">
        <v>2025</v>
      </c>
      <c r="B82">
        <v>2</v>
      </c>
      <c r="C82" t="s">
        <v>37</v>
      </c>
      <c r="D82" t="s">
        <v>22</v>
      </c>
      <c r="E82" t="s">
        <v>128</v>
      </c>
      <c r="F82" t="s">
        <v>34</v>
      </c>
      <c r="G82" t="s">
        <v>24</v>
      </c>
      <c r="H82" t="s">
        <v>25</v>
      </c>
      <c r="I82" t="s">
        <v>26</v>
      </c>
      <c r="J82" t="s">
        <v>26</v>
      </c>
      <c r="K82">
        <v>52</v>
      </c>
      <c r="L82">
        <v>0</v>
      </c>
      <c r="M82">
        <v>0</v>
      </c>
      <c r="N82">
        <v>0</v>
      </c>
      <c r="O82">
        <v>15</v>
      </c>
      <c r="P82">
        <v>10</v>
      </c>
      <c r="Q82">
        <v>9</v>
      </c>
      <c r="R82">
        <v>8</v>
      </c>
      <c r="S82">
        <v>6</v>
      </c>
      <c r="T82">
        <v>2</v>
      </c>
      <c r="U82">
        <v>2</v>
      </c>
      <c r="V82">
        <v>52</v>
      </c>
    </row>
    <row r="83" spans="1:22" x14ac:dyDescent="0.25">
      <c r="A83">
        <v>2025</v>
      </c>
      <c r="B83">
        <v>2</v>
      </c>
      <c r="C83" t="s">
        <v>37</v>
      </c>
      <c r="D83" t="s">
        <v>22</v>
      </c>
      <c r="E83" t="s">
        <v>129</v>
      </c>
      <c r="F83" t="s">
        <v>36</v>
      </c>
      <c r="G83" t="s">
        <v>24</v>
      </c>
      <c r="H83" t="s">
        <v>25</v>
      </c>
      <c r="I83" t="s">
        <v>26</v>
      </c>
      <c r="J83" t="s">
        <v>25</v>
      </c>
      <c r="K83">
        <v>52</v>
      </c>
      <c r="L83">
        <v>0</v>
      </c>
      <c r="M83">
        <v>4</v>
      </c>
      <c r="N83">
        <v>4</v>
      </c>
      <c r="O83">
        <v>11</v>
      </c>
      <c r="P83">
        <v>8</v>
      </c>
      <c r="Q83">
        <v>6</v>
      </c>
      <c r="R83">
        <v>4</v>
      </c>
      <c r="S83">
        <v>2</v>
      </c>
      <c r="T83">
        <v>0</v>
      </c>
      <c r="U83">
        <v>0</v>
      </c>
      <c r="V83">
        <v>48</v>
      </c>
    </row>
    <row r="84" spans="1:22" x14ac:dyDescent="0.25">
      <c r="A84">
        <v>2025</v>
      </c>
      <c r="B84">
        <v>2</v>
      </c>
      <c r="C84" t="s">
        <v>37</v>
      </c>
      <c r="D84" t="s">
        <v>22</v>
      </c>
      <c r="E84" t="s">
        <v>130</v>
      </c>
      <c r="F84" t="s">
        <v>34</v>
      </c>
      <c r="G84" t="s">
        <v>24</v>
      </c>
      <c r="H84" t="s">
        <v>25</v>
      </c>
      <c r="I84" t="s">
        <v>26</v>
      </c>
      <c r="J84" t="s">
        <v>26</v>
      </c>
      <c r="K84">
        <v>1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1</v>
      </c>
    </row>
    <row r="85" spans="1:22" x14ac:dyDescent="0.25">
      <c r="A85">
        <v>2025</v>
      </c>
      <c r="B85">
        <v>2</v>
      </c>
      <c r="C85" t="s">
        <v>37</v>
      </c>
      <c r="D85" t="s">
        <v>22</v>
      </c>
      <c r="E85" t="s">
        <v>130</v>
      </c>
      <c r="F85" t="s">
        <v>23</v>
      </c>
      <c r="G85" t="s">
        <v>24</v>
      </c>
      <c r="H85" t="s">
        <v>25</v>
      </c>
      <c r="I85" t="s">
        <v>26</v>
      </c>
      <c r="J85" t="s">
        <v>25</v>
      </c>
      <c r="K85">
        <v>1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1</v>
      </c>
    </row>
    <row r="86" spans="1:22" x14ac:dyDescent="0.25">
      <c r="A86">
        <v>2025</v>
      </c>
      <c r="B86">
        <v>2</v>
      </c>
      <c r="C86" t="s">
        <v>37</v>
      </c>
      <c r="D86" t="s">
        <v>22</v>
      </c>
      <c r="E86" t="s">
        <v>131</v>
      </c>
      <c r="F86" t="s">
        <v>34</v>
      </c>
      <c r="G86" t="s">
        <v>24</v>
      </c>
      <c r="H86" t="s">
        <v>25</v>
      </c>
      <c r="I86" t="s">
        <v>26</v>
      </c>
      <c r="J86" t="s">
        <v>26</v>
      </c>
      <c r="K86">
        <v>53</v>
      </c>
      <c r="L86">
        <v>0</v>
      </c>
      <c r="M86">
        <v>1</v>
      </c>
      <c r="N86">
        <v>1</v>
      </c>
      <c r="O86">
        <v>26</v>
      </c>
      <c r="P86">
        <v>23</v>
      </c>
      <c r="Q86">
        <v>22</v>
      </c>
      <c r="R86">
        <v>16</v>
      </c>
      <c r="S86">
        <v>11</v>
      </c>
      <c r="T86">
        <v>4</v>
      </c>
      <c r="U86">
        <v>1</v>
      </c>
      <c r="V86">
        <v>53</v>
      </c>
    </row>
    <row r="87" spans="1:22" x14ac:dyDescent="0.25">
      <c r="A87">
        <v>2025</v>
      </c>
      <c r="B87">
        <v>2</v>
      </c>
      <c r="C87" t="s">
        <v>37</v>
      </c>
      <c r="D87" t="s">
        <v>22</v>
      </c>
      <c r="E87" t="s">
        <v>132</v>
      </c>
      <c r="F87" t="s">
        <v>32</v>
      </c>
      <c r="G87" t="s">
        <v>24</v>
      </c>
      <c r="H87" t="s">
        <v>25</v>
      </c>
      <c r="I87" t="s">
        <v>26</v>
      </c>
      <c r="J87" t="s">
        <v>25</v>
      </c>
      <c r="K87">
        <v>53</v>
      </c>
      <c r="L87">
        <v>0</v>
      </c>
      <c r="M87">
        <v>0</v>
      </c>
      <c r="N87">
        <v>0</v>
      </c>
      <c r="O87">
        <v>31</v>
      </c>
      <c r="P87">
        <v>28</v>
      </c>
      <c r="Q87">
        <v>25</v>
      </c>
      <c r="R87">
        <v>18</v>
      </c>
      <c r="S87">
        <v>16</v>
      </c>
      <c r="T87">
        <v>12</v>
      </c>
      <c r="U87">
        <v>4</v>
      </c>
      <c r="V87">
        <v>53</v>
      </c>
    </row>
    <row r="88" spans="1:22" x14ac:dyDescent="0.25">
      <c r="A88">
        <v>2025</v>
      </c>
      <c r="B88">
        <v>2</v>
      </c>
      <c r="C88" t="s">
        <v>37</v>
      </c>
      <c r="D88" t="s">
        <v>22</v>
      </c>
      <c r="E88" t="s">
        <v>132</v>
      </c>
      <c r="F88" t="s">
        <v>34</v>
      </c>
      <c r="G88" t="s">
        <v>24</v>
      </c>
      <c r="H88" t="s">
        <v>25</v>
      </c>
      <c r="I88" t="s">
        <v>26</v>
      </c>
      <c r="J88" t="s">
        <v>26</v>
      </c>
      <c r="K88">
        <v>44</v>
      </c>
      <c r="L88">
        <v>0</v>
      </c>
      <c r="M88">
        <v>0</v>
      </c>
      <c r="N88">
        <v>0</v>
      </c>
      <c r="O88">
        <v>25</v>
      </c>
      <c r="P88">
        <v>21</v>
      </c>
      <c r="Q88">
        <v>20</v>
      </c>
      <c r="R88">
        <v>14</v>
      </c>
      <c r="S88">
        <v>13</v>
      </c>
      <c r="T88">
        <v>10</v>
      </c>
      <c r="U88">
        <v>3</v>
      </c>
      <c r="V88">
        <v>44</v>
      </c>
    </row>
    <row r="89" spans="1:22" x14ac:dyDescent="0.25">
      <c r="A89">
        <v>2025</v>
      </c>
      <c r="B89">
        <v>2</v>
      </c>
      <c r="C89" t="s">
        <v>37</v>
      </c>
      <c r="D89" t="s">
        <v>22</v>
      </c>
      <c r="E89" t="s">
        <v>37</v>
      </c>
      <c r="F89" t="s">
        <v>32</v>
      </c>
      <c r="G89" t="s">
        <v>28</v>
      </c>
      <c r="H89" t="s">
        <v>25</v>
      </c>
      <c r="I89" t="s">
        <v>26</v>
      </c>
      <c r="J89" t="s">
        <v>25</v>
      </c>
      <c r="K89">
        <v>15</v>
      </c>
      <c r="L89">
        <v>0</v>
      </c>
      <c r="M89">
        <v>1</v>
      </c>
      <c r="N89">
        <v>1</v>
      </c>
      <c r="O89">
        <v>7</v>
      </c>
      <c r="P89">
        <v>7</v>
      </c>
      <c r="Q89">
        <v>6</v>
      </c>
      <c r="R89">
        <v>5</v>
      </c>
      <c r="S89">
        <v>3</v>
      </c>
      <c r="T89">
        <v>1</v>
      </c>
      <c r="U89">
        <v>0</v>
      </c>
      <c r="V89">
        <v>14</v>
      </c>
    </row>
    <row r="90" spans="1:22" x14ac:dyDescent="0.25">
      <c r="A90">
        <v>2025</v>
      </c>
      <c r="B90">
        <v>2</v>
      </c>
      <c r="C90" t="s">
        <v>37</v>
      </c>
      <c r="D90" t="s">
        <v>22</v>
      </c>
      <c r="E90" t="s">
        <v>37</v>
      </c>
      <c r="F90" t="s">
        <v>32</v>
      </c>
      <c r="G90" t="s">
        <v>29</v>
      </c>
      <c r="H90" t="s">
        <v>25</v>
      </c>
      <c r="I90" t="s">
        <v>26</v>
      </c>
      <c r="J90" t="s">
        <v>25</v>
      </c>
      <c r="K90">
        <v>1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</row>
    <row r="91" spans="1:22" x14ac:dyDescent="0.25">
      <c r="A91">
        <v>2025</v>
      </c>
      <c r="B91">
        <v>2</v>
      </c>
      <c r="C91" t="s">
        <v>37</v>
      </c>
      <c r="D91" t="s">
        <v>22</v>
      </c>
      <c r="E91" t="s">
        <v>37</v>
      </c>
      <c r="F91" t="s">
        <v>38</v>
      </c>
      <c r="G91" t="s">
        <v>24</v>
      </c>
      <c r="H91" t="s">
        <v>25</v>
      </c>
      <c r="I91" t="s">
        <v>26</v>
      </c>
      <c r="J91" t="s">
        <v>25</v>
      </c>
      <c r="K91">
        <v>1</v>
      </c>
      <c r="L91">
        <v>0</v>
      </c>
      <c r="M91">
        <v>0</v>
      </c>
      <c r="N91">
        <v>0</v>
      </c>
      <c r="O91">
        <v>1</v>
      </c>
      <c r="P91">
        <v>1</v>
      </c>
      <c r="Q91">
        <v>1</v>
      </c>
      <c r="R91">
        <v>1</v>
      </c>
      <c r="S91">
        <v>1</v>
      </c>
      <c r="T91">
        <v>0</v>
      </c>
      <c r="U91">
        <v>0</v>
      </c>
      <c r="V91">
        <v>1</v>
      </c>
    </row>
    <row r="92" spans="1:22" x14ac:dyDescent="0.25">
      <c r="A92">
        <v>2025</v>
      </c>
      <c r="B92">
        <v>2</v>
      </c>
      <c r="C92" t="s">
        <v>37</v>
      </c>
      <c r="D92" t="s">
        <v>22</v>
      </c>
      <c r="E92" t="s">
        <v>37</v>
      </c>
      <c r="F92" t="s">
        <v>34</v>
      </c>
      <c r="G92" t="s">
        <v>28</v>
      </c>
      <c r="H92" t="s">
        <v>25</v>
      </c>
      <c r="I92" t="s">
        <v>26</v>
      </c>
      <c r="J92" t="s">
        <v>26</v>
      </c>
      <c r="K92">
        <v>2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2</v>
      </c>
    </row>
    <row r="93" spans="1:22" x14ac:dyDescent="0.25">
      <c r="A93">
        <v>2025</v>
      </c>
      <c r="B93">
        <v>2</v>
      </c>
      <c r="C93" t="s">
        <v>37</v>
      </c>
      <c r="D93" t="s">
        <v>22</v>
      </c>
      <c r="E93" t="s">
        <v>37</v>
      </c>
      <c r="F93" t="s">
        <v>23</v>
      </c>
      <c r="G93" t="s">
        <v>28</v>
      </c>
      <c r="H93" t="s">
        <v>25</v>
      </c>
      <c r="I93" t="s">
        <v>26</v>
      </c>
      <c r="J93" t="s">
        <v>25</v>
      </c>
      <c r="K93">
        <v>3959</v>
      </c>
      <c r="L93">
        <v>163</v>
      </c>
      <c r="M93">
        <v>334</v>
      </c>
      <c r="N93">
        <v>497</v>
      </c>
      <c r="O93">
        <v>1801</v>
      </c>
      <c r="P93">
        <v>1444</v>
      </c>
      <c r="Q93">
        <v>1311</v>
      </c>
      <c r="R93">
        <v>937</v>
      </c>
      <c r="S93">
        <v>688</v>
      </c>
      <c r="T93">
        <v>290</v>
      </c>
      <c r="U93">
        <v>66</v>
      </c>
      <c r="V93">
        <v>3669</v>
      </c>
    </row>
    <row r="94" spans="1:22" x14ac:dyDescent="0.25">
      <c r="A94">
        <v>2025</v>
      </c>
      <c r="B94">
        <v>2</v>
      </c>
      <c r="C94" t="s">
        <v>37</v>
      </c>
      <c r="D94" t="s">
        <v>22</v>
      </c>
      <c r="E94" t="s">
        <v>37</v>
      </c>
      <c r="F94" t="s">
        <v>23</v>
      </c>
      <c r="G94" t="s">
        <v>24</v>
      </c>
      <c r="H94" t="s">
        <v>25</v>
      </c>
      <c r="I94" t="s">
        <v>26</v>
      </c>
      <c r="J94" t="s">
        <v>25</v>
      </c>
      <c r="K94">
        <v>307</v>
      </c>
      <c r="L94">
        <v>7</v>
      </c>
      <c r="M94">
        <v>25</v>
      </c>
      <c r="N94">
        <v>32</v>
      </c>
      <c r="O94">
        <v>212</v>
      </c>
      <c r="P94">
        <v>189</v>
      </c>
      <c r="Q94">
        <v>184</v>
      </c>
      <c r="R94">
        <v>144</v>
      </c>
      <c r="S94">
        <v>107</v>
      </c>
      <c r="T94">
        <v>49</v>
      </c>
      <c r="U94">
        <v>13</v>
      </c>
      <c r="V94">
        <v>288</v>
      </c>
    </row>
    <row r="95" spans="1:22" x14ac:dyDescent="0.25">
      <c r="A95">
        <v>2025</v>
      </c>
      <c r="B95">
        <v>2</v>
      </c>
      <c r="C95" t="s">
        <v>37</v>
      </c>
      <c r="D95" t="s">
        <v>22</v>
      </c>
      <c r="E95" t="s">
        <v>37</v>
      </c>
      <c r="F95" t="s">
        <v>23</v>
      </c>
      <c r="G95" t="s">
        <v>29</v>
      </c>
      <c r="H95" t="s">
        <v>25</v>
      </c>
      <c r="I95" t="s">
        <v>26</v>
      </c>
      <c r="J95" t="s">
        <v>25</v>
      </c>
      <c r="K95">
        <v>1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</row>
    <row r="96" spans="1:22" x14ac:dyDescent="0.25">
      <c r="A96">
        <v>2025</v>
      </c>
      <c r="B96">
        <v>2</v>
      </c>
      <c r="C96" t="s">
        <v>37</v>
      </c>
      <c r="D96" t="s">
        <v>22</v>
      </c>
      <c r="E96" t="s">
        <v>37</v>
      </c>
      <c r="F96" t="s">
        <v>39</v>
      </c>
      <c r="G96" t="s">
        <v>28</v>
      </c>
      <c r="H96" t="s">
        <v>26</v>
      </c>
      <c r="I96" t="s">
        <v>26</v>
      </c>
      <c r="J96" t="s">
        <v>25</v>
      </c>
      <c r="K96">
        <v>13313</v>
      </c>
      <c r="L96">
        <v>468</v>
      </c>
      <c r="M96">
        <v>1094</v>
      </c>
      <c r="N96">
        <v>1562</v>
      </c>
      <c r="O96">
        <v>7076</v>
      </c>
      <c r="P96">
        <v>6004</v>
      </c>
      <c r="Q96">
        <v>5588</v>
      </c>
      <c r="R96">
        <v>4311</v>
      </c>
      <c r="S96">
        <v>3304</v>
      </c>
      <c r="T96">
        <v>1546</v>
      </c>
      <c r="U96">
        <v>431</v>
      </c>
      <c r="V96">
        <v>12428</v>
      </c>
    </row>
    <row r="97" spans="1:22" x14ac:dyDescent="0.25">
      <c r="A97">
        <v>2025</v>
      </c>
      <c r="B97">
        <v>2</v>
      </c>
      <c r="C97" t="s">
        <v>37</v>
      </c>
      <c r="D97" t="s">
        <v>22</v>
      </c>
      <c r="E97" t="s">
        <v>37</v>
      </c>
      <c r="F97" t="s">
        <v>39</v>
      </c>
      <c r="G97" t="s">
        <v>29</v>
      </c>
      <c r="H97" t="s">
        <v>26</v>
      </c>
      <c r="I97" t="s">
        <v>26</v>
      </c>
      <c r="J97" t="s">
        <v>25</v>
      </c>
      <c r="K97">
        <v>1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</row>
    <row r="98" spans="1:22" x14ac:dyDescent="0.25">
      <c r="A98">
        <v>2025</v>
      </c>
      <c r="B98">
        <v>2</v>
      </c>
      <c r="C98" t="s">
        <v>37</v>
      </c>
      <c r="D98" t="s">
        <v>22</v>
      </c>
      <c r="E98" t="s">
        <v>135</v>
      </c>
      <c r="F98" t="s">
        <v>32</v>
      </c>
      <c r="G98" t="s">
        <v>24</v>
      </c>
      <c r="H98" t="s">
        <v>25</v>
      </c>
      <c r="I98" t="s">
        <v>26</v>
      </c>
      <c r="J98" t="s">
        <v>25</v>
      </c>
      <c r="K98">
        <v>277</v>
      </c>
      <c r="L98">
        <v>3</v>
      </c>
      <c r="M98">
        <v>3</v>
      </c>
      <c r="N98">
        <v>6</v>
      </c>
      <c r="O98">
        <v>125</v>
      </c>
      <c r="P98">
        <v>98</v>
      </c>
      <c r="Q98">
        <v>86</v>
      </c>
      <c r="R98">
        <v>62</v>
      </c>
      <c r="S98">
        <v>41</v>
      </c>
      <c r="T98">
        <v>20</v>
      </c>
      <c r="U98">
        <v>9</v>
      </c>
      <c r="V98">
        <v>273</v>
      </c>
    </row>
    <row r="99" spans="1:22" x14ac:dyDescent="0.25">
      <c r="A99">
        <v>2025</v>
      </c>
      <c r="B99">
        <v>2</v>
      </c>
      <c r="C99" t="s">
        <v>37</v>
      </c>
      <c r="D99" t="s">
        <v>22</v>
      </c>
      <c r="E99" t="s">
        <v>135</v>
      </c>
      <c r="F99" t="s">
        <v>34</v>
      </c>
      <c r="G99" t="s">
        <v>24</v>
      </c>
      <c r="H99" t="s">
        <v>25</v>
      </c>
      <c r="I99" t="s">
        <v>26</v>
      </c>
      <c r="J99" t="s">
        <v>26</v>
      </c>
      <c r="K99">
        <v>3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3</v>
      </c>
    </row>
    <row r="100" spans="1:22" x14ac:dyDescent="0.25">
      <c r="A100">
        <v>2025</v>
      </c>
      <c r="B100">
        <v>2</v>
      </c>
      <c r="C100" t="s">
        <v>37</v>
      </c>
      <c r="D100" t="s">
        <v>22</v>
      </c>
      <c r="E100" t="s">
        <v>136</v>
      </c>
      <c r="F100" t="s">
        <v>34</v>
      </c>
      <c r="G100" t="s">
        <v>24</v>
      </c>
      <c r="H100" t="s">
        <v>25</v>
      </c>
      <c r="I100" t="s">
        <v>26</v>
      </c>
      <c r="J100" t="s">
        <v>26</v>
      </c>
      <c r="K100">
        <v>56</v>
      </c>
      <c r="L100">
        <v>3</v>
      </c>
      <c r="M100">
        <v>1</v>
      </c>
      <c r="N100">
        <v>4</v>
      </c>
      <c r="O100">
        <v>23</v>
      </c>
      <c r="P100">
        <v>22</v>
      </c>
      <c r="Q100">
        <v>22</v>
      </c>
      <c r="R100">
        <v>20</v>
      </c>
      <c r="S100">
        <v>17</v>
      </c>
      <c r="T100">
        <v>16</v>
      </c>
      <c r="U100">
        <v>12</v>
      </c>
      <c r="V100">
        <v>53</v>
      </c>
    </row>
    <row r="101" spans="1:22" x14ac:dyDescent="0.25">
      <c r="A101">
        <v>2025</v>
      </c>
      <c r="B101">
        <v>2</v>
      </c>
      <c r="C101" t="s">
        <v>37</v>
      </c>
      <c r="D101" t="s">
        <v>22</v>
      </c>
      <c r="E101" t="s">
        <v>138</v>
      </c>
      <c r="F101" t="s">
        <v>34</v>
      </c>
      <c r="G101" t="s">
        <v>24</v>
      </c>
      <c r="H101" t="s">
        <v>25</v>
      </c>
      <c r="I101" t="s">
        <v>26</v>
      </c>
      <c r="J101" t="s">
        <v>26</v>
      </c>
      <c r="K101">
        <v>25</v>
      </c>
      <c r="L101">
        <v>0</v>
      </c>
      <c r="M101">
        <v>0</v>
      </c>
      <c r="N101">
        <v>0</v>
      </c>
      <c r="O101">
        <v>3</v>
      </c>
      <c r="P101">
        <v>3</v>
      </c>
      <c r="Q101">
        <v>3</v>
      </c>
      <c r="R101">
        <v>2</v>
      </c>
      <c r="S101">
        <v>2</v>
      </c>
      <c r="T101">
        <v>2</v>
      </c>
      <c r="U101">
        <v>0</v>
      </c>
      <c r="V101">
        <v>25</v>
      </c>
    </row>
    <row r="102" spans="1:22" x14ac:dyDescent="0.25">
      <c r="A102">
        <v>2025</v>
      </c>
      <c r="B102">
        <v>2</v>
      </c>
      <c r="C102" t="s">
        <v>37</v>
      </c>
      <c r="D102" t="s">
        <v>22</v>
      </c>
      <c r="E102" t="s">
        <v>139</v>
      </c>
      <c r="F102" t="s">
        <v>34</v>
      </c>
      <c r="G102" t="s">
        <v>24</v>
      </c>
      <c r="H102" t="s">
        <v>25</v>
      </c>
      <c r="I102" t="s">
        <v>26</v>
      </c>
      <c r="J102" t="s">
        <v>26</v>
      </c>
      <c r="K102">
        <v>26</v>
      </c>
      <c r="L102">
        <v>0</v>
      </c>
      <c r="M102">
        <v>0</v>
      </c>
      <c r="N102">
        <v>0</v>
      </c>
      <c r="O102">
        <v>5</v>
      </c>
      <c r="P102">
        <v>3</v>
      </c>
      <c r="Q102">
        <v>2</v>
      </c>
      <c r="R102">
        <v>2</v>
      </c>
      <c r="S102">
        <v>1</v>
      </c>
      <c r="T102">
        <v>0</v>
      </c>
      <c r="U102">
        <v>0</v>
      </c>
      <c r="V102">
        <v>26</v>
      </c>
    </row>
    <row r="103" spans="1:22" x14ac:dyDescent="0.25">
      <c r="A103">
        <v>2025</v>
      </c>
      <c r="B103">
        <v>2</v>
      </c>
      <c r="C103" t="s">
        <v>37</v>
      </c>
      <c r="D103" t="s">
        <v>22</v>
      </c>
      <c r="E103" t="s">
        <v>153</v>
      </c>
      <c r="F103" t="s">
        <v>34</v>
      </c>
      <c r="G103" t="s">
        <v>24</v>
      </c>
      <c r="H103" t="s">
        <v>25</v>
      </c>
      <c r="I103" t="s">
        <v>26</v>
      </c>
      <c r="J103" t="s">
        <v>26</v>
      </c>
      <c r="K103">
        <v>2</v>
      </c>
      <c r="L103">
        <v>0</v>
      </c>
      <c r="M103">
        <v>0</v>
      </c>
      <c r="N103">
        <v>0</v>
      </c>
      <c r="O103">
        <v>1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2</v>
      </c>
    </row>
    <row r="104" spans="1:22" x14ac:dyDescent="0.25">
      <c r="A104">
        <v>2025</v>
      </c>
      <c r="B104">
        <v>2</v>
      </c>
      <c r="C104" t="s">
        <v>37</v>
      </c>
      <c r="D104" t="s">
        <v>22</v>
      </c>
      <c r="E104" t="s">
        <v>140</v>
      </c>
      <c r="F104" t="s">
        <v>34</v>
      </c>
      <c r="G104" t="s">
        <v>24</v>
      </c>
      <c r="H104" t="s">
        <v>25</v>
      </c>
      <c r="I104" t="s">
        <v>26</v>
      </c>
      <c r="J104" t="s">
        <v>26</v>
      </c>
      <c r="K104">
        <v>1</v>
      </c>
      <c r="L104">
        <v>0</v>
      </c>
      <c r="M104">
        <v>0</v>
      </c>
      <c r="N104">
        <v>0</v>
      </c>
      <c r="O104">
        <v>1</v>
      </c>
      <c r="P104">
        <v>1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1</v>
      </c>
    </row>
    <row r="105" spans="1:22" x14ac:dyDescent="0.25">
      <c r="A105">
        <v>2025</v>
      </c>
      <c r="B105">
        <v>2</v>
      </c>
      <c r="C105" t="s">
        <v>37</v>
      </c>
      <c r="D105" t="s">
        <v>22</v>
      </c>
      <c r="E105" t="s">
        <v>141</v>
      </c>
      <c r="F105" t="s">
        <v>34</v>
      </c>
      <c r="G105" t="s">
        <v>24</v>
      </c>
      <c r="H105" t="s">
        <v>25</v>
      </c>
      <c r="I105" t="s">
        <v>26</v>
      </c>
      <c r="J105" t="s">
        <v>26</v>
      </c>
      <c r="K105">
        <v>26</v>
      </c>
      <c r="L105">
        <v>0</v>
      </c>
      <c r="M105">
        <v>0</v>
      </c>
      <c r="N105">
        <v>0</v>
      </c>
      <c r="O105">
        <v>5</v>
      </c>
      <c r="P105">
        <v>4</v>
      </c>
      <c r="Q105">
        <v>3</v>
      </c>
      <c r="R105">
        <v>2</v>
      </c>
      <c r="S105">
        <v>2</v>
      </c>
      <c r="T105">
        <v>2</v>
      </c>
      <c r="U105">
        <v>0</v>
      </c>
      <c r="V105">
        <v>26</v>
      </c>
    </row>
    <row r="106" spans="1:22" x14ac:dyDescent="0.25">
      <c r="A106">
        <v>2025</v>
      </c>
      <c r="B106">
        <v>2</v>
      </c>
      <c r="C106" t="s">
        <v>37</v>
      </c>
      <c r="D106" t="s">
        <v>22</v>
      </c>
      <c r="E106" t="s">
        <v>142</v>
      </c>
      <c r="F106" t="s">
        <v>34</v>
      </c>
      <c r="G106" t="s">
        <v>24</v>
      </c>
      <c r="H106" t="s">
        <v>25</v>
      </c>
      <c r="I106" t="s">
        <v>26</v>
      </c>
      <c r="J106" t="s">
        <v>26</v>
      </c>
      <c r="K106">
        <v>28</v>
      </c>
      <c r="L106">
        <v>0</v>
      </c>
      <c r="M106">
        <v>0</v>
      </c>
      <c r="N106">
        <v>0</v>
      </c>
      <c r="O106">
        <v>3</v>
      </c>
      <c r="P106">
        <v>3</v>
      </c>
      <c r="Q106">
        <v>2</v>
      </c>
      <c r="R106">
        <v>2</v>
      </c>
      <c r="S106">
        <v>1</v>
      </c>
      <c r="T106">
        <v>0</v>
      </c>
      <c r="U106">
        <v>0</v>
      </c>
      <c r="V106">
        <v>28</v>
      </c>
    </row>
    <row r="107" spans="1:22" x14ac:dyDescent="0.25">
      <c r="A107">
        <v>2025</v>
      </c>
      <c r="B107">
        <v>2</v>
      </c>
      <c r="C107" t="s">
        <v>37</v>
      </c>
      <c r="D107" t="s">
        <v>22</v>
      </c>
      <c r="E107" t="s">
        <v>143</v>
      </c>
      <c r="F107" t="s">
        <v>23</v>
      </c>
      <c r="G107" t="s">
        <v>24</v>
      </c>
      <c r="H107" t="s">
        <v>25</v>
      </c>
      <c r="I107" t="s">
        <v>26</v>
      </c>
      <c r="J107" t="s">
        <v>25</v>
      </c>
      <c r="K107">
        <v>1</v>
      </c>
      <c r="L107">
        <v>0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0</v>
      </c>
      <c r="T107">
        <v>0</v>
      </c>
      <c r="U107">
        <v>0</v>
      </c>
      <c r="V107">
        <v>1</v>
      </c>
    </row>
    <row r="108" spans="1:22" x14ac:dyDescent="0.25">
      <c r="A108">
        <v>2025</v>
      </c>
      <c r="B108">
        <v>2</v>
      </c>
      <c r="C108" t="s">
        <v>37</v>
      </c>
      <c r="D108" t="s">
        <v>22</v>
      </c>
      <c r="E108" t="s">
        <v>143</v>
      </c>
      <c r="F108" t="s">
        <v>39</v>
      </c>
      <c r="G108" t="s">
        <v>24</v>
      </c>
      <c r="H108" t="s">
        <v>26</v>
      </c>
      <c r="I108" t="s">
        <v>26</v>
      </c>
      <c r="J108" t="s">
        <v>25</v>
      </c>
      <c r="K108">
        <v>417</v>
      </c>
      <c r="L108">
        <v>1</v>
      </c>
      <c r="M108">
        <v>25</v>
      </c>
      <c r="N108">
        <v>26</v>
      </c>
      <c r="O108">
        <v>238</v>
      </c>
      <c r="P108">
        <v>197</v>
      </c>
      <c r="Q108">
        <v>187</v>
      </c>
      <c r="R108">
        <v>146</v>
      </c>
      <c r="S108">
        <v>113</v>
      </c>
      <c r="T108">
        <v>55</v>
      </c>
      <c r="U108">
        <v>11</v>
      </c>
      <c r="V108">
        <v>406</v>
      </c>
    </row>
    <row r="109" spans="1:22" x14ac:dyDescent="0.25">
      <c r="A109">
        <v>2025</v>
      </c>
      <c r="B109">
        <v>2</v>
      </c>
      <c r="C109" t="s">
        <v>37</v>
      </c>
      <c r="D109" t="s">
        <v>22</v>
      </c>
      <c r="E109" t="s">
        <v>144</v>
      </c>
      <c r="F109" t="s">
        <v>32</v>
      </c>
      <c r="G109" t="s">
        <v>24</v>
      </c>
      <c r="H109" t="s">
        <v>25</v>
      </c>
      <c r="I109" t="s">
        <v>26</v>
      </c>
      <c r="J109" t="s">
        <v>25</v>
      </c>
      <c r="K109">
        <v>168</v>
      </c>
      <c r="L109">
        <v>3</v>
      </c>
      <c r="M109">
        <v>18</v>
      </c>
      <c r="N109">
        <v>21</v>
      </c>
      <c r="O109">
        <v>111</v>
      </c>
      <c r="P109">
        <v>97</v>
      </c>
      <c r="Q109">
        <v>88</v>
      </c>
      <c r="R109">
        <v>72</v>
      </c>
      <c r="S109">
        <v>52</v>
      </c>
      <c r="T109">
        <v>17</v>
      </c>
      <c r="U109">
        <v>1</v>
      </c>
      <c r="V109">
        <v>151</v>
      </c>
    </row>
    <row r="110" spans="1:22" x14ac:dyDescent="0.25">
      <c r="A110">
        <v>2025</v>
      </c>
      <c r="B110">
        <v>2</v>
      </c>
      <c r="C110" t="s">
        <v>37</v>
      </c>
      <c r="D110" t="s">
        <v>22</v>
      </c>
      <c r="E110" t="s">
        <v>144</v>
      </c>
      <c r="F110" t="s">
        <v>34</v>
      </c>
      <c r="G110" t="s">
        <v>24</v>
      </c>
      <c r="H110" t="s">
        <v>25</v>
      </c>
      <c r="I110" t="s">
        <v>26</v>
      </c>
      <c r="J110" t="s">
        <v>26</v>
      </c>
      <c r="K110">
        <v>2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2</v>
      </c>
    </row>
    <row r="111" spans="1:22" x14ac:dyDescent="0.25">
      <c r="A111">
        <v>2025</v>
      </c>
      <c r="B111">
        <v>2</v>
      </c>
      <c r="C111" t="s">
        <v>37</v>
      </c>
      <c r="D111" t="s">
        <v>22</v>
      </c>
      <c r="E111" t="s">
        <v>144</v>
      </c>
      <c r="F111" t="s">
        <v>23</v>
      </c>
      <c r="G111" t="s">
        <v>24</v>
      </c>
      <c r="H111" t="s">
        <v>25</v>
      </c>
      <c r="I111" t="s">
        <v>26</v>
      </c>
      <c r="J111" t="s">
        <v>25</v>
      </c>
      <c r="K111">
        <v>230</v>
      </c>
      <c r="L111">
        <v>2</v>
      </c>
      <c r="M111">
        <v>13</v>
      </c>
      <c r="N111">
        <v>15</v>
      </c>
      <c r="O111">
        <v>109</v>
      </c>
      <c r="P111">
        <v>85</v>
      </c>
      <c r="Q111">
        <v>78</v>
      </c>
      <c r="R111">
        <v>58</v>
      </c>
      <c r="S111">
        <v>46</v>
      </c>
      <c r="T111">
        <v>20</v>
      </c>
      <c r="U111">
        <v>7</v>
      </c>
      <c r="V111">
        <v>226</v>
      </c>
    </row>
    <row r="112" spans="1:22" x14ac:dyDescent="0.25">
      <c r="A112">
        <v>2025</v>
      </c>
      <c r="B112">
        <v>2</v>
      </c>
      <c r="C112" t="s">
        <v>37</v>
      </c>
      <c r="D112" t="s">
        <v>22</v>
      </c>
      <c r="E112" t="s">
        <v>144</v>
      </c>
      <c r="F112" t="s">
        <v>39</v>
      </c>
      <c r="G112" t="s">
        <v>24</v>
      </c>
      <c r="H112" t="s">
        <v>26</v>
      </c>
      <c r="I112" t="s">
        <v>26</v>
      </c>
      <c r="J112" t="s">
        <v>25</v>
      </c>
      <c r="K112">
        <v>721</v>
      </c>
      <c r="L112">
        <v>3</v>
      </c>
      <c r="M112">
        <v>58</v>
      </c>
      <c r="N112">
        <v>61</v>
      </c>
      <c r="O112">
        <v>468</v>
      </c>
      <c r="P112">
        <v>399</v>
      </c>
      <c r="Q112">
        <v>376</v>
      </c>
      <c r="R112">
        <v>300</v>
      </c>
      <c r="S112">
        <v>251</v>
      </c>
      <c r="T112">
        <v>133</v>
      </c>
      <c r="U112">
        <v>35</v>
      </c>
      <c r="V112">
        <v>694</v>
      </c>
    </row>
    <row r="113" spans="1:22" x14ac:dyDescent="0.25">
      <c r="A113">
        <v>2025</v>
      </c>
      <c r="B113">
        <v>2</v>
      </c>
      <c r="C113" t="s">
        <v>37</v>
      </c>
      <c r="D113" t="s">
        <v>22</v>
      </c>
      <c r="E113" t="s">
        <v>144</v>
      </c>
      <c r="F113" t="s">
        <v>36</v>
      </c>
      <c r="G113" t="s">
        <v>24</v>
      </c>
      <c r="H113" t="s">
        <v>25</v>
      </c>
      <c r="I113" t="s">
        <v>26</v>
      </c>
      <c r="J113" t="s">
        <v>25</v>
      </c>
      <c r="K113">
        <v>299</v>
      </c>
      <c r="L113">
        <v>0</v>
      </c>
      <c r="M113">
        <v>7</v>
      </c>
      <c r="N113">
        <v>7</v>
      </c>
      <c r="O113">
        <v>137</v>
      </c>
      <c r="P113">
        <v>106</v>
      </c>
      <c r="Q113">
        <v>87</v>
      </c>
      <c r="R113">
        <v>62</v>
      </c>
      <c r="S113">
        <v>40</v>
      </c>
      <c r="T113">
        <v>11</v>
      </c>
      <c r="U113">
        <v>4</v>
      </c>
      <c r="V113">
        <v>299</v>
      </c>
    </row>
    <row r="114" spans="1:22" x14ac:dyDescent="0.25">
      <c r="A114">
        <v>2025</v>
      </c>
      <c r="B114">
        <v>2</v>
      </c>
      <c r="C114" t="s">
        <v>37</v>
      </c>
      <c r="D114" t="s">
        <v>22</v>
      </c>
      <c r="E114" t="s">
        <v>145</v>
      </c>
      <c r="F114" t="s">
        <v>32</v>
      </c>
      <c r="G114" t="s">
        <v>24</v>
      </c>
      <c r="H114" t="s">
        <v>25</v>
      </c>
      <c r="I114" t="s">
        <v>26</v>
      </c>
      <c r="J114" t="s">
        <v>25</v>
      </c>
      <c r="K114">
        <v>216</v>
      </c>
      <c r="L114">
        <v>0</v>
      </c>
      <c r="M114">
        <v>1</v>
      </c>
      <c r="N114">
        <v>1</v>
      </c>
      <c r="O114">
        <v>107</v>
      </c>
      <c r="P114">
        <v>88</v>
      </c>
      <c r="Q114">
        <v>85</v>
      </c>
      <c r="R114">
        <v>57</v>
      </c>
      <c r="S114">
        <v>46</v>
      </c>
      <c r="T114">
        <v>25</v>
      </c>
      <c r="U114">
        <v>4</v>
      </c>
      <c r="V114">
        <v>216</v>
      </c>
    </row>
    <row r="115" spans="1:22" x14ac:dyDescent="0.25">
      <c r="A115">
        <v>2025</v>
      </c>
      <c r="B115">
        <v>2</v>
      </c>
      <c r="C115" t="s">
        <v>37</v>
      </c>
      <c r="D115" t="s">
        <v>22</v>
      </c>
      <c r="E115" t="s">
        <v>145</v>
      </c>
      <c r="F115" t="s">
        <v>38</v>
      </c>
      <c r="G115" t="s">
        <v>24</v>
      </c>
      <c r="H115" t="s">
        <v>25</v>
      </c>
      <c r="I115" t="s">
        <v>26</v>
      </c>
      <c r="J115" t="s">
        <v>25</v>
      </c>
      <c r="K115">
        <v>23</v>
      </c>
      <c r="L115">
        <v>0</v>
      </c>
      <c r="M115">
        <v>0</v>
      </c>
      <c r="N115">
        <v>0</v>
      </c>
      <c r="O115">
        <v>18</v>
      </c>
      <c r="P115">
        <v>13</v>
      </c>
      <c r="Q115">
        <v>12</v>
      </c>
      <c r="R115">
        <v>6</v>
      </c>
      <c r="S115">
        <v>3</v>
      </c>
      <c r="T115">
        <v>0</v>
      </c>
      <c r="U115">
        <v>0</v>
      </c>
      <c r="V115">
        <v>23</v>
      </c>
    </row>
    <row r="116" spans="1:22" x14ac:dyDescent="0.25">
      <c r="A116">
        <v>2025</v>
      </c>
      <c r="B116">
        <v>2</v>
      </c>
      <c r="C116" t="s">
        <v>37</v>
      </c>
      <c r="D116" t="s">
        <v>22</v>
      </c>
      <c r="E116" t="s">
        <v>147</v>
      </c>
      <c r="F116" t="s">
        <v>32</v>
      </c>
      <c r="G116" t="s">
        <v>24</v>
      </c>
      <c r="H116" t="s">
        <v>25</v>
      </c>
      <c r="I116" t="s">
        <v>26</v>
      </c>
      <c r="J116" t="s">
        <v>25</v>
      </c>
      <c r="K116">
        <v>56</v>
      </c>
      <c r="L116">
        <v>0</v>
      </c>
      <c r="M116">
        <v>0</v>
      </c>
      <c r="N116">
        <v>0</v>
      </c>
      <c r="O116">
        <v>32</v>
      </c>
      <c r="P116">
        <v>26</v>
      </c>
      <c r="Q116">
        <v>24</v>
      </c>
      <c r="R116">
        <v>16</v>
      </c>
      <c r="S116">
        <v>12</v>
      </c>
      <c r="T116">
        <v>6</v>
      </c>
      <c r="U116">
        <v>2</v>
      </c>
      <c r="V116">
        <v>56</v>
      </c>
    </row>
    <row r="117" spans="1:22" x14ac:dyDescent="0.25">
      <c r="A117">
        <v>2025</v>
      </c>
      <c r="B117">
        <v>2</v>
      </c>
      <c r="C117" t="s">
        <v>37</v>
      </c>
      <c r="D117" t="s">
        <v>22</v>
      </c>
      <c r="E117" t="s">
        <v>147</v>
      </c>
      <c r="F117" t="s">
        <v>36</v>
      </c>
      <c r="G117" t="s">
        <v>24</v>
      </c>
      <c r="H117" t="s">
        <v>25</v>
      </c>
      <c r="I117" t="s">
        <v>26</v>
      </c>
      <c r="J117" t="s">
        <v>25</v>
      </c>
      <c r="K117">
        <v>205</v>
      </c>
      <c r="L117">
        <v>1</v>
      </c>
      <c r="M117">
        <v>10</v>
      </c>
      <c r="N117">
        <v>11</v>
      </c>
      <c r="O117">
        <v>129</v>
      </c>
      <c r="P117">
        <v>97</v>
      </c>
      <c r="Q117">
        <v>89</v>
      </c>
      <c r="R117">
        <v>62</v>
      </c>
      <c r="S117">
        <v>47</v>
      </c>
      <c r="T117">
        <v>18</v>
      </c>
      <c r="U117">
        <v>6</v>
      </c>
      <c r="V117">
        <v>199</v>
      </c>
    </row>
    <row r="118" spans="1:22" x14ac:dyDescent="0.25">
      <c r="A118">
        <v>2025</v>
      </c>
      <c r="B118">
        <v>2</v>
      </c>
      <c r="C118" t="s">
        <v>37</v>
      </c>
      <c r="D118" t="s">
        <v>22</v>
      </c>
      <c r="E118" t="s">
        <v>148</v>
      </c>
      <c r="F118" t="s">
        <v>32</v>
      </c>
      <c r="G118" t="s">
        <v>24</v>
      </c>
      <c r="H118" t="s">
        <v>25</v>
      </c>
      <c r="I118" t="s">
        <v>26</v>
      </c>
      <c r="J118" t="s">
        <v>25</v>
      </c>
      <c r="K118">
        <v>524</v>
      </c>
      <c r="L118">
        <v>8</v>
      </c>
      <c r="M118">
        <v>61</v>
      </c>
      <c r="N118">
        <v>69</v>
      </c>
      <c r="O118">
        <v>330</v>
      </c>
      <c r="P118">
        <v>287</v>
      </c>
      <c r="Q118">
        <v>273</v>
      </c>
      <c r="R118">
        <v>222</v>
      </c>
      <c r="S118">
        <v>182</v>
      </c>
      <c r="T118">
        <v>89</v>
      </c>
      <c r="U118">
        <v>28</v>
      </c>
      <c r="V118">
        <v>494</v>
      </c>
    </row>
    <row r="119" spans="1:22" x14ac:dyDescent="0.25">
      <c r="A119">
        <v>2025</v>
      </c>
      <c r="B119">
        <v>2</v>
      </c>
      <c r="C119" t="s">
        <v>37</v>
      </c>
      <c r="D119" t="s">
        <v>22</v>
      </c>
      <c r="E119" t="s">
        <v>149</v>
      </c>
      <c r="F119" t="s">
        <v>32</v>
      </c>
      <c r="G119" t="s">
        <v>24</v>
      </c>
      <c r="H119" t="s">
        <v>25</v>
      </c>
      <c r="I119" t="s">
        <v>26</v>
      </c>
      <c r="J119" t="s">
        <v>25</v>
      </c>
      <c r="K119">
        <v>117</v>
      </c>
      <c r="L119">
        <v>3</v>
      </c>
      <c r="M119">
        <v>19</v>
      </c>
      <c r="N119">
        <v>22</v>
      </c>
      <c r="O119">
        <v>91</v>
      </c>
      <c r="P119">
        <v>90</v>
      </c>
      <c r="Q119">
        <v>86</v>
      </c>
      <c r="R119">
        <v>79</v>
      </c>
      <c r="S119">
        <v>71</v>
      </c>
      <c r="T119">
        <v>52</v>
      </c>
      <c r="U119">
        <v>16</v>
      </c>
      <c r="V119">
        <v>104</v>
      </c>
    </row>
    <row r="120" spans="1:22" x14ac:dyDescent="0.25">
      <c r="A120">
        <v>2025</v>
      </c>
      <c r="B120">
        <v>2</v>
      </c>
      <c r="C120" t="s">
        <v>37</v>
      </c>
      <c r="D120" t="s">
        <v>22</v>
      </c>
      <c r="E120" t="s">
        <v>149</v>
      </c>
      <c r="F120" t="s">
        <v>38</v>
      </c>
      <c r="G120" t="s">
        <v>24</v>
      </c>
      <c r="H120" t="s">
        <v>25</v>
      </c>
      <c r="I120" t="s">
        <v>26</v>
      </c>
      <c r="J120" t="s">
        <v>25</v>
      </c>
      <c r="K120">
        <v>8</v>
      </c>
      <c r="L120">
        <v>0</v>
      </c>
      <c r="M120">
        <v>0</v>
      </c>
      <c r="N120">
        <v>0</v>
      </c>
      <c r="O120">
        <v>5</v>
      </c>
      <c r="P120">
        <v>4</v>
      </c>
      <c r="Q120">
        <v>4</v>
      </c>
      <c r="R120">
        <v>3</v>
      </c>
      <c r="S120">
        <v>2</v>
      </c>
      <c r="T120">
        <v>1</v>
      </c>
      <c r="U120">
        <v>1</v>
      </c>
      <c r="V120">
        <v>8</v>
      </c>
    </row>
    <row r="121" spans="1:22" x14ac:dyDescent="0.25">
      <c r="A121">
        <v>2025</v>
      </c>
      <c r="B121">
        <v>2</v>
      </c>
      <c r="C121" t="s">
        <v>37</v>
      </c>
      <c r="D121" t="s">
        <v>22</v>
      </c>
      <c r="E121" t="s">
        <v>149</v>
      </c>
      <c r="F121" t="s">
        <v>34</v>
      </c>
      <c r="G121" t="s">
        <v>24</v>
      </c>
      <c r="H121" t="s">
        <v>25</v>
      </c>
      <c r="I121" t="s">
        <v>26</v>
      </c>
      <c r="J121" t="s">
        <v>26</v>
      </c>
      <c r="K121">
        <v>2</v>
      </c>
      <c r="L121">
        <v>0</v>
      </c>
      <c r="M121">
        <v>0</v>
      </c>
      <c r="N121">
        <v>0</v>
      </c>
      <c r="O121">
        <v>1</v>
      </c>
      <c r="P121">
        <v>1</v>
      </c>
      <c r="Q121">
        <v>1</v>
      </c>
      <c r="R121">
        <v>0</v>
      </c>
      <c r="S121">
        <v>0</v>
      </c>
      <c r="T121">
        <v>0</v>
      </c>
      <c r="U121">
        <v>0</v>
      </c>
      <c r="V121">
        <v>2</v>
      </c>
    </row>
    <row r="122" spans="1:22" x14ac:dyDescent="0.25">
      <c r="A122">
        <v>2025</v>
      </c>
      <c r="B122">
        <v>2</v>
      </c>
      <c r="C122" t="s">
        <v>37</v>
      </c>
      <c r="D122" t="s">
        <v>22</v>
      </c>
      <c r="E122" t="s">
        <v>149</v>
      </c>
      <c r="F122" t="s">
        <v>23</v>
      </c>
      <c r="G122" t="s">
        <v>24</v>
      </c>
      <c r="H122" t="s">
        <v>25</v>
      </c>
      <c r="I122" t="s">
        <v>26</v>
      </c>
      <c r="J122" t="s">
        <v>25</v>
      </c>
      <c r="K122">
        <v>283</v>
      </c>
      <c r="L122">
        <v>4</v>
      </c>
      <c r="M122">
        <v>11</v>
      </c>
      <c r="N122">
        <v>15</v>
      </c>
      <c r="O122">
        <v>92</v>
      </c>
      <c r="P122">
        <v>82</v>
      </c>
      <c r="Q122">
        <v>76</v>
      </c>
      <c r="R122">
        <v>66</v>
      </c>
      <c r="S122">
        <v>53</v>
      </c>
      <c r="T122">
        <v>29</v>
      </c>
      <c r="U122">
        <v>10</v>
      </c>
      <c r="V122">
        <v>279</v>
      </c>
    </row>
    <row r="123" spans="1:22" x14ac:dyDescent="0.25">
      <c r="A123">
        <v>2025</v>
      </c>
      <c r="B123">
        <v>2</v>
      </c>
      <c r="C123" t="s">
        <v>37</v>
      </c>
      <c r="D123" t="s">
        <v>22</v>
      </c>
      <c r="E123" t="s">
        <v>149</v>
      </c>
      <c r="F123" t="s">
        <v>39</v>
      </c>
      <c r="G123" t="s">
        <v>24</v>
      </c>
      <c r="H123" t="s">
        <v>26</v>
      </c>
      <c r="I123" t="s">
        <v>26</v>
      </c>
      <c r="J123" t="s">
        <v>25</v>
      </c>
      <c r="K123">
        <v>1107</v>
      </c>
      <c r="L123">
        <v>15</v>
      </c>
      <c r="M123">
        <v>98</v>
      </c>
      <c r="N123">
        <v>113</v>
      </c>
      <c r="O123">
        <v>644</v>
      </c>
      <c r="P123">
        <v>581</v>
      </c>
      <c r="Q123">
        <v>556</v>
      </c>
      <c r="R123">
        <v>468</v>
      </c>
      <c r="S123">
        <v>383</v>
      </c>
      <c r="T123">
        <v>195</v>
      </c>
      <c r="U123">
        <v>56</v>
      </c>
      <c r="V123">
        <v>1055</v>
      </c>
    </row>
    <row r="124" spans="1:22" x14ac:dyDescent="0.25">
      <c r="A124">
        <v>2025</v>
      </c>
      <c r="B124">
        <v>2</v>
      </c>
      <c r="C124" t="s">
        <v>37</v>
      </c>
      <c r="D124" t="s">
        <v>22</v>
      </c>
      <c r="E124" t="s">
        <v>150</v>
      </c>
      <c r="F124" t="s">
        <v>38</v>
      </c>
      <c r="G124" t="s">
        <v>24</v>
      </c>
      <c r="H124" t="s">
        <v>25</v>
      </c>
      <c r="I124" t="s">
        <v>26</v>
      </c>
      <c r="J124" t="s">
        <v>25</v>
      </c>
      <c r="K124">
        <v>22</v>
      </c>
      <c r="L124">
        <v>0</v>
      </c>
      <c r="M124">
        <v>0</v>
      </c>
      <c r="N124">
        <v>0</v>
      </c>
      <c r="O124">
        <v>9</v>
      </c>
      <c r="P124">
        <v>8</v>
      </c>
      <c r="Q124">
        <v>7</v>
      </c>
      <c r="R124">
        <v>3</v>
      </c>
      <c r="S124">
        <v>2</v>
      </c>
      <c r="T124">
        <v>1</v>
      </c>
      <c r="U124">
        <v>1</v>
      </c>
      <c r="V124">
        <v>22</v>
      </c>
    </row>
    <row r="125" spans="1:22" x14ac:dyDescent="0.25">
      <c r="A125">
        <v>2025</v>
      </c>
      <c r="B125">
        <v>2</v>
      </c>
      <c r="C125" t="s">
        <v>37</v>
      </c>
      <c r="D125" t="s">
        <v>22</v>
      </c>
      <c r="E125" t="s">
        <v>151</v>
      </c>
      <c r="F125" t="s">
        <v>39</v>
      </c>
      <c r="G125" t="s">
        <v>24</v>
      </c>
      <c r="H125" t="s">
        <v>26</v>
      </c>
      <c r="I125" t="s">
        <v>26</v>
      </c>
      <c r="J125" t="s">
        <v>25</v>
      </c>
      <c r="K125">
        <v>400</v>
      </c>
      <c r="L125">
        <v>15</v>
      </c>
      <c r="M125">
        <v>18</v>
      </c>
      <c r="N125">
        <v>33</v>
      </c>
      <c r="O125">
        <v>257</v>
      </c>
      <c r="P125">
        <v>213</v>
      </c>
      <c r="Q125">
        <v>192</v>
      </c>
      <c r="R125">
        <v>131</v>
      </c>
      <c r="S125">
        <v>87</v>
      </c>
      <c r="T125">
        <v>21</v>
      </c>
      <c r="U125">
        <v>3</v>
      </c>
      <c r="V125">
        <v>376</v>
      </c>
    </row>
    <row r="126" spans="1:22" x14ac:dyDescent="0.25">
      <c r="A126">
        <v>2025</v>
      </c>
      <c r="B126">
        <v>2</v>
      </c>
      <c r="C126" t="s">
        <v>37</v>
      </c>
      <c r="D126" t="s">
        <v>22</v>
      </c>
      <c r="E126" t="s">
        <v>123</v>
      </c>
      <c r="F126" t="s">
        <v>39</v>
      </c>
      <c r="G126" t="s">
        <v>24</v>
      </c>
      <c r="H126" t="s">
        <v>26</v>
      </c>
      <c r="I126" t="s">
        <v>26</v>
      </c>
      <c r="J126" t="s">
        <v>25</v>
      </c>
      <c r="K126">
        <v>504</v>
      </c>
      <c r="L126">
        <v>5</v>
      </c>
      <c r="M126">
        <v>12</v>
      </c>
      <c r="N126">
        <v>17</v>
      </c>
      <c r="O126">
        <v>306</v>
      </c>
      <c r="P126">
        <v>208</v>
      </c>
      <c r="Q126">
        <v>198</v>
      </c>
      <c r="R126">
        <v>109</v>
      </c>
      <c r="S126">
        <v>83</v>
      </c>
      <c r="T126">
        <v>29</v>
      </c>
      <c r="U126">
        <v>5</v>
      </c>
      <c r="V126">
        <v>493</v>
      </c>
    </row>
    <row r="127" spans="1:22" x14ac:dyDescent="0.25">
      <c r="A127">
        <v>2025</v>
      </c>
      <c r="B127">
        <v>2</v>
      </c>
      <c r="C127" t="s">
        <v>37</v>
      </c>
      <c r="D127" t="s">
        <v>22</v>
      </c>
      <c r="E127" t="s">
        <v>123</v>
      </c>
      <c r="F127" t="s">
        <v>42</v>
      </c>
      <c r="G127" t="s">
        <v>24</v>
      </c>
      <c r="H127" t="s">
        <v>26</v>
      </c>
      <c r="I127" t="s">
        <v>26</v>
      </c>
      <c r="J127" t="s">
        <v>25</v>
      </c>
      <c r="K127">
        <v>171</v>
      </c>
      <c r="L127">
        <v>0</v>
      </c>
      <c r="M127">
        <v>1</v>
      </c>
      <c r="N127">
        <v>1</v>
      </c>
      <c r="O127">
        <v>85</v>
      </c>
      <c r="P127">
        <v>61</v>
      </c>
      <c r="Q127">
        <v>52</v>
      </c>
      <c r="R127">
        <v>26</v>
      </c>
      <c r="S127">
        <v>16</v>
      </c>
      <c r="T127">
        <v>8</v>
      </c>
      <c r="U127">
        <v>4</v>
      </c>
      <c r="V127">
        <v>170</v>
      </c>
    </row>
    <row r="128" spans="1:22" x14ac:dyDescent="0.25">
      <c r="A128">
        <v>2025</v>
      </c>
      <c r="B128">
        <v>2</v>
      </c>
      <c r="C128" t="s">
        <v>37</v>
      </c>
      <c r="D128" t="s">
        <v>22</v>
      </c>
      <c r="E128" t="s">
        <v>43</v>
      </c>
      <c r="F128" t="s">
        <v>23</v>
      </c>
      <c r="G128" t="s">
        <v>24</v>
      </c>
      <c r="H128" t="s">
        <v>25</v>
      </c>
      <c r="I128" t="s">
        <v>26</v>
      </c>
      <c r="J128" t="s">
        <v>25</v>
      </c>
      <c r="K128">
        <v>204</v>
      </c>
      <c r="L128">
        <v>1</v>
      </c>
      <c r="M128">
        <v>0</v>
      </c>
      <c r="N128">
        <v>1</v>
      </c>
      <c r="O128">
        <v>35</v>
      </c>
      <c r="P128">
        <v>26</v>
      </c>
      <c r="Q128">
        <v>19</v>
      </c>
      <c r="R128">
        <v>13</v>
      </c>
      <c r="S128">
        <v>6</v>
      </c>
      <c r="T128">
        <v>0</v>
      </c>
      <c r="U128">
        <v>0</v>
      </c>
      <c r="V128">
        <v>203</v>
      </c>
    </row>
    <row r="129" spans="1:22" x14ac:dyDescent="0.25">
      <c r="A129">
        <v>2025</v>
      </c>
      <c r="B129">
        <v>2</v>
      </c>
      <c r="C129" t="s">
        <v>37</v>
      </c>
      <c r="D129" t="s">
        <v>22</v>
      </c>
      <c r="E129" t="s">
        <v>61</v>
      </c>
      <c r="F129" t="s">
        <v>35</v>
      </c>
      <c r="G129" t="s">
        <v>28</v>
      </c>
      <c r="H129" t="s">
        <v>25</v>
      </c>
      <c r="I129" t="s">
        <v>26</v>
      </c>
      <c r="J129" t="s">
        <v>26</v>
      </c>
      <c r="K129">
        <v>1</v>
      </c>
      <c r="L129">
        <v>0</v>
      </c>
      <c r="M129">
        <v>1</v>
      </c>
      <c r="N129">
        <v>1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</row>
    <row r="130" spans="1:22" x14ac:dyDescent="0.25">
      <c r="A130">
        <v>2025</v>
      </c>
      <c r="B130">
        <v>2</v>
      </c>
      <c r="C130" t="s">
        <v>37</v>
      </c>
      <c r="D130" t="s">
        <v>22</v>
      </c>
      <c r="E130" t="s">
        <v>61</v>
      </c>
      <c r="F130" t="s">
        <v>35</v>
      </c>
      <c r="G130" t="s">
        <v>24</v>
      </c>
      <c r="H130" t="s">
        <v>25</v>
      </c>
      <c r="I130" t="s">
        <v>26</v>
      </c>
      <c r="J130" t="s">
        <v>26</v>
      </c>
      <c r="K130">
        <v>533</v>
      </c>
      <c r="L130">
        <v>1</v>
      </c>
      <c r="M130">
        <v>26</v>
      </c>
      <c r="N130">
        <v>27</v>
      </c>
      <c r="O130">
        <v>302</v>
      </c>
      <c r="P130">
        <v>253</v>
      </c>
      <c r="Q130">
        <v>241</v>
      </c>
      <c r="R130">
        <v>215</v>
      </c>
      <c r="S130">
        <v>176</v>
      </c>
      <c r="T130">
        <v>109</v>
      </c>
      <c r="U130">
        <v>57</v>
      </c>
      <c r="V130">
        <v>526</v>
      </c>
    </row>
    <row r="131" spans="1:22" x14ac:dyDescent="0.25">
      <c r="A131">
        <v>2025</v>
      </c>
      <c r="B131">
        <v>2</v>
      </c>
      <c r="C131" t="s">
        <v>37</v>
      </c>
      <c r="D131" t="s">
        <v>22</v>
      </c>
      <c r="E131" t="s">
        <v>61</v>
      </c>
      <c r="F131" t="s">
        <v>41</v>
      </c>
      <c r="G131" t="s">
        <v>24</v>
      </c>
      <c r="H131" t="s">
        <v>26</v>
      </c>
      <c r="I131" t="s">
        <v>26</v>
      </c>
      <c r="J131" t="s">
        <v>25</v>
      </c>
      <c r="K131">
        <v>344</v>
      </c>
      <c r="L131">
        <v>2</v>
      </c>
      <c r="M131">
        <v>9</v>
      </c>
      <c r="N131">
        <v>11</v>
      </c>
      <c r="O131">
        <v>214</v>
      </c>
      <c r="P131">
        <v>170</v>
      </c>
      <c r="Q131">
        <v>152</v>
      </c>
      <c r="R131">
        <v>106</v>
      </c>
      <c r="S131">
        <v>81</v>
      </c>
      <c r="T131">
        <v>24</v>
      </c>
      <c r="U131">
        <v>4</v>
      </c>
      <c r="V131">
        <v>337</v>
      </c>
    </row>
    <row r="132" spans="1:22" x14ac:dyDescent="0.25">
      <c r="A132">
        <v>2025</v>
      </c>
      <c r="B132">
        <v>2</v>
      </c>
      <c r="C132" t="s">
        <v>37</v>
      </c>
      <c r="D132" t="s">
        <v>22</v>
      </c>
      <c r="E132" t="s">
        <v>66</v>
      </c>
      <c r="F132" t="s">
        <v>34</v>
      </c>
      <c r="G132" t="s">
        <v>28</v>
      </c>
      <c r="H132" t="s">
        <v>25</v>
      </c>
      <c r="I132" t="s">
        <v>26</v>
      </c>
      <c r="J132" t="s">
        <v>26</v>
      </c>
      <c r="K132">
        <v>2</v>
      </c>
      <c r="L132">
        <v>0</v>
      </c>
      <c r="M132">
        <v>0</v>
      </c>
      <c r="N132">
        <v>0</v>
      </c>
      <c r="O132">
        <v>1</v>
      </c>
      <c r="P132">
        <v>1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2</v>
      </c>
    </row>
    <row r="133" spans="1:22" x14ac:dyDescent="0.25">
      <c r="A133">
        <v>2025</v>
      </c>
      <c r="B133">
        <v>2</v>
      </c>
      <c r="C133" t="s">
        <v>37</v>
      </c>
      <c r="D133" t="s">
        <v>22</v>
      </c>
      <c r="E133" t="s">
        <v>69</v>
      </c>
      <c r="F133" t="s">
        <v>23</v>
      </c>
      <c r="G133" t="s">
        <v>28</v>
      </c>
      <c r="H133" t="s">
        <v>25</v>
      </c>
      <c r="I133" t="s">
        <v>26</v>
      </c>
      <c r="J133" t="s">
        <v>25</v>
      </c>
      <c r="K133">
        <v>5</v>
      </c>
      <c r="L133">
        <v>0</v>
      </c>
      <c r="M133">
        <v>0</v>
      </c>
      <c r="N133">
        <v>0</v>
      </c>
      <c r="O133">
        <v>2</v>
      </c>
      <c r="P133">
        <v>2</v>
      </c>
      <c r="Q133">
        <v>2</v>
      </c>
      <c r="R133">
        <v>0</v>
      </c>
      <c r="S133">
        <v>0</v>
      </c>
      <c r="T133">
        <v>0</v>
      </c>
      <c r="U133">
        <v>0</v>
      </c>
      <c r="V133">
        <v>5</v>
      </c>
    </row>
    <row r="134" spans="1:22" x14ac:dyDescent="0.25">
      <c r="A134">
        <v>2025</v>
      </c>
      <c r="B134">
        <v>2</v>
      </c>
      <c r="C134" t="s">
        <v>37</v>
      </c>
      <c r="D134" t="s">
        <v>22</v>
      </c>
      <c r="E134" t="s">
        <v>69</v>
      </c>
      <c r="F134" t="s">
        <v>23</v>
      </c>
      <c r="G134" t="s">
        <v>24</v>
      </c>
      <c r="H134" t="s">
        <v>25</v>
      </c>
      <c r="I134" t="s">
        <v>26</v>
      </c>
      <c r="J134" t="s">
        <v>25</v>
      </c>
      <c r="K134">
        <v>613</v>
      </c>
      <c r="L134">
        <v>9</v>
      </c>
      <c r="M134">
        <v>17</v>
      </c>
      <c r="N134">
        <v>26</v>
      </c>
      <c r="O134">
        <v>150</v>
      </c>
      <c r="P134">
        <v>89</v>
      </c>
      <c r="Q134">
        <v>82</v>
      </c>
      <c r="R134">
        <v>50</v>
      </c>
      <c r="S134">
        <v>28</v>
      </c>
      <c r="T134">
        <v>5</v>
      </c>
      <c r="U134">
        <v>2</v>
      </c>
      <c r="V134">
        <v>595</v>
      </c>
    </row>
    <row r="135" spans="1:22" x14ac:dyDescent="0.25">
      <c r="A135">
        <v>2025</v>
      </c>
      <c r="B135">
        <v>2</v>
      </c>
      <c r="C135" t="s">
        <v>37</v>
      </c>
      <c r="D135" t="s">
        <v>22</v>
      </c>
      <c r="E135" t="s">
        <v>69</v>
      </c>
      <c r="F135" t="s">
        <v>40</v>
      </c>
      <c r="G135" t="s">
        <v>24</v>
      </c>
      <c r="H135" t="s">
        <v>25</v>
      </c>
      <c r="I135" t="s">
        <v>26</v>
      </c>
      <c r="J135" t="s">
        <v>25</v>
      </c>
      <c r="K135">
        <v>449</v>
      </c>
      <c r="L135">
        <v>10</v>
      </c>
      <c r="M135">
        <v>0</v>
      </c>
      <c r="N135">
        <v>10</v>
      </c>
      <c r="O135">
        <v>22</v>
      </c>
      <c r="P135">
        <v>9</v>
      </c>
      <c r="Q135">
        <v>8</v>
      </c>
      <c r="R135">
        <v>4</v>
      </c>
      <c r="S135">
        <v>0</v>
      </c>
      <c r="T135">
        <v>0</v>
      </c>
      <c r="U135">
        <v>0</v>
      </c>
      <c r="V135">
        <v>439</v>
      </c>
    </row>
    <row r="136" spans="1:22" x14ac:dyDescent="0.25">
      <c r="A136">
        <v>2025</v>
      </c>
      <c r="B136">
        <v>2</v>
      </c>
      <c r="C136" t="s">
        <v>37</v>
      </c>
      <c r="D136" t="s">
        <v>22</v>
      </c>
      <c r="E136" t="s">
        <v>75</v>
      </c>
      <c r="F136" t="s">
        <v>39</v>
      </c>
      <c r="G136" t="s">
        <v>24</v>
      </c>
      <c r="H136" t="s">
        <v>26</v>
      </c>
      <c r="I136" t="s">
        <v>26</v>
      </c>
      <c r="J136" t="s">
        <v>25</v>
      </c>
      <c r="K136">
        <v>24</v>
      </c>
      <c r="L136">
        <v>5</v>
      </c>
      <c r="M136">
        <v>0</v>
      </c>
      <c r="N136">
        <v>5</v>
      </c>
      <c r="O136">
        <v>1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19</v>
      </c>
    </row>
    <row r="137" spans="1:22" x14ac:dyDescent="0.25">
      <c r="A137">
        <v>2025</v>
      </c>
      <c r="B137">
        <v>2</v>
      </c>
      <c r="C137" t="s">
        <v>37</v>
      </c>
      <c r="D137" t="s">
        <v>22</v>
      </c>
      <c r="E137" t="s">
        <v>75</v>
      </c>
      <c r="F137" t="s">
        <v>39</v>
      </c>
      <c r="G137" t="s">
        <v>29</v>
      </c>
      <c r="H137" t="s">
        <v>26</v>
      </c>
      <c r="I137" t="s">
        <v>26</v>
      </c>
      <c r="J137" t="s">
        <v>25</v>
      </c>
      <c r="K137">
        <v>1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</row>
    <row r="138" spans="1:22" x14ac:dyDescent="0.25">
      <c r="A138">
        <v>2025</v>
      </c>
      <c r="B138">
        <v>2</v>
      </c>
      <c r="C138" t="s">
        <v>37</v>
      </c>
      <c r="D138" t="s">
        <v>22</v>
      </c>
      <c r="E138" t="s">
        <v>75</v>
      </c>
      <c r="F138" t="s">
        <v>27</v>
      </c>
      <c r="G138" t="s">
        <v>24</v>
      </c>
      <c r="H138" t="s">
        <v>26</v>
      </c>
      <c r="I138" t="s">
        <v>26</v>
      </c>
      <c r="J138" t="s">
        <v>25</v>
      </c>
      <c r="K138">
        <v>2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2</v>
      </c>
    </row>
    <row r="139" spans="1:22" x14ac:dyDescent="0.25">
      <c r="A139">
        <v>2025</v>
      </c>
      <c r="B139">
        <v>3</v>
      </c>
      <c r="C139" t="s">
        <v>37</v>
      </c>
      <c r="D139" t="s">
        <v>22</v>
      </c>
      <c r="E139" t="s">
        <v>126</v>
      </c>
      <c r="F139" t="s">
        <v>32</v>
      </c>
      <c r="G139" t="s">
        <v>24</v>
      </c>
      <c r="H139" t="s">
        <v>25</v>
      </c>
      <c r="I139" t="s">
        <v>26</v>
      </c>
      <c r="J139" t="s">
        <v>25</v>
      </c>
      <c r="K139">
        <v>310</v>
      </c>
      <c r="L139">
        <v>3</v>
      </c>
      <c r="M139">
        <v>6</v>
      </c>
      <c r="N139">
        <v>9</v>
      </c>
      <c r="O139">
        <v>176</v>
      </c>
      <c r="P139">
        <v>141</v>
      </c>
      <c r="Q139">
        <v>129</v>
      </c>
      <c r="R139">
        <v>96</v>
      </c>
      <c r="S139">
        <v>64</v>
      </c>
      <c r="T139">
        <v>25</v>
      </c>
      <c r="U139">
        <v>13</v>
      </c>
      <c r="V139">
        <v>304</v>
      </c>
    </row>
    <row r="140" spans="1:22" x14ac:dyDescent="0.25">
      <c r="A140">
        <v>2025</v>
      </c>
      <c r="B140">
        <v>3</v>
      </c>
      <c r="C140" t="s">
        <v>37</v>
      </c>
      <c r="D140" t="s">
        <v>22</v>
      </c>
      <c r="E140" t="s">
        <v>128</v>
      </c>
      <c r="F140" t="s">
        <v>32</v>
      </c>
      <c r="G140" t="s">
        <v>24</v>
      </c>
      <c r="H140" t="s">
        <v>25</v>
      </c>
      <c r="I140" t="s">
        <v>26</v>
      </c>
      <c r="J140" t="s">
        <v>25</v>
      </c>
      <c r="K140">
        <v>62</v>
      </c>
      <c r="L140">
        <v>1</v>
      </c>
      <c r="M140">
        <v>4</v>
      </c>
      <c r="N140">
        <v>5</v>
      </c>
      <c r="O140">
        <v>34</v>
      </c>
      <c r="P140">
        <v>26</v>
      </c>
      <c r="Q140">
        <v>23</v>
      </c>
      <c r="R140">
        <v>20</v>
      </c>
      <c r="S140">
        <v>10</v>
      </c>
      <c r="T140">
        <v>9</v>
      </c>
      <c r="U140">
        <v>5</v>
      </c>
      <c r="V140">
        <v>59</v>
      </c>
    </row>
    <row r="141" spans="1:22" x14ac:dyDescent="0.25">
      <c r="A141">
        <v>2025</v>
      </c>
      <c r="B141">
        <v>3</v>
      </c>
      <c r="C141" t="s">
        <v>37</v>
      </c>
      <c r="D141" t="s">
        <v>22</v>
      </c>
      <c r="E141" t="s">
        <v>128</v>
      </c>
      <c r="F141" t="s">
        <v>34</v>
      </c>
      <c r="G141" t="s">
        <v>24</v>
      </c>
      <c r="H141" t="s">
        <v>25</v>
      </c>
      <c r="I141" t="s">
        <v>26</v>
      </c>
      <c r="J141" t="s">
        <v>26</v>
      </c>
      <c r="K141">
        <v>62</v>
      </c>
      <c r="L141">
        <v>0</v>
      </c>
      <c r="M141">
        <v>2</v>
      </c>
      <c r="N141">
        <v>2</v>
      </c>
      <c r="O141">
        <v>24</v>
      </c>
      <c r="P141">
        <v>15</v>
      </c>
      <c r="Q141">
        <v>14</v>
      </c>
      <c r="R141">
        <v>8</v>
      </c>
      <c r="S141">
        <v>7</v>
      </c>
      <c r="T141">
        <v>3</v>
      </c>
      <c r="U141">
        <v>2</v>
      </c>
      <c r="V141">
        <v>62</v>
      </c>
    </row>
    <row r="142" spans="1:22" x14ac:dyDescent="0.25">
      <c r="A142">
        <v>2025</v>
      </c>
      <c r="B142">
        <v>3</v>
      </c>
      <c r="C142" t="s">
        <v>37</v>
      </c>
      <c r="D142" t="s">
        <v>22</v>
      </c>
      <c r="E142" t="s">
        <v>129</v>
      </c>
      <c r="F142" t="s">
        <v>36</v>
      </c>
      <c r="G142" t="s">
        <v>24</v>
      </c>
      <c r="H142" t="s">
        <v>25</v>
      </c>
      <c r="I142" t="s">
        <v>26</v>
      </c>
      <c r="J142" t="s">
        <v>25</v>
      </c>
      <c r="K142">
        <v>62</v>
      </c>
      <c r="L142">
        <v>0</v>
      </c>
      <c r="M142">
        <v>2</v>
      </c>
      <c r="N142">
        <v>2</v>
      </c>
      <c r="O142">
        <v>24</v>
      </c>
      <c r="P142">
        <v>18</v>
      </c>
      <c r="Q142">
        <v>16</v>
      </c>
      <c r="R142">
        <v>12</v>
      </c>
      <c r="S142">
        <v>6</v>
      </c>
      <c r="T142">
        <v>2</v>
      </c>
      <c r="U142">
        <v>0</v>
      </c>
      <c r="V142">
        <v>61</v>
      </c>
    </row>
    <row r="143" spans="1:22" x14ac:dyDescent="0.25">
      <c r="A143">
        <v>2025</v>
      </c>
      <c r="B143">
        <v>3</v>
      </c>
      <c r="C143" t="s">
        <v>37</v>
      </c>
      <c r="D143" t="s">
        <v>22</v>
      </c>
      <c r="E143" t="s">
        <v>131</v>
      </c>
      <c r="F143" t="s">
        <v>34</v>
      </c>
      <c r="G143" t="s">
        <v>24</v>
      </c>
      <c r="H143" t="s">
        <v>25</v>
      </c>
      <c r="I143" t="s">
        <v>26</v>
      </c>
      <c r="J143" t="s">
        <v>26</v>
      </c>
      <c r="K143">
        <v>62</v>
      </c>
      <c r="L143">
        <v>0</v>
      </c>
      <c r="M143">
        <v>0</v>
      </c>
      <c r="N143">
        <v>0</v>
      </c>
      <c r="O143">
        <v>28</v>
      </c>
      <c r="P143">
        <v>24</v>
      </c>
      <c r="Q143">
        <v>22</v>
      </c>
      <c r="R143">
        <v>15</v>
      </c>
      <c r="S143">
        <v>8</v>
      </c>
      <c r="T143">
        <v>5</v>
      </c>
      <c r="U143">
        <v>2</v>
      </c>
      <c r="V143">
        <v>62</v>
      </c>
    </row>
    <row r="144" spans="1:22" x14ac:dyDescent="0.25">
      <c r="A144">
        <v>2025</v>
      </c>
      <c r="B144">
        <v>3</v>
      </c>
      <c r="C144" t="s">
        <v>37</v>
      </c>
      <c r="D144" t="s">
        <v>22</v>
      </c>
      <c r="E144" t="s">
        <v>132</v>
      </c>
      <c r="F144" t="s">
        <v>32</v>
      </c>
      <c r="G144" t="s">
        <v>24</v>
      </c>
      <c r="H144" t="s">
        <v>25</v>
      </c>
      <c r="I144" t="s">
        <v>26</v>
      </c>
      <c r="J144" t="s">
        <v>25</v>
      </c>
      <c r="K144">
        <v>60</v>
      </c>
      <c r="L144">
        <v>0</v>
      </c>
      <c r="M144">
        <v>4</v>
      </c>
      <c r="N144">
        <v>4</v>
      </c>
      <c r="O144">
        <v>50</v>
      </c>
      <c r="P144">
        <v>43</v>
      </c>
      <c r="Q144">
        <v>39</v>
      </c>
      <c r="R144">
        <v>33</v>
      </c>
      <c r="S144">
        <v>31</v>
      </c>
      <c r="T144">
        <v>26</v>
      </c>
      <c r="U144">
        <v>22</v>
      </c>
      <c r="V144">
        <v>59</v>
      </c>
    </row>
    <row r="145" spans="1:22" x14ac:dyDescent="0.25">
      <c r="A145">
        <v>2025</v>
      </c>
      <c r="B145">
        <v>3</v>
      </c>
      <c r="C145" t="s">
        <v>37</v>
      </c>
      <c r="D145" t="s">
        <v>22</v>
      </c>
      <c r="E145" t="s">
        <v>132</v>
      </c>
      <c r="F145" t="s">
        <v>34</v>
      </c>
      <c r="G145" t="s">
        <v>24</v>
      </c>
      <c r="H145" t="s">
        <v>25</v>
      </c>
      <c r="I145" t="s">
        <v>26</v>
      </c>
      <c r="J145" t="s">
        <v>26</v>
      </c>
      <c r="K145">
        <v>60</v>
      </c>
      <c r="L145">
        <v>1</v>
      </c>
      <c r="M145">
        <v>3</v>
      </c>
      <c r="N145">
        <v>4</v>
      </c>
      <c r="O145">
        <v>47</v>
      </c>
      <c r="P145">
        <v>41</v>
      </c>
      <c r="Q145">
        <v>39</v>
      </c>
      <c r="R145">
        <v>34</v>
      </c>
      <c r="S145">
        <v>31</v>
      </c>
      <c r="T145">
        <v>26</v>
      </c>
      <c r="U145">
        <v>20</v>
      </c>
      <c r="V145">
        <v>58</v>
      </c>
    </row>
    <row r="146" spans="1:22" x14ac:dyDescent="0.25">
      <c r="A146">
        <v>2025</v>
      </c>
      <c r="B146">
        <v>3</v>
      </c>
      <c r="C146" t="s">
        <v>37</v>
      </c>
      <c r="D146" t="s">
        <v>22</v>
      </c>
      <c r="E146" t="s">
        <v>37</v>
      </c>
      <c r="F146" t="s">
        <v>32</v>
      </c>
      <c r="G146" t="s">
        <v>28</v>
      </c>
      <c r="H146" t="s">
        <v>25</v>
      </c>
      <c r="I146" t="s">
        <v>26</v>
      </c>
      <c r="J146" t="s">
        <v>25</v>
      </c>
      <c r="K146">
        <v>2</v>
      </c>
      <c r="L146">
        <v>0</v>
      </c>
      <c r="M146">
        <v>0</v>
      </c>
      <c r="N146">
        <v>0</v>
      </c>
      <c r="O146">
        <v>1</v>
      </c>
      <c r="P146">
        <v>1</v>
      </c>
      <c r="Q146">
        <v>1</v>
      </c>
      <c r="R146">
        <v>1</v>
      </c>
      <c r="S146">
        <v>1</v>
      </c>
      <c r="T146">
        <v>1</v>
      </c>
      <c r="U146">
        <v>0</v>
      </c>
      <c r="V146">
        <v>2</v>
      </c>
    </row>
    <row r="147" spans="1:22" x14ac:dyDescent="0.25">
      <c r="A147">
        <v>2025</v>
      </c>
      <c r="B147">
        <v>3</v>
      </c>
      <c r="C147" t="s">
        <v>37</v>
      </c>
      <c r="D147" t="s">
        <v>22</v>
      </c>
      <c r="E147" t="s">
        <v>37</v>
      </c>
      <c r="F147" t="s">
        <v>38</v>
      </c>
      <c r="G147" t="s">
        <v>24</v>
      </c>
      <c r="H147" t="s">
        <v>25</v>
      </c>
      <c r="I147" t="s">
        <v>26</v>
      </c>
      <c r="J147" t="s">
        <v>25</v>
      </c>
      <c r="K147">
        <v>3</v>
      </c>
      <c r="L147">
        <v>0</v>
      </c>
      <c r="M147">
        <v>0</v>
      </c>
      <c r="N147">
        <v>0</v>
      </c>
      <c r="O147">
        <v>1</v>
      </c>
      <c r="P147">
        <v>1</v>
      </c>
      <c r="Q147">
        <v>1</v>
      </c>
      <c r="R147">
        <v>1</v>
      </c>
      <c r="S147">
        <v>0</v>
      </c>
      <c r="T147">
        <v>0</v>
      </c>
      <c r="U147">
        <v>0</v>
      </c>
      <c r="V147">
        <v>3</v>
      </c>
    </row>
    <row r="148" spans="1:22" x14ac:dyDescent="0.25">
      <c r="A148">
        <v>2025</v>
      </c>
      <c r="B148">
        <v>3</v>
      </c>
      <c r="C148" t="s">
        <v>37</v>
      </c>
      <c r="D148" t="s">
        <v>22</v>
      </c>
      <c r="E148" t="s">
        <v>37</v>
      </c>
      <c r="F148" t="s">
        <v>23</v>
      </c>
      <c r="G148" t="s">
        <v>28</v>
      </c>
      <c r="H148" t="s">
        <v>25</v>
      </c>
      <c r="I148" t="s">
        <v>26</v>
      </c>
      <c r="J148" t="s">
        <v>25</v>
      </c>
      <c r="K148">
        <v>4216</v>
      </c>
      <c r="L148">
        <v>146</v>
      </c>
      <c r="M148">
        <v>335</v>
      </c>
      <c r="N148">
        <v>481</v>
      </c>
      <c r="O148">
        <v>2175</v>
      </c>
      <c r="P148">
        <v>1786</v>
      </c>
      <c r="Q148">
        <v>1620</v>
      </c>
      <c r="R148">
        <v>1192</v>
      </c>
      <c r="S148">
        <v>860</v>
      </c>
      <c r="T148">
        <v>347</v>
      </c>
      <c r="U148">
        <v>88</v>
      </c>
      <c r="V148">
        <v>3950</v>
      </c>
    </row>
    <row r="149" spans="1:22" x14ac:dyDescent="0.25">
      <c r="A149">
        <v>2025</v>
      </c>
      <c r="B149">
        <v>3</v>
      </c>
      <c r="C149" t="s">
        <v>37</v>
      </c>
      <c r="D149" t="s">
        <v>22</v>
      </c>
      <c r="E149" t="s">
        <v>37</v>
      </c>
      <c r="F149" t="s">
        <v>23</v>
      </c>
      <c r="G149" t="s">
        <v>24</v>
      </c>
      <c r="H149" t="s">
        <v>25</v>
      </c>
      <c r="I149" t="s">
        <v>26</v>
      </c>
      <c r="J149" t="s">
        <v>25</v>
      </c>
      <c r="K149">
        <v>489</v>
      </c>
      <c r="L149">
        <v>16</v>
      </c>
      <c r="M149">
        <v>42</v>
      </c>
      <c r="N149">
        <v>58</v>
      </c>
      <c r="O149">
        <v>305</v>
      </c>
      <c r="P149">
        <v>270</v>
      </c>
      <c r="Q149">
        <v>253</v>
      </c>
      <c r="R149">
        <v>201</v>
      </c>
      <c r="S149">
        <v>148</v>
      </c>
      <c r="T149">
        <v>50</v>
      </c>
      <c r="U149">
        <v>15</v>
      </c>
      <c r="V149">
        <v>458</v>
      </c>
    </row>
    <row r="150" spans="1:22" x14ac:dyDescent="0.25">
      <c r="A150">
        <v>2025</v>
      </c>
      <c r="B150">
        <v>3</v>
      </c>
      <c r="C150" t="s">
        <v>37</v>
      </c>
      <c r="D150" t="s">
        <v>22</v>
      </c>
      <c r="E150" t="s">
        <v>37</v>
      </c>
      <c r="F150" t="s">
        <v>39</v>
      </c>
      <c r="G150" t="s">
        <v>28</v>
      </c>
      <c r="H150" t="s">
        <v>26</v>
      </c>
      <c r="I150" t="s">
        <v>26</v>
      </c>
      <c r="J150" t="s">
        <v>25</v>
      </c>
      <c r="K150">
        <v>15331</v>
      </c>
      <c r="L150">
        <v>734</v>
      </c>
      <c r="M150">
        <v>1251</v>
      </c>
      <c r="N150">
        <v>1985</v>
      </c>
      <c r="O150">
        <v>8244</v>
      </c>
      <c r="P150">
        <v>7089</v>
      </c>
      <c r="Q150">
        <v>6599</v>
      </c>
      <c r="R150">
        <v>5086</v>
      </c>
      <c r="S150">
        <v>3875</v>
      </c>
      <c r="T150">
        <v>1813</v>
      </c>
      <c r="U150">
        <v>482</v>
      </c>
      <c r="V150">
        <v>14134</v>
      </c>
    </row>
    <row r="151" spans="1:22" x14ac:dyDescent="0.25">
      <c r="A151">
        <v>2025</v>
      </c>
      <c r="B151">
        <v>3</v>
      </c>
      <c r="C151" t="s">
        <v>37</v>
      </c>
      <c r="D151" t="s">
        <v>22</v>
      </c>
      <c r="E151" t="s">
        <v>37</v>
      </c>
      <c r="F151" t="s">
        <v>39</v>
      </c>
      <c r="G151" t="s">
        <v>29</v>
      </c>
      <c r="H151" t="s">
        <v>26</v>
      </c>
      <c r="I151" t="s">
        <v>26</v>
      </c>
      <c r="J151" t="s">
        <v>25</v>
      </c>
      <c r="K151">
        <v>1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</row>
    <row r="152" spans="1:22" x14ac:dyDescent="0.25">
      <c r="A152">
        <v>2025</v>
      </c>
      <c r="B152">
        <v>3</v>
      </c>
      <c r="C152" t="s">
        <v>37</v>
      </c>
      <c r="D152" t="s">
        <v>22</v>
      </c>
      <c r="E152" t="s">
        <v>135</v>
      </c>
      <c r="F152" t="s">
        <v>32</v>
      </c>
      <c r="G152" t="s">
        <v>24</v>
      </c>
      <c r="H152" t="s">
        <v>25</v>
      </c>
      <c r="I152" t="s">
        <v>26</v>
      </c>
      <c r="J152" t="s">
        <v>25</v>
      </c>
      <c r="K152">
        <v>252</v>
      </c>
      <c r="L152">
        <v>0</v>
      </c>
      <c r="M152">
        <v>7</v>
      </c>
      <c r="N152">
        <v>7</v>
      </c>
      <c r="O152">
        <v>127</v>
      </c>
      <c r="P152">
        <v>107</v>
      </c>
      <c r="Q152">
        <v>96</v>
      </c>
      <c r="R152">
        <v>71</v>
      </c>
      <c r="S152">
        <v>49</v>
      </c>
      <c r="T152">
        <v>23</v>
      </c>
      <c r="U152">
        <v>7</v>
      </c>
      <c r="V152">
        <v>249</v>
      </c>
    </row>
    <row r="153" spans="1:22" x14ac:dyDescent="0.25">
      <c r="A153">
        <v>2025</v>
      </c>
      <c r="B153">
        <v>3</v>
      </c>
      <c r="C153" t="s">
        <v>37</v>
      </c>
      <c r="D153" t="s">
        <v>22</v>
      </c>
      <c r="E153" t="s">
        <v>135</v>
      </c>
      <c r="F153" t="s">
        <v>34</v>
      </c>
      <c r="G153" t="s">
        <v>24</v>
      </c>
      <c r="H153" t="s">
        <v>25</v>
      </c>
      <c r="I153" t="s">
        <v>26</v>
      </c>
      <c r="J153" t="s">
        <v>26</v>
      </c>
      <c r="K153">
        <v>2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2</v>
      </c>
    </row>
    <row r="154" spans="1:22" x14ac:dyDescent="0.25">
      <c r="A154">
        <v>2025</v>
      </c>
      <c r="B154">
        <v>3</v>
      </c>
      <c r="C154" t="s">
        <v>37</v>
      </c>
      <c r="D154" t="s">
        <v>22</v>
      </c>
      <c r="E154" t="s">
        <v>136</v>
      </c>
      <c r="F154" t="s">
        <v>34</v>
      </c>
      <c r="G154" t="s">
        <v>24</v>
      </c>
      <c r="H154" t="s">
        <v>25</v>
      </c>
      <c r="I154" t="s">
        <v>26</v>
      </c>
      <c r="J154" t="s">
        <v>26</v>
      </c>
      <c r="K154">
        <v>55</v>
      </c>
      <c r="L154">
        <v>0</v>
      </c>
      <c r="M154">
        <v>0</v>
      </c>
      <c r="N154">
        <v>0</v>
      </c>
      <c r="O154">
        <v>22</v>
      </c>
      <c r="P154">
        <v>20</v>
      </c>
      <c r="Q154">
        <v>20</v>
      </c>
      <c r="R154">
        <v>17</v>
      </c>
      <c r="S154">
        <v>15</v>
      </c>
      <c r="T154">
        <v>14</v>
      </c>
      <c r="U154">
        <v>10</v>
      </c>
      <c r="V154">
        <v>55</v>
      </c>
    </row>
    <row r="155" spans="1:22" x14ac:dyDescent="0.25">
      <c r="A155">
        <v>2025</v>
      </c>
      <c r="B155">
        <v>3</v>
      </c>
      <c r="C155" t="s">
        <v>37</v>
      </c>
      <c r="D155" t="s">
        <v>22</v>
      </c>
      <c r="E155" t="s">
        <v>138</v>
      </c>
      <c r="F155" t="s">
        <v>34</v>
      </c>
      <c r="G155" t="s">
        <v>24</v>
      </c>
      <c r="H155" t="s">
        <v>25</v>
      </c>
      <c r="I155" t="s">
        <v>26</v>
      </c>
      <c r="J155" t="s">
        <v>26</v>
      </c>
      <c r="K155">
        <v>31</v>
      </c>
      <c r="L155">
        <v>0</v>
      </c>
      <c r="M155">
        <v>0</v>
      </c>
      <c r="N155">
        <v>0</v>
      </c>
      <c r="O155">
        <v>4</v>
      </c>
      <c r="P155">
        <v>3</v>
      </c>
      <c r="Q155">
        <v>3</v>
      </c>
      <c r="R155">
        <v>1</v>
      </c>
      <c r="S155">
        <v>1</v>
      </c>
      <c r="T155">
        <v>0</v>
      </c>
      <c r="U155">
        <v>0</v>
      </c>
      <c r="V155">
        <v>31</v>
      </c>
    </row>
    <row r="156" spans="1:22" x14ac:dyDescent="0.25">
      <c r="A156">
        <v>2025</v>
      </c>
      <c r="B156">
        <v>3</v>
      </c>
      <c r="C156" t="s">
        <v>37</v>
      </c>
      <c r="D156" t="s">
        <v>22</v>
      </c>
      <c r="E156" t="s">
        <v>139</v>
      </c>
      <c r="F156" t="s">
        <v>34</v>
      </c>
      <c r="G156" t="s">
        <v>24</v>
      </c>
      <c r="H156" t="s">
        <v>25</v>
      </c>
      <c r="I156" t="s">
        <v>26</v>
      </c>
      <c r="J156" t="s">
        <v>26</v>
      </c>
      <c r="K156">
        <v>31</v>
      </c>
      <c r="L156">
        <v>0</v>
      </c>
      <c r="M156">
        <v>0</v>
      </c>
      <c r="N156">
        <v>0</v>
      </c>
      <c r="O156">
        <v>10</v>
      </c>
      <c r="P156">
        <v>8</v>
      </c>
      <c r="Q156">
        <v>8</v>
      </c>
      <c r="R156">
        <v>7</v>
      </c>
      <c r="S156">
        <v>5</v>
      </c>
      <c r="T156">
        <v>2</v>
      </c>
      <c r="U156">
        <v>0</v>
      </c>
      <c r="V156">
        <v>31</v>
      </c>
    </row>
    <row r="157" spans="1:22" x14ac:dyDescent="0.25">
      <c r="A157">
        <v>2025</v>
      </c>
      <c r="B157">
        <v>3</v>
      </c>
      <c r="C157" t="s">
        <v>37</v>
      </c>
      <c r="D157" t="s">
        <v>22</v>
      </c>
      <c r="E157" t="s">
        <v>141</v>
      </c>
      <c r="F157" t="s">
        <v>34</v>
      </c>
      <c r="G157" t="s">
        <v>24</v>
      </c>
      <c r="H157" t="s">
        <v>25</v>
      </c>
      <c r="I157" t="s">
        <v>26</v>
      </c>
      <c r="J157" t="s">
        <v>26</v>
      </c>
      <c r="K157">
        <v>31</v>
      </c>
      <c r="L157">
        <v>0</v>
      </c>
      <c r="M157">
        <v>0</v>
      </c>
      <c r="N157">
        <v>0</v>
      </c>
      <c r="O157">
        <v>4</v>
      </c>
      <c r="P157">
        <v>3</v>
      </c>
      <c r="Q157">
        <v>3</v>
      </c>
      <c r="R157">
        <v>1</v>
      </c>
      <c r="S157">
        <v>1</v>
      </c>
      <c r="T157">
        <v>0</v>
      </c>
      <c r="U157">
        <v>0</v>
      </c>
      <c r="V157">
        <v>31</v>
      </c>
    </row>
    <row r="158" spans="1:22" x14ac:dyDescent="0.25">
      <c r="A158">
        <v>2025</v>
      </c>
      <c r="B158">
        <v>3</v>
      </c>
      <c r="C158" t="s">
        <v>37</v>
      </c>
      <c r="D158" t="s">
        <v>22</v>
      </c>
      <c r="E158" t="s">
        <v>142</v>
      </c>
      <c r="F158" t="s">
        <v>34</v>
      </c>
      <c r="G158" t="s">
        <v>24</v>
      </c>
      <c r="H158" t="s">
        <v>25</v>
      </c>
      <c r="I158" t="s">
        <v>26</v>
      </c>
      <c r="J158" t="s">
        <v>26</v>
      </c>
      <c r="K158">
        <v>31</v>
      </c>
      <c r="L158">
        <v>1</v>
      </c>
      <c r="M158">
        <v>0</v>
      </c>
      <c r="N158">
        <v>1</v>
      </c>
      <c r="O158">
        <v>10</v>
      </c>
      <c r="P158">
        <v>8</v>
      </c>
      <c r="Q158">
        <v>8</v>
      </c>
      <c r="R158">
        <v>7</v>
      </c>
      <c r="S158">
        <v>5</v>
      </c>
      <c r="T158">
        <v>2</v>
      </c>
      <c r="U158">
        <v>0</v>
      </c>
      <c r="V158">
        <v>30</v>
      </c>
    </row>
    <row r="159" spans="1:22" x14ac:dyDescent="0.25">
      <c r="A159">
        <v>2025</v>
      </c>
      <c r="B159">
        <v>3</v>
      </c>
      <c r="C159" t="s">
        <v>37</v>
      </c>
      <c r="D159" t="s">
        <v>22</v>
      </c>
      <c r="E159" t="s">
        <v>143</v>
      </c>
      <c r="F159" t="s">
        <v>39</v>
      </c>
      <c r="G159" t="s">
        <v>24</v>
      </c>
      <c r="H159" t="s">
        <v>26</v>
      </c>
      <c r="I159" t="s">
        <v>26</v>
      </c>
      <c r="J159" t="s">
        <v>25</v>
      </c>
      <c r="K159">
        <v>466</v>
      </c>
      <c r="L159">
        <v>1</v>
      </c>
      <c r="M159">
        <v>33</v>
      </c>
      <c r="N159">
        <v>34</v>
      </c>
      <c r="O159">
        <v>251</v>
      </c>
      <c r="P159">
        <v>208</v>
      </c>
      <c r="Q159">
        <v>193</v>
      </c>
      <c r="R159">
        <v>135</v>
      </c>
      <c r="S159">
        <v>108</v>
      </c>
      <c r="T159">
        <v>35</v>
      </c>
      <c r="U159">
        <v>8</v>
      </c>
      <c r="V159">
        <v>451</v>
      </c>
    </row>
    <row r="160" spans="1:22" x14ac:dyDescent="0.25">
      <c r="A160">
        <v>2025</v>
      </c>
      <c r="B160">
        <v>3</v>
      </c>
      <c r="C160" t="s">
        <v>37</v>
      </c>
      <c r="D160" t="s">
        <v>22</v>
      </c>
      <c r="E160" t="s">
        <v>144</v>
      </c>
      <c r="F160" t="s">
        <v>32</v>
      </c>
      <c r="G160" t="s">
        <v>24</v>
      </c>
      <c r="H160" t="s">
        <v>25</v>
      </c>
      <c r="I160" t="s">
        <v>26</v>
      </c>
      <c r="J160" t="s">
        <v>25</v>
      </c>
      <c r="K160">
        <v>186</v>
      </c>
      <c r="L160">
        <v>1</v>
      </c>
      <c r="M160">
        <v>25</v>
      </c>
      <c r="N160">
        <v>26</v>
      </c>
      <c r="O160">
        <v>130</v>
      </c>
      <c r="P160">
        <v>119</v>
      </c>
      <c r="Q160">
        <v>118</v>
      </c>
      <c r="R160">
        <v>93</v>
      </c>
      <c r="S160">
        <v>81</v>
      </c>
      <c r="T160">
        <v>43</v>
      </c>
      <c r="U160">
        <v>5</v>
      </c>
      <c r="V160">
        <v>172</v>
      </c>
    </row>
    <row r="161" spans="1:22" x14ac:dyDescent="0.25">
      <c r="A161">
        <v>2025</v>
      </c>
      <c r="B161">
        <v>3</v>
      </c>
      <c r="C161" t="s">
        <v>37</v>
      </c>
      <c r="D161" t="s">
        <v>22</v>
      </c>
      <c r="E161" t="s">
        <v>144</v>
      </c>
      <c r="F161" t="s">
        <v>23</v>
      </c>
      <c r="G161" t="s">
        <v>24</v>
      </c>
      <c r="H161" t="s">
        <v>25</v>
      </c>
      <c r="I161" t="s">
        <v>26</v>
      </c>
      <c r="J161" t="s">
        <v>25</v>
      </c>
      <c r="K161">
        <v>254</v>
      </c>
      <c r="L161">
        <v>3</v>
      </c>
      <c r="M161">
        <v>17</v>
      </c>
      <c r="N161">
        <v>20</v>
      </c>
      <c r="O161">
        <v>114</v>
      </c>
      <c r="P161">
        <v>99</v>
      </c>
      <c r="Q161">
        <v>95</v>
      </c>
      <c r="R161">
        <v>74</v>
      </c>
      <c r="S161">
        <v>59</v>
      </c>
      <c r="T161">
        <v>31</v>
      </c>
      <c r="U161">
        <v>9</v>
      </c>
      <c r="V161">
        <v>244</v>
      </c>
    </row>
    <row r="162" spans="1:22" x14ac:dyDescent="0.25">
      <c r="A162">
        <v>2025</v>
      </c>
      <c r="B162">
        <v>3</v>
      </c>
      <c r="C162" t="s">
        <v>37</v>
      </c>
      <c r="D162" t="s">
        <v>22</v>
      </c>
      <c r="E162" t="s">
        <v>144</v>
      </c>
      <c r="F162" t="s">
        <v>39</v>
      </c>
      <c r="G162" t="s">
        <v>24</v>
      </c>
      <c r="H162" t="s">
        <v>26</v>
      </c>
      <c r="I162" t="s">
        <v>26</v>
      </c>
      <c r="J162" t="s">
        <v>25</v>
      </c>
      <c r="K162">
        <v>809</v>
      </c>
      <c r="L162">
        <v>7</v>
      </c>
      <c r="M162">
        <v>97</v>
      </c>
      <c r="N162">
        <v>104</v>
      </c>
      <c r="O162">
        <v>523</v>
      </c>
      <c r="P162">
        <v>450</v>
      </c>
      <c r="Q162">
        <v>427</v>
      </c>
      <c r="R162">
        <v>342</v>
      </c>
      <c r="S162">
        <v>282</v>
      </c>
      <c r="T162">
        <v>167</v>
      </c>
      <c r="U162">
        <v>60</v>
      </c>
      <c r="V162">
        <v>775</v>
      </c>
    </row>
    <row r="163" spans="1:22" x14ac:dyDescent="0.25">
      <c r="A163">
        <v>2025</v>
      </c>
      <c r="B163">
        <v>3</v>
      </c>
      <c r="C163" t="s">
        <v>37</v>
      </c>
      <c r="D163" t="s">
        <v>22</v>
      </c>
      <c r="E163" t="s">
        <v>144</v>
      </c>
      <c r="F163" t="s">
        <v>36</v>
      </c>
      <c r="G163" t="s">
        <v>24</v>
      </c>
      <c r="H163" t="s">
        <v>25</v>
      </c>
      <c r="I163" t="s">
        <v>26</v>
      </c>
      <c r="J163" t="s">
        <v>25</v>
      </c>
      <c r="K163">
        <v>323</v>
      </c>
      <c r="L163">
        <v>9</v>
      </c>
      <c r="M163">
        <v>5</v>
      </c>
      <c r="N163">
        <v>14</v>
      </c>
      <c r="O163">
        <v>122</v>
      </c>
      <c r="P163">
        <v>96</v>
      </c>
      <c r="Q163">
        <v>89</v>
      </c>
      <c r="R163">
        <v>57</v>
      </c>
      <c r="S163">
        <v>37</v>
      </c>
      <c r="T163">
        <v>19</v>
      </c>
      <c r="U163">
        <v>7</v>
      </c>
      <c r="V163">
        <v>312</v>
      </c>
    </row>
    <row r="164" spans="1:22" x14ac:dyDescent="0.25">
      <c r="A164">
        <v>2025</v>
      </c>
      <c r="B164">
        <v>3</v>
      </c>
      <c r="C164" t="s">
        <v>37</v>
      </c>
      <c r="D164" t="s">
        <v>22</v>
      </c>
      <c r="E164" t="s">
        <v>145</v>
      </c>
      <c r="F164" t="s">
        <v>32</v>
      </c>
      <c r="G164" t="s">
        <v>24</v>
      </c>
      <c r="H164" t="s">
        <v>25</v>
      </c>
      <c r="I164" t="s">
        <v>26</v>
      </c>
      <c r="J164" t="s">
        <v>25</v>
      </c>
      <c r="K164">
        <v>243</v>
      </c>
      <c r="L164">
        <v>1</v>
      </c>
      <c r="M164">
        <v>0</v>
      </c>
      <c r="N164">
        <v>1</v>
      </c>
      <c r="O164">
        <v>75</v>
      </c>
      <c r="P164">
        <v>56</v>
      </c>
      <c r="Q164">
        <v>50</v>
      </c>
      <c r="R164">
        <v>41</v>
      </c>
      <c r="S164">
        <v>32</v>
      </c>
      <c r="T164">
        <v>16</v>
      </c>
      <c r="U164">
        <v>3</v>
      </c>
      <c r="V164">
        <v>242</v>
      </c>
    </row>
    <row r="165" spans="1:22" x14ac:dyDescent="0.25">
      <c r="A165">
        <v>2025</v>
      </c>
      <c r="B165">
        <v>3</v>
      </c>
      <c r="C165" t="s">
        <v>37</v>
      </c>
      <c r="D165" t="s">
        <v>22</v>
      </c>
      <c r="E165" t="s">
        <v>145</v>
      </c>
      <c r="F165" t="s">
        <v>38</v>
      </c>
      <c r="G165" t="s">
        <v>24</v>
      </c>
      <c r="H165" t="s">
        <v>25</v>
      </c>
      <c r="I165" t="s">
        <v>26</v>
      </c>
      <c r="J165" t="s">
        <v>25</v>
      </c>
      <c r="K165">
        <v>23</v>
      </c>
      <c r="L165">
        <v>0</v>
      </c>
      <c r="M165">
        <v>0</v>
      </c>
      <c r="N165">
        <v>0</v>
      </c>
      <c r="O165">
        <v>17</v>
      </c>
      <c r="P165">
        <v>12</v>
      </c>
      <c r="Q165">
        <v>8</v>
      </c>
      <c r="R165">
        <v>4</v>
      </c>
      <c r="S165">
        <v>1</v>
      </c>
      <c r="T165">
        <v>0</v>
      </c>
      <c r="U165">
        <v>0</v>
      </c>
      <c r="V165">
        <v>23</v>
      </c>
    </row>
    <row r="166" spans="1:22" x14ac:dyDescent="0.25">
      <c r="A166">
        <v>2025</v>
      </c>
      <c r="B166">
        <v>3</v>
      </c>
      <c r="C166" t="s">
        <v>37</v>
      </c>
      <c r="D166" t="s">
        <v>22</v>
      </c>
      <c r="E166" t="s">
        <v>147</v>
      </c>
      <c r="F166" t="s">
        <v>32</v>
      </c>
      <c r="G166" t="s">
        <v>24</v>
      </c>
      <c r="H166" t="s">
        <v>25</v>
      </c>
      <c r="I166" t="s">
        <v>26</v>
      </c>
      <c r="J166" t="s">
        <v>25</v>
      </c>
      <c r="K166">
        <v>55</v>
      </c>
      <c r="L166">
        <v>1</v>
      </c>
      <c r="M166">
        <v>0</v>
      </c>
      <c r="N166">
        <v>1</v>
      </c>
      <c r="O166">
        <v>33</v>
      </c>
      <c r="P166">
        <v>25</v>
      </c>
      <c r="Q166">
        <v>21</v>
      </c>
      <c r="R166">
        <v>13</v>
      </c>
      <c r="S166">
        <v>8</v>
      </c>
      <c r="T166">
        <v>5</v>
      </c>
      <c r="U166">
        <v>1</v>
      </c>
      <c r="V166">
        <v>54</v>
      </c>
    </row>
    <row r="167" spans="1:22" x14ac:dyDescent="0.25">
      <c r="A167">
        <v>2025</v>
      </c>
      <c r="B167">
        <v>3</v>
      </c>
      <c r="C167" t="s">
        <v>37</v>
      </c>
      <c r="D167" t="s">
        <v>22</v>
      </c>
      <c r="E167" t="s">
        <v>147</v>
      </c>
      <c r="F167" t="s">
        <v>36</v>
      </c>
      <c r="G167" t="s">
        <v>24</v>
      </c>
      <c r="H167" t="s">
        <v>25</v>
      </c>
      <c r="I167" t="s">
        <v>26</v>
      </c>
      <c r="J167" t="s">
        <v>25</v>
      </c>
      <c r="K167">
        <v>230</v>
      </c>
      <c r="L167">
        <v>6</v>
      </c>
      <c r="M167">
        <v>3</v>
      </c>
      <c r="N167">
        <v>9</v>
      </c>
      <c r="O167">
        <v>135</v>
      </c>
      <c r="P167">
        <v>109</v>
      </c>
      <c r="Q167">
        <v>99</v>
      </c>
      <c r="R167">
        <v>81</v>
      </c>
      <c r="S167">
        <v>53</v>
      </c>
      <c r="T167">
        <v>17</v>
      </c>
      <c r="U167">
        <v>4</v>
      </c>
      <c r="V167">
        <v>222</v>
      </c>
    </row>
    <row r="168" spans="1:22" x14ac:dyDescent="0.25">
      <c r="A168">
        <v>2025</v>
      </c>
      <c r="B168">
        <v>3</v>
      </c>
      <c r="C168" t="s">
        <v>37</v>
      </c>
      <c r="D168" t="s">
        <v>22</v>
      </c>
      <c r="E168" t="s">
        <v>148</v>
      </c>
      <c r="F168" t="s">
        <v>32</v>
      </c>
      <c r="G168" t="s">
        <v>24</v>
      </c>
      <c r="H168" t="s">
        <v>25</v>
      </c>
      <c r="I168" t="s">
        <v>26</v>
      </c>
      <c r="J168" t="s">
        <v>25</v>
      </c>
      <c r="K168">
        <v>582</v>
      </c>
      <c r="L168">
        <v>2</v>
      </c>
      <c r="M168">
        <v>7</v>
      </c>
      <c r="N168">
        <v>9</v>
      </c>
      <c r="O168">
        <v>260</v>
      </c>
      <c r="P168">
        <v>202</v>
      </c>
      <c r="Q168">
        <v>189</v>
      </c>
      <c r="R168">
        <v>152</v>
      </c>
      <c r="S168">
        <v>104</v>
      </c>
      <c r="T168">
        <v>46</v>
      </c>
      <c r="U168">
        <v>14</v>
      </c>
      <c r="V168">
        <v>576</v>
      </c>
    </row>
    <row r="169" spans="1:22" x14ac:dyDescent="0.25">
      <c r="A169">
        <v>2025</v>
      </c>
      <c r="B169">
        <v>3</v>
      </c>
      <c r="C169" t="s">
        <v>37</v>
      </c>
      <c r="D169" t="s">
        <v>22</v>
      </c>
      <c r="E169" t="s">
        <v>149</v>
      </c>
      <c r="F169" t="s">
        <v>32</v>
      </c>
      <c r="G169" t="s">
        <v>24</v>
      </c>
      <c r="H169" t="s">
        <v>25</v>
      </c>
      <c r="I169" t="s">
        <v>26</v>
      </c>
      <c r="J169" t="s">
        <v>25</v>
      </c>
      <c r="K169">
        <v>122</v>
      </c>
      <c r="L169">
        <v>6</v>
      </c>
      <c r="M169">
        <v>19</v>
      </c>
      <c r="N169">
        <v>25</v>
      </c>
      <c r="O169">
        <v>99</v>
      </c>
      <c r="P169">
        <v>96</v>
      </c>
      <c r="Q169">
        <v>93</v>
      </c>
      <c r="R169">
        <v>86</v>
      </c>
      <c r="S169">
        <v>79</v>
      </c>
      <c r="T169">
        <v>48</v>
      </c>
      <c r="U169">
        <v>13</v>
      </c>
      <c r="V169">
        <v>111</v>
      </c>
    </row>
    <row r="170" spans="1:22" x14ac:dyDescent="0.25">
      <c r="A170">
        <v>2025</v>
      </c>
      <c r="B170">
        <v>3</v>
      </c>
      <c r="C170" t="s">
        <v>37</v>
      </c>
      <c r="D170" t="s">
        <v>22</v>
      </c>
      <c r="E170" t="s">
        <v>149</v>
      </c>
      <c r="F170" t="s">
        <v>38</v>
      </c>
      <c r="G170" t="s">
        <v>24</v>
      </c>
      <c r="H170" t="s">
        <v>25</v>
      </c>
      <c r="I170" t="s">
        <v>26</v>
      </c>
      <c r="J170" t="s">
        <v>25</v>
      </c>
      <c r="K170">
        <v>2</v>
      </c>
      <c r="L170">
        <v>1</v>
      </c>
      <c r="M170">
        <v>0</v>
      </c>
      <c r="N170">
        <v>1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1</v>
      </c>
    </row>
    <row r="171" spans="1:22" x14ac:dyDescent="0.25">
      <c r="A171">
        <v>2025</v>
      </c>
      <c r="B171">
        <v>3</v>
      </c>
      <c r="C171" t="s">
        <v>37</v>
      </c>
      <c r="D171" t="s">
        <v>22</v>
      </c>
      <c r="E171" t="s">
        <v>149</v>
      </c>
      <c r="F171" t="s">
        <v>23</v>
      </c>
      <c r="G171" t="s">
        <v>24</v>
      </c>
      <c r="H171" t="s">
        <v>25</v>
      </c>
      <c r="I171" t="s">
        <v>26</v>
      </c>
      <c r="J171" t="s">
        <v>25</v>
      </c>
      <c r="K171">
        <v>339</v>
      </c>
      <c r="L171">
        <v>10</v>
      </c>
      <c r="M171">
        <v>21</v>
      </c>
      <c r="N171">
        <v>31</v>
      </c>
      <c r="O171">
        <v>139</v>
      </c>
      <c r="P171">
        <v>116</v>
      </c>
      <c r="Q171">
        <v>111</v>
      </c>
      <c r="R171">
        <v>97</v>
      </c>
      <c r="S171">
        <v>83</v>
      </c>
      <c r="T171">
        <v>60</v>
      </c>
      <c r="U171">
        <v>37</v>
      </c>
      <c r="V171">
        <v>327</v>
      </c>
    </row>
    <row r="172" spans="1:22" x14ac:dyDescent="0.25">
      <c r="A172">
        <v>2025</v>
      </c>
      <c r="B172">
        <v>3</v>
      </c>
      <c r="C172" t="s">
        <v>37</v>
      </c>
      <c r="D172" t="s">
        <v>22</v>
      </c>
      <c r="E172" t="s">
        <v>149</v>
      </c>
      <c r="F172" t="s">
        <v>39</v>
      </c>
      <c r="G172" t="s">
        <v>24</v>
      </c>
      <c r="H172" t="s">
        <v>26</v>
      </c>
      <c r="I172" t="s">
        <v>26</v>
      </c>
      <c r="J172" t="s">
        <v>25</v>
      </c>
      <c r="K172">
        <v>1162</v>
      </c>
      <c r="L172">
        <v>29</v>
      </c>
      <c r="M172">
        <v>79</v>
      </c>
      <c r="N172">
        <v>108</v>
      </c>
      <c r="O172">
        <v>647</v>
      </c>
      <c r="P172">
        <v>563</v>
      </c>
      <c r="Q172">
        <v>527</v>
      </c>
      <c r="R172">
        <v>429</v>
      </c>
      <c r="S172">
        <v>327</v>
      </c>
      <c r="T172">
        <v>168</v>
      </c>
      <c r="U172">
        <v>54</v>
      </c>
      <c r="V172">
        <v>1100</v>
      </c>
    </row>
    <row r="173" spans="1:22" x14ac:dyDescent="0.25">
      <c r="A173">
        <v>2025</v>
      </c>
      <c r="B173">
        <v>3</v>
      </c>
      <c r="C173" t="s">
        <v>37</v>
      </c>
      <c r="D173" t="s">
        <v>22</v>
      </c>
      <c r="E173" t="s">
        <v>150</v>
      </c>
      <c r="F173" t="s">
        <v>32</v>
      </c>
      <c r="G173" t="s">
        <v>24</v>
      </c>
      <c r="H173" t="s">
        <v>25</v>
      </c>
      <c r="I173" t="s">
        <v>26</v>
      </c>
      <c r="J173" t="s">
        <v>25</v>
      </c>
      <c r="K173">
        <v>4</v>
      </c>
      <c r="L173">
        <v>0</v>
      </c>
      <c r="M173">
        <v>0</v>
      </c>
      <c r="N173">
        <v>0</v>
      </c>
      <c r="O173">
        <v>3</v>
      </c>
      <c r="P173">
        <v>3</v>
      </c>
      <c r="Q173">
        <v>3</v>
      </c>
      <c r="R173">
        <v>3</v>
      </c>
      <c r="S173">
        <v>2</v>
      </c>
      <c r="T173">
        <v>0</v>
      </c>
      <c r="U173">
        <v>0</v>
      </c>
      <c r="V173">
        <v>4</v>
      </c>
    </row>
    <row r="174" spans="1:22" x14ac:dyDescent="0.25">
      <c r="A174">
        <v>2025</v>
      </c>
      <c r="B174">
        <v>3</v>
      </c>
      <c r="C174" t="s">
        <v>37</v>
      </c>
      <c r="D174" t="s">
        <v>22</v>
      </c>
      <c r="E174" t="s">
        <v>150</v>
      </c>
      <c r="F174" t="s">
        <v>38</v>
      </c>
      <c r="G174" t="s">
        <v>24</v>
      </c>
      <c r="H174" t="s">
        <v>25</v>
      </c>
      <c r="I174" t="s">
        <v>26</v>
      </c>
      <c r="J174" t="s">
        <v>25</v>
      </c>
      <c r="K174">
        <v>27</v>
      </c>
      <c r="L174">
        <v>4</v>
      </c>
      <c r="M174">
        <v>0</v>
      </c>
      <c r="N174">
        <v>4</v>
      </c>
      <c r="O174">
        <v>17</v>
      </c>
      <c r="P174">
        <v>11</v>
      </c>
      <c r="Q174">
        <v>9</v>
      </c>
      <c r="R174">
        <v>4</v>
      </c>
      <c r="S174">
        <v>3</v>
      </c>
      <c r="T174">
        <v>0</v>
      </c>
      <c r="U174">
        <v>0</v>
      </c>
      <c r="V174">
        <v>23</v>
      </c>
    </row>
    <row r="175" spans="1:22" x14ac:dyDescent="0.25">
      <c r="A175">
        <v>2025</v>
      </c>
      <c r="B175">
        <v>3</v>
      </c>
      <c r="C175" t="s">
        <v>37</v>
      </c>
      <c r="D175" t="s">
        <v>22</v>
      </c>
      <c r="E175" t="s">
        <v>151</v>
      </c>
      <c r="F175" t="s">
        <v>39</v>
      </c>
      <c r="G175" t="s">
        <v>24</v>
      </c>
      <c r="H175" t="s">
        <v>26</v>
      </c>
      <c r="I175" t="s">
        <v>26</v>
      </c>
      <c r="J175" t="s">
        <v>25</v>
      </c>
      <c r="K175">
        <v>446</v>
      </c>
      <c r="L175">
        <v>6</v>
      </c>
      <c r="M175">
        <v>26</v>
      </c>
      <c r="N175">
        <v>32</v>
      </c>
      <c r="O175">
        <v>261</v>
      </c>
      <c r="P175">
        <v>206</v>
      </c>
      <c r="Q175">
        <v>187</v>
      </c>
      <c r="R175">
        <v>127</v>
      </c>
      <c r="S175">
        <v>88</v>
      </c>
      <c r="T175">
        <v>26</v>
      </c>
      <c r="U175">
        <v>5</v>
      </c>
      <c r="V175">
        <v>425</v>
      </c>
    </row>
    <row r="176" spans="1:22" x14ac:dyDescent="0.25">
      <c r="A176">
        <v>2025</v>
      </c>
      <c r="B176">
        <v>3</v>
      </c>
      <c r="C176" t="s">
        <v>37</v>
      </c>
      <c r="D176" t="s">
        <v>22</v>
      </c>
      <c r="E176" t="s">
        <v>123</v>
      </c>
      <c r="F176" t="s">
        <v>39</v>
      </c>
      <c r="G176" t="s">
        <v>24</v>
      </c>
      <c r="H176" t="s">
        <v>26</v>
      </c>
      <c r="I176" t="s">
        <v>26</v>
      </c>
      <c r="J176" t="s">
        <v>25</v>
      </c>
      <c r="K176">
        <v>587</v>
      </c>
      <c r="L176">
        <v>3</v>
      </c>
      <c r="M176">
        <v>17</v>
      </c>
      <c r="N176">
        <v>20</v>
      </c>
      <c r="O176">
        <v>342</v>
      </c>
      <c r="P176">
        <v>214</v>
      </c>
      <c r="Q176">
        <v>204</v>
      </c>
      <c r="R176">
        <v>115</v>
      </c>
      <c r="S176">
        <v>84</v>
      </c>
      <c r="T176">
        <v>34</v>
      </c>
      <c r="U176">
        <v>11</v>
      </c>
      <c r="V176">
        <v>577</v>
      </c>
    </row>
    <row r="177" spans="1:22" x14ac:dyDescent="0.25">
      <c r="A177">
        <v>2025</v>
      </c>
      <c r="B177">
        <v>3</v>
      </c>
      <c r="C177" t="s">
        <v>37</v>
      </c>
      <c r="D177" t="s">
        <v>22</v>
      </c>
      <c r="E177" t="s">
        <v>123</v>
      </c>
      <c r="F177" t="s">
        <v>42</v>
      </c>
      <c r="G177" t="s">
        <v>24</v>
      </c>
      <c r="H177" t="s">
        <v>26</v>
      </c>
      <c r="I177" t="s">
        <v>26</v>
      </c>
      <c r="J177" t="s">
        <v>25</v>
      </c>
      <c r="K177">
        <v>210</v>
      </c>
      <c r="L177">
        <v>2</v>
      </c>
      <c r="M177">
        <v>9</v>
      </c>
      <c r="N177">
        <v>11</v>
      </c>
      <c r="O177">
        <v>99</v>
      </c>
      <c r="P177">
        <v>70</v>
      </c>
      <c r="Q177">
        <v>65</v>
      </c>
      <c r="R177">
        <v>29</v>
      </c>
      <c r="S177">
        <v>22</v>
      </c>
      <c r="T177">
        <v>12</v>
      </c>
      <c r="U177">
        <v>4</v>
      </c>
      <c r="V177">
        <v>203</v>
      </c>
    </row>
    <row r="178" spans="1:22" x14ac:dyDescent="0.25">
      <c r="A178">
        <v>2025</v>
      </c>
      <c r="B178">
        <v>3</v>
      </c>
      <c r="C178" t="s">
        <v>37</v>
      </c>
      <c r="D178" t="s">
        <v>22</v>
      </c>
      <c r="E178" t="s">
        <v>123</v>
      </c>
      <c r="F178" t="s">
        <v>27</v>
      </c>
      <c r="G178" t="s">
        <v>24</v>
      </c>
      <c r="H178" t="s">
        <v>26</v>
      </c>
      <c r="I178" t="s">
        <v>26</v>
      </c>
      <c r="J178" t="s">
        <v>25</v>
      </c>
      <c r="K178">
        <v>1</v>
      </c>
      <c r="L178">
        <v>0</v>
      </c>
      <c r="M178">
        <v>0</v>
      </c>
      <c r="N178">
        <v>0</v>
      </c>
      <c r="O178">
        <v>1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1</v>
      </c>
    </row>
    <row r="179" spans="1:22" x14ac:dyDescent="0.25">
      <c r="A179">
        <v>2025</v>
      </c>
      <c r="B179">
        <v>3</v>
      </c>
      <c r="C179" t="s">
        <v>37</v>
      </c>
      <c r="D179" t="s">
        <v>22</v>
      </c>
      <c r="E179" t="s">
        <v>43</v>
      </c>
      <c r="F179" t="s">
        <v>23</v>
      </c>
      <c r="G179" t="s">
        <v>24</v>
      </c>
      <c r="H179" t="s">
        <v>25</v>
      </c>
      <c r="I179" t="s">
        <v>26</v>
      </c>
      <c r="J179" t="s">
        <v>25</v>
      </c>
      <c r="K179">
        <v>272</v>
      </c>
      <c r="L179">
        <v>0</v>
      </c>
      <c r="M179">
        <v>0</v>
      </c>
      <c r="N179">
        <v>0</v>
      </c>
      <c r="O179">
        <v>57</v>
      </c>
      <c r="P179">
        <v>36</v>
      </c>
      <c r="Q179">
        <v>30</v>
      </c>
      <c r="R179">
        <v>14</v>
      </c>
      <c r="S179">
        <v>7</v>
      </c>
      <c r="T179">
        <v>1</v>
      </c>
      <c r="U179">
        <v>0</v>
      </c>
      <c r="V179">
        <v>272</v>
      </c>
    </row>
    <row r="180" spans="1:22" x14ac:dyDescent="0.25">
      <c r="A180">
        <v>2025</v>
      </c>
      <c r="B180">
        <v>3</v>
      </c>
      <c r="C180" t="s">
        <v>37</v>
      </c>
      <c r="D180" t="s">
        <v>22</v>
      </c>
      <c r="E180" t="s">
        <v>61</v>
      </c>
      <c r="F180" t="s">
        <v>35</v>
      </c>
      <c r="G180" t="s">
        <v>28</v>
      </c>
      <c r="H180" t="s">
        <v>25</v>
      </c>
      <c r="I180" t="s">
        <v>26</v>
      </c>
      <c r="J180" t="s">
        <v>26</v>
      </c>
      <c r="K180">
        <v>9</v>
      </c>
      <c r="L180">
        <v>1</v>
      </c>
      <c r="M180">
        <v>2</v>
      </c>
      <c r="N180">
        <v>3</v>
      </c>
      <c r="O180">
        <v>5</v>
      </c>
      <c r="P180">
        <v>4</v>
      </c>
      <c r="Q180">
        <v>4</v>
      </c>
      <c r="R180">
        <v>4</v>
      </c>
      <c r="S180">
        <v>3</v>
      </c>
      <c r="T180">
        <v>2</v>
      </c>
      <c r="U180">
        <v>1</v>
      </c>
      <c r="V180">
        <v>7</v>
      </c>
    </row>
    <row r="181" spans="1:22" x14ac:dyDescent="0.25">
      <c r="A181">
        <v>2025</v>
      </c>
      <c r="B181">
        <v>3</v>
      </c>
      <c r="C181" t="s">
        <v>37</v>
      </c>
      <c r="D181" t="s">
        <v>22</v>
      </c>
      <c r="E181" t="s">
        <v>61</v>
      </c>
      <c r="F181" t="s">
        <v>35</v>
      </c>
      <c r="G181" t="s">
        <v>24</v>
      </c>
      <c r="H181" t="s">
        <v>25</v>
      </c>
      <c r="I181" t="s">
        <v>26</v>
      </c>
      <c r="J181" t="s">
        <v>26</v>
      </c>
      <c r="K181">
        <v>586</v>
      </c>
      <c r="L181">
        <v>13</v>
      </c>
      <c r="M181">
        <v>56</v>
      </c>
      <c r="N181">
        <v>69</v>
      </c>
      <c r="O181">
        <v>361</v>
      </c>
      <c r="P181">
        <v>315</v>
      </c>
      <c r="Q181">
        <v>304</v>
      </c>
      <c r="R181">
        <v>270</v>
      </c>
      <c r="S181">
        <v>242</v>
      </c>
      <c r="T181">
        <v>180</v>
      </c>
      <c r="U181">
        <v>112</v>
      </c>
      <c r="V181">
        <v>560</v>
      </c>
    </row>
    <row r="182" spans="1:22" x14ac:dyDescent="0.25">
      <c r="A182">
        <v>2025</v>
      </c>
      <c r="B182">
        <v>3</v>
      </c>
      <c r="C182" t="s">
        <v>37</v>
      </c>
      <c r="D182" t="s">
        <v>22</v>
      </c>
      <c r="E182" t="s">
        <v>61</v>
      </c>
      <c r="F182" t="s">
        <v>41</v>
      </c>
      <c r="G182" t="s">
        <v>24</v>
      </c>
      <c r="H182" t="s">
        <v>26</v>
      </c>
      <c r="I182" t="s">
        <v>26</v>
      </c>
      <c r="J182" t="s">
        <v>25</v>
      </c>
      <c r="K182">
        <v>395</v>
      </c>
      <c r="L182">
        <v>10</v>
      </c>
      <c r="M182">
        <v>2</v>
      </c>
      <c r="N182">
        <v>12</v>
      </c>
      <c r="O182">
        <v>254</v>
      </c>
      <c r="P182">
        <v>206</v>
      </c>
      <c r="Q182">
        <v>164</v>
      </c>
      <c r="R182">
        <v>132</v>
      </c>
      <c r="S182">
        <v>81</v>
      </c>
      <c r="T182">
        <v>42</v>
      </c>
      <c r="U182">
        <v>7</v>
      </c>
      <c r="V182">
        <v>385</v>
      </c>
    </row>
    <row r="183" spans="1:22" x14ac:dyDescent="0.25">
      <c r="A183">
        <v>2025</v>
      </c>
      <c r="B183">
        <v>3</v>
      </c>
      <c r="C183" t="s">
        <v>37</v>
      </c>
      <c r="D183" t="s">
        <v>22</v>
      </c>
      <c r="E183" t="s">
        <v>69</v>
      </c>
      <c r="F183" t="s">
        <v>23</v>
      </c>
      <c r="G183" t="s">
        <v>28</v>
      </c>
      <c r="H183" t="s">
        <v>25</v>
      </c>
      <c r="I183" t="s">
        <v>26</v>
      </c>
      <c r="J183" t="s">
        <v>25</v>
      </c>
      <c r="K183">
        <v>21</v>
      </c>
      <c r="L183">
        <v>0</v>
      </c>
      <c r="M183">
        <v>0</v>
      </c>
      <c r="N183">
        <v>0</v>
      </c>
      <c r="O183">
        <v>6</v>
      </c>
      <c r="P183">
        <v>4</v>
      </c>
      <c r="Q183">
        <v>4</v>
      </c>
      <c r="R183">
        <v>2</v>
      </c>
      <c r="S183">
        <v>1</v>
      </c>
      <c r="T183">
        <v>1</v>
      </c>
      <c r="U183">
        <v>0</v>
      </c>
      <c r="V183">
        <v>21</v>
      </c>
    </row>
    <row r="184" spans="1:22" x14ac:dyDescent="0.25">
      <c r="A184">
        <v>2025</v>
      </c>
      <c r="B184">
        <v>3</v>
      </c>
      <c r="C184" t="s">
        <v>37</v>
      </c>
      <c r="D184" t="s">
        <v>22</v>
      </c>
      <c r="E184" t="s">
        <v>69</v>
      </c>
      <c r="F184" t="s">
        <v>23</v>
      </c>
      <c r="G184" t="s">
        <v>24</v>
      </c>
      <c r="H184" t="s">
        <v>25</v>
      </c>
      <c r="I184" t="s">
        <v>26</v>
      </c>
      <c r="J184" t="s">
        <v>25</v>
      </c>
      <c r="K184">
        <v>707</v>
      </c>
      <c r="L184">
        <v>5</v>
      </c>
      <c r="M184">
        <v>8</v>
      </c>
      <c r="N184">
        <v>13</v>
      </c>
      <c r="O184">
        <v>190</v>
      </c>
      <c r="P184">
        <v>127</v>
      </c>
      <c r="Q184">
        <v>111</v>
      </c>
      <c r="R184">
        <v>71</v>
      </c>
      <c r="S184">
        <v>44</v>
      </c>
      <c r="T184">
        <v>16</v>
      </c>
      <c r="U184">
        <v>6</v>
      </c>
      <c r="V184">
        <v>698</v>
      </c>
    </row>
    <row r="185" spans="1:22" x14ac:dyDescent="0.25">
      <c r="A185">
        <v>2025</v>
      </c>
      <c r="B185">
        <v>3</v>
      </c>
      <c r="C185" t="s">
        <v>37</v>
      </c>
      <c r="D185" t="s">
        <v>22</v>
      </c>
      <c r="E185" t="s">
        <v>69</v>
      </c>
      <c r="F185" t="s">
        <v>40</v>
      </c>
      <c r="G185" t="s">
        <v>24</v>
      </c>
      <c r="H185" t="s">
        <v>25</v>
      </c>
      <c r="I185" t="s">
        <v>26</v>
      </c>
      <c r="J185" t="s">
        <v>25</v>
      </c>
      <c r="K185">
        <v>502</v>
      </c>
      <c r="L185">
        <v>9</v>
      </c>
      <c r="M185">
        <v>0</v>
      </c>
      <c r="N185">
        <v>9</v>
      </c>
      <c r="O185">
        <v>24</v>
      </c>
      <c r="P185">
        <v>8</v>
      </c>
      <c r="Q185">
        <v>7</v>
      </c>
      <c r="R185">
        <v>2</v>
      </c>
      <c r="S185">
        <v>0</v>
      </c>
      <c r="T185">
        <v>0</v>
      </c>
      <c r="U185">
        <v>0</v>
      </c>
      <c r="V185">
        <v>493</v>
      </c>
    </row>
    <row r="186" spans="1:22" x14ac:dyDescent="0.25">
      <c r="A186">
        <v>2025</v>
      </c>
      <c r="B186">
        <v>3</v>
      </c>
      <c r="C186" t="s">
        <v>37</v>
      </c>
      <c r="D186" t="s">
        <v>22</v>
      </c>
      <c r="E186" t="s">
        <v>75</v>
      </c>
      <c r="F186" t="s">
        <v>39</v>
      </c>
      <c r="G186" t="s">
        <v>24</v>
      </c>
      <c r="H186" t="s">
        <v>26</v>
      </c>
      <c r="I186" t="s">
        <v>26</v>
      </c>
      <c r="J186" t="s">
        <v>25</v>
      </c>
      <c r="K186">
        <v>14</v>
      </c>
      <c r="L186">
        <v>2</v>
      </c>
      <c r="M186">
        <v>0</v>
      </c>
      <c r="N186">
        <v>2</v>
      </c>
      <c r="O186">
        <v>1</v>
      </c>
      <c r="P186">
        <v>1</v>
      </c>
      <c r="Q186">
        <v>1</v>
      </c>
      <c r="R186">
        <v>1</v>
      </c>
      <c r="S186">
        <v>1</v>
      </c>
      <c r="T186">
        <v>1</v>
      </c>
      <c r="U186">
        <v>0</v>
      </c>
      <c r="V186">
        <v>12</v>
      </c>
    </row>
    <row r="187" spans="1:22" x14ac:dyDescent="0.25">
      <c r="A187">
        <v>2025</v>
      </c>
      <c r="B187">
        <v>3</v>
      </c>
      <c r="C187" t="s">
        <v>37</v>
      </c>
      <c r="D187" t="s">
        <v>22</v>
      </c>
      <c r="E187" t="s">
        <v>75</v>
      </c>
      <c r="F187" t="s">
        <v>39</v>
      </c>
      <c r="G187" t="s">
        <v>29</v>
      </c>
      <c r="H187" t="s">
        <v>26</v>
      </c>
      <c r="I187" t="s">
        <v>26</v>
      </c>
      <c r="J187" t="s">
        <v>25</v>
      </c>
      <c r="K187">
        <v>6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</row>
    <row r="188" spans="1:22" x14ac:dyDescent="0.25">
      <c r="A188">
        <v>2025</v>
      </c>
      <c r="B188">
        <v>3</v>
      </c>
      <c r="C188" t="s">
        <v>37</v>
      </c>
      <c r="D188" t="s">
        <v>22</v>
      </c>
      <c r="E188" t="s">
        <v>75</v>
      </c>
      <c r="F188" t="s">
        <v>27</v>
      </c>
      <c r="G188" t="s">
        <v>24</v>
      </c>
      <c r="H188" t="s">
        <v>26</v>
      </c>
      <c r="I188" t="s">
        <v>26</v>
      </c>
      <c r="J188" t="s">
        <v>25</v>
      </c>
      <c r="K188">
        <v>4</v>
      </c>
      <c r="L188">
        <v>3</v>
      </c>
      <c r="M188">
        <v>0</v>
      </c>
      <c r="N188">
        <v>3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1</v>
      </c>
    </row>
    <row r="189" spans="1:22" x14ac:dyDescent="0.25">
      <c r="A189">
        <v>2025</v>
      </c>
      <c r="B189">
        <v>4</v>
      </c>
      <c r="C189" t="s">
        <v>37</v>
      </c>
      <c r="D189" t="s">
        <v>22</v>
      </c>
      <c r="E189" t="s">
        <v>126</v>
      </c>
      <c r="F189" t="s">
        <v>32</v>
      </c>
      <c r="G189" t="s">
        <v>24</v>
      </c>
      <c r="H189" t="s">
        <v>25</v>
      </c>
      <c r="I189" t="s">
        <v>26</v>
      </c>
      <c r="J189" t="s">
        <v>25</v>
      </c>
      <c r="K189">
        <v>300</v>
      </c>
      <c r="L189">
        <v>1</v>
      </c>
      <c r="M189">
        <v>18</v>
      </c>
      <c r="N189">
        <v>19</v>
      </c>
      <c r="O189">
        <v>138</v>
      </c>
      <c r="P189">
        <v>106</v>
      </c>
      <c r="Q189">
        <v>98</v>
      </c>
      <c r="R189">
        <v>67</v>
      </c>
      <c r="S189">
        <v>41</v>
      </c>
      <c r="T189">
        <v>18</v>
      </c>
      <c r="U189">
        <v>5</v>
      </c>
      <c r="V189">
        <v>291</v>
      </c>
    </row>
    <row r="190" spans="1:22" x14ac:dyDescent="0.25">
      <c r="A190">
        <v>2025</v>
      </c>
      <c r="B190">
        <v>4</v>
      </c>
      <c r="C190" t="s">
        <v>37</v>
      </c>
      <c r="D190" t="s">
        <v>22</v>
      </c>
      <c r="E190" t="s">
        <v>126</v>
      </c>
      <c r="F190" t="s">
        <v>34</v>
      </c>
      <c r="G190" t="s">
        <v>24</v>
      </c>
      <c r="H190" t="s">
        <v>25</v>
      </c>
      <c r="I190" t="s">
        <v>26</v>
      </c>
      <c r="J190" t="s">
        <v>26</v>
      </c>
      <c r="K190">
        <v>5</v>
      </c>
      <c r="L190">
        <v>0</v>
      </c>
      <c r="M190">
        <v>0</v>
      </c>
      <c r="N190">
        <v>0</v>
      </c>
      <c r="O190">
        <v>4</v>
      </c>
      <c r="P190">
        <v>4</v>
      </c>
      <c r="Q190">
        <v>4</v>
      </c>
      <c r="R190">
        <v>3</v>
      </c>
      <c r="S190">
        <v>3</v>
      </c>
      <c r="T190">
        <v>2</v>
      </c>
      <c r="U190">
        <v>2</v>
      </c>
      <c r="V190">
        <v>5</v>
      </c>
    </row>
    <row r="191" spans="1:22" x14ac:dyDescent="0.25">
      <c r="A191">
        <v>2025</v>
      </c>
      <c r="B191">
        <v>4</v>
      </c>
      <c r="C191" t="s">
        <v>37</v>
      </c>
      <c r="D191" t="s">
        <v>22</v>
      </c>
      <c r="E191" t="s">
        <v>127</v>
      </c>
      <c r="F191" t="s">
        <v>32</v>
      </c>
      <c r="G191" t="s">
        <v>24</v>
      </c>
      <c r="H191" t="s">
        <v>25</v>
      </c>
      <c r="I191" t="s">
        <v>26</v>
      </c>
      <c r="J191" t="s">
        <v>25</v>
      </c>
      <c r="K191">
        <v>1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1</v>
      </c>
    </row>
    <row r="192" spans="1:22" x14ac:dyDescent="0.25">
      <c r="A192">
        <v>2025</v>
      </c>
      <c r="B192">
        <v>4</v>
      </c>
      <c r="C192" t="s">
        <v>37</v>
      </c>
      <c r="D192" t="s">
        <v>22</v>
      </c>
      <c r="E192" t="s">
        <v>128</v>
      </c>
      <c r="F192" t="s">
        <v>32</v>
      </c>
      <c r="G192" t="s">
        <v>24</v>
      </c>
      <c r="H192" t="s">
        <v>25</v>
      </c>
      <c r="I192" t="s">
        <v>26</v>
      </c>
      <c r="J192" t="s">
        <v>25</v>
      </c>
      <c r="K192">
        <v>54</v>
      </c>
      <c r="L192">
        <v>0</v>
      </c>
      <c r="M192">
        <v>7</v>
      </c>
      <c r="N192">
        <v>7</v>
      </c>
      <c r="O192">
        <v>23</v>
      </c>
      <c r="P192">
        <v>18</v>
      </c>
      <c r="Q192">
        <v>18</v>
      </c>
      <c r="R192">
        <v>16</v>
      </c>
      <c r="S192">
        <v>9</v>
      </c>
      <c r="T192">
        <v>3</v>
      </c>
      <c r="U192">
        <v>0</v>
      </c>
      <c r="V192">
        <v>51</v>
      </c>
    </row>
    <row r="193" spans="1:22" x14ac:dyDescent="0.25">
      <c r="A193">
        <v>2025</v>
      </c>
      <c r="B193">
        <v>4</v>
      </c>
      <c r="C193" t="s">
        <v>37</v>
      </c>
      <c r="D193" t="s">
        <v>22</v>
      </c>
      <c r="E193" t="s">
        <v>128</v>
      </c>
      <c r="F193" t="s">
        <v>34</v>
      </c>
      <c r="G193" t="s">
        <v>24</v>
      </c>
      <c r="H193" t="s">
        <v>25</v>
      </c>
      <c r="I193" t="s">
        <v>26</v>
      </c>
      <c r="J193" t="s">
        <v>26</v>
      </c>
      <c r="K193">
        <v>53</v>
      </c>
      <c r="L193">
        <v>0</v>
      </c>
      <c r="M193">
        <v>2</v>
      </c>
      <c r="N193">
        <v>2</v>
      </c>
      <c r="O193">
        <v>19</v>
      </c>
      <c r="P193">
        <v>16</v>
      </c>
      <c r="Q193">
        <v>12</v>
      </c>
      <c r="R193">
        <v>8</v>
      </c>
      <c r="S193">
        <v>6</v>
      </c>
      <c r="T193">
        <v>2</v>
      </c>
      <c r="U193">
        <v>1</v>
      </c>
      <c r="V193">
        <v>53</v>
      </c>
    </row>
    <row r="194" spans="1:22" x14ac:dyDescent="0.25">
      <c r="A194">
        <v>2025</v>
      </c>
      <c r="B194">
        <v>4</v>
      </c>
      <c r="C194" t="s">
        <v>37</v>
      </c>
      <c r="D194" t="s">
        <v>22</v>
      </c>
      <c r="E194" t="s">
        <v>129</v>
      </c>
      <c r="F194" t="s">
        <v>36</v>
      </c>
      <c r="G194" t="s">
        <v>24</v>
      </c>
      <c r="H194" t="s">
        <v>25</v>
      </c>
      <c r="I194" t="s">
        <v>26</v>
      </c>
      <c r="J194" t="s">
        <v>25</v>
      </c>
      <c r="K194">
        <v>56</v>
      </c>
      <c r="L194">
        <v>1</v>
      </c>
      <c r="M194">
        <v>5</v>
      </c>
      <c r="N194">
        <v>6</v>
      </c>
      <c r="O194">
        <v>23</v>
      </c>
      <c r="P194">
        <v>19</v>
      </c>
      <c r="Q194">
        <v>17</v>
      </c>
      <c r="R194">
        <v>15</v>
      </c>
      <c r="S194">
        <v>12</v>
      </c>
      <c r="T194">
        <v>5</v>
      </c>
      <c r="U194">
        <v>1</v>
      </c>
      <c r="V194">
        <v>51</v>
      </c>
    </row>
    <row r="195" spans="1:22" x14ac:dyDescent="0.25">
      <c r="A195">
        <v>2025</v>
      </c>
      <c r="B195">
        <v>4</v>
      </c>
      <c r="C195" t="s">
        <v>37</v>
      </c>
      <c r="D195" t="s">
        <v>22</v>
      </c>
      <c r="E195" t="s">
        <v>130</v>
      </c>
      <c r="F195" t="s">
        <v>23</v>
      </c>
      <c r="G195" t="s">
        <v>24</v>
      </c>
      <c r="H195" t="s">
        <v>25</v>
      </c>
      <c r="I195" t="s">
        <v>26</v>
      </c>
      <c r="J195" t="s">
        <v>25</v>
      </c>
      <c r="K195">
        <v>1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1</v>
      </c>
    </row>
    <row r="196" spans="1:22" x14ac:dyDescent="0.25">
      <c r="A196">
        <v>2025</v>
      </c>
      <c r="B196">
        <v>4</v>
      </c>
      <c r="C196" t="s">
        <v>37</v>
      </c>
      <c r="D196" t="s">
        <v>22</v>
      </c>
      <c r="E196" t="s">
        <v>131</v>
      </c>
      <c r="F196" t="s">
        <v>34</v>
      </c>
      <c r="G196" t="s">
        <v>24</v>
      </c>
      <c r="H196" t="s">
        <v>25</v>
      </c>
      <c r="I196" t="s">
        <v>26</v>
      </c>
      <c r="J196" t="s">
        <v>26</v>
      </c>
      <c r="K196">
        <v>52</v>
      </c>
      <c r="L196">
        <v>0</v>
      </c>
      <c r="M196">
        <v>2</v>
      </c>
      <c r="N196">
        <v>2</v>
      </c>
      <c r="O196">
        <v>25</v>
      </c>
      <c r="P196">
        <v>20</v>
      </c>
      <c r="Q196">
        <v>17</v>
      </c>
      <c r="R196">
        <v>14</v>
      </c>
      <c r="S196">
        <v>8</v>
      </c>
      <c r="T196">
        <v>4</v>
      </c>
      <c r="U196">
        <v>0</v>
      </c>
      <c r="V196">
        <v>52</v>
      </c>
    </row>
    <row r="197" spans="1:22" x14ac:dyDescent="0.25">
      <c r="A197">
        <v>2025</v>
      </c>
      <c r="B197">
        <v>4</v>
      </c>
      <c r="C197" t="s">
        <v>37</v>
      </c>
      <c r="D197" t="s">
        <v>22</v>
      </c>
      <c r="E197" t="s">
        <v>132</v>
      </c>
      <c r="F197" t="s">
        <v>32</v>
      </c>
      <c r="G197" t="s">
        <v>24</v>
      </c>
      <c r="H197" t="s">
        <v>25</v>
      </c>
      <c r="I197" t="s">
        <v>26</v>
      </c>
      <c r="J197" t="s">
        <v>25</v>
      </c>
      <c r="K197">
        <v>27</v>
      </c>
      <c r="L197">
        <v>0</v>
      </c>
      <c r="M197">
        <v>1</v>
      </c>
      <c r="N197">
        <v>1</v>
      </c>
      <c r="O197">
        <v>21</v>
      </c>
      <c r="P197">
        <v>19</v>
      </c>
      <c r="Q197">
        <v>18</v>
      </c>
      <c r="R197">
        <v>16</v>
      </c>
      <c r="S197">
        <v>15</v>
      </c>
      <c r="T197">
        <v>10</v>
      </c>
      <c r="U197">
        <v>5</v>
      </c>
      <c r="V197">
        <v>27</v>
      </c>
    </row>
    <row r="198" spans="1:22" x14ac:dyDescent="0.25">
      <c r="A198">
        <v>2025</v>
      </c>
      <c r="B198">
        <v>4</v>
      </c>
      <c r="C198" t="s">
        <v>37</v>
      </c>
      <c r="D198" t="s">
        <v>22</v>
      </c>
      <c r="E198" t="s">
        <v>132</v>
      </c>
      <c r="F198" t="s">
        <v>34</v>
      </c>
      <c r="G198" t="s">
        <v>24</v>
      </c>
      <c r="H198" t="s">
        <v>25</v>
      </c>
      <c r="I198" t="s">
        <v>26</v>
      </c>
      <c r="J198" t="s">
        <v>26</v>
      </c>
      <c r="K198">
        <v>22</v>
      </c>
      <c r="L198">
        <v>0</v>
      </c>
      <c r="M198">
        <v>1</v>
      </c>
      <c r="N198">
        <v>1</v>
      </c>
      <c r="O198">
        <v>17</v>
      </c>
      <c r="P198">
        <v>14</v>
      </c>
      <c r="Q198">
        <v>13</v>
      </c>
      <c r="R198">
        <v>13</v>
      </c>
      <c r="S198">
        <v>11</v>
      </c>
      <c r="T198">
        <v>8</v>
      </c>
      <c r="U198">
        <v>3</v>
      </c>
      <c r="V198">
        <v>22</v>
      </c>
    </row>
    <row r="199" spans="1:22" x14ac:dyDescent="0.25">
      <c r="A199">
        <v>2025</v>
      </c>
      <c r="B199">
        <v>4</v>
      </c>
      <c r="C199" t="s">
        <v>37</v>
      </c>
      <c r="D199" t="s">
        <v>22</v>
      </c>
      <c r="E199" t="s">
        <v>37</v>
      </c>
      <c r="F199" t="s">
        <v>32</v>
      </c>
      <c r="G199" t="s">
        <v>28</v>
      </c>
      <c r="H199" t="s">
        <v>25</v>
      </c>
      <c r="I199" t="s">
        <v>26</v>
      </c>
      <c r="J199" t="s">
        <v>25</v>
      </c>
      <c r="K199">
        <v>10</v>
      </c>
      <c r="L199">
        <v>1</v>
      </c>
      <c r="M199">
        <v>1</v>
      </c>
      <c r="N199">
        <v>2</v>
      </c>
      <c r="O199">
        <v>3</v>
      </c>
      <c r="P199">
        <v>3</v>
      </c>
      <c r="Q199">
        <v>3</v>
      </c>
      <c r="R199">
        <v>1</v>
      </c>
      <c r="S199">
        <v>1</v>
      </c>
      <c r="T199">
        <v>1</v>
      </c>
      <c r="U199">
        <v>1</v>
      </c>
      <c r="V199">
        <v>9</v>
      </c>
    </row>
    <row r="200" spans="1:22" x14ac:dyDescent="0.25">
      <c r="A200">
        <v>2025</v>
      </c>
      <c r="B200">
        <v>4</v>
      </c>
      <c r="C200" t="s">
        <v>37</v>
      </c>
      <c r="D200" t="s">
        <v>22</v>
      </c>
      <c r="E200" t="s">
        <v>37</v>
      </c>
      <c r="F200" t="s">
        <v>38</v>
      </c>
      <c r="G200" t="s">
        <v>24</v>
      </c>
      <c r="H200" t="s">
        <v>25</v>
      </c>
      <c r="I200" t="s">
        <v>26</v>
      </c>
      <c r="J200" t="s">
        <v>25</v>
      </c>
      <c r="K200">
        <v>2</v>
      </c>
      <c r="L200">
        <v>1</v>
      </c>
      <c r="M200">
        <v>0</v>
      </c>
      <c r="N200">
        <v>1</v>
      </c>
      <c r="O200">
        <v>1</v>
      </c>
      <c r="P200">
        <v>1</v>
      </c>
      <c r="Q200">
        <v>1</v>
      </c>
      <c r="R200">
        <v>1</v>
      </c>
      <c r="S200">
        <v>1</v>
      </c>
      <c r="T200">
        <v>1</v>
      </c>
      <c r="U200">
        <v>0</v>
      </c>
      <c r="V200">
        <v>1</v>
      </c>
    </row>
    <row r="201" spans="1:22" x14ac:dyDescent="0.25">
      <c r="A201">
        <v>2025</v>
      </c>
      <c r="B201">
        <v>4</v>
      </c>
      <c r="C201" t="s">
        <v>37</v>
      </c>
      <c r="D201" t="s">
        <v>22</v>
      </c>
      <c r="E201" t="s">
        <v>37</v>
      </c>
      <c r="F201" t="s">
        <v>34</v>
      </c>
      <c r="G201" t="s">
        <v>28</v>
      </c>
      <c r="H201" t="s">
        <v>25</v>
      </c>
      <c r="I201" t="s">
        <v>26</v>
      </c>
      <c r="J201" t="s">
        <v>26</v>
      </c>
      <c r="K201">
        <v>4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4</v>
      </c>
    </row>
    <row r="202" spans="1:22" x14ac:dyDescent="0.25">
      <c r="A202">
        <v>2025</v>
      </c>
      <c r="B202">
        <v>4</v>
      </c>
      <c r="C202" t="s">
        <v>37</v>
      </c>
      <c r="D202" t="s">
        <v>22</v>
      </c>
      <c r="E202" t="s">
        <v>37</v>
      </c>
      <c r="F202" t="s">
        <v>23</v>
      </c>
      <c r="G202" t="s">
        <v>28</v>
      </c>
      <c r="H202" t="s">
        <v>25</v>
      </c>
      <c r="I202" t="s">
        <v>26</v>
      </c>
      <c r="J202" t="s">
        <v>25</v>
      </c>
      <c r="K202">
        <v>4213</v>
      </c>
      <c r="L202">
        <v>110</v>
      </c>
      <c r="M202">
        <v>399</v>
      </c>
      <c r="N202">
        <v>509</v>
      </c>
      <c r="O202">
        <v>2196</v>
      </c>
      <c r="P202">
        <v>1852</v>
      </c>
      <c r="Q202">
        <v>1695</v>
      </c>
      <c r="R202">
        <v>1269</v>
      </c>
      <c r="S202">
        <v>936</v>
      </c>
      <c r="T202">
        <v>420</v>
      </c>
      <c r="U202">
        <v>92</v>
      </c>
      <c r="V202">
        <v>3947</v>
      </c>
    </row>
    <row r="203" spans="1:22" x14ac:dyDescent="0.25">
      <c r="A203">
        <v>2025</v>
      </c>
      <c r="B203">
        <v>4</v>
      </c>
      <c r="C203" t="s">
        <v>37</v>
      </c>
      <c r="D203" t="s">
        <v>22</v>
      </c>
      <c r="E203" t="s">
        <v>37</v>
      </c>
      <c r="F203" t="s">
        <v>23</v>
      </c>
      <c r="G203" t="s">
        <v>24</v>
      </c>
      <c r="H203" t="s">
        <v>25</v>
      </c>
      <c r="I203" t="s">
        <v>26</v>
      </c>
      <c r="J203" t="s">
        <v>25</v>
      </c>
      <c r="K203">
        <v>454</v>
      </c>
      <c r="L203">
        <v>3</v>
      </c>
      <c r="M203">
        <v>36</v>
      </c>
      <c r="N203">
        <v>39</v>
      </c>
      <c r="O203">
        <v>309</v>
      </c>
      <c r="P203">
        <v>254</v>
      </c>
      <c r="Q203">
        <v>242</v>
      </c>
      <c r="R203">
        <v>202</v>
      </c>
      <c r="S203">
        <v>153</v>
      </c>
      <c r="T203">
        <v>86</v>
      </c>
      <c r="U203">
        <v>36</v>
      </c>
      <c r="V203">
        <v>436</v>
      </c>
    </row>
    <row r="204" spans="1:22" x14ac:dyDescent="0.25">
      <c r="A204">
        <v>2025</v>
      </c>
      <c r="B204">
        <v>4</v>
      </c>
      <c r="C204" t="s">
        <v>37</v>
      </c>
      <c r="D204" t="s">
        <v>22</v>
      </c>
      <c r="E204" t="s">
        <v>37</v>
      </c>
      <c r="F204" t="s">
        <v>23</v>
      </c>
      <c r="G204" t="s">
        <v>29</v>
      </c>
      <c r="H204" t="s">
        <v>25</v>
      </c>
      <c r="I204" t="s">
        <v>26</v>
      </c>
      <c r="J204" t="s">
        <v>25</v>
      </c>
      <c r="K204">
        <v>2</v>
      </c>
      <c r="L204">
        <v>1</v>
      </c>
      <c r="M204">
        <v>0</v>
      </c>
      <c r="N204">
        <v>1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</row>
    <row r="205" spans="1:22" x14ac:dyDescent="0.25">
      <c r="A205">
        <v>2025</v>
      </c>
      <c r="B205">
        <v>4</v>
      </c>
      <c r="C205" t="s">
        <v>37</v>
      </c>
      <c r="D205" t="s">
        <v>22</v>
      </c>
      <c r="E205" t="s">
        <v>37</v>
      </c>
      <c r="F205" t="s">
        <v>39</v>
      </c>
      <c r="G205" t="s">
        <v>28</v>
      </c>
      <c r="H205" t="s">
        <v>26</v>
      </c>
      <c r="I205" t="s">
        <v>26</v>
      </c>
      <c r="J205" t="s">
        <v>25</v>
      </c>
      <c r="K205">
        <v>13393</v>
      </c>
      <c r="L205">
        <v>564</v>
      </c>
      <c r="M205">
        <v>1080</v>
      </c>
      <c r="N205">
        <v>1644</v>
      </c>
      <c r="O205">
        <v>7696</v>
      </c>
      <c r="P205">
        <v>6721</v>
      </c>
      <c r="Q205">
        <v>6316</v>
      </c>
      <c r="R205">
        <v>4975</v>
      </c>
      <c r="S205">
        <v>3860</v>
      </c>
      <c r="T205">
        <v>1940</v>
      </c>
      <c r="U205">
        <v>630</v>
      </c>
      <c r="V205">
        <v>12392</v>
      </c>
    </row>
    <row r="206" spans="1:22" x14ac:dyDescent="0.25">
      <c r="A206">
        <v>2025</v>
      </c>
      <c r="B206">
        <v>4</v>
      </c>
      <c r="C206" t="s">
        <v>37</v>
      </c>
      <c r="D206" t="s">
        <v>22</v>
      </c>
      <c r="E206" t="s">
        <v>37</v>
      </c>
      <c r="F206" t="s">
        <v>39</v>
      </c>
      <c r="G206" t="s">
        <v>29</v>
      </c>
      <c r="H206" t="s">
        <v>26</v>
      </c>
      <c r="I206" t="s">
        <v>26</v>
      </c>
      <c r="J206" t="s">
        <v>25</v>
      </c>
      <c r="K206">
        <v>7</v>
      </c>
      <c r="L206">
        <v>3</v>
      </c>
      <c r="M206">
        <v>0</v>
      </c>
      <c r="N206">
        <v>3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</row>
    <row r="207" spans="1:22" x14ac:dyDescent="0.25">
      <c r="A207">
        <v>2025</v>
      </c>
      <c r="B207">
        <v>4</v>
      </c>
      <c r="C207" t="s">
        <v>37</v>
      </c>
      <c r="D207" t="s">
        <v>22</v>
      </c>
      <c r="E207" t="s">
        <v>37</v>
      </c>
      <c r="F207" t="s">
        <v>36</v>
      </c>
      <c r="G207" t="s">
        <v>28</v>
      </c>
      <c r="H207" t="s">
        <v>25</v>
      </c>
      <c r="I207" t="s">
        <v>26</v>
      </c>
      <c r="J207" t="s">
        <v>25</v>
      </c>
      <c r="K207">
        <v>4</v>
      </c>
      <c r="L207">
        <v>1</v>
      </c>
      <c r="M207">
        <v>0</v>
      </c>
      <c r="N207">
        <v>1</v>
      </c>
      <c r="O207">
        <v>1</v>
      </c>
      <c r="P207">
        <v>1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3</v>
      </c>
    </row>
    <row r="208" spans="1:22" x14ac:dyDescent="0.25">
      <c r="A208">
        <v>2025</v>
      </c>
      <c r="B208">
        <v>4</v>
      </c>
      <c r="C208" t="s">
        <v>37</v>
      </c>
      <c r="D208" t="s">
        <v>22</v>
      </c>
      <c r="E208" t="s">
        <v>135</v>
      </c>
      <c r="F208" t="s">
        <v>32</v>
      </c>
      <c r="G208" t="s">
        <v>24</v>
      </c>
      <c r="H208" t="s">
        <v>25</v>
      </c>
      <c r="I208" t="s">
        <v>26</v>
      </c>
      <c r="J208" t="s">
        <v>25</v>
      </c>
      <c r="K208">
        <v>264</v>
      </c>
      <c r="L208">
        <v>2</v>
      </c>
      <c r="M208">
        <v>1</v>
      </c>
      <c r="N208">
        <v>3</v>
      </c>
      <c r="O208">
        <v>144</v>
      </c>
      <c r="P208">
        <v>112</v>
      </c>
      <c r="Q208">
        <v>100</v>
      </c>
      <c r="R208">
        <v>64</v>
      </c>
      <c r="S208">
        <v>36</v>
      </c>
      <c r="T208">
        <v>16</v>
      </c>
      <c r="U208">
        <v>2</v>
      </c>
      <c r="V208">
        <v>261</v>
      </c>
    </row>
    <row r="209" spans="1:22" x14ac:dyDescent="0.25">
      <c r="A209">
        <v>2025</v>
      </c>
      <c r="B209">
        <v>4</v>
      </c>
      <c r="C209" t="s">
        <v>37</v>
      </c>
      <c r="D209" t="s">
        <v>22</v>
      </c>
      <c r="E209" t="s">
        <v>136</v>
      </c>
      <c r="F209" t="s">
        <v>34</v>
      </c>
      <c r="G209" t="s">
        <v>24</v>
      </c>
      <c r="H209" t="s">
        <v>25</v>
      </c>
      <c r="I209" t="s">
        <v>26</v>
      </c>
      <c r="J209" t="s">
        <v>26</v>
      </c>
      <c r="K209">
        <v>41</v>
      </c>
      <c r="L209">
        <v>1</v>
      </c>
      <c r="M209">
        <v>0</v>
      </c>
      <c r="N209">
        <v>1</v>
      </c>
      <c r="O209">
        <v>15</v>
      </c>
      <c r="P209">
        <v>13</v>
      </c>
      <c r="Q209">
        <v>12</v>
      </c>
      <c r="R209">
        <v>8</v>
      </c>
      <c r="S209">
        <v>8</v>
      </c>
      <c r="T209">
        <v>6</v>
      </c>
      <c r="U209">
        <v>5</v>
      </c>
      <c r="V209">
        <v>40</v>
      </c>
    </row>
    <row r="210" spans="1:22" x14ac:dyDescent="0.25">
      <c r="A210">
        <v>2025</v>
      </c>
      <c r="B210">
        <v>4</v>
      </c>
      <c r="C210" t="s">
        <v>37</v>
      </c>
      <c r="D210" t="s">
        <v>22</v>
      </c>
      <c r="E210" t="s">
        <v>138</v>
      </c>
      <c r="F210" t="s">
        <v>34</v>
      </c>
      <c r="G210" t="s">
        <v>24</v>
      </c>
      <c r="H210" t="s">
        <v>25</v>
      </c>
      <c r="I210" t="s">
        <v>26</v>
      </c>
      <c r="J210" t="s">
        <v>26</v>
      </c>
      <c r="K210">
        <v>16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16</v>
      </c>
    </row>
    <row r="211" spans="1:22" x14ac:dyDescent="0.25">
      <c r="A211">
        <v>2025</v>
      </c>
      <c r="B211">
        <v>4</v>
      </c>
      <c r="C211" t="s">
        <v>37</v>
      </c>
      <c r="D211" t="s">
        <v>22</v>
      </c>
      <c r="E211" t="s">
        <v>139</v>
      </c>
      <c r="F211" t="s">
        <v>34</v>
      </c>
      <c r="G211" t="s">
        <v>24</v>
      </c>
      <c r="H211" t="s">
        <v>25</v>
      </c>
      <c r="I211" t="s">
        <v>26</v>
      </c>
      <c r="J211" t="s">
        <v>26</v>
      </c>
      <c r="K211">
        <v>13</v>
      </c>
      <c r="L211">
        <v>0</v>
      </c>
      <c r="M211">
        <v>0</v>
      </c>
      <c r="N211">
        <v>0</v>
      </c>
      <c r="O211">
        <v>6</v>
      </c>
      <c r="P211">
        <v>6</v>
      </c>
      <c r="Q211">
        <v>6</v>
      </c>
      <c r="R211">
        <v>6</v>
      </c>
      <c r="S211">
        <v>5</v>
      </c>
      <c r="T211">
        <v>3</v>
      </c>
      <c r="U211">
        <v>1</v>
      </c>
      <c r="V211">
        <v>13</v>
      </c>
    </row>
    <row r="212" spans="1:22" x14ac:dyDescent="0.25">
      <c r="A212">
        <v>2025</v>
      </c>
      <c r="B212">
        <v>4</v>
      </c>
      <c r="C212" t="s">
        <v>37</v>
      </c>
      <c r="D212" t="s">
        <v>22</v>
      </c>
      <c r="E212" t="s">
        <v>141</v>
      </c>
      <c r="F212" t="s">
        <v>34</v>
      </c>
      <c r="G212" t="s">
        <v>24</v>
      </c>
      <c r="H212" t="s">
        <v>25</v>
      </c>
      <c r="I212" t="s">
        <v>26</v>
      </c>
      <c r="J212" t="s">
        <v>26</v>
      </c>
      <c r="K212">
        <v>25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25</v>
      </c>
    </row>
    <row r="213" spans="1:22" x14ac:dyDescent="0.25">
      <c r="A213">
        <v>2025</v>
      </c>
      <c r="B213">
        <v>4</v>
      </c>
      <c r="C213" t="s">
        <v>37</v>
      </c>
      <c r="D213" t="s">
        <v>22</v>
      </c>
      <c r="E213" t="s">
        <v>142</v>
      </c>
      <c r="F213" t="s">
        <v>34</v>
      </c>
      <c r="G213" t="s">
        <v>24</v>
      </c>
      <c r="H213" t="s">
        <v>25</v>
      </c>
      <c r="I213" t="s">
        <v>26</v>
      </c>
      <c r="J213" t="s">
        <v>26</v>
      </c>
      <c r="K213">
        <v>28</v>
      </c>
      <c r="L213">
        <v>0</v>
      </c>
      <c r="M213">
        <v>0</v>
      </c>
      <c r="N213">
        <v>0</v>
      </c>
      <c r="O213">
        <v>8</v>
      </c>
      <c r="P213">
        <v>8</v>
      </c>
      <c r="Q213">
        <v>7</v>
      </c>
      <c r="R213">
        <v>7</v>
      </c>
      <c r="S213">
        <v>7</v>
      </c>
      <c r="T213">
        <v>3</v>
      </c>
      <c r="U213">
        <v>1</v>
      </c>
      <c r="V213">
        <v>28</v>
      </c>
    </row>
    <row r="214" spans="1:22" x14ac:dyDescent="0.25">
      <c r="A214">
        <v>2025</v>
      </c>
      <c r="B214">
        <v>4</v>
      </c>
      <c r="C214" t="s">
        <v>37</v>
      </c>
      <c r="D214" t="s">
        <v>22</v>
      </c>
      <c r="E214" t="s">
        <v>143</v>
      </c>
      <c r="F214" t="s">
        <v>23</v>
      </c>
      <c r="G214" t="s">
        <v>24</v>
      </c>
      <c r="H214" t="s">
        <v>25</v>
      </c>
      <c r="I214" t="s">
        <v>26</v>
      </c>
      <c r="J214" t="s">
        <v>25</v>
      </c>
      <c r="K214">
        <v>2</v>
      </c>
      <c r="L214">
        <v>2</v>
      </c>
      <c r="M214">
        <v>0</v>
      </c>
      <c r="N214">
        <v>2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</row>
    <row r="215" spans="1:22" x14ac:dyDescent="0.25">
      <c r="A215">
        <v>2025</v>
      </c>
      <c r="B215">
        <v>4</v>
      </c>
      <c r="C215" t="s">
        <v>37</v>
      </c>
      <c r="D215" t="s">
        <v>22</v>
      </c>
      <c r="E215" t="s">
        <v>143</v>
      </c>
      <c r="F215" t="s">
        <v>39</v>
      </c>
      <c r="G215" t="s">
        <v>24</v>
      </c>
      <c r="H215" t="s">
        <v>26</v>
      </c>
      <c r="I215" t="s">
        <v>26</v>
      </c>
      <c r="J215" t="s">
        <v>25</v>
      </c>
      <c r="K215">
        <v>418</v>
      </c>
      <c r="L215">
        <v>1</v>
      </c>
      <c r="M215">
        <v>50</v>
      </c>
      <c r="N215">
        <v>51</v>
      </c>
      <c r="O215">
        <v>193</v>
      </c>
      <c r="P215">
        <v>158</v>
      </c>
      <c r="Q215">
        <v>150</v>
      </c>
      <c r="R215">
        <v>106</v>
      </c>
      <c r="S215">
        <v>81</v>
      </c>
      <c r="T215">
        <v>44</v>
      </c>
      <c r="U215">
        <v>10</v>
      </c>
      <c r="V215">
        <v>393</v>
      </c>
    </row>
    <row r="216" spans="1:22" x14ac:dyDescent="0.25">
      <c r="A216">
        <v>2025</v>
      </c>
      <c r="B216">
        <v>4</v>
      </c>
      <c r="C216" t="s">
        <v>37</v>
      </c>
      <c r="D216" t="s">
        <v>22</v>
      </c>
      <c r="E216" t="s">
        <v>144</v>
      </c>
      <c r="F216" t="s">
        <v>32</v>
      </c>
      <c r="G216" t="s">
        <v>24</v>
      </c>
      <c r="H216" t="s">
        <v>25</v>
      </c>
      <c r="I216" t="s">
        <v>26</v>
      </c>
      <c r="J216" t="s">
        <v>25</v>
      </c>
      <c r="K216">
        <v>194</v>
      </c>
      <c r="L216">
        <v>3</v>
      </c>
      <c r="M216">
        <v>21</v>
      </c>
      <c r="N216">
        <v>24</v>
      </c>
      <c r="O216">
        <v>120</v>
      </c>
      <c r="P216">
        <v>95</v>
      </c>
      <c r="Q216">
        <v>87</v>
      </c>
      <c r="R216">
        <v>76</v>
      </c>
      <c r="S216">
        <v>59</v>
      </c>
      <c r="T216">
        <v>23</v>
      </c>
      <c r="U216">
        <v>3</v>
      </c>
      <c r="V216">
        <v>181</v>
      </c>
    </row>
    <row r="217" spans="1:22" x14ac:dyDescent="0.25">
      <c r="A217">
        <v>2025</v>
      </c>
      <c r="B217">
        <v>4</v>
      </c>
      <c r="C217" t="s">
        <v>37</v>
      </c>
      <c r="D217" t="s">
        <v>22</v>
      </c>
      <c r="E217" t="s">
        <v>144</v>
      </c>
      <c r="F217" t="s">
        <v>23</v>
      </c>
      <c r="G217" t="s">
        <v>24</v>
      </c>
      <c r="H217" t="s">
        <v>25</v>
      </c>
      <c r="I217" t="s">
        <v>26</v>
      </c>
      <c r="J217" t="s">
        <v>25</v>
      </c>
      <c r="K217">
        <v>227</v>
      </c>
      <c r="L217">
        <v>3</v>
      </c>
      <c r="M217">
        <v>13</v>
      </c>
      <c r="N217">
        <v>16</v>
      </c>
      <c r="O217">
        <v>102</v>
      </c>
      <c r="P217">
        <v>86</v>
      </c>
      <c r="Q217">
        <v>80</v>
      </c>
      <c r="R217">
        <v>67</v>
      </c>
      <c r="S217">
        <v>50</v>
      </c>
      <c r="T217">
        <v>24</v>
      </c>
      <c r="U217">
        <v>4</v>
      </c>
      <c r="V217">
        <v>223</v>
      </c>
    </row>
    <row r="218" spans="1:22" x14ac:dyDescent="0.25">
      <c r="A218">
        <v>2025</v>
      </c>
      <c r="B218">
        <v>4</v>
      </c>
      <c r="C218" t="s">
        <v>37</v>
      </c>
      <c r="D218" t="s">
        <v>22</v>
      </c>
      <c r="E218" t="s">
        <v>144</v>
      </c>
      <c r="F218" t="s">
        <v>39</v>
      </c>
      <c r="G218" t="s">
        <v>24</v>
      </c>
      <c r="H218" t="s">
        <v>26</v>
      </c>
      <c r="I218" t="s">
        <v>26</v>
      </c>
      <c r="J218" t="s">
        <v>25</v>
      </c>
      <c r="K218">
        <v>654</v>
      </c>
      <c r="L218">
        <v>6</v>
      </c>
      <c r="M218">
        <v>93</v>
      </c>
      <c r="N218">
        <v>99</v>
      </c>
      <c r="O218">
        <v>452</v>
      </c>
      <c r="P218">
        <v>411</v>
      </c>
      <c r="Q218">
        <v>394</v>
      </c>
      <c r="R218">
        <v>345</v>
      </c>
      <c r="S218">
        <v>306</v>
      </c>
      <c r="T218">
        <v>207</v>
      </c>
      <c r="U218">
        <v>74</v>
      </c>
      <c r="V218">
        <v>606</v>
      </c>
    </row>
    <row r="219" spans="1:22" x14ac:dyDescent="0.25">
      <c r="A219">
        <v>2025</v>
      </c>
      <c r="B219">
        <v>4</v>
      </c>
      <c r="C219" t="s">
        <v>37</v>
      </c>
      <c r="D219" t="s">
        <v>22</v>
      </c>
      <c r="E219" t="s">
        <v>144</v>
      </c>
      <c r="F219" t="s">
        <v>36</v>
      </c>
      <c r="G219" t="s">
        <v>24</v>
      </c>
      <c r="H219" t="s">
        <v>25</v>
      </c>
      <c r="I219" t="s">
        <v>26</v>
      </c>
      <c r="J219" t="s">
        <v>25</v>
      </c>
      <c r="K219">
        <v>295</v>
      </c>
      <c r="L219">
        <v>2</v>
      </c>
      <c r="M219">
        <v>5</v>
      </c>
      <c r="N219">
        <v>7</v>
      </c>
      <c r="O219">
        <v>114</v>
      </c>
      <c r="P219">
        <v>91</v>
      </c>
      <c r="Q219">
        <v>80</v>
      </c>
      <c r="R219">
        <v>48</v>
      </c>
      <c r="S219">
        <v>28</v>
      </c>
      <c r="T219">
        <v>9</v>
      </c>
      <c r="U219">
        <v>5</v>
      </c>
      <c r="V219">
        <v>293</v>
      </c>
    </row>
    <row r="220" spans="1:22" x14ac:dyDescent="0.25">
      <c r="A220">
        <v>2025</v>
      </c>
      <c r="B220">
        <v>4</v>
      </c>
      <c r="C220" t="s">
        <v>37</v>
      </c>
      <c r="D220" t="s">
        <v>22</v>
      </c>
      <c r="E220" t="s">
        <v>145</v>
      </c>
      <c r="F220" t="s">
        <v>32</v>
      </c>
      <c r="G220" t="s">
        <v>24</v>
      </c>
      <c r="H220" t="s">
        <v>25</v>
      </c>
      <c r="I220" t="s">
        <v>26</v>
      </c>
      <c r="J220" t="s">
        <v>25</v>
      </c>
      <c r="K220">
        <v>217</v>
      </c>
      <c r="L220">
        <v>4</v>
      </c>
      <c r="M220">
        <v>0</v>
      </c>
      <c r="N220">
        <v>4</v>
      </c>
      <c r="O220">
        <v>105</v>
      </c>
      <c r="P220">
        <v>85</v>
      </c>
      <c r="Q220">
        <v>77</v>
      </c>
      <c r="R220">
        <v>57</v>
      </c>
      <c r="S220">
        <v>47</v>
      </c>
      <c r="T220">
        <v>19</v>
      </c>
      <c r="U220">
        <v>0</v>
      </c>
      <c r="V220">
        <v>213</v>
      </c>
    </row>
    <row r="221" spans="1:22" x14ac:dyDescent="0.25">
      <c r="A221">
        <v>2025</v>
      </c>
      <c r="B221">
        <v>4</v>
      </c>
      <c r="C221" t="s">
        <v>37</v>
      </c>
      <c r="D221" t="s">
        <v>22</v>
      </c>
      <c r="E221" t="s">
        <v>145</v>
      </c>
      <c r="F221" t="s">
        <v>38</v>
      </c>
      <c r="G221" t="s">
        <v>24</v>
      </c>
      <c r="H221" t="s">
        <v>25</v>
      </c>
      <c r="I221" t="s">
        <v>26</v>
      </c>
      <c r="J221" t="s">
        <v>25</v>
      </c>
      <c r="K221">
        <v>21</v>
      </c>
      <c r="L221">
        <v>0</v>
      </c>
      <c r="M221">
        <v>0</v>
      </c>
      <c r="N221">
        <v>0</v>
      </c>
      <c r="O221">
        <v>18</v>
      </c>
      <c r="P221">
        <v>15</v>
      </c>
      <c r="Q221">
        <v>14</v>
      </c>
      <c r="R221">
        <v>11</v>
      </c>
      <c r="S221">
        <v>8</v>
      </c>
      <c r="T221">
        <v>4</v>
      </c>
      <c r="U221">
        <v>2</v>
      </c>
      <c r="V221">
        <v>21</v>
      </c>
    </row>
    <row r="222" spans="1:22" x14ac:dyDescent="0.25">
      <c r="A222">
        <v>2025</v>
      </c>
      <c r="B222">
        <v>4</v>
      </c>
      <c r="C222" t="s">
        <v>37</v>
      </c>
      <c r="D222" t="s">
        <v>22</v>
      </c>
      <c r="E222" t="s">
        <v>154</v>
      </c>
      <c r="F222" t="s">
        <v>32</v>
      </c>
      <c r="G222" t="s">
        <v>24</v>
      </c>
      <c r="H222" t="s">
        <v>25</v>
      </c>
      <c r="I222" t="s">
        <v>26</v>
      </c>
      <c r="J222" t="s">
        <v>25</v>
      </c>
      <c r="K222">
        <v>12</v>
      </c>
      <c r="L222">
        <v>0</v>
      </c>
      <c r="M222">
        <v>0</v>
      </c>
      <c r="N222">
        <v>0</v>
      </c>
      <c r="O222">
        <v>4</v>
      </c>
      <c r="P222">
        <v>4</v>
      </c>
      <c r="Q222">
        <v>4</v>
      </c>
      <c r="R222">
        <v>2</v>
      </c>
      <c r="S222">
        <v>2</v>
      </c>
      <c r="T222">
        <v>1</v>
      </c>
      <c r="U222">
        <v>0</v>
      </c>
      <c r="V222">
        <v>12</v>
      </c>
    </row>
    <row r="223" spans="1:22" x14ac:dyDescent="0.25">
      <c r="A223">
        <v>2025</v>
      </c>
      <c r="B223">
        <v>4</v>
      </c>
      <c r="C223" t="s">
        <v>37</v>
      </c>
      <c r="D223" t="s">
        <v>22</v>
      </c>
      <c r="E223" t="s">
        <v>147</v>
      </c>
      <c r="F223" t="s">
        <v>32</v>
      </c>
      <c r="G223" t="s">
        <v>24</v>
      </c>
      <c r="H223" t="s">
        <v>25</v>
      </c>
      <c r="I223" t="s">
        <v>26</v>
      </c>
      <c r="J223" t="s">
        <v>25</v>
      </c>
      <c r="K223">
        <v>56</v>
      </c>
      <c r="L223">
        <v>1</v>
      </c>
      <c r="M223">
        <v>2</v>
      </c>
      <c r="N223">
        <v>3</v>
      </c>
      <c r="O223">
        <v>30</v>
      </c>
      <c r="P223">
        <v>22</v>
      </c>
      <c r="Q223">
        <v>19</v>
      </c>
      <c r="R223">
        <v>16</v>
      </c>
      <c r="S223">
        <v>11</v>
      </c>
      <c r="T223">
        <v>7</v>
      </c>
      <c r="U223">
        <v>1</v>
      </c>
      <c r="V223">
        <v>54</v>
      </c>
    </row>
    <row r="224" spans="1:22" x14ac:dyDescent="0.25">
      <c r="A224">
        <v>2025</v>
      </c>
      <c r="B224">
        <v>4</v>
      </c>
      <c r="C224" t="s">
        <v>37</v>
      </c>
      <c r="D224" t="s">
        <v>22</v>
      </c>
      <c r="E224" t="s">
        <v>147</v>
      </c>
      <c r="F224" t="s">
        <v>36</v>
      </c>
      <c r="G224" t="s">
        <v>24</v>
      </c>
      <c r="H224" t="s">
        <v>25</v>
      </c>
      <c r="I224" t="s">
        <v>26</v>
      </c>
      <c r="J224" t="s">
        <v>25</v>
      </c>
      <c r="K224">
        <v>204</v>
      </c>
      <c r="L224">
        <v>2</v>
      </c>
      <c r="M224">
        <v>5</v>
      </c>
      <c r="N224">
        <v>7</v>
      </c>
      <c r="O224">
        <v>126</v>
      </c>
      <c r="P224">
        <v>89</v>
      </c>
      <c r="Q224">
        <v>81</v>
      </c>
      <c r="R224">
        <v>59</v>
      </c>
      <c r="S224">
        <v>42</v>
      </c>
      <c r="T224">
        <v>13</v>
      </c>
      <c r="U224">
        <v>4</v>
      </c>
      <c r="V224">
        <v>198</v>
      </c>
    </row>
    <row r="225" spans="1:22" x14ac:dyDescent="0.25">
      <c r="A225">
        <v>2025</v>
      </c>
      <c r="B225">
        <v>4</v>
      </c>
      <c r="C225" t="s">
        <v>37</v>
      </c>
      <c r="D225" t="s">
        <v>22</v>
      </c>
      <c r="E225" t="s">
        <v>148</v>
      </c>
      <c r="F225" t="s">
        <v>32</v>
      </c>
      <c r="G225" t="s">
        <v>24</v>
      </c>
      <c r="H225" t="s">
        <v>25</v>
      </c>
      <c r="I225" t="s">
        <v>26</v>
      </c>
      <c r="J225" t="s">
        <v>25</v>
      </c>
      <c r="K225">
        <v>458</v>
      </c>
      <c r="L225">
        <v>1</v>
      </c>
      <c r="M225">
        <v>7</v>
      </c>
      <c r="N225">
        <v>8</v>
      </c>
      <c r="O225">
        <v>197</v>
      </c>
      <c r="P225">
        <v>164</v>
      </c>
      <c r="Q225">
        <v>149</v>
      </c>
      <c r="R225">
        <v>110</v>
      </c>
      <c r="S225">
        <v>87</v>
      </c>
      <c r="T225">
        <v>40</v>
      </c>
      <c r="U225">
        <v>14</v>
      </c>
      <c r="V225">
        <v>453</v>
      </c>
    </row>
    <row r="226" spans="1:22" x14ac:dyDescent="0.25">
      <c r="A226">
        <v>2025</v>
      </c>
      <c r="B226">
        <v>4</v>
      </c>
      <c r="C226" t="s">
        <v>37</v>
      </c>
      <c r="D226" t="s">
        <v>22</v>
      </c>
      <c r="E226" t="s">
        <v>149</v>
      </c>
      <c r="F226" t="s">
        <v>32</v>
      </c>
      <c r="G226" t="s">
        <v>24</v>
      </c>
      <c r="H226" t="s">
        <v>25</v>
      </c>
      <c r="I226" t="s">
        <v>26</v>
      </c>
      <c r="J226" t="s">
        <v>25</v>
      </c>
      <c r="K226">
        <v>85</v>
      </c>
      <c r="L226">
        <v>4</v>
      </c>
      <c r="M226">
        <v>16</v>
      </c>
      <c r="N226">
        <v>20</v>
      </c>
      <c r="O226">
        <v>73</v>
      </c>
      <c r="P226">
        <v>71</v>
      </c>
      <c r="Q226">
        <v>70</v>
      </c>
      <c r="R226">
        <v>67</v>
      </c>
      <c r="S226">
        <v>61</v>
      </c>
      <c r="T226">
        <v>52</v>
      </c>
      <c r="U226">
        <v>22</v>
      </c>
      <c r="V226">
        <v>75</v>
      </c>
    </row>
    <row r="227" spans="1:22" x14ac:dyDescent="0.25">
      <c r="A227">
        <v>2025</v>
      </c>
      <c r="B227">
        <v>4</v>
      </c>
      <c r="C227" t="s">
        <v>37</v>
      </c>
      <c r="D227" t="s">
        <v>22</v>
      </c>
      <c r="E227" t="s">
        <v>149</v>
      </c>
      <c r="F227" t="s">
        <v>38</v>
      </c>
      <c r="G227" t="s">
        <v>24</v>
      </c>
      <c r="H227" t="s">
        <v>25</v>
      </c>
      <c r="I227" t="s">
        <v>26</v>
      </c>
      <c r="J227" t="s">
        <v>25</v>
      </c>
      <c r="K227">
        <v>3</v>
      </c>
      <c r="L227">
        <v>0</v>
      </c>
      <c r="M227">
        <v>0</v>
      </c>
      <c r="N227">
        <v>0</v>
      </c>
      <c r="O227">
        <v>3</v>
      </c>
      <c r="P227">
        <v>1</v>
      </c>
      <c r="Q227">
        <v>1</v>
      </c>
      <c r="R227">
        <v>1</v>
      </c>
      <c r="S227">
        <v>1</v>
      </c>
      <c r="T227">
        <v>0</v>
      </c>
      <c r="U227">
        <v>0</v>
      </c>
      <c r="V227">
        <v>3</v>
      </c>
    </row>
    <row r="228" spans="1:22" x14ac:dyDescent="0.25">
      <c r="A228">
        <v>2025</v>
      </c>
      <c r="B228">
        <v>4</v>
      </c>
      <c r="C228" t="s">
        <v>37</v>
      </c>
      <c r="D228" t="s">
        <v>22</v>
      </c>
      <c r="E228" t="s">
        <v>149</v>
      </c>
      <c r="F228" t="s">
        <v>34</v>
      </c>
      <c r="G228" t="s">
        <v>24</v>
      </c>
      <c r="H228" t="s">
        <v>25</v>
      </c>
      <c r="I228" t="s">
        <v>26</v>
      </c>
      <c r="J228" t="s">
        <v>26</v>
      </c>
      <c r="K228">
        <v>3</v>
      </c>
      <c r="L228">
        <v>0</v>
      </c>
      <c r="M228">
        <v>0</v>
      </c>
      <c r="N228">
        <v>0</v>
      </c>
      <c r="O228">
        <v>3</v>
      </c>
      <c r="P228">
        <v>3</v>
      </c>
      <c r="Q228">
        <v>3</v>
      </c>
      <c r="R228">
        <v>3</v>
      </c>
      <c r="S228">
        <v>0</v>
      </c>
      <c r="T228">
        <v>0</v>
      </c>
      <c r="U228">
        <v>0</v>
      </c>
      <c r="V228">
        <v>3</v>
      </c>
    </row>
    <row r="229" spans="1:22" x14ac:dyDescent="0.25">
      <c r="A229">
        <v>2025</v>
      </c>
      <c r="B229">
        <v>4</v>
      </c>
      <c r="C229" t="s">
        <v>37</v>
      </c>
      <c r="D229" t="s">
        <v>22</v>
      </c>
      <c r="E229" t="s">
        <v>149</v>
      </c>
      <c r="F229" t="s">
        <v>23</v>
      </c>
      <c r="G229" t="s">
        <v>24</v>
      </c>
      <c r="H229" t="s">
        <v>25</v>
      </c>
      <c r="I229" t="s">
        <v>26</v>
      </c>
      <c r="J229" t="s">
        <v>25</v>
      </c>
      <c r="K229">
        <v>274</v>
      </c>
      <c r="L229">
        <v>10</v>
      </c>
      <c r="M229">
        <v>27</v>
      </c>
      <c r="N229">
        <v>37</v>
      </c>
      <c r="O229">
        <v>143</v>
      </c>
      <c r="P229">
        <v>120</v>
      </c>
      <c r="Q229">
        <v>111</v>
      </c>
      <c r="R229">
        <v>82</v>
      </c>
      <c r="S229">
        <v>66</v>
      </c>
      <c r="T229">
        <v>35</v>
      </c>
      <c r="U229">
        <v>17</v>
      </c>
      <c r="V229">
        <v>261</v>
      </c>
    </row>
    <row r="230" spans="1:22" x14ac:dyDescent="0.25">
      <c r="A230">
        <v>2025</v>
      </c>
      <c r="B230">
        <v>4</v>
      </c>
      <c r="C230" t="s">
        <v>37</v>
      </c>
      <c r="D230" t="s">
        <v>22</v>
      </c>
      <c r="E230" t="s">
        <v>149</v>
      </c>
      <c r="F230" t="s">
        <v>39</v>
      </c>
      <c r="G230" t="s">
        <v>24</v>
      </c>
      <c r="H230" t="s">
        <v>26</v>
      </c>
      <c r="I230" t="s">
        <v>26</v>
      </c>
      <c r="J230" t="s">
        <v>25</v>
      </c>
      <c r="K230">
        <v>892</v>
      </c>
      <c r="L230">
        <v>34</v>
      </c>
      <c r="M230">
        <v>101</v>
      </c>
      <c r="N230">
        <v>135</v>
      </c>
      <c r="O230">
        <v>556</v>
      </c>
      <c r="P230">
        <v>496</v>
      </c>
      <c r="Q230">
        <v>463</v>
      </c>
      <c r="R230">
        <v>361</v>
      </c>
      <c r="S230">
        <v>275</v>
      </c>
      <c r="T230">
        <v>142</v>
      </c>
      <c r="U230">
        <v>49</v>
      </c>
      <c r="V230">
        <v>835</v>
      </c>
    </row>
    <row r="231" spans="1:22" x14ac:dyDescent="0.25">
      <c r="A231">
        <v>2025</v>
      </c>
      <c r="B231">
        <v>4</v>
      </c>
      <c r="C231" t="s">
        <v>37</v>
      </c>
      <c r="D231" t="s">
        <v>22</v>
      </c>
      <c r="E231" t="s">
        <v>150</v>
      </c>
      <c r="F231" t="s">
        <v>38</v>
      </c>
      <c r="G231" t="s">
        <v>24</v>
      </c>
      <c r="H231" t="s">
        <v>25</v>
      </c>
      <c r="I231" t="s">
        <v>26</v>
      </c>
      <c r="J231" t="s">
        <v>25</v>
      </c>
      <c r="K231">
        <v>20</v>
      </c>
      <c r="L231">
        <v>0</v>
      </c>
      <c r="M231">
        <v>1</v>
      </c>
      <c r="N231">
        <v>1</v>
      </c>
      <c r="O231">
        <v>17</v>
      </c>
      <c r="P231">
        <v>12</v>
      </c>
      <c r="Q231">
        <v>11</v>
      </c>
      <c r="R231">
        <v>9</v>
      </c>
      <c r="S231">
        <v>6</v>
      </c>
      <c r="T231">
        <v>4</v>
      </c>
      <c r="U231">
        <v>0</v>
      </c>
      <c r="V231">
        <v>20</v>
      </c>
    </row>
    <row r="232" spans="1:22" x14ac:dyDescent="0.25">
      <c r="A232">
        <v>2025</v>
      </c>
      <c r="B232">
        <v>4</v>
      </c>
      <c r="C232" t="s">
        <v>37</v>
      </c>
      <c r="D232" t="s">
        <v>22</v>
      </c>
      <c r="E232" t="s">
        <v>151</v>
      </c>
      <c r="F232" t="s">
        <v>39</v>
      </c>
      <c r="G232" t="s">
        <v>24</v>
      </c>
      <c r="H232" t="s">
        <v>26</v>
      </c>
      <c r="I232" t="s">
        <v>26</v>
      </c>
      <c r="J232" t="s">
        <v>25</v>
      </c>
      <c r="K232">
        <v>425</v>
      </c>
      <c r="L232">
        <v>10</v>
      </c>
      <c r="M232">
        <v>17</v>
      </c>
      <c r="N232">
        <v>27</v>
      </c>
      <c r="O232">
        <v>210</v>
      </c>
      <c r="P232">
        <v>169</v>
      </c>
      <c r="Q232">
        <v>162</v>
      </c>
      <c r="R232">
        <v>114</v>
      </c>
      <c r="S232">
        <v>81</v>
      </c>
      <c r="T232">
        <v>29</v>
      </c>
      <c r="U232">
        <v>4</v>
      </c>
      <c r="V232">
        <v>408</v>
      </c>
    </row>
    <row r="233" spans="1:22" x14ac:dyDescent="0.25">
      <c r="A233">
        <v>2025</v>
      </c>
      <c r="B233">
        <v>4</v>
      </c>
      <c r="C233" t="s">
        <v>37</v>
      </c>
      <c r="D233" t="s">
        <v>22</v>
      </c>
      <c r="E233" t="s">
        <v>123</v>
      </c>
      <c r="F233" t="s">
        <v>39</v>
      </c>
      <c r="G233" t="s">
        <v>24</v>
      </c>
      <c r="H233" t="s">
        <v>26</v>
      </c>
      <c r="I233" t="s">
        <v>26</v>
      </c>
      <c r="J233" t="s">
        <v>25</v>
      </c>
      <c r="K233">
        <v>537</v>
      </c>
      <c r="L233">
        <v>2</v>
      </c>
      <c r="M233">
        <v>12</v>
      </c>
      <c r="N233">
        <v>14</v>
      </c>
      <c r="O233">
        <v>343</v>
      </c>
      <c r="P233">
        <v>243</v>
      </c>
      <c r="Q233">
        <v>232</v>
      </c>
      <c r="R233">
        <v>125</v>
      </c>
      <c r="S233">
        <v>79</v>
      </c>
      <c r="T233">
        <v>24</v>
      </c>
      <c r="U233">
        <v>4</v>
      </c>
      <c r="V233">
        <v>531</v>
      </c>
    </row>
    <row r="234" spans="1:22" x14ac:dyDescent="0.25">
      <c r="A234">
        <v>2025</v>
      </c>
      <c r="B234">
        <v>4</v>
      </c>
      <c r="C234" t="s">
        <v>37</v>
      </c>
      <c r="D234" t="s">
        <v>22</v>
      </c>
      <c r="E234" t="s">
        <v>123</v>
      </c>
      <c r="F234" t="s">
        <v>42</v>
      </c>
      <c r="G234" t="s">
        <v>24</v>
      </c>
      <c r="H234" t="s">
        <v>26</v>
      </c>
      <c r="I234" t="s">
        <v>26</v>
      </c>
      <c r="J234" t="s">
        <v>25</v>
      </c>
      <c r="K234">
        <v>140</v>
      </c>
      <c r="L234">
        <v>5</v>
      </c>
      <c r="M234">
        <v>4</v>
      </c>
      <c r="N234">
        <v>9</v>
      </c>
      <c r="O234">
        <v>82</v>
      </c>
      <c r="P234">
        <v>55</v>
      </c>
      <c r="Q234">
        <v>48</v>
      </c>
      <c r="R234">
        <v>29</v>
      </c>
      <c r="S234">
        <v>18</v>
      </c>
      <c r="T234">
        <v>8</v>
      </c>
      <c r="U234">
        <v>4</v>
      </c>
      <c r="V234">
        <v>131</v>
      </c>
    </row>
    <row r="235" spans="1:22" x14ac:dyDescent="0.25">
      <c r="A235">
        <v>2025</v>
      </c>
      <c r="B235">
        <v>4</v>
      </c>
      <c r="C235" t="s">
        <v>37</v>
      </c>
      <c r="D235" t="s">
        <v>22</v>
      </c>
      <c r="E235" t="s">
        <v>123</v>
      </c>
      <c r="F235" t="s">
        <v>27</v>
      </c>
      <c r="G235" t="s">
        <v>24</v>
      </c>
      <c r="H235" t="s">
        <v>26</v>
      </c>
      <c r="I235" t="s">
        <v>26</v>
      </c>
      <c r="J235" t="s">
        <v>25</v>
      </c>
      <c r="K235">
        <v>8</v>
      </c>
      <c r="L235">
        <v>1</v>
      </c>
      <c r="M235">
        <v>0</v>
      </c>
      <c r="N235">
        <v>1</v>
      </c>
      <c r="O235">
        <v>3</v>
      </c>
      <c r="P235">
        <v>1</v>
      </c>
      <c r="Q235">
        <v>1</v>
      </c>
      <c r="R235">
        <v>1</v>
      </c>
      <c r="S235">
        <v>1</v>
      </c>
      <c r="T235">
        <v>1</v>
      </c>
      <c r="U235">
        <v>0</v>
      </c>
      <c r="V235">
        <v>7</v>
      </c>
    </row>
    <row r="236" spans="1:22" x14ac:dyDescent="0.25">
      <c r="A236">
        <v>2025</v>
      </c>
      <c r="B236">
        <v>4</v>
      </c>
      <c r="C236" t="s">
        <v>37</v>
      </c>
      <c r="D236" t="s">
        <v>22</v>
      </c>
      <c r="E236" t="s">
        <v>43</v>
      </c>
      <c r="F236" t="s">
        <v>23</v>
      </c>
      <c r="G236" t="s">
        <v>24</v>
      </c>
      <c r="H236" t="s">
        <v>25</v>
      </c>
      <c r="I236" t="s">
        <v>26</v>
      </c>
      <c r="J236" t="s">
        <v>25</v>
      </c>
      <c r="K236">
        <v>213</v>
      </c>
      <c r="L236">
        <v>1</v>
      </c>
      <c r="M236">
        <v>0</v>
      </c>
      <c r="N236">
        <v>1</v>
      </c>
      <c r="O236">
        <v>50</v>
      </c>
      <c r="P236">
        <v>30</v>
      </c>
      <c r="Q236">
        <v>23</v>
      </c>
      <c r="R236">
        <v>9</v>
      </c>
      <c r="S236">
        <v>3</v>
      </c>
      <c r="T236">
        <v>0</v>
      </c>
      <c r="U236">
        <v>0</v>
      </c>
      <c r="V236">
        <v>212</v>
      </c>
    </row>
    <row r="237" spans="1:22" x14ac:dyDescent="0.25">
      <c r="A237">
        <v>2025</v>
      </c>
      <c r="B237">
        <v>4</v>
      </c>
      <c r="C237" t="s">
        <v>37</v>
      </c>
      <c r="D237" t="s">
        <v>22</v>
      </c>
      <c r="E237" t="s">
        <v>61</v>
      </c>
      <c r="F237" t="s">
        <v>34</v>
      </c>
      <c r="G237" t="s">
        <v>28</v>
      </c>
      <c r="H237" t="s">
        <v>25</v>
      </c>
      <c r="I237" t="s">
        <v>26</v>
      </c>
      <c r="J237" t="s">
        <v>26</v>
      </c>
      <c r="K237">
        <v>2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2</v>
      </c>
    </row>
    <row r="238" spans="1:22" x14ac:dyDescent="0.25">
      <c r="A238">
        <v>2025</v>
      </c>
      <c r="B238">
        <v>4</v>
      </c>
      <c r="C238" t="s">
        <v>37</v>
      </c>
      <c r="D238" t="s">
        <v>22</v>
      </c>
      <c r="E238" t="s">
        <v>61</v>
      </c>
      <c r="F238" t="s">
        <v>35</v>
      </c>
      <c r="G238" t="s">
        <v>28</v>
      </c>
      <c r="H238" t="s">
        <v>25</v>
      </c>
      <c r="I238" t="s">
        <v>26</v>
      </c>
      <c r="J238" t="s">
        <v>26</v>
      </c>
      <c r="K238">
        <v>14</v>
      </c>
      <c r="L238">
        <v>1</v>
      </c>
      <c r="M238">
        <v>4</v>
      </c>
      <c r="N238">
        <v>5</v>
      </c>
      <c r="O238">
        <v>4</v>
      </c>
      <c r="P238">
        <v>3</v>
      </c>
      <c r="Q238">
        <v>3</v>
      </c>
      <c r="R238">
        <v>3</v>
      </c>
      <c r="S238">
        <v>3</v>
      </c>
      <c r="T238">
        <v>3</v>
      </c>
      <c r="U238">
        <v>2</v>
      </c>
      <c r="V238">
        <v>9</v>
      </c>
    </row>
    <row r="239" spans="1:22" x14ac:dyDescent="0.25">
      <c r="A239">
        <v>2025</v>
      </c>
      <c r="B239">
        <v>4</v>
      </c>
      <c r="C239" t="s">
        <v>37</v>
      </c>
      <c r="D239" t="s">
        <v>22</v>
      </c>
      <c r="E239" t="s">
        <v>61</v>
      </c>
      <c r="F239" t="s">
        <v>35</v>
      </c>
      <c r="G239" t="s">
        <v>24</v>
      </c>
      <c r="H239" t="s">
        <v>25</v>
      </c>
      <c r="I239" t="s">
        <v>26</v>
      </c>
      <c r="J239" t="s">
        <v>26</v>
      </c>
      <c r="K239">
        <v>474</v>
      </c>
      <c r="L239">
        <v>4</v>
      </c>
      <c r="M239">
        <v>24</v>
      </c>
      <c r="N239">
        <v>28</v>
      </c>
      <c r="O239">
        <v>283</v>
      </c>
      <c r="P239">
        <v>249</v>
      </c>
      <c r="Q239">
        <v>236</v>
      </c>
      <c r="R239">
        <v>205</v>
      </c>
      <c r="S239">
        <v>185</v>
      </c>
      <c r="T239">
        <v>130</v>
      </c>
      <c r="U239">
        <v>57</v>
      </c>
      <c r="V239">
        <v>462</v>
      </c>
    </row>
    <row r="240" spans="1:22" x14ac:dyDescent="0.25">
      <c r="A240">
        <v>2025</v>
      </c>
      <c r="B240">
        <v>4</v>
      </c>
      <c r="C240" t="s">
        <v>37</v>
      </c>
      <c r="D240" t="s">
        <v>22</v>
      </c>
      <c r="E240" t="s">
        <v>61</v>
      </c>
      <c r="F240" t="s">
        <v>35</v>
      </c>
      <c r="G240" t="s">
        <v>29</v>
      </c>
      <c r="H240" t="s">
        <v>25</v>
      </c>
      <c r="I240" t="s">
        <v>26</v>
      </c>
      <c r="J240" t="s">
        <v>26</v>
      </c>
      <c r="K240">
        <v>1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</row>
    <row r="241" spans="1:22" x14ac:dyDescent="0.25">
      <c r="A241">
        <v>2025</v>
      </c>
      <c r="B241">
        <v>4</v>
      </c>
      <c r="C241" t="s">
        <v>37</v>
      </c>
      <c r="D241" t="s">
        <v>22</v>
      </c>
      <c r="E241" t="s">
        <v>61</v>
      </c>
      <c r="F241" t="s">
        <v>41</v>
      </c>
      <c r="G241" t="s">
        <v>28</v>
      </c>
      <c r="H241" t="s">
        <v>26</v>
      </c>
      <c r="I241" t="s">
        <v>26</v>
      </c>
      <c r="J241" t="s">
        <v>25</v>
      </c>
      <c r="K241">
        <v>2</v>
      </c>
      <c r="L241">
        <v>2</v>
      </c>
      <c r="M241">
        <v>0</v>
      </c>
      <c r="N241">
        <v>2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</row>
    <row r="242" spans="1:22" x14ac:dyDescent="0.25">
      <c r="A242">
        <v>2025</v>
      </c>
      <c r="B242">
        <v>4</v>
      </c>
      <c r="C242" t="s">
        <v>37</v>
      </c>
      <c r="D242" t="s">
        <v>22</v>
      </c>
      <c r="E242" t="s">
        <v>61</v>
      </c>
      <c r="F242" t="s">
        <v>41</v>
      </c>
      <c r="G242" t="s">
        <v>24</v>
      </c>
      <c r="H242" t="s">
        <v>26</v>
      </c>
      <c r="I242" t="s">
        <v>26</v>
      </c>
      <c r="J242" t="s">
        <v>25</v>
      </c>
      <c r="K242">
        <v>352</v>
      </c>
      <c r="L242">
        <v>8</v>
      </c>
      <c r="M242">
        <v>7</v>
      </c>
      <c r="N242">
        <v>15</v>
      </c>
      <c r="O242">
        <v>215</v>
      </c>
      <c r="P242">
        <v>168</v>
      </c>
      <c r="Q242">
        <v>156</v>
      </c>
      <c r="R242">
        <v>99</v>
      </c>
      <c r="S242">
        <v>81</v>
      </c>
      <c r="T242">
        <v>30</v>
      </c>
      <c r="U242">
        <v>3</v>
      </c>
      <c r="V242">
        <v>342</v>
      </c>
    </row>
    <row r="243" spans="1:22" x14ac:dyDescent="0.25">
      <c r="A243">
        <v>2025</v>
      </c>
      <c r="B243">
        <v>4</v>
      </c>
      <c r="C243" t="s">
        <v>37</v>
      </c>
      <c r="D243" t="s">
        <v>22</v>
      </c>
      <c r="E243" t="s">
        <v>61</v>
      </c>
      <c r="F243" t="s">
        <v>41</v>
      </c>
      <c r="G243" t="s">
        <v>29</v>
      </c>
      <c r="H243" t="s">
        <v>26</v>
      </c>
      <c r="I243" t="s">
        <v>26</v>
      </c>
      <c r="J243" t="s">
        <v>25</v>
      </c>
      <c r="K243">
        <v>1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</row>
    <row r="244" spans="1:22" x14ac:dyDescent="0.25">
      <c r="A244">
        <v>2025</v>
      </c>
      <c r="B244">
        <v>4</v>
      </c>
      <c r="C244" t="s">
        <v>37</v>
      </c>
      <c r="D244" t="s">
        <v>22</v>
      </c>
      <c r="E244" t="s">
        <v>66</v>
      </c>
      <c r="F244" t="s">
        <v>34</v>
      </c>
      <c r="G244" t="s">
        <v>28</v>
      </c>
      <c r="H244" t="s">
        <v>25</v>
      </c>
      <c r="I244" t="s">
        <v>26</v>
      </c>
      <c r="J244" t="s">
        <v>26</v>
      </c>
      <c r="K244">
        <v>4</v>
      </c>
      <c r="L244">
        <v>0</v>
      </c>
      <c r="M244">
        <v>0</v>
      </c>
      <c r="N244">
        <v>0</v>
      </c>
      <c r="O244">
        <v>1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4</v>
      </c>
    </row>
    <row r="245" spans="1:22" x14ac:dyDescent="0.25">
      <c r="A245">
        <v>2025</v>
      </c>
      <c r="B245">
        <v>4</v>
      </c>
      <c r="C245" t="s">
        <v>37</v>
      </c>
      <c r="D245" t="s">
        <v>22</v>
      </c>
      <c r="E245" t="s">
        <v>66</v>
      </c>
      <c r="F245" t="s">
        <v>34</v>
      </c>
      <c r="G245" t="s">
        <v>24</v>
      </c>
      <c r="H245" t="s">
        <v>25</v>
      </c>
      <c r="I245" t="s">
        <v>26</v>
      </c>
      <c r="J245" t="s">
        <v>26</v>
      </c>
      <c r="K245">
        <v>1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1</v>
      </c>
    </row>
    <row r="246" spans="1:22" x14ac:dyDescent="0.25">
      <c r="A246">
        <v>2025</v>
      </c>
      <c r="B246">
        <v>4</v>
      </c>
      <c r="C246" t="s">
        <v>37</v>
      </c>
      <c r="D246" t="s">
        <v>22</v>
      </c>
      <c r="E246" t="s">
        <v>69</v>
      </c>
      <c r="F246" t="s">
        <v>23</v>
      </c>
      <c r="G246" t="s">
        <v>28</v>
      </c>
      <c r="H246" t="s">
        <v>25</v>
      </c>
      <c r="I246" t="s">
        <v>26</v>
      </c>
      <c r="J246" t="s">
        <v>25</v>
      </c>
      <c r="K246">
        <v>18</v>
      </c>
      <c r="L246">
        <v>0</v>
      </c>
      <c r="M246">
        <v>0</v>
      </c>
      <c r="N246">
        <v>0</v>
      </c>
      <c r="O246">
        <v>13</v>
      </c>
      <c r="P246">
        <v>9</v>
      </c>
      <c r="Q246">
        <v>6</v>
      </c>
      <c r="R246">
        <v>6</v>
      </c>
      <c r="S246">
        <v>2</v>
      </c>
      <c r="T246">
        <v>1</v>
      </c>
      <c r="U246">
        <v>0</v>
      </c>
      <c r="V246">
        <v>18</v>
      </c>
    </row>
    <row r="247" spans="1:22" x14ac:dyDescent="0.25">
      <c r="A247">
        <v>2025</v>
      </c>
      <c r="B247">
        <v>4</v>
      </c>
      <c r="C247" t="s">
        <v>37</v>
      </c>
      <c r="D247" t="s">
        <v>22</v>
      </c>
      <c r="E247" t="s">
        <v>69</v>
      </c>
      <c r="F247" t="s">
        <v>23</v>
      </c>
      <c r="G247" t="s">
        <v>24</v>
      </c>
      <c r="H247" t="s">
        <v>25</v>
      </c>
      <c r="I247" t="s">
        <v>26</v>
      </c>
      <c r="J247" t="s">
        <v>25</v>
      </c>
      <c r="K247">
        <v>637</v>
      </c>
      <c r="L247">
        <v>31</v>
      </c>
      <c r="M247">
        <v>12</v>
      </c>
      <c r="N247">
        <v>43</v>
      </c>
      <c r="O247">
        <v>277</v>
      </c>
      <c r="P247">
        <v>217</v>
      </c>
      <c r="Q247">
        <v>197</v>
      </c>
      <c r="R247">
        <v>131</v>
      </c>
      <c r="S247">
        <v>87</v>
      </c>
      <c r="T247">
        <v>24</v>
      </c>
      <c r="U247">
        <v>3</v>
      </c>
      <c r="V247">
        <v>597</v>
      </c>
    </row>
    <row r="248" spans="1:22" x14ac:dyDescent="0.25">
      <c r="A248">
        <v>2025</v>
      </c>
      <c r="B248">
        <v>4</v>
      </c>
      <c r="C248" t="s">
        <v>37</v>
      </c>
      <c r="D248" t="s">
        <v>22</v>
      </c>
      <c r="E248" t="s">
        <v>69</v>
      </c>
      <c r="F248" t="s">
        <v>40</v>
      </c>
      <c r="G248" t="s">
        <v>24</v>
      </c>
      <c r="H248" t="s">
        <v>25</v>
      </c>
      <c r="I248" t="s">
        <v>26</v>
      </c>
      <c r="J248" t="s">
        <v>25</v>
      </c>
      <c r="K248">
        <v>365</v>
      </c>
      <c r="L248">
        <v>10</v>
      </c>
      <c r="M248">
        <v>0</v>
      </c>
      <c r="N248">
        <v>10</v>
      </c>
      <c r="O248">
        <v>18</v>
      </c>
      <c r="P248">
        <v>9</v>
      </c>
      <c r="Q248">
        <v>8</v>
      </c>
      <c r="R248">
        <v>3</v>
      </c>
      <c r="S248">
        <v>0</v>
      </c>
      <c r="T248">
        <v>0</v>
      </c>
      <c r="U248">
        <v>0</v>
      </c>
      <c r="V248">
        <v>355</v>
      </c>
    </row>
    <row r="249" spans="1:22" x14ac:dyDescent="0.25">
      <c r="A249">
        <v>2025</v>
      </c>
      <c r="B249">
        <v>4</v>
      </c>
      <c r="C249" t="s">
        <v>37</v>
      </c>
      <c r="D249" t="s">
        <v>22</v>
      </c>
      <c r="E249" t="s">
        <v>75</v>
      </c>
      <c r="F249" t="s">
        <v>39</v>
      </c>
      <c r="G249" t="s">
        <v>28</v>
      </c>
      <c r="H249" t="s">
        <v>26</v>
      </c>
      <c r="I249" t="s">
        <v>26</v>
      </c>
      <c r="J249" t="s">
        <v>25</v>
      </c>
      <c r="K249">
        <v>7</v>
      </c>
      <c r="L249">
        <v>0</v>
      </c>
      <c r="M249">
        <v>1</v>
      </c>
      <c r="N249">
        <v>1</v>
      </c>
      <c r="O249">
        <v>5</v>
      </c>
      <c r="P249">
        <v>4</v>
      </c>
      <c r="Q249">
        <v>4</v>
      </c>
      <c r="R249">
        <v>2</v>
      </c>
      <c r="S249">
        <v>2</v>
      </c>
      <c r="T249">
        <v>0</v>
      </c>
      <c r="U249">
        <v>0</v>
      </c>
      <c r="V249">
        <v>6</v>
      </c>
    </row>
    <row r="250" spans="1:22" x14ac:dyDescent="0.25">
      <c r="A250">
        <v>2025</v>
      </c>
      <c r="B250">
        <v>4</v>
      </c>
      <c r="C250" t="s">
        <v>37</v>
      </c>
      <c r="D250" t="s">
        <v>22</v>
      </c>
      <c r="E250" t="s">
        <v>75</v>
      </c>
      <c r="F250" t="s">
        <v>39</v>
      </c>
      <c r="G250" t="s">
        <v>24</v>
      </c>
      <c r="H250" t="s">
        <v>26</v>
      </c>
      <c r="I250" t="s">
        <v>26</v>
      </c>
      <c r="J250" t="s">
        <v>25</v>
      </c>
      <c r="K250">
        <v>53</v>
      </c>
      <c r="L250">
        <v>5</v>
      </c>
      <c r="M250">
        <v>0</v>
      </c>
      <c r="N250">
        <v>5</v>
      </c>
      <c r="O250">
        <v>24</v>
      </c>
      <c r="P250">
        <v>20</v>
      </c>
      <c r="Q250">
        <v>20</v>
      </c>
      <c r="R250">
        <v>8</v>
      </c>
      <c r="S250">
        <v>4</v>
      </c>
      <c r="T250">
        <v>1</v>
      </c>
      <c r="U250">
        <v>0</v>
      </c>
      <c r="V250">
        <v>48</v>
      </c>
    </row>
    <row r="251" spans="1:22" x14ac:dyDescent="0.25">
      <c r="A251">
        <v>2025</v>
      </c>
      <c r="B251">
        <v>4</v>
      </c>
      <c r="C251" t="s">
        <v>37</v>
      </c>
      <c r="D251" t="s">
        <v>22</v>
      </c>
      <c r="E251" t="s">
        <v>75</v>
      </c>
      <c r="F251" t="s">
        <v>39</v>
      </c>
      <c r="G251" t="s">
        <v>29</v>
      </c>
      <c r="H251" t="s">
        <v>26</v>
      </c>
      <c r="I251" t="s">
        <v>26</v>
      </c>
      <c r="J251" t="s">
        <v>25</v>
      </c>
      <c r="K251">
        <v>2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</row>
    <row r="252" spans="1:22" x14ac:dyDescent="0.25">
      <c r="A252">
        <v>2025</v>
      </c>
      <c r="B252">
        <v>4</v>
      </c>
      <c r="C252" t="s">
        <v>37</v>
      </c>
      <c r="D252" t="s">
        <v>22</v>
      </c>
      <c r="E252" t="s">
        <v>75</v>
      </c>
      <c r="F252" t="s">
        <v>27</v>
      </c>
      <c r="G252" t="s">
        <v>24</v>
      </c>
      <c r="H252" t="s">
        <v>26</v>
      </c>
      <c r="I252" t="s">
        <v>26</v>
      </c>
      <c r="J252" t="s">
        <v>25</v>
      </c>
      <c r="K252">
        <v>4</v>
      </c>
      <c r="L252">
        <v>1</v>
      </c>
      <c r="M252">
        <v>0</v>
      </c>
      <c r="N252">
        <v>1</v>
      </c>
      <c r="O252">
        <v>3</v>
      </c>
      <c r="P252">
        <v>1</v>
      </c>
      <c r="Q252">
        <v>1</v>
      </c>
      <c r="R252">
        <v>1</v>
      </c>
      <c r="S252">
        <v>0</v>
      </c>
      <c r="T252">
        <v>0</v>
      </c>
      <c r="U252">
        <v>0</v>
      </c>
      <c r="V252">
        <v>3</v>
      </c>
    </row>
    <row r="253" spans="1:22" x14ac:dyDescent="0.25">
      <c r="A253">
        <v>2025</v>
      </c>
      <c r="B253">
        <v>5</v>
      </c>
      <c r="C253" t="s">
        <v>37</v>
      </c>
      <c r="D253" t="s">
        <v>22</v>
      </c>
      <c r="E253" t="s">
        <v>126</v>
      </c>
      <c r="F253" t="s">
        <v>32</v>
      </c>
      <c r="G253" t="s">
        <v>24</v>
      </c>
      <c r="H253" t="s">
        <v>25</v>
      </c>
      <c r="I253" t="s">
        <v>26</v>
      </c>
      <c r="J253" t="s">
        <v>25</v>
      </c>
      <c r="K253">
        <v>341</v>
      </c>
      <c r="L253">
        <v>1</v>
      </c>
      <c r="M253">
        <v>27</v>
      </c>
      <c r="N253">
        <v>28</v>
      </c>
      <c r="O253">
        <v>150</v>
      </c>
      <c r="P253">
        <v>116</v>
      </c>
      <c r="Q253">
        <v>104</v>
      </c>
      <c r="R253">
        <v>83</v>
      </c>
      <c r="S253">
        <v>54</v>
      </c>
      <c r="T253">
        <v>24</v>
      </c>
      <c r="U253">
        <v>7</v>
      </c>
      <c r="V253">
        <v>330</v>
      </c>
    </row>
    <row r="254" spans="1:22" x14ac:dyDescent="0.25">
      <c r="A254">
        <v>2025</v>
      </c>
      <c r="B254">
        <v>5</v>
      </c>
      <c r="C254" t="s">
        <v>37</v>
      </c>
      <c r="D254" t="s">
        <v>22</v>
      </c>
      <c r="E254" t="s">
        <v>126</v>
      </c>
      <c r="F254" t="s">
        <v>34</v>
      </c>
      <c r="G254" t="s">
        <v>24</v>
      </c>
      <c r="H254" t="s">
        <v>25</v>
      </c>
      <c r="I254" t="s">
        <v>26</v>
      </c>
      <c r="J254" t="s">
        <v>26</v>
      </c>
      <c r="K254">
        <v>2</v>
      </c>
      <c r="L254">
        <v>0</v>
      </c>
      <c r="M254">
        <v>0</v>
      </c>
      <c r="N254">
        <v>0</v>
      </c>
      <c r="O254">
        <v>2</v>
      </c>
      <c r="P254">
        <v>2</v>
      </c>
      <c r="Q254">
        <v>2</v>
      </c>
      <c r="R254">
        <v>2</v>
      </c>
      <c r="S254">
        <v>2</v>
      </c>
      <c r="T254">
        <v>1</v>
      </c>
      <c r="U254">
        <v>1</v>
      </c>
      <c r="V254">
        <v>2</v>
      </c>
    </row>
    <row r="255" spans="1:22" x14ac:dyDescent="0.25">
      <c r="A255">
        <v>2025</v>
      </c>
      <c r="B255">
        <v>5</v>
      </c>
      <c r="C255" t="s">
        <v>37</v>
      </c>
      <c r="D255" t="s">
        <v>22</v>
      </c>
      <c r="E255" t="s">
        <v>127</v>
      </c>
      <c r="F255" t="s">
        <v>32</v>
      </c>
      <c r="G255" t="s">
        <v>24</v>
      </c>
      <c r="H255" t="s">
        <v>25</v>
      </c>
      <c r="I255" t="s">
        <v>26</v>
      </c>
      <c r="J255" t="s">
        <v>25</v>
      </c>
      <c r="K255">
        <v>5</v>
      </c>
      <c r="L255">
        <v>0</v>
      </c>
      <c r="M255">
        <v>0</v>
      </c>
      <c r="N255">
        <v>0</v>
      </c>
      <c r="O255">
        <v>1</v>
      </c>
      <c r="P255">
        <v>1</v>
      </c>
      <c r="Q255">
        <v>1</v>
      </c>
      <c r="R255">
        <v>1</v>
      </c>
      <c r="S255">
        <v>1</v>
      </c>
      <c r="T255">
        <v>1</v>
      </c>
      <c r="U255">
        <v>0</v>
      </c>
      <c r="V255">
        <v>5</v>
      </c>
    </row>
    <row r="256" spans="1:22" x14ac:dyDescent="0.25">
      <c r="A256">
        <v>2025</v>
      </c>
      <c r="B256">
        <v>5</v>
      </c>
      <c r="C256" t="s">
        <v>37</v>
      </c>
      <c r="D256" t="s">
        <v>22</v>
      </c>
      <c r="E256" t="s">
        <v>128</v>
      </c>
      <c r="F256" t="s">
        <v>32</v>
      </c>
      <c r="G256" t="s">
        <v>24</v>
      </c>
      <c r="H256" t="s">
        <v>25</v>
      </c>
      <c r="I256" t="s">
        <v>26</v>
      </c>
      <c r="J256" t="s">
        <v>25</v>
      </c>
      <c r="K256">
        <v>57</v>
      </c>
      <c r="L256">
        <v>2</v>
      </c>
      <c r="M256">
        <v>5</v>
      </c>
      <c r="N256">
        <v>7</v>
      </c>
      <c r="O256">
        <v>22</v>
      </c>
      <c r="P256">
        <v>16</v>
      </c>
      <c r="Q256">
        <v>14</v>
      </c>
      <c r="R256">
        <v>11</v>
      </c>
      <c r="S256">
        <v>10</v>
      </c>
      <c r="T256">
        <v>3</v>
      </c>
      <c r="U256">
        <v>1</v>
      </c>
      <c r="V256">
        <v>53</v>
      </c>
    </row>
    <row r="257" spans="1:22" x14ac:dyDescent="0.25">
      <c r="A257">
        <v>2025</v>
      </c>
      <c r="B257">
        <v>5</v>
      </c>
      <c r="C257" t="s">
        <v>37</v>
      </c>
      <c r="D257" t="s">
        <v>22</v>
      </c>
      <c r="E257" t="s">
        <v>128</v>
      </c>
      <c r="F257" t="s">
        <v>34</v>
      </c>
      <c r="G257" t="s">
        <v>24</v>
      </c>
      <c r="H257" t="s">
        <v>25</v>
      </c>
      <c r="I257" t="s">
        <v>26</v>
      </c>
      <c r="J257" t="s">
        <v>26</v>
      </c>
      <c r="K257">
        <v>59</v>
      </c>
      <c r="L257">
        <v>0</v>
      </c>
      <c r="M257">
        <v>1</v>
      </c>
      <c r="N257">
        <v>1</v>
      </c>
      <c r="O257">
        <v>17</v>
      </c>
      <c r="P257">
        <v>15</v>
      </c>
      <c r="Q257">
        <v>10</v>
      </c>
      <c r="R257">
        <v>8</v>
      </c>
      <c r="S257">
        <v>8</v>
      </c>
      <c r="T257">
        <v>4</v>
      </c>
      <c r="U257">
        <v>2</v>
      </c>
      <c r="V257">
        <v>58</v>
      </c>
    </row>
    <row r="258" spans="1:22" x14ac:dyDescent="0.25">
      <c r="A258">
        <v>2025</v>
      </c>
      <c r="B258">
        <v>5</v>
      </c>
      <c r="C258" t="s">
        <v>37</v>
      </c>
      <c r="D258" t="s">
        <v>22</v>
      </c>
      <c r="E258" t="s">
        <v>129</v>
      </c>
      <c r="F258" t="s">
        <v>36</v>
      </c>
      <c r="G258" t="s">
        <v>24</v>
      </c>
      <c r="H258" t="s">
        <v>25</v>
      </c>
      <c r="I258" t="s">
        <v>26</v>
      </c>
      <c r="J258" t="s">
        <v>25</v>
      </c>
      <c r="K258">
        <v>62</v>
      </c>
      <c r="L258">
        <v>2</v>
      </c>
      <c r="M258">
        <v>6</v>
      </c>
      <c r="N258">
        <v>8</v>
      </c>
      <c r="O258">
        <v>24</v>
      </c>
      <c r="P258">
        <v>18</v>
      </c>
      <c r="Q258">
        <v>18</v>
      </c>
      <c r="R258">
        <v>16</v>
      </c>
      <c r="S258">
        <v>11</v>
      </c>
      <c r="T258">
        <v>2</v>
      </c>
      <c r="U258">
        <v>1</v>
      </c>
      <c r="V258">
        <v>54</v>
      </c>
    </row>
    <row r="259" spans="1:22" x14ac:dyDescent="0.25">
      <c r="A259">
        <v>2025</v>
      </c>
      <c r="B259">
        <v>5</v>
      </c>
      <c r="C259" t="s">
        <v>37</v>
      </c>
      <c r="D259" t="s">
        <v>22</v>
      </c>
      <c r="E259" t="s">
        <v>131</v>
      </c>
      <c r="F259" t="s">
        <v>34</v>
      </c>
      <c r="G259" t="s">
        <v>24</v>
      </c>
      <c r="H259" t="s">
        <v>25</v>
      </c>
      <c r="I259" t="s">
        <v>26</v>
      </c>
      <c r="J259" t="s">
        <v>26</v>
      </c>
      <c r="K259">
        <v>60</v>
      </c>
      <c r="L259">
        <v>0</v>
      </c>
      <c r="M259">
        <v>1</v>
      </c>
      <c r="N259">
        <v>1</v>
      </c>
      <c r="O259">
        <v>23</v>
      </c>
      <c r="P259">
        <v>21</v>
      </c>
      <c r="Q259">
        <v>18</v>
      </c>
      <c r="R259">
        <v>17</v>
      </c>
      <c r="S259">
        <v>10</v>
      </c>
      <c r="T259">
        <v>6</v>
      </c>
      <c r="U259">
        <v>2</v>
      </c>
      <c r="V259">
        <v>60</v>
      </c>
    </row>
    <row r="260" spans="1:22" x14ac:dyDescent="0.25">
      <c r="A260">
        <v>2025</v>
      </c>
      <c r="B260">
        <v>5</v>
      </c>
      <c r="C260" t="s">
        <v>37</v>
      </c>
      <c r="D260" t="s">
        <v>22</v>
      </c>
      <c r="E260" t="s">
        <v>132</v>
      </c>
      <c r="F260" t="s">
        <v>32</v>
      </c>
      <c r="G260" t="s">
        <v>24</v>
      </c>
      <c r="H260" t="s">
        <v>25</v>
      </c>
      <c r="I260" t="s">
        <v>26</v>
      </c>
      <c r="J260" t="s">
        <v>25</v>
      </c>
      <c r="K260">
        <v>61</v>
      </c>
      <c r="L260">
        <v>0</v>
      </c>
      <c r="M260">
        <v>6</v>
      </c>
      <c r="N260">
        <v>6</v>
      </c>
      <c r="O260">
        <v>40</v>
      </c>
      <c r="P260">
        <v>37</v>
      </c>
      <c r="Q260">
        <v>36</v>
      </c>
      <c r="R260">
        <v>32</v>
      </c>
      <c r="S260">
        <v>29</v>
      </c>
      <c r="T260">
        <v>19</v>
      </c>
      <c r="U260">
        <v>8</v>
      </c>
      <c r="V260">
        <v>59</v>
      </c>
    </row>
    <row r="261" spans="1:22" x14ac:dyDescent="0.25">
      <c r="A261">
        <v>2025</v>
      </c>
      <c r="B261">
        <v>5</v>
      </c>
      <c r="C261" t="s">
        <v>37</v>
      </c>
      <c r="D261" t="s">
        <v>22</v>
      </c>
      <c r="E261" t="s">
        <v>132</v>
      </c>
      <c r="F261" t="s">
        <v>34</v>
      </c>
      <c r="G261" t="s">
        <v>24</v>
      </c>
      <c r="H261" t="s">
        <v>25</v>
      </c>
      <c r="I261" t="s">
        <v>26</v>
      </c>
      <c r="J261" t="s">
        <v>26</v>
      </c>
      <c r="K261">
        <v>60</v>
      </c>
      <c r="L261">
        <v>0</v>
      </c>
      <c r="M261">
        <v>6</v>
      </c>
      <c r="N261">
        <v>6</v>
      </c>
      <c r="O261">
        <v>36</v>
      </c>
      <c r="P261">
        <v>35</v>
      </c>
      <c r="Q261">
        <v>34</v>
      </c>
      <c r="R261">
        <v>30</v>
      </c>
      <c r="S261">
        <v>27</v>
      </c>
      <c r="T261">
        <v>18</v>
      </c>
      <c r="U261">
        <v>7</v>
      </c>
      <c r="V261">
        <v>57</v>
      </c>
    </row>
    <row r="262" spans="1:22" x14ac:dyDescent="0.25">
      <c r="A262">
        <v>2025</v>
      </c>
      <c r="B262">
        <v>5</v>
      </c>
      <c r="C262" t="s">
        <v>37</v>
      </c>
      <c r="D262" t="s">
        <v>22</v>
      </c>
      <c r="E262" t="s">
        <v>37</v>
      </c>
      <c r="F262" t="s">
        <v>32</v>
      </c>
      <c r="G262" t="s">
        <v>28</v>
      </c>
      <c r="H262" t="s">
        <v>25</v>
      </c>
      <c r="I262" t="s">
        <v>26</v>
      </c>
      <c r="J262" t="s">
        <v>25</v>
      </c>
      <c r="K262">
        <v>2</v>
      </c>
      <c r="L262">
        <v>0</v>
      </c>
      <c r="M262">
        <v>1</v>
      </c>
      <c r="N262">
        <v>1</v>
      </c>
      <c r="O262">
        <v>1</v>
      </c>
      <c r="P262">
        <v>1</v>
      </c>
      <c r="Q262">
        <v>1</v>
      </c>
      <c r="R262">
        <v>1</v>
      </c>
      <c r="S262">
        <v>1</v>
      </c>
      <c r="T262">
        <v>1</v>
      </c>
      <c r="U262">
        <v>0</v>
      </c>
      <c r="V262">
        <v>1</v>
      </c>
    </row>
    <row r="263" spans="1:22" x14ac:dyDescent="0.25">
      <c r="A263">
        <v>2025</v>
      </c>
      <c r="B263">
        <v>5</v>
      </c>
      <c r="C263" t="s">
        <v>37</v>
      </c>
      <c r="D263" t="s">
        <v>22</v>
      </c>
      <c r="E263" t="s">
        <v>37</v>
      </c>
      <c r="F263" t="s">
        <v>38</v>
      </c>
      <c r="G263" t="s">
        <v>28</v>
      </c>
      <c r="H263" t="s">
        <v>25</v>
      </c>
      <c r="I263" t="s">
        <v>26</v>
      </c>
      <c r="J263" t="s">
        <v>25</v>
      </c>
      <c r="K263">
        <v>1</v>
      </c>
      <c r="L263">
        <v>0</v>
      </c>
      <c r="M263">
        <v>0</v>
      </c>
      <c r="N263">
        <v>0</v>
      </c>
      <c r="O263">
        <v>1</v>
      </c>
      <c r="P263">
        <v>1</v>
      </c>
      <c r="Q263">
        <v>1</v>
      </c>
      <c r="R263">
        <v>1</v>
      </c>
      <c r="S263">
        <v>1</v>
      </c>
      <c r="T263">
        <v>1</v>
      </c>
      <c r="U263">
        <v>1</v>
      </c>
      <c r="V263">
        <v>1</v>
      </c>
    </row>
    <row r="264" spans="1:22" x14ac:dyDescent="0.25">
      <c r="A264">
        <v>2025</v>
      </c>
      <c r="B264">
        <v>5</v>
      </c>
      <c r="C264" t="s">
        <v>37</v>
      </c>
      <c r="D264" t="s">
        <v>22</v>
      </c>
      <c r="E264" t="s">
        <v>37</v>
      </c>
      <c r="F264" t="s">
        <v>23</v>
      </c>
      <c r="G264" t="s">
        <v>28</v>
      </c>
      <c r="H264" t="s">
        <v>25</v>
      </c>
      <c r="I264" t="s">
        <v>26</v>
      </c>
      <c r="J264" t="s">
        <v>25</v>
      </c>
      <c r="K264">
        <v>4085</v>
      </c>
      <c r="L264">
        <v>112</v>
      </c>
      <c r="M264">
        <v>606</v>
      </c>
      <c r="N264">
        <v>718</v>
      </c>
      <c r="O264">
        <v>2309</v>
      </c>
      <c r="P264">
        <v>1967</v>
      </c>
      <c r="Q264">
        <v>1836</v>
      </c>
      <c r="R264">
        <v>1429</v>
      </c>
      <c r="S264">
        <v>1057</v>
      </c>
      <c r="T264">
        <v>483</v>
      </c>
      <c r="U264">
        <v>123</v>
      </c>
      <c r="V264">
        <v>3785</v>
      </c>
    </row>
    <row r="265" spans="1:22" x14ac:dyDescent="0.25">
      <c r="A265">
        <v>2025</v>
      </c>
      <c r="B265">
        <v>5</v>
      </c>
      <c r="C265" t="s">
        <v>37</v>
      </c>
      <c r="D265" t="s">
        <v>22</v>
      </c>
      <c r="E265" t="s">
        <v>37</v>
      </c>
      <c r="F265" t="s">
        <v>23</v>
      </c>
      <c r="G265" t="s">
        <v>24</v>
      </c>
      <c r="H265" t="s">
        <v>25</v>
      </c>
      <c r="I265" t="s">
        <v>26</v>
      </c>
      <c r="J265" t="s">
        <v>25</v>
      </c>
      <c r="K265">
        <v>518</v>
      </c>
      <c r="L265">
        <v>12</v>
      </c>
      <c r="M265">
        <v>31</v>
      </c>
      <c r="N265">
        <v>43</v>
      </c>
      <c r="O265">
        <v>337</v>
      </c>
      <c r="P265">
        <v>286</v>
      </c>
      <c r="Q265">
        <v>266</v>
      </c>
      <c r="R265">
        <v>202</v>
      </c>
      <c r="S265">
        <v>142</v>
      </c>
      <c r="T265">
        <v>75</v>
      </c>
      <c r="U265">
        <v>30</v>
      </c>
      <c r="V265">
        <v>491</v>
      </c>
    </row>
    <row r="266" spans="1:22" x14ac:dyDescent="0.25">
      <c r="A266">
        <v>2025</v>
      </c>
      <c r="B266">
        <v>5</v>
      </c>
      <c r="C266" t="s">
        <v>37</v>
      </c>
      <c r="D266" t="s">
        <v>22</v>
      </c>
      <c r="E266" t="s">
        <v>37</v>
      </c>
      <c r="F266" t="s">
        <v>39</v>
      </c>
      <c r="G266" t="s">
        <v>28</v>
      </c>
      <c r="H266" t="s">
        <v>26</v>
      </c>
      <c r="I266" t="s">
        <v>26</v>
      </c>
      <c r="J266" t="s">
        <v>25</v>
      </c>
      <c r="K266">
        <v>14849</v>
      </c>
      <c r="L266">
        <v>498</v>
      </c>
      <c r="M266">
        <v>1123</v>
      </c>
      <c r="N266">
        <v>1621</v>
      </c>
      <c r="O266">
        <v>8450</v>
      </c>
      <c r="P266">
        <v>7290</v>
      </c>
      <c r="Q266">
        <v>6823</v>
      </c>
      <c r="R266">
        <v>5394</v>
      </c>
      <c r="S266">
        <v>4197</v>
      </c>
      <c r="T266">
        <v>2209</v>
      </c>
      <c r="U266">
        <v>649</v>
      </c>
      <c r="V266">
        <v>13920</v>
      </c>
    </row>
    <row r="267" spans="1:22" x14ac:dyDescent="0.25">
      <c r="A267">
        <v>2025</v>
      </c>
      <c r="B267">
        <v>5</v>
      </c>
      <c r="C267" t="s">
        <v>37</v>
      </c>
      <c r="D267" t="s">
        <v>22</v>
      </c>
      <c r="E267" t="s">
        <v>135</v>
      </c>
      <c r="F267" t="s">
        <v>32</v>
      </c>
      <c r="G267" t="s">
        <v>24</v>
      </c>
      <c r="H267" t="s">
        <v>25</v>
      </c>
      <c r="I267" t="s">
        <v>26</v>
      </c>
      <c r="J267" t="s">
        <v>25</v>
      </c>
      <c r="K267">
        <v>401</v>
      </c>
      <c r="L267">
        <v>8</v>
      </c>
      <c r="M267">
        <v>3</v>
      </c>
      <c r="N267">
        <v>11</v>
      </c>
      <c r="O267">
        <v>185</v>
      </c>
      <c r="P267">
        <v>139</v>
      </c>
      <c r="Q267">
        <v>124</v>
      </c>
      <c r="R267">
        <v>90</v>
      </c>
      <c r="S267">
        <v>51</v>
      </c>
      <c r="T267">
        <v>20</v>
      </c>
      <c r="U267">
        <v>5</v>
      </c>
      <c r="V267">
        <v>390</v>
      </c>
    </row>
    <row r="268" spans="1:22" x14ac:dyDescent="0.25">
      <c r="A268">
        <v>2025</v>
      </c>
      <c r="B268">
        <v>5</v>
      </c>
      <c r="C268" t="s">
        <v>37</v>
      </c>
      <c r="D268" t="s">
        <v>22</v>
      </c>
      <c r="E268" t="s">
        <v>136</v>
      </c>
      <c r="F268" t="s">
        <v>34</v>
      </c>
      <c r="G268" t="s">
        <v>24</v>
      </c>
      <c r="H268" t="s">
        <v>25</v>
      </c>
      <c r="I268" t="s">
        <v>26</v>
      </c>
      <c r="J268" t="s">
        <v>26</v>
      </c>
      <c r="K268">
        <v>54</v>
      </c>
      <c r="L268">
        <v>0</v>
      </c>
      <c r="M268">
        <v>0</v>
      </c>
      <c r="N268">
        <v>0</v>
      </c>
      <c r="O268">
        <v>20</v>
      </c>
      <c r="P268">
        <v>19</v>
      </c>
      <c r="Q268">
        <v>17</v>
      </c>
      <c r="R268">
        <v>16</v>
      </c>
      <c r="S268">
        <v>12</v>
      </c>
      <c r="T268">
        <v>9</v>
      </c>
      <c r="U268">
        <v>8</v>
      </c>
      <c r="V268">
        <v>54</v>
      </c>
    </row>
    <row r="269" spans="1:22" x14ac:dyDescent="0.25">
      <c r="A269">
        <v>2025</v>
      </c>
      <c r="B269">
        <v>5</v>
      </c>
      <c r="C269" t="s">
        <v>37</v>
      </c>
      <c r="D269" t="s">
        <v>22</v>
      </c>
      <c r="E269" t="s">
        <v>138</v>
      </c>
      <c r="F269" t="s">
        <v>34</v>
      </c>
      <c r="G269" t="s">
        <v>24</v>
      </c>
      <c r="H269" t="s">
        <v>25</v>
      </c>
      <c r="I269" t="s">
        <v>26</v>
      </c>
      <c r="J269" t="s">
        <v>26</v>
      </c>
      <c r="K269">
        <v>29</v>
      </c>
      <c r="L269">
        <v>0</v>
      </c>
      <c r="M269">
        <v>0</v>
      </c>
      <c r="N269">
        <v>0</v>
      </c>
      <c r="O269">
        <v>2</v>
      </c>
      <c r="P269">
        <v>2</v>
      </c>
      <c r="Q269">
        <v>2</v>
      </c>
      <c r="R269">
        <v>1</v>
      </c>
      <c r="S269">
        <v>1</v>
      </c>
      <c r="T269">
        <v>0</v>
      </c>
      <c r="U269">
        <v>0</v>
      </c>
      <c r="V269">
        <v>29</v>
      </c>
    </row>
    <row r="270" spans="1:22" x14ac:dyDescent="0.25">
      <c r="A270">
        <v>2025</v>
      </c>
      <c r="B270">
        <v>5</v>
      </c>
      <c r="C270" t="s">
        <v>37</v>
      </c>
      <c r="D270" t="s">
        <v>22</v>
      </c>
      <c r="E270" t="s">
        <v>139</v>
      </c>
      <c r="F270" t="s">
        <v>34</v>
      </c>
      <c r="G270" t="s">
        <v>24</v>
      </c>
      <c r="H270" t="s">
        <v>25</v>
      </c>
      <c r="I270" t="s">
        <v>26</v>
      </c>
      <c r="J270" t="s">
        <v>26</v>
      </c>
      <c r="K270">
        <v>31</v>
      </c>
      <c r="L270">
        <v>0</v>
      </c>
      <c r="M270">
        <v>0</v>
      </c>
      <c r="N270">
        <v>0</v>
      </c>
      <c r="O270">
        <v>3</v>
      </c>
      <c r="P270">
        <v>2</v>
      </c>
      <c r="Q270">
        <v>2</v>
      </c>
      <c r="R270">
        <v>1</v>
      </c>
      <c r="S270">
        <v>1</v>
      </c>
      <c r="T270">
        <v>0</v>
      </c>
      <c r="U270">
        <v>0</v>
      </c>
      <c r="V270">
        <v>31</v>
      </c>
    </row>
    <row r="271" spans="1:22" x14ac:dyDescent="0.25">
      <c r="A271">
        <v>2025</v>
      </c>
      <c r="B271">
        <v>5</v>
      </c>
      <c r="C271" t="s">
        <v>37</v>
      </c>
      <c r="D271" t="s">
        <v>22</v>
      </c>
      <c r="E271" t="s">
        <v>153</v>
      </c>
      <c r="F271" t="s">
        <v>34</v>
      </c>
      <c r="G271" t="s">
        <v>24</v>
      </c>
      <c r="H271" t="s">
        <v>25</v>
      </c>
      <c r="I271" t="s">
        <v>26</v>
      </c>
      <c r="J271" t="s">
        <v>26</v>
      </c>
      <c r="K271">
        <v>1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1</v>
      </c>
    </row>
    <row r="272" spans="1:22" x14ac:dyDescent="0.25">
      <c r="A272">
        <v>2025</v>
      </c>
      <c r="B272">
        <v>5</v>
      </c>
      <c r="C272" t="s">
        <v>37</v>
      </c>
      <c r="D272" t="s">
        <v>22</v>
      </c>
      <c r="E272" t="s">
        <v>140</v>
      </c>
      <c r="F272" t="s">
        <v>34</v>
      </c>
      <c r="G272" t="s">
        <v>24</v>
      </c>
      <c r="H272" t="s">
        <v>25</v>
      </c>
      <c r="I272" t="s">
        <v>26</v>
      </c>
      <c r="J272" t="s">
        <v>26</v>
      </c>
      <c r="K272">
        <v>1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1</v>
      </c>
    </row>
    <row r="273" spans="1:22" x14ac:dyDescent="0.25">
      <c r="A273">
        <v>2025</v>
      </c>
      <c r="B273">
        <v>5</v>
      </c>
      <c r="C273" t="s">
        <v>37</v>
      </c>
      <c r="D273" t="s">
        <v>22</v>
      </c>
      <c r="E273" t="s">
        <v>141</v>
      </c>
      <c r="F273" t="s">
        <v>34</v>
      </c>
      <c r="G273" t="s">
        <v>24</v>
      </c>
      <c r="H273" t="s">
        <v>25</v>
      </c>
      <c r="I273" t="s">
        <v>26</v>
      </c>
      <c r="J273" t="s">
        <v>26</v>
      </c>
      <c r="K273">
        <v>31</v>
      </c>
      <c r="L273">
        <v>0</v>
      </c>
      <c r="M273">
        <v>0</v>
      </c>
      <c r="N273">
        <v>0</v>
      </c>
      <c r="O273">
        <v>2</v>
      </c>
      <c r="P273">
        <v>2</v>
      </c>
      <c r="Q273">
        <v>2</v>
      </c>
      <c r="R273">
        <v>1</v>
      </c>
      <c r="S273">
        <v>1</v>
      </c>
      <c r="T273">
        <v>0</v>
      </c>
      <c r="U273">
        <v>0</v>
      </c>
      <c r="V273">
        <v>31</v>
      </c>
    </row>
    <row r="274" spans="1:22" x14ac:dyDescent="0.25">
      <c r="A274">
        <v>2025</v>
      </c>
      <c r="B274">
        <v>5</v>
      </c>
      <c r="C274" t="s">
        <v>37</v>
      </c>
      <c r="D274" t="s">
        <v>22</v>
      </c>
      <c r="E274" t="s">
        <v>142</v>
      </c>
      <c r="F274" t="s">
        <v>34</v>
      </c>
      <c r="G274" t="s">
        <v>24</v>
      </c>
      <c r="H274" t="s">
        <v>25</v>
      </c>
      <c r="I274" t="s">
        <v>26</v>
      </c>
      <c r="J274" t="s">
        <v>26</v>
      </c>
      <c r="K274">
        <v>31</v>
      </c>
      <c r="L274">
        <v>0</v>
      </c>
      <c r="M274">
        <v>0</v>
      </c>
      <c r="N274">
        <v>0</v>
      </c>
      <c r="O274">
        <v>3</v>
      </c>
      <c r="P274">
        <v>3</v>
      </c>
      <c r="Q274">
        <v>2</v>
      </c>
      <c r="R274">
        <v>1</v>
      </c>
      <c r="S274">
        <v>1</v>
      </c>
      <c r="T274">
        <v>0</v>
      </c>
      <c r="U274">
        <v>0</v>
      </c>
      <c r="V274">
        <v>31</v>
      </c>
    </row>
    <row r="275" spans="1:22" x14ac:dyDescent="0.25">
      <c r="A275">
        <v>2025</v>
      </c>
      <c r="B275">
        <v>5</v>
      </c>
      <c r="C275" t="s">
        <v>37</v>
      </c>
      <c r="D275" t="s">
        <v>22</v>
      </c>
      <c r="E275" t="s">
        <v>143</v>
      </c>
      <c r="F275" t="s">
        <v>39</v>
      </c>
      <c r="G275" t="s">
        <v>24</v>
      </c>
      <c r="H275" t="s">
        <v>26</v>
      </c>
      <c r="I275" t="s">
        <v>26</v>
      </c>
      <c r="J275" t="s">
        <v>25</v>
      </c>
      <c r="K275">
        <v>464</v>
      </c>
      <c r="L275">
        <v>0</v>
      </c>
      <c r="M275">
        <v>24</v>
      </c>
      <c r="N275">
        <v>24</v>
      </c>
      <c r="O275">
        <v>255</v>
      </c>
      <c r="P275">
        <v>213</v>
      </c>
      <c r="Q275">
        <v>202</v>
      </c>
      <c r="R275">
        <v>148</v>
      </c>
      <c r="S275">
        <v>106</v>
      </c>
      <c r="T275">
        <v>46</v>
      </c>
      <c r="U275">
        <v>14</v>
      </c>
      <c r="V275">
        <v>455</v>
      </c>
    </row>
    <row r="276" spans="1:22" x14ac:dyDescent="0.25">
      <c r="A276">
        <v>2025</v>
      </c>
      <c r="B276">
        <v>5</v>
      </c>
      <c r="C276" t="s">
        <v>37</v>
      </c>
      <c r="D276" t="s">
        <v>22</v>
      </c>
      <c r="E276" t="s">
        <v>144</v>
      </c>
      <c r="F276" t="s">
        <v>32</v>
      </c>
      <c r="G276" t="s">
        <v>24</v>
      </c>
      <c r="H276" t="s">
        <v>25</v>
      </c>
      <c r="I276" t="s">
        <v>26</v>
      </c>
      <c r="J276" t="s">
        <v>25</v>
      </c>
      <c r="K276">
        <v>260</v>
      </c>
      <c r="L276">
        <v>2</v>
      </c>
      <c r="M276">
        <v>0</v>
      </c>
      <c r="N276">
        <v>2</v>
      </c>
      <c r="O276">
        <v>108</v>
      </c>
      <c r="P276">
        <v>77</v>
      </c>
      <c r="Q276">
        <v>64</v>
      </c>
      <c r="R276">
        <v>44</v>
      </c>
      <c r="S276">
        <v>20</v>
      </c>
      <c r="T276">
        <v>8</v>
      </c>
      <c r="U276">
        <v>3</v>
      </c>
      <c r="V276">
        <v>258</v>
      </c>
    </row>
    <row r="277" spans="1:22" x14ac:dyDescent="0.25">
      <c r="A277">
        <v>2025</v>
      </c>
      <c r="B277">
        <v>5</v>
      </c>
      <c r="C277" t="s">
        <v>37</v>
      </c>
      <c r="D277" t="s">
        <v>22</v>
      </c>
      <c r="E277" t="s">
        <v>144</v>
      </c>
      <c r="F277" t="s">
        <v>38</v>
      </c>
      <c r="G277" t="s">
        <v>24</v>
      </c>
      <c r="H277" t="s">
        <v>25</v>
      </c>
      <c r="I277" t="s">
        <v>26</v>
      </c>
      <c r="J277" t="s">
        <v>25</v>
      </c>
      <c r="K277">
        <v>1</v>
      </c>
      <c r="L277">
        <v>0</v>
      </c>
      <c r="M277">
        <v>0</v>
      </c>
      <c r="N277">
        <v>0</v>
      </c>
      <c r="O277">
        <v>1</v>
      </c>
      <c r="P277">
        <v>1</v>
      </c>
      <c r="Q277">
        <v>1</v>
      </c>
      <c r="R277">
        <v>1</v>
      </c>
      <c r="S277">
        <v>1</v>
      </c>
      <c r="T277">
        <v>1</v>
      </c>
      <c r="U277">
        <v>1</v>
      </c>
      <c r="V277">
        <v>1</v>
      </c>
    </row>
    <row r="278" spans="1:22" x14ac:dyDescent="0.25">
      <c r="A278">
        <v>2025</v>
      </c>
      <c r="B278">
        <v>5</v>
      </c>
      <c r="C278" t="s">
        <v>37</v>
      </c>
      <c r="D278" t="s">
        <v>22</v>
      </c>
      <c r="E278" t="s">
        <v>144</v>
      </c>
      <c r="F278" t="s">
        <v>23</v>
      </c>
      <c r="G278" t="s">
        <v>24</v>
      </c>
      <c r="H278" t="s">
        <v>25</v>
      </c>
      <c r="I278" t="s">
        <v>26</v>
      </c>
      <c r="J278" t="s">
        <v>25</v>
      </c>
      <c r="K278">
        <v>277</v>
      </c>
      <c r="L278">
        <v>0</v>
      </c>
      <c r="M278">
        <v>5</v>
      </c>
      <c r="N278">
        <v>5</v>
      </c>
      <c r="O278">
        <v>117</v>
      </c>
      <c r="P278">
        <v>95</v>
      </c>
      <c r="Q278">
        <v>87</v>
      </c>
      <c r="R278">
        <v>57</v>
      </c>
      <c r="S278">
        <v>42</v>
      </c>
      <c r="T278">
        <v>20</v>
      </c>
      <c r="U278">
        <v>7</v>
      </c>
      <c r="V278">
        <v>277</v>
      </c>
    </row>
    <row r="279" spans="1:22" x14ac:dyDescent="0.25">
      <c r="A279">
        <v>2025</v>
      </c>
      <c r="B279">
        <v>5</v>
      </c>
      <c r="C279" t="s">
        <v>37</v>
      </c>
      <c r="D279" t="s">
        <v>22</v>
      </c>
      <c r="E279" t="s">
        <v>144</v>
      </c>
      <c r="F279" t="s">
        <v>39</v>
      </c>
      <c r="G279" t="s">
        <v>24</v>
      </c>
      <c r="H279" t="s">
        <v>26</v>
      </c>
      <c r="I279" t="s">
        <v>26</v>
      </c>
      <c r="J279" t="s">
        <v>25</v>
      </c>
      <c r="K279">
        <v>642</v>
      </c>
      <c r="L279">
        <v>2</v>
      </c>
      <c r="M279">
        <v>44</v>
      </c>
      <c r="N279">
        <v>46</v>
      </c>
      <c r="O279">
        <v>418</v>
      </c>
      <c r="P279">
        <v>384</v>
      </c>
      <c r="Q279">
        <v>361</v>
      </c>
      <c r="R279">
        <v>318</v>
      </c>
      <c r="S279">
        <v>272</v>
      </c>
      <c r="T279">
        <v>176</v>
      </c>
      <c r="U279">
        <v>58</v>
      </c>
      <c r="V279">
        <v>617</v>
      </c>
    </row>
    <row r="280" spans="1:22" x14ac:dyDescent="0.25">
      <c r="A280">
        <v>2025</v>
      </c>
      <c r="B280">
        <v>5</v>
      </c>
      <c r="C280" t="s">
        <v>37</v>
      </c>
      <c r="D280" t="s">
        <v>22</v>
      </c>
      <c r="E280" t="s">
        <v>144</v>
      </c>
      <c r="F280" t="s">
        <v>36</v>
      </c>
      <c r="G280" t="s">
        <v>24</v>
      </c>
      <c r="H280" t="s">
        <v>25</v>
      </c>
      <c r="I280" t="s">
        <v>26</v>
      </c>
      <c r="J280" t="s">
        <v>25</v>
      </c>
      <c r="K280">
        <v>322</v>
      </c>
      <c r="L280">
        <v>3</v>
      </c>
      <c r="M280">
        <v>8</v>
      </c>
      <c r="N280">
        <v>11</v>
      </c>
      <c r="O280">
        <v>121</v>
      </c>
      <c r="P280">
        <v>77</v>
      </c>
      <c r="Q280">
        <v>62</v>
      </c>
      <c r="R280">
        <v>40</v>
      </c>
      <c r="S280">
        <v>30</v>
      </c>
      <c r="T280">
        <v>7</v>
      </c>
      <c r="U280">
        <v>1</v>
      </c>
      <c r="V280">
        <v>319</v>
      </c>
    </row>
    <row r="281" spans="1:22" x14ac:dyDescent="0.25">
      <c r="A281">
        <v>2025</v>
      </c>
      <c r="B281">
        <v>5</v>
      </c>
      <c r="C281" t="s">
        <v>37</v>
      </c>
      <c r="D281" t="s">
        <v>22</v>
      </c>
      <c r="E281" t="s">
        <v>145</v>
      </c>
      <c r="F281" t="s">
        <v>32</v>
      </c>
      <c r="G281" t="s">
        <v>24</v>
      </c>
      <c r="H281" t="s">
        <v>25</v>
      </c>
      <c r="I281" t="s">
        <v>26</v>
      </c>
      <c r="J281" t="s">
        <v>25</v>
      </c>
      <c r="K281">
        <v>241</v>
      </c>
      <c r="L281">
        <v>3</v>
      </c>
      <c r="M281">
        <v>4</v>
      </c>
      <c r="N281">
        <v>7</v>
      </c>
      <c r="O281">
        <v>163</v>
      </c>
      <c r="P281">
        <v>149</v>
      </c>
      <c r="Q281">
        <v>146</v>
      </c>
      <c r="R281">
        <v>127</v>
      </c>
      <c r="S281">
        <v>106</v>
      </c>
      <c r="T281">
        <v>51</v>
      </c>
      <c r="U281">
        <v>15</v>
      </c>
      <c r="V281">
        <v>236</v>
      </c>
    </row>
    <row r="282" spans="1:22" x14ac:dyDescent="0.25">
      <c r="A282">
        <v>2025</v>
      </c>
      <c r="B282">
        <v>5</v>
      </c>
      <c r="C282" t="s">
        <v>37</v>
      </c>
      <c r="D282" t="s">
        <v>22</v>
      </c>
      <c r="E282" t="s">
        <v>145</v>
      </c>
      <c r="F282" t="s">
        <v>38</v>
      </c>
      <c r="G282" t="s">
        <v>24</v>
      </c>
      <c r="H282" t="s">
        <v>25</v>
      </c>
      <c r="I282" t="s">
        <v>26</v>
      </c>
      <c r="J282" t="s">
        <v>25</v>
      </c>
      <c r="K282">
        <v>17</v>
      </c>
      <c r="L282">
        <v>0</v>
      </c>
      <c r="M282">
        <v>0</v>
      </c>
      <c r="N282">
        <v>0</v>
      </c>
      <c r="O282">
        <v>17</v>
      </c>
      <c r="P282">
        <v>16</v>
      </c>
      <c r="Q282">
        <v>15</v>
      </c>
      <c r="R282">
        <v>11</v>
      </c>
      <c r="S282">
        <v>7</v>
      </c>
      <c r="T282">
        <v>3</v>
      </c>
      <c r="U282">
        <v>3</v>
      </c>
      <c r="V282">
        <v>17</v>
      </c>
    </row>
    <row r="283" spans="1:22" x14ac:dyDescent="0.25">
      <c r="A283">
        <v>2025</v>
      </c>
      <c r="B283">
        <v>5</v>
      </c>
      <c r="C283" t="s">
        <v>37</v>
      </c>
      <c r="D283" t="s">
        <v>22</v>
      </c>
      <c r="E283" t="s">
        <v>154</v>
      </c>
      <c r="F283" t="s">
        <v>32</v>
      </c>
      <c r="G283" t="s">
        <v>24</v>
      </c>
      <c r="H283" t="s">
        <v>25</v>
      </c>
      <c r="I283" t="s">
        <v>26</v>
      </c>
      <c r="J283" t="s">
        <v>25</v>
      </c>
      <c r="K283">
        <v>18</v>
      </c>
      <c r="L283">
        <v>0</v>
      </c>
      <c r="M283">
        <v>0</v>
      </c>
      <c r="N283">
        <v>0</v>
      </c>
      <c r="O283">
        <v>6</v>
      </c>
      <c r="P283">
        <v>4</v>
      </c>
      <c r="Q283">
        <v>4</v>
      </c>
      <c r="R283">
        <v>2</v>
      </c>
      <c r="S283">
        <v>1</v>
      </c>
      <c r="T283">
        <v>0</v>
      </c>
      <c r="U283">
        <v>0</v>
      </c>
      <c r="V283">
        <v>18</v>
      </c>
    </row>
    <row r="284" spans="1:22" x14ac:dyDescent="0.25">
      <c r="A284">
        <v>2025</v>
      </c>
      <c r="B284">
        <v>5</v>
      </c>
      <c r="C284" t="s">
        <v>37</v>
      </c>
      <c r="D284" t="s">
        <v>22</v>
      </c>
      <c r="E284" t="s">
        <v>147</v>
      </c>
      <c r="F284" t="s">
        <v>32</v>
      </c>
      <c r="G284" t="s">
        <v>24</v>
      </c>
      <c r="H284" t="s">
        <v>25</v>
      </c>
      <c r="I284" t="s">
        <v>26</v>
      </c>
      <c r="J284" t="s">
        <v>25</v>
      </c>
      <c r="K284">
        <v>62</v>
      </c>
      <c r="L284">
        <v>0</v>
      </c>
      <c r="M284">
        <v>2</v>
      </c>
      <c r="N284">
        <v>2</v>
      </c>
      <c r="O284">
        <v>37</v>
      </c>
      <c r="P284">
        <v>30</v>
      </c>
      <c r="Q284">
        <v>26</v>
      </c>
      <c r="R284">
        <v>19</v>
      </c>
      <c r="S284">
        <v>17</v>
      </c>
      <c r="T284">
        <v>9</v>
      </c>
      <c r="U284">
        <v>2</v>
      </c>
      <c r="V284">
        <v>61</v>
      </c>
    </row>
    <row r="285" spans="1:22" x14ac:dyDescent="0.25">
      <c r="A285">
        <v>2025</v>
      </c>
      <c r="B285">
        <v>5</v>
      </c>
      <c r="C285" t="s">
        <v>37</v>
      </c>
      <c r="D285" t="s">
        <v>22</v>
      </c>
      <c r="E285" t="s">
        <v>147</v>
      </c>
      <c r="F285" t="s">
        <v>36</v>
      </c>
      <c r="G285" t="s">
        <v>24</v>
      </c>
      <c r="H285" t="s">
        <v>25</v>
      </c>
      <c r="I285" t="s">
        <v>26</v>
      </c>
      <c r="J285" t="s">
        <v>25</v>
      </c>
      <c r="K285">
        <v>245</v>
      </c>
      <c r="L285">
        <v>3</v>
      </c>
      <c r="M285">
        <v>14</v>
      </c>
      <c r="N285">
        <v>17</v>
      </c>
      <c r="O285">
        <v>127</v>
      </c>
      <c r="P285">
        <v>95</v>
      </c>
      <c r="Q285">
        <v>88</v>
      </c>
      <c r="R285">
        <v>60</v>
      </c>
      <c r="S285">
        <v>43</v>
      </c>
      <c r="T285">
        <v>13</v>
      </c>
      <c r="U285">
        <v>2</v>
      </c>
      <c r="V285">
        <v>231</v>
      </c>
    </row>
    <row r="286" spans="1:22" x14ac:dyDescent="0.25">
      <c r="A286">
        <v>2025</v>
      </c>
      <c r="B286">
        <v>5</v>
      </c>
      <c r="C286" t="s">
        <v>37</v>
      </c>
      <c r="D286" t="s">
        <v>22</v>
      </c>
      <c r="E286" t="s">
        <v>148</v>
      </c>
      <c r="F286" t="s">
        <v>32</v>
      </c>
      <c r="G286" t="s">
        <v>28</v>
      </c>
      <c r="H286" t="s">
        <v>25</v>
      </c>
      <c r="I286" t="s">
        <v>26</v>
      </c>
      <c r="J286" t="s">
        <v>25</v>
      </c>
      <c r="K286">
        <v>1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1</v>
      </c>
    </row>
    <row r="287" spans="1:22" x14ac:dyDescent="0.25">
      <c r="A287">
        <v>2025</v>
      </c>
      <c r="B287">
        <v>5</v>
      </c>
      <c r="C287" t="s">
        <v>37</v>
      </c>
      <c r="D287" t="s">
        <v>22</v>
      </c>
      <c r="E287" t="s">
        <v>148</v>
      </c>
      <c r="F287" t="s">
        <v>32</v>
      </c>
      <c r="G287" t="s">
        <v>24</v>
      </c>
      <c r="H287" t="s">
        <v>25</v>
      </c>
      <c r="I287" t="s">
        <v>26</v>
      </c>
      <c r="J287" t="s">
        <v>25</v>
      </c>
      <c r="K287">
        <v>565</v>
      </c>
      <c r="L287">
        <v>1</v>
      </c>
      <c r="M287">
        <v>5</v>
      </c>
      <c r="N287">
        <v>6</v>
      </c>
      <c r="O287">
        <v>249</v>
      </c>
      <c r="P287">
        <v>198</v>
      </c>
      <c r="Q287">
        <v>176</v>
      </c>
      <c r="R287">
        <v>123</v>
      </c>
      <c r="S287">
        <v>89</v>
      </c>
      <c r="T287">
        <v>48</v>
      </c>
      <c r="U287">
        <v>9</v>
      </c>
      <c r="V287">
        <v>559</v>
      </c>
    </row>
    <row r="288" spans="1:22" x14ac:dyDescent="0.25">
      <c r="A288">
        <v>2025</v>
      </c>
      <c r="B288">
        <v>5</v>
      </c>
      <c r="C288" t="s">
        <v>37</v>
      </c>
      <c r="D288" t="s">
        <v>22</v>
      </c>
      <c r="E288" t="s">
        <v>149</v>
      </c>
      <c r="F288" t="s">
        <v>32</v>
      </c>
      <c r="G288" t="s">
        <v>24</v>
      </c>
      <c r="H288" t="s">
        <v>25</v>
      </c>
      <c r="I288" t="s">
        <v>26</v>
      </c>
      <c r="J288" t="s">
        <v>25</v>
      </c>
      <c r="K288">
        <v>91</v>
      </c>
      <c r="L288">
        <v>5</v>
      </c>
      <c r="M288">
        <v>14</v>
      </c>
      <c r="N288">
        <v>19</v>
      </c>
      <c r="O288">
        <v>74</v>
      </c>
      <c r="P288">
        <v>73</v>
      </c>
      <c r="Q288">
        <v>71</v>
      </c>
      <c r="R288">
        <v>67</v>
      </c>
      <c r="S288">
        <v>62</v>
      </c>
      <c r="T288">
        <v>50</v>
      </c>
      <c r="U288">
        <v>23</v>
      </c>
      <c r="V288">
        <v>78</v>
      </c>
    </row>
    <row r="289" spans="1:22" x14ac:dyDescent="0.25">
      <c r="A289">
        <v>2025</v>
      </c>
      <c r="B289">
        <v>5</v>
      </c>
      <c r="C289" t="s">
        <v>37</v>
      </c>
      <c r="D289" t="s">
        <v>22</v>
      </c>
      <c r="E289" t="s">
        <v>149</v>
      </c>
      <c r="F289" t="s">
        <v>23</v>
      </c>
      <c r="G289" t="s">
        <v>24</v>
      </c>
      <c r="H289" t="s">
        <v>25</v>
      </c>
      <c r="I289" t="s">
        <v>26</v>
      </c>
      <c r="J289" t="s">
        <v>25</v>
      </c>
      <c r="K289">
        <v>347</v>
      </c>
      <c r="L289">
        <v>4</v>
      </c>
      <c r="M289">
        <v>22</v>
      </c>
      <c r="N289">
        <v>26</v>
      </c>
      <c r="O289">
        <v>166</v>
      </c>
      <c r="P289">
        <v>146</v>
      </c>
      <c r="Q289">
        <v>141</v>
      </c>
      <c r="R289">
        <v>118</v>
      </c>
      <c r="S289">
        <v>97</v>
      </c>
      <c r="T289">
        <v>67</v>
      </c>
      <c r="U289">
        <v>29</v>
      </c>
      <c r="V289">
        <v>341</v>
      </c>
    </row>
    <row r="290" spans="1:22" x14ac:dyDescent="0.25">
      <c r="A290">
        <v>2025</v>
      </c>
      <c r="B290">
        <v>5</v>
      </c>
      <c r="C290" t="s">
        <v>37</v>
      </c>
      <c r="D290" t="s">
        <v>22</v>
      </c>
      <c r="E290" t="s">
        <v>149</v>
      </c>
      <c r="F290" t="s">
        <v>39</v>
      </c>
      <c r="G290" t="s">
        <v>24</v>
      </c>
      <c r="H290" t="s">
        <v>26</v>
      </c>
      <c r="I290" t="s">
        <v>26</v>
      </c>
      <c r="J290" t="s">
        <v>25</v>
      </c>
      <c r="K290">
        <v>1368</v>
      </c>
      <c r="L290">
        <v>12</v>
      </c>
      <c r="M290">
        <v>126</v>
      </c>
      <c r="N290">
        <v>138</v>
      </c>
      <c r="O290">
        <v>941</v>
      </c>
      <c r="P290">
        <v>858</v>
      </c>
      <c r="Q290">
        <v>817</v>
      </c>
      <c r="R290">
        <v>710</v>
      </c>
      <c r="S290">
        <v>576</v>
      </c>
      <c r="T290">
        <v>309</v>
      </c>
      <c r="U290">
        <v>91</v>
      </c>
      <c r="V290">
        <v>1311</v>
      </c>
    </row>
    <row r="291" spans="1:22" x14ac:dyDescent="0.25">
      <c r="A291">
        <v>2025</v>
      </c>
      <c r="B291">
        <v>5</v>
      </c>
      <c r="C291" t="s">
        <v>37</v>
      </c>
      <c r="D291" t="s">
        <v>22</v>
      </c>
      <c r="E291" t="s">
        <v>150</v>
      </c>
      <c r="F291" t="s">
        <v>38</v>
      </c>
      <c r="G291" t="s">
        <v>24</v>
      </c>
      <c r="H291" t="s">
        <v>25</v>
      </c>
      <c r="I291" t="s">
        <v>26</v>
      </c>
      <c r="J291" t="s">
        <v>25</v>
      </c>
      <c r="K291">
        <v>28</v>
      </c>
      <c r="L291">
        <v>0</v>
      </c>
      <c r="M291">
        <v>0</v>
      </c>
      <c r="N291">
        <v>0</v>
      </c>
      <c r="O291">
        <v>22</v>
      </c>
      <c r="P291">
        <v>22</v>
      </c>
      <c r="Q291">
        <v>19</v>
      </c>
      <c r="R291">
        <v>13</v>
      </c>
      <c r="S291">
        <v>7</v>
      </c>
      <c r="T291">
        <v>3</v>
      </c>
      <c r="U291">
        <v>3</v>
      </c>
      <c r="V291">
        <v>28</v>
      </c>
    </row>
    <row r="292" spans="1:22" x14ac:dyDescent="0.25">
      <c r="A292">
        <v>2025</v>
      </c>
      <c r="B292">
        <v>5</v>
      </c>
      <c r="C292" t="s">
        <v>37</v>
      </c>
      <c r="D292" t="s">
        <v>22</v>
      </c>
      <c r="E292" t="s">
        <v>151</v>
      </c>
      <c r="F292" t="s">
        <v>39</v>
      </c>
      <c r="G292" t="s">
        <v>24</v>
      </c>
      <c r="H292" t="s">
        <v>26</v>
      </c>
      <c r="I292" t="s">
        <v>26</v>
      </c>
      <c r="J292" t="s">
        <v>25</v>
      </c>
      <c r="K292">
        <v>463</v>
      </c>
      <c r="L292">
        <v>2</v>
      </c>
      <c r="M292">
        <v>20</v>
      </c>
      <c r="N292">
        <v>22</v>
      </c>
      <c r="O292">
        <v>356</v>
      </c>
      <c r="P292">
        <v>326</v>
      </c>
      <c r="Q292">
        <v>317</v>
      </c>
      <c r="R292">
        <v>263</v>
      </c>
      <c r="S292">
        <v>213</v>
      </c>
      <c r="T292">
        <v>104</v>
      </c>
      <c r="U292">
        <v>18</v>
      </c>
      <c r="V292">
        <v>449</v>
      </c>
    </row>
    <row r="293" spans="1:22" x14ac:dyDescent="0.25">
      <c r="A293">
        <v>2025</v>
      </c>
      <c r="B293">
        <v>5</v>
      </c>
      <c r="C293" t="s">
        <v>37</v>
      </c>
      <c r="D293" t="s">
        <v>22</v>
      </c>
      <c r="E293" t="s">
        <v>123</v>
      </c>
      <c r="F293" t="s">
        <v>39</v>
      </c>
      <c r="G293" t="s">
        <v>28</v>
      </c>
      <c r="H293" t="s">
        <v>26</v>
      </c>
      <c r="I293" t="s">
        <v>26</v>
      </c>
      <c r="J293" t="s">
        <v>25</v>
      </c>
      <c r="K293">
        <v>1</v>
      </c>
      <c r="L293">
        <v>0</v>
      </c>
      <c r="M293">
        <v>1</v>
      </c>
      <c r="N293">
        <v>1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</row>
    <row r="294" spans="1:22" x14ac:dyDescent="0.25">
      <c r="A294">
        <v>2025</v>
      </c>
      <c r="B294">
        <v>5</v>
      </c>
      <c r="C294" t="s">
        <v>37</v>
      </c>
      <c r="D294" t="s">
        <v>22</v>
      </c>
      <c r="E294" t="s">
        <v>123</v>
      </c>
      <c r="F294" t="s">
        <v>39</v>
      </c>
      <c r="G294" t="s">
        <v>24</v>
      </c>
      <c r="H294" t="s">
        <v>26</v>
      </c>
      <c r="I294" t="s">
        <v>26</v>
      </c>
      <c r="J294" t="s">
        <v>25</v>
      </c>
      <c r="K294">
        <v>622</v>
      </c>
      <c r="L294">
        <v>4</v>
      </c>
      <c r="M294">
        <v>7</v>
      </c>
      <c r="N294">
        <v>11</v>
      </c>
      <c r="O294">
        <v>443</v>
      </c>
      <c r="P294">
        <v>359</v>
      </c>
      <c r="Q294">
        <v>349</v>
      </c>
      <c r="R294">
        <v>241</v>
      </c>
      <c r="S294">
        <v>181</v>
      </c>
      <c r="T294">
        <v>61</v>
      </c>
      <c r="U294">
        <v>17</v>
      </c>
      <c r="V294">
        <v>613</v>
      </c>
    </row>
    <row r="295" spans="1:22" x14ac:dyDescent="0.25">
      <c r="A295">
        <v>2025</v>
      </c>
      <c r="B295">
        <v>5</v>
      </c>
      <c r="C295" t="s">
        <v>37</v>
      </c>
      <c r="D295" t="s">
        <v>22</v>
      </c>
      <c r="E295" t="s">
        <v>123</v>
      </c>
      <c r="F295" t="s">
        <v>42</v>
      </c>
      <c r="G295" t="s">
        <v>24</v>
      </c>
      <c r="H295" t="s">
        <v>26</v>
      </c>
      <c r="I295" t="s">
        <v>26</v>
      </c>
      <c r="J295" t="s">
        <v>25</v>
      </c>
      <c r="K295">
        <v>140</v>
      </c>
      <c r="L295">
        <v>4</v>
      </c>
      <c r="M295">
        <v>0</v>
      </c>
      <c r="N295">
        <v>4</v>
      </c>
      <c r="O295">
        <v>80</v>
      </c>
      <c r="P295">
        <v>57</v>
      </c>
      <c r="Q295">
        <v>57</v>
      </c>
      <c r="R295">
        <v>41</v>
      </c>
      <c r="S295">
        <v>28</v>
      </c>
      <c r="T295">
        <v>11</v>
      </c>
      <c r="U295">
        <v>5</v>
      </c>
      <c r="V295">
        <v>136</v>
      </c>
    </row>
    <row r="296" spans="1:22" x14ac:dyDescent="0.25">
      <c r="A296">
        <v>2025</v>
      </c>
      <c r="B296">
        <v>5</v>
      </c>
      <c r="C296" t="s">
        <v>37</v>
      </c>
      <c r="D296" t="s">
        <v>22</v>
      </c>
      <c r="E296" t="s">
        <v>123</v>
      </c>
      <c r="F296" t="s">
        <v>27</v>
      </c>
      <c r="G296" t="s">
        <v>24</v>
      </c>
      <c r="H296" t="s">
        <v>26</v>
      </c>
      <c r="I296" t="s">
        <v>26</v>
      </c>
      <c r="J296" t="s">
        <v>25</v>
      </c>
      <c r="K296">
        <v>5</v>
      </c>
      <c r="L296">
        <v>1</v>
      </c>
      <c r="M296">
        <v>0</v>
      </c>
      <c r="N296">
        <v>1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4</v>
      </c>
    </row>
    <row r="297" spans="1:22" x14ac:dyDescent="0.25">
      <c r="A297">
        <v>2025</v>
      </c>
      <c r="B297">
        <v>5</v>
      </c>
      <c r="C297" t="s">
        <v>37</v>
      </c>
      <c r="D297" t="s">
        <v>22</v>
      </c>
      <c r="E297" t="s">
        <v>43</v>
      </c>
      <c r="F297" t="s">
        <v>23</v>
      </c>
      <c r="G297" t="s">
        <v>24</v>
      </c>
      <c r="H297" t="s">
        <v>25</v>
      </c>
      <c r="I297" t="s">
        <v>26</v>
      </c>
      <c r="J297" t="s">
        <v>25</v>
      </c>
      <c r="K297">
        <v>270</v>
      </c>
      <c r="L297">
        <v>2</v>
      </c>
      <c r="M297">
        <v>0</v>
      </c>
      <c r="N297">
        <v>2</v>
      </c>
      <c r="O297">
        <v>57</v>
      </c>
      <c r="P297">
        <v>38</v>
      </c>
      <c r="Q297">
        <v>30</v>
      </c>
      <c r="R297">
        <v>11</v>
      </c>
      <c r="S297">
        <v>1</v>
      </c>
      <c r="T297">
        <v>0</v>
      </c>
      <c r="U297">
        <v>0</v>
      </c>
      <c r="V297">
        <v>268</v>
      </c>
    </row>
    <row r="298" spans="1:22" x14ac:dyDescent="0.25">
      <c r="A298">
        <v>2025</v>
      </c>
      <c r="B298">
        <v>5</v>
      </c>
      <c r="C298" t="s">
        <v>37</v>
      </c>
      <c r="D298" t="s">
        <v>22</v>
      </c>
      <c r="E298" t="s">
        <v>61</v>
      </c>
      <c r="F298" t="s">
        <v>35</v>
      </c>
      <c r="G298" t="s">
        <v>28</v>
      </c>
      <c r="H298" t="s">
        <v>25</v>
      </c>
      <c r="I298" t="s">
        <v>26</v>
      </c>
      <c r="J298" t="s">
        <v>26</v>
      </c>
      <c r="K298">
        <v>7</v>
      </c>
      <c r="L298">
        <v>0</v>
      </c>
      <c r="M298">
        <v>2</v>
      </c>
      <c r="N298">
        <v>2</v>
      </c>
      <c r="O298">
        <v>2</v>
      </c>
      <c r="P298">
        <v>2</v>
      </c>
      <c r="Q298">
        <v>2</v>
      </c>
      <c r="R298">
        <v>2</v>
      </c>
      <c r="S298">
        <v>2</v>
      </c>
      <c r="T298">
        <v>2</v>
      </c>
      <c r="U298">
        <v>0</v>
      </c>
      <c r="V298">
        <v>6</v>
      </c>
    </row>
    <row r="299" spans="1:22" x14ac:dyDescent="0.25">
      <c r="A299">
        <v>2025</v>
      </c>
      <c r="B299">
        <v>5</v>
      </c>
      <c r="C299" t="s">
        <v>37</v>
      </c>
      <c r="D299" t="s">
        <v>22</v>
      </c>
      <c r="E299" t="s">
        <v>61</v>
      </c>
      <c r="F299" t="s">
        <v>35</v>
      </c>
      <c r="G299" t="s">
        <v>24</v>
      </c>
      <c r="H299" t="s">
        <v>25</v>
      </c>
      <c r="I299" t="s">
        <v>26</v>
      </c>
      <c r="J299" t="s">
        <v>26</v>
      </c>
      <c r="K299">
        <v>574</v>
      </c>
      <c r="L299">
        <v>3</v>
      </c>
      <c r="M299">
        <v>55</v>
      </c>
      <c r="N299">
        <v>58</v>
      </c>
      <c r="O299">
        <v>339</v>
      </c>
      <c r="P299">
        <v>313</v>
      </c>
      <c r="Q299">
        <v>306</v>
      </c>
      <c r="R299">
        <v>266</v>
      </c>
      <c r="S299">
        <v>236</v>
      </c>
      <c r="T299">
        <v>170</v>
      </c>
      <c r="U299">
        <v>87</v>
      </c>
      <c r="V299">
        <v>553</v>
      </c>
    </row>
    <row r="300" spans="1:22" x14ac:dyDescent="0.25">
      <c r="A300">
        <v>2025</v>
      </c>
      <c r="B300">
        <v>5</v>
      </c>
      <c r="C300" t="s">
        <v>37</v>
      </c>
      <c r="D300" t="s">
        <v>22</v>
      </c>
      <c r="E300" t="s">
        <v>61</v>
      </c>
      <c r="F300" t="s">
        <v>41</v>
      </c>
      <c r="G300" t="s">
        <v>28</v>
      </c>
      <c r="H300" t="s">
        <v>26</v>
      </c>
      <c r="I300" t="s">
        <v>26</v>
      </c>
      <c r="J300" t="s">
        <v>25</v>
      </c>
      <c r="K300">
        <v>1</v>
      </c>
      <c r="L300">
        <v>1</v>
      </c>
      <c r="M300">
        <v>0</v>
      </c>
      <c r="N300">
        <v>1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</row>
    <row r="301" spans="1:22" x14ac:dyDescent="0.25">
      <c r="A301">
        <v>2025</v>
      </c>
      <c r="B301">
        <v>5</v>
      </c>
      <c r="C301" t="s">
        <v>37</v>
      </c>
      <c r="D301" t="s">
        <v>22</v>
      </c>
      <c r="E301" t="s">
        <v>61</v>
      </c>
      <c r="F301" t="s">
        <v>41</v>
      </c>
      <c r="G301" t="s">
        <v>24</v>
      </c>
      <c r="H301" t="s">
        <v>26</v>
      </c>
      <c r="I301" t="s">
        <v>26</v>
      </c>
      <c r="J301" t="s">
        <v>25</v>
      </c>
      <c r="K301">
        <v>382</v>
      </c>
      <c r="L301">
        <v>3</v>
      </c>
      <c r="M301">
        <v>7</v>
      </c>
      <c r="N301">
        <v>10</v>
      </c>
      <c r="O301">
        <v>220</v>
      </c>
      <c r="P301">
        <v>168</v>
      </c>
      <c r="Q301">
        <v>149</v>
      </c>
      <c r="R301">
        <v>90</v>
      </c>
      <c r="S301">
        <v>65</v>
      </c>
      <c r="T301">
        <v>21</v>
      </c>
      <c r="U301">
        <v>8</v>
      </c>
      <c r="V301">
        <v>377</v>
      </c>
    </row>
    <row r="302" spans="1:22" x14ac:dyDescent="0.25">
      <c r="A302">
        <v>2025</v>
      </c>
      <c r="B302">
        <v>5</v>
      </c>
      <c r="C302" t="s">
        <v>37</v>
      </c>
      <c r="D302" t="s">
        <v>22</v>
      </c>
      <c r="E302" t="s">
        <v>69</v>
      </c>
      <c r="F302" t="s">
        <v>23</v>
      </c>
      <c r="G302" t="s">
        <v>28</v>
      </c>
      <c r="H302" t="s">
        <v>25</v>
      </c>
      <c r="I302" t="s">
        <v>26</v>
      </c>
      <c r="J302" t="s">
        <v>25</v>
      </c>
      <c r="K302">
        <v>22</v>
      </c>
      <c r="L302">
        <v>0</v>
      </c>
      <c r="M302">
        <v>0</v>
      </c>
      <c r="N302">
        <v>0</v>
      </c>
      <c r="O302">
        <v>9</v>
      </c>
      <c r="P302">
        <v>4</v>
      </c>
      <c r="Q302">
        <v>2</v>
      </c>
      <c r="R302">
        <v>2</v>
      </c>
      <c r="S302">
        <v>2</v>
      </c>
      <c r="T302">
        <v>0</v>
      </c>
      <c r="U302">
        <v>0</v>
      </c>
      <c r="V302">
        <v>22</v>
      </c>
    </row>
    <row r="303" spans="1:22" x14ac:dyDescent="0.25">
      <c r="A303">
        <v>2025</v>
      </c>
      <c r="B303">
        <v>5</v>
      </c>
      <c r="C303" t="s">
        <v>37</v>
      </c>
      <c r="D303" t="s">
        <v>22</v>
      </c>
      <c r="E303" t="s">
        <v>69</v>
      </c>
      <c r="F303" t="s">
        <v>23</v>
      </c>
      <c r="G303" t="s">
        <v>24</v>
      </c>
      <c r="H303" t="s">
        <v>25</v>
      </c>
      <c r="I303" t="s">
        <v>26</v>
      </c>
      <c r="J303" t="s">
        <v>25</v>
      </c>
      <c r="K303">
        <v>707</v>
      </c>
      <c r="L303">
        <v>14</v>
      </c>
      <c r="M303">
        <v>7</v>
      </c>
      <c r="N303">
        <v>21</v>
      </c>
      <c r="O303">
        <v>221</v>
      </c>
      <c r="P303">
        <v>166</v>
      </c>
      <c r="Q303">
        <v>143</v>
      </c>
      <c r="R303">
        <v>98</v>
      </c>
      <c r="S303">
        <v>68</v>
      </c>
      <c r="T303">
        <v>25</v>
      </c>
      <c r="U303">
        <v>3</v>
      </c>
      <c r="V303">
        <v>689</v>
      </c>
    </row>
    <row r="304" spans="1:22" x14ac:dyDescent="0.25">
      <c r="A304">
        <v>2025</v>
      </c>
      <c r="B304">
        <v>5</v>
      </c>
      <c r="C304" t="s">
        <v>37</v>
      </c>
      <c r="D304" t="s">
        <v>22</v>
      </c>
      <c r="E304" t="s">
        <v>69</v>
      </c>
      <c r="F304" t="s">
        <v>40</v>
      </c>
      <c r="G304" t="s">
        <v>24</v>
      </c>
      <c r="H304" t="s">
        <v>25</v>
      </c>
      <c r="I304" t="s">
        <v>26</v>
      </c>
      <c r="J304" t="s">
        <v>25</v>
      </c>
      <c r="K304">
        <v>228</v>
      </c>
      <c r="L304">
        <v>1</v>
      </c>
      <c r="M304">
        <v>0</v>
      </c>
      <c r="N304">
        <v>1</v>
      </c>
      <c r="O304">
        <v>14</v>
      </c>
      <c r="P304">
        <v>8</v>
      </c>
      <c r="Q304">
        <v>6</v>
      </c>
      <c r="R304">
        <v>4</v>
      </c>
      <c r="S304">
        <v>0</v>
      </c>
      <c r="T304">
        <v>0</v>
      </c>
      <c r="U304">
        <v>0</v>
      </c>
      <c r="V304">
        <v>227</v>
      </c>
    </row>
    <row r="305" spans="1:22" x14ac:dyDescent="0.25">
      <c r="A305">
        <v>2025</v>
      </c>
      <c r="B305">
        <v>5</v>
      </c>
      <c r="C305" t="s">
        <v>37</v>
      </c>
      <c r="D305" t="s">
        <v>22</v>
      </c>
      <c r="E305" t="s">
        <v>75</v>
      </c>
      <c r="F305" t="s">
        <v>39</v>
      </c>
      <c r="G305" t="s">
        <v>24</v>
      </c>
      <c r="H305" t="s">
        <v>26</v>
      </c>
      <c r="I305" t="s">
        <v>26</v>
      </c>
      <c r="J305" t="s">
        <v>25</v>
      </c>
      <c r="K305">
        <v>14</v>
      </c>
      <c r="L305">
        <v>1</v>
      </c>
      <c r="M305">
        <v>0</v>
      </c>
      <c r="N305">
        <v>1</v>
      </c>
      <c r="O305">
        <v>4</v>
      </c>
      <c r="P305">
        <v>1</v>
      </c>
      <c r="Q305">
        <v>1</v>
      </c>
      <c r="R305">
        <v>1</v>
      </c>
      <c r="S305">
        <v>1</v>
      </c>
      <c r="T305">
        <v>0</v>
      </c>
      <c r="U305">
        <v>0</v>
      </c>
      <c r="V305">
        <v>13</v>
      </c>
    </row>
    <row r="306" spans="1:22" x14ac:dyDescent="0.25">
      <c r="A306">
        <v>2025</v>
      </c>
      <c r="B306">
        <v>5</v>
      </c>
      <c r="C306" t="s">
        <v>37</v>
      </c>
      <c r="D306" t="s">
        <v>22</v>
      </c>
      <c r="E306" t="s">
        <v>75</v>
      </c>
      <c r="F306" t="s">
        <v>39</v>
      </c>
      <c r="G306" t="s">
        <v>29</v>
      </c>
      <c r="H306" t="s">
        <v>26</v>
      </c>
      <c r="I306" t="s">
        <v>26</v>
      </c>
      <c r="J306" t="s">
        <v>25</v>
      </c>
      <c r="K306">
        <v>6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</row>
    <row r="307" spans="1:22" x14ac:dyDescent="0.25">
      <c r="A307">
        <v>2025</v>
      </c>
      <c r="B307">
        <v>5</v>
      </c>
      <c r="C307" t="s">
        <v>37</v>
      </c>
      <c r="D307" t="s">
        <v>22</v>
      </c>
      <c r="E307" t="s">
        <v>75</v>
      </c>
      <c r="F307" t="s">
        <v>27</v>
      </c>
      <c r="G307" t="s">
        <v>24</v>
      </c>
      <c r="H307" t="s">
        <v>26</v>
      </c>
      <c r="I307" t="s">
        <v>26</v>
      </c>
      <c r="J307" t="s">
        <v>25</v>
      </c>
      <c r="K307">
        <v>4</v>
      </c>
      <c r="L307">
        <v>4</v>
      </c>
      <c r="M307">
        <v>0</v>
      </c>
      <c r="N307">
        <v>4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</row>
    <row r="308" spans="1:22" x14ac:dyDescent="0.25">
      <c r="A308">
        <v>2025</v>
      </c>
      <c r="B308">
        <v>6</v>
      </c>
      <c r="C308" t="s">
        <v>37</v>
      </c>
      <c r="D308" t="s">
        <v>22</v>
      </c>
      <c r="E308" t="s">
        <v>126</v>
      </c>
      <c r="F308" t="s">
        <v>32</v>
      </c>
      <c r="G308" t="s">
        <v>24</v>
      </c>
      <c r="H308" t="s">
        <v>25</v>
      </c>
      <c r="I308" t="s">
        <v>26</v>
      </c>
      <c r="J308" t="s">
        <v>25</v>
      </c>
      <c r="K308">
        <v>340</v>
      </c>
      <c r="L308">
        <v>2</v>
      </c>
      <c r="M308">
        <v>32</v>
      </c>
      <c r="N308">
        <v>34</v>
      </c>
      <c r="O308">
        <v>198</v>
      </c>
      <c r="P308">
        <v>158</v>
      </c>
      <c r="Q308">
        <v>139</v>
      </c>
      <c r="R308">
        <v>102</v>
      </c>
      <c r="S308">
        <v>75</v>
      </c>
      <c r="T308">
        <v>37</v>
      </c>
      <c r="U308">
        <v>11</v>
      </c>
      <c r="V308">
        <v>331</v>
      </c>
    </row>
    <row r="309" spans="1:22" x14ac:dyDescent="0.25">
      <c r="A309">
        <v>2025</v>
      </c>
      <c r="B309">
        <v>6</v>
      </c>
      <c r="C309" t="s">
        <v>37</v>
      </c>
      <c r="D309" t="s">
        <v>22</v>
      </c>
      <c r="E309" t="s">
        <v>128</v>
      </c>
      <c r="F309" t="s">
        <v>32</v>
      </c>
      <c r="G309" t="s">
        <v>24</v>
      </c>
      <c r="H309" t="s">
        <v>25</v>
      </c>
      <c r="I309" t="s">
        <v>26</v>
      </c>
      <c r="J309" t="s">
        <v>25</v>
      </c>
      <c r="K309">
        <v>56</v>
      </c>
      <c r="L309">
        <v>1</v>
      </c>
      <c r="M309">
        <v>12</v>
      </c>
      <c r="N309">
        <v>13</v>
      </c>
      <c r="O309">
        <v>32</v>
      </c>
      <c r="P309">
        <v>29</v>
      </c>
      <c r="Q309">
        <v>26</v>
      </c>
      <c r="R309">
        <v>20</v>
      </c>
      <c r="S309">
        <v>17</v>
      </c>
      <c r="T309">
        <v>12</v>
      </c>
      <c r="U309">
        <v>8</v>
      </c>
      <c r="V309">
        <v>48</v>
      </c>
    </row>
    <row r="310" spans="1:22" x14ac:dyDescent="0.25">
      <c r="A310">
        <v>2025</v>
      </c>
      <c r="B310">
        <v>6</v>
      </c>
      <c r="C310" t="s">
        <v>37</v>
      </c>
      <c r="D310" t="s">
        <v>22</v>
      </c>
      <c r="E310" t="s">
        <v>128</v>
      </c>
      <c r="F310" t="s">
        <v>34</v>
      </c>
      <c r="G310" t="s">
        <v>24</v>
      </c>
      <c r="H310" t="s">
        <v>25</v>
      </c>
      <c r="I310" t="s">
        <v>26</v>
      </c>
      <c r="J310" t="s">
        <v>26</v>
      </c>
      <c r="K310">
        <v>59</v>
      </c>
      <c r="L310">
        <v>0</v>
      </c>
      <c r="M310">
        <v>0</v>
      </c>
      <c r="N310">
        <v>0</v>
      </c>
      <c r="O310">
        <v>37</v>
      </c>
      <c r="P310">
        <v>29</v>
      </c>
      <c r="Q310">
        <v>24</v>
      </c>
      <c r="R310">
        <v>16</v>
      </c>
      <c r="S310">
        <v>13</v>
      </c>
      <c r="T310">
        <v>4</v>
      </c>
      <c r="U310">
        <v>1</v>
      </c>
      <c r="V310">
        <v>59</v>
      </c>
    </row>
    <row r="311" spans="1:22" x14ac:dyDescent="0.25">
      <c r="A311">
        <v>2025</v>
      </c>
      <c r="B311">
        <v>6</v>
      </c>
      <c r="C311" t="s">
        <v>37</v>
      </c>
      <c r="D311" t="s">
        <v>22</v>
      </c>
      <c r="E311" t="s">
        <v>129</v>
      </c>
      <c r="F311" t="s">
        <v>36</v>
      </c>
      <c r="G311" t="s">
        <v>24</v>
      </c>
      <c r="H311" t="s">
        <v>25</v>
      </c>
      <c r="I311" t="s">
        <v>26</v>
      </c>
      <c r="J311" t="s">
        <v>25</v>
      </c>
      <c r="K311">
        <v>57</v>
      </c>
      <c r="L311">
        <v>2</v>
      </c>
      <c r="M311">
        <v>1</v>
      </c>
      <c r="N311">
        <v>3</v>
      </c>
      <c r="O311">
        <v>40</v>
      </c>
      <c r="P311">
        <v>38</v>
      </c>
      <c r="Q311">
        <v>37</v>
      </c>
      <c r="R311">
        <v>29</v>
      </c>
      <c r="S311">
        <v>18</v>
      </c>
      <c r="T311">
        <v>9</v>
      </c>
      <c r="U311">
        <v>4</v>
      </c>
      <c r="V311">
        <v>55</v>
      </c>
    </row>
    <row r="312" spans="1:22" x14ac:dyDescent="0.25">
      <c r="A312">
        <v>2025</v>
      </c>
      <c r="B312">
        <v>6</v>
      </c>
      <c r="C312" t="s">
        <v>37</v>
      </c>
      <c r="D312" t="s">
        <v>22</v>
      </c>
      <c r="E312" t="s">
        <v>131</v>
      </c>
      <c r="F312" t="s">
        <v>34</v>
      </c>
      <c r="G312" t="s">
        <v>24</v>
      </c>
      <c r="H312" t="s">
        <v>25</v>
      </c>
      <c r="I312" t="s">
        <v>26</v>
      </c>
      <c r="J312" t="s">
        <v>26</v>
      </c>
      <c r="K312">
        <v>60</v>
      </c>
      <c r="L312">
        <v>0</v>
      </c>
      <c r="M312">
        <v>0</v>
      </c>
      <c r="N312">
        <v>0</v>
      </c>
      <c r="O312">
        <v>27</v>
      </c>
      <c r="P312">
        <v>24</v>
      </c>
      <c r="Q312">
        <v>22</v>
      </c>
      <c r="R312">
        <v>15</v>
      </c>
      <c r="S312">
        <v>13</v>
      </c>
      <c r="T312">
        <v>8</v>
      </c>
      <c r="U312">
        <v>4</v>
      </c>
      <c r="V312">
        <v>60</v>
      </c>
    </row>
    <row r="313" spans="1:22" x14ac:dyDescent="0.25">
      <c r="A313">
        <v>2025</v>
      </c>
      <c r="B313">
        <v>6</v>
      </c>
      <c r="C313" t="s">
        <v>37</v>
      </c>
      <c r="D313" t="s">
        <v>22</v>
      </c>
      <c r="E313" t="s">
        <v>132</v>
      </c>
      <c r="F313" t="s">
        <v>32</v>
      </c>
      <c r="G313" t="s">
        <v>24</v>
      </c>
      <c r="H313" t="s">
        <v>25</v>
      </c>
      <c r="I313" t="s">
        <v>26</v>
      </c>
      <c r="J313" t="s">
        <v>25</v>
      </c>
      <c r="K313">
        <v>60</v>
      </c>
      <c r="L313">
        <v>0</v>
      </c>
      <c r="M313">
        <v>1</v>
      </c>
      <c r="N313">
        <v>1</v>
      </c>
      <c r="O313">
        <v>47</v>
      </c>
      <c r="P313">
        <v>41</v>
      </c>
      <c r="Q313">
        <v>40</v>
      </c>
      <c r="R313">
        <v>39</v>
      </c>
      <c r="S313">
        <v>36</v>
      </c>
      <c r="T313">
        <v>31</v>
      </c>
      <c r="U313">
        <v>13</v>
      </c>
      <c r="V313">
        <v>60</v>
      </c>
    </row>
    <row r="314" spans="1:22" x14ac:dyDescent="0.25">
      <c r="A314">
        <v>2025</v>
      </c>
      <c r="B314">
        <v>6</v>
      </c>
      <c r="C314" t="s">
        <v>37</v>
      </c>
      <c r="D314" t="s">
        <v>22</v>
      </c>
      <c r="E314" t="s">
        <v>132</v>
      </c>
      <c r="F314" t="s">
        <v>34</v>
      </c>
      <c r="G314" t="s">
        <v>24</v>
      </c>
      <c r="H314" t="s">
        <v>25</v>
      </c>
      <c r="I314" t="s">
        <v>26</v>
      </c>
      <c r="J314" t="s">
        <v>26</v>
      </c>
      <c r="K314">
        <v>60</v>
      </c>
      <c r="L314">
        <v>0</v>
      </c>
      <c r="M314">
        <v>1</v>
      </c>
      <c r="N314">
        <v>1</v>
      </c>
      <c r="O314">
        <v>45</v>
      </c>
      <c r="P314">
        <v>38</v>
      </c>
      <c r="Q314">
        <v>37</v>
      </c>
      <c r="R314">
        <v>35</v>
      </c>
      <c r="S314">
        <v>33</v>
      </c>
      <c r="T314">
        <v>26</v>
      </c>
      <c r="U314">
        <v>12</v>
      </c>
      <c r="V314">
        <v>60</v>
      </c>
    </row>
    <row r="315" spans="1:22" x14ac:dyDescent="0.25">
      <c r="A315">
        <v>2025</v>
      </c>
      <c r="B315">
        <v>6</v>
      </c>
      <c r="C315" t="s">
        <v>37</v>
      </c>
      <c r="D315" t="s">
        <v>22</v>
      </c>
      <c r="E315" t="s">
        <v>37</v>
      </c>
      <c r="F315" t="s">
        <v>32</v>
      </c>
      <c r="G315" t="s">
        <v>28</v>
      </c>
      <c r="H315" t="s">
        <v>25</v>
      </c>
      <c r="I315" t="s">
        <v>26</v>
      </c>
      <c r="J315" t="s">
        <v>25</v>
      </c>
      <c r="K315">
        <v>4</v>
      </c>
      <c r="L315">
        <v>4</v>
      </c>
      <c r="M315">
        <v>0</v>
      </c>
      <c r="N315">
        <v>4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</row>
    <row r="316" spans="1:22" x14ac:dyDescent="0.25">
      <c r="A316">
        <v>2025</v>
      </c>
      <c r="B316">
        <v>6</v>
      </c>
      <c r="C316" t="s">
        <v>37</v>
      </c>
      <c r="D316" t="s">
        <v>22</v>
      </c>
      <c r="E316" t="s">
        <v>37</v>
      </c>
      <c r="F316" t="s">
        <v>23</v>
      </c>
      <c r="G316" t="s">
        <v>28</v>
      </c>
      <c r="H316" t="s">
        <v>25</v>
      </c>
      <c r="I316" t="s">
        <v>26</v>
      </c>
      <c r="J316" t="s">
        <v>25</v>
      </c>
      <c r="K316">
        <v>4650</v>
      </c>
      <c r="L316">
        <v>363</v>
      </c>
      <c r="M316">
        <v>542</v>
      </c>
      <c r="N316">
        <v>905</v>
      </c>
      <c r="O316">
        <v>2520</v>
      </c>
      <c r="P316">
        <v>2166</v>
      </c>
      <c r="Q316">
        <v>2030</v>
      </c>
      <c r="R316">
        <v>1572</v>
      </c>
      <c r="S316">
        <v>1180</v>
      </c>
      <c r="T316">
        <v>553</v>
      </c>
      <c r="U316">
        <v>146</v>
      </c>
      <c r="V316">
        <v>4064</v>
      </c>
    </row>
    <row r="317" spans="1:22" x14ac:dyDescent="0.25">
      <c r="A317">
        <v>2025</v>
      </c>
      <c r="B317">
        <v>6</v>
      </c>
      <c r="C317" t="s">
        <v>37</v>
      </c>
      <c r="D317" t="s">
        <v>22</v>
      </c>
      <c r="E317" t="s">
        <v>37</v>
      </c>
      <c r="F317" t="s">
        <v>23</v>
      </c>
      <c r="G317" t="s">
        <v>24</v>
      </c>
      <c r="H317" t="s">
        <v>25</v>
      </c>
      <c r="I317" t="s">
        <v>26</v>
      </c>
      <c r="J317" t="s">
        <v>25</v>
      </c>
      <c r="K317">
        <v>457</v>
      </c>
      <c r="L317">
        <v>56</v>
      </c>
      <c r="M317">
        <v>34</v>
      </c>
      <c r="N317">
        <v>90</v>
      </c>
      <c r="O317">
        <v>314</v>
      </c>
      <c r="P317">
        <v>277</v>
      </c>
      <c r="Q317">
        <v>263</v>
      </c>
      <c r="R317">
        <v>210</v>
      </c>
      <c r="S317">
        <v>166</v>
      </c>
      <c r="T317">
        <v>85</v>
      </c>
      <c r="U317">
        <v>22</v>
      </c>
      <c r="V317">
        <v>383</v>
      </c>
    </row>
    <row r="318" spans="1:22" x14ac:dyDescent="0.25">
      <c r="A318">
        <v>2025</v>
      </c>
      <c r="B318">
        <v>6</v>
      </c>
      <c r="C318" t="s">
        <v>37</v>
      </c>
      <c r="D318" t="s">
        <v>22</v>
      </c>
      <c r="E318" t="s">
        <v>37</v>
      </c>
      <c r="F318" t="s">
        <v>39</v>
      </c>
      <c r="G318" t="s">
        <v>28</v>
      </c>
      <c r="H318" t="s">
        <v>26</v>
      </c>
      <c r="I318" t="s">
        <v>26</v>
      </c>
      <c r="J318" t="s">
        <v>25</v>
      </c>
      <c r="K318">
        <v>14859</v>
      </c>
      <c r="L318">
        <v>1023</v>
      </c>
      <c r="M318">
        <v>1578</v>
      </c>
      <c r="N318">
        <v>2601</v>
      </c>
      <c r="O318">
        <v>8714</v>
      </c>
      <c r="P318">
        <v>7644</v>
      </c>
      <c r="Q318">
        <v>7246</v>
      </c>
      <c r="R318">
        <v>5874</v>
      </c>
      <c r="S318">
        <v>4637</v>
      </c>
      <c r="T318">
        <v>2439</v>
      </c>
      <c r="U318">
        <v>766</v>
      </c>
      <c r="V318">
        <v>13164</v>
      </c>
    </row>
    <row r="319" spans="1:22" x14ac:dyDescent="0.25">
      <c r="A319">
        <v>2025</v>
      </c>
      <c r="B319">
        <v>6</v>
      </c>
      <c r="C319" t="s">
        <v>37</v>
      </c>
      <c r="D319" t="s">
        <v>22</v>
      </c>
      <c r="E319" t="s">
        <v>37</v>
      </c>
      <c r="F319" t="s">
        <v>39</v>
      </c>
      <c r="G319" t="s">
        <v>29</v>
      </c>
      <c r="H319" t="s">
        <v>26</v>
      </c>
      <c r="I319" t="s">
        <v>26</v>
      </c>
      <c r="J319" t="s">
        <v>25</v>
      </c>
      <c r="K319">
        <v>1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</row>
    <row r="320" spans="1:22" x14ac:dyDescent="0.25">
      <c r="A320">
        <v>2025</v>
      </c>
      <c r="B320">
        <v>6</v>
      </c>
      <c r="C320" t="s">
        <v>37</v>
      </c>
      <c r="D320" t="s">
        <v>22</v>
      </c>
      <c r="E320" t="s">
        <v>135</v>
      </c>
      <c r="F320" t="s">
        <v>32</v>
      </c>
      <c r="G320" t="s">
        <v>24</v>
      </c>
      <c r="H320" t="s">
        <v>25</v>
      </c>
      <c r="I320" t="s">
        <v>26</v>
      </c>
      <c r="J320" t="s">
        <v>25</v>
      </c>
      <c r="K320">
        <v>469</v>
      </c>
      <c r="L320">
        <v>9</v>
      </c>
      <c r="M320">
        <v>5</v>
      </c>
      <c r="N320">
        <v>14</v>
      </c>
      <c r="O320">
        <v>276</v>
      </c>
      <c r="P320">
        <v>226</v>
      </c>
      <c r="Q320">
        <v>211</v>
      </c>
      <c r="R320">
        <v>148</v>
      </c>
      <c r="S320">
        <v>106</v>
      </c>
      <c r="T320">
        <v>47</v>
      </c>
      <c r="U320">
        <v>11</v>
      </c>
      <c r="V320">
        <v>457</v>
      </c>
    </row>
    <row r="321" spans="1:22" x14ac:dyDescent="0.25">
      <c r="A321">
        <v>2025</v>
      </c>
      <c r="B321">
        <v>6</v>
      </c>
      <c r="C321" t="s">
        <v>37</v>
      </c>
      <c r="D321" t="s">
        <v>22</v>
      </c>
      <c r="E321" t="s">
        <v>135</v>
      </c>
      <c r="F321" t="s">
        <v>34</v>
      </c>
      <c r="G321" t="s">
        <v>24</v>
      </c>
      <c r="H321" t="s">
        <v>25</v>
      </c>
      <c r="I321" t="s">
        <v>26</v>
      </c>
      <c r="J321" t="s">
        <v>26</v>
      </c>
      <c r="K321">
        <v>1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1</v>
      </c>
    </row>
    <row r="322" spans="1:22" x14ac:dyDescent="0.25">
      <c r="A322">
        <v>2025</v>
      </c>
      <c r="B322">
        <v>6</v>
      </c>
      <c r="C322" t="s">
        <v>37</v>
      </c>
      <c r="D322" t="s">
        <v>22</v>
      </c>
      <c r="E322" t="s">
        <v>136</v>
      </c>
      <c r="F322" t="s">
        <v>34</v>
      </c>
      <c r="G322" t="s">
        <v>24</v>
      </c>
      <c r="H322" t="s">
        <v>25</v>
      </c>
      <c r="I322" t="s">
        <v>26</v>
      </c>
      <c r="J322" t="s">
        <v>26</v>
      </c>
      <c r="K322">
        <v>58</v>
      </c>
      <c r="L322">
        <v>1</v>
      </c>
      <c r="M322">
        <v>3</v>
      </c>
      <c r="N322">
        <v>4</v>
      </c>
      <c r="O322">
        <v>26</v>
      </c>
      <c r="P322">
        <v>25</v>
      </c>
      <c r="Q322">
        <v>25</v>
      </c>
      <c r="R322">
        <v>23</v>
      </c>
      <c r="S322">
        <v>21</v>
      </c>
      <c r="T322">
        <v>18</v>
      </c>
      <c r="U322">
        <v>16</v>
      </c>
      <c r="V322">
        <v>56</v>
      </c>
    </row>
    <row r="323" spans="1:22" x14ac:dyDescent="0.25">
      <c r="A323">
        <v>2025</v>
      </c>
      <c r="B323">
        <v>6</v>
      </c>
      <c r="C323" t="s">
        <v>37</v>
      </c>
      <c r="D323" t="s">
        <v>22</v>
      </c>
      <c r="E323" t="s">
        <v>138</v>
      </c>
      <c r="F323" t="s">
        <v>34</v>
      </c>
      <c r="G323" t="s">
        <v>24</v>
      </c>
      <c r="H323" t="s">
        <v>25</v>
      </c>
      <c r="I323" t="s">
        <v>26</v>
      </c>
      <c r="J323" t="s">
        <v>26</v>
      </c>
      <c r="K323">
        <v>28</v>
      </c>
      <c r="L323">
        <v>0</v>
      </c>
      <c r="M323">
        <v>0</v>
      </c>
      <c r="N323">
        <v>0</v>
      </c>
      <c r="O323">
        <v>2</v>
      </c>
      <c r="P323">
        <v>2</v>
      </c>
      <c r="Q323">
        <v>2</v>
      </c>
      <c r="R323">
        <v>2</v>
      </c>
      <c r="S323">
        <v>2</v>
      </c>
      <c r="T323">
        <v>2</v>
      </c>
      <c r="U323">
        <v>1</v>
      </c>
      <c r="V323">
        <v>28</v>
      </c>
    </row>
    <row r="324" spans="1:22" x14ac:dyDescent="0.25">
      <c r="A324">
        <v>2025</v>
      </c>
      <c r="B324">
        <v>6</v>
      </c>
      <c r="C324" t="s">
        <v>37</v>
      </c>
      <c r="D324" t="s">
        <v>22</v>
      </c>
      <c r="E324" t="s">
        <v>139</v>
      </c>
      <c r="F324" t="s">
        <v>34</v>
      </c>
      <c r="G324" t="s">
        <v>24</v>
      </c>
      <c r="H324" t="s">
        <v>25</v>
      </c>
      <c r="I324" t="s">
        <v>26</v>
      </c>
      <c r="J324" t="s">
        <v>26</v>
      </c>
      <c r="K324">
        <v>30</v>
      </c>
      <c r="L324">
        <v>3</v>
      </c>
      <c r="M324">
        <v>0</v>
      </c>
      <c r="N324">
        <v>3</v>
      </c>
      <c r="O324">
        <v>10</v>
      </c>
      <c r="P324">
        <v>8</v>
      </c>
      <c r="Q324">
        <v>7</v>
      </c>
      <c r="R324">
        <v>7</v>
      </c>
      <c r="S324">
        <v>6</v>
      </c>
      <c r="T324">
        <v>2</v>
      </c>
      <c r="U324">
        <v>1</v>
      </c>
      <c r="V324">
        <v>27</v>
      </c>
    </row>
    <row r="325" spans="1:22" x14ac:dyDescent="0.25">
      <c r="A325">
        <v>2025</v>
      </c>
      <c r="B325">
        <v>6</v>
      </c>
      <c r="C325" t="s">
        <v>37</v>
      </c>
      <c r="D325" t="s">
        <v>22</v>
      </c>
      <c r="E325" t="s">
        <v>141</v>
      </c>
      <c r="F325" t="s">
        <v>34</v>
      </c>
      <c r="G325" t="s">
        <v>24</v>
      </c>
      <c r="H325" t="s">
        <v>25</v>
      </c>
      <c r="I325" t="s">
        <v>26</v>
      </c>
      <c r="J325" t="s">
        <v>26</v>
      </c>
      <c r="K325">
        <v>28</v>
      </c>
      <c r="L325">
        <v>0</v>
      </c>
      <c r="M325">
        <v>0</v>
      </c>
      <c r="N325">
        <v>0</v>
      </c>
      <c r="O325">
        <v>2</v>
      </c>
      <c r="P325">
        <v>2</v>
      </c>
      <c r="Q325">
        <v>2</v>
      </c>
      <c r="R325">
        <v>2</v>
      </c>
      <c r="S325">
        <v>2</v>
      </c>
      <c r="T325">
        <v>2</v>
      </c>
      <c r="U325">
        <v>1</v>
      </c>
      <c r="V325">
        <v>28</v>
      </c>
    </row>
    <row r="326" spans="1:22" x14ac:dyDescent="0.25">
      <c r="A326">
        <v>2025</v>
      </c>
      <c r="B326">
        <v>6</v>
      </c>
      <c r="C326" t="s">
        <v>37</v>
      </c>
      <c r="D326" t="s">
        <v>22</v>
      </c>
      <c r="E326" t="s">
        <v>142</v>
      </c>
      <c r="F326" t="s">
        <v>34</v>
      </c>
      <c r="G326" t="s">
        <v>24</v>
      </c>
      <c r="H326" t="s">
        <v>25</v>
      </c>
      <c r="I326" t="s">
        <v>26</v>
      </c>
      <c r="J326" t="s">
        <v>26</v>
      </c>
      <c r="K326">
        <v>31</v>
      </c>
      <c r="L326">
        <v>3</v>
      </c>
      <c r="M326">
        <v>0</v>
      </c>
      <c r="N326">
        <v>3</v>
      </c>
      <c r="O326">
        <v>10</v>
      </c>
      <c r="P326">
        <v>9</v>
      </c>
      <c r="Q326">
        <v>8</v>
      </c>
      <c r="R326">
        <v>7</v>
      </c>
      <c r="S326">
        <v>6</v>
      </c>
      <c r="T326">
        <v>3</v>
      </c>
      <c r="U326">
        <v>1</v>
      </c>
      <c r="V326">
        <v>28</v>
      </c>
    </row>
    <row r="327" spans="1:22" x14ac:dyDescent="0.25">
      <c r="A327">
        <v>2025</v>
      </c>
      <c r="B327">
        <v>6</v>
      </c>
      <c r="C327" t="s">
        <v>37</v>
      </c>
      <c r="D327" t="s">
        <v>22</v>
      </c>
      <c r="E327" t="s">
        <v>143</v>
      </c>
      <c r="F327" t="s">
        <v>39</v>
      </c>
      <c r="G327" t="s">
        <v>24</v>
      </c>
      <c r="H327" t="s">
        <v>26</v>
      </c>
      <c r="I327" t="s">
        <v>26</v>
      </c>
      <c r="J327" t="s">
        <v>25</v>
      </c>
      <c r="K327">
        <v>449</v>
      </c>
      <c r="L327">
        <v>15</v>
      </c>
      <c r="M327">
        <v>42</v>
      </c>
      <c r="N327">
        <v>57</v>
      </c>
      <c r="O327">
        <v>291</v>
      </c>
      <c r="P327">
        <v>234</v>
      </c>
      <c r="Q327">
        <v>223</v>
      </c>
      <c r="R327">
        <v>169</v>
      </c>
      <c r="S327">
        <v>129</v>
      </c>
      <c r="T327">
        <v>63</v>
      </c>
      <c r="U327">
        <v>20</v>
      </c>
      <c r="V327">
        <v>414</v>
      </c>
    </row>
    <row r="328" spans="1:22" x14ac:dyDescent="0.25">
      <c r="A328">
        <v>2025</v>
      </c>
      <c r="B328">
        <v>6</v>
      </c>
      <c r="C328" t="s">
        <v>37</v>
      </c>
      <c r="D328" t="s">
        <v>22</v>
      </c>
      <c r="E328" t="s">
        <v>144</v>
      </c>
      <c r="F328" t="s">
        <v>32</v>
      </c>
      <c r="G328" t="s">
        <v>24</v>
      </c>
      <c r="H328" t="s">
        <v>25</v>
      </c>
      <c r="I328" t="s">
        <v>26</v>
      </c>
      <c r="J328" t="s">
        <v>25</v>
      </c>
      <c r="K328">
        <v>177</v>
      </c>
      <c r="L328">
        <v>1</v>
      </c>
      <c r="M328">
        <v>21</v>
      </c>
      <c r="N328">
        <v>22</v>
      </c>
      <c r="O328">
        <v>130</v>
      </c>
      <c r="P328">
        <v>119</v>
      </c>
      <c r="Q328">
        <v>111</v>
      </c>
      <c r="R328">
        <v>86</v>
      </c>
      <c r="S328">
        <v>69</v>
      </c>
      <c r="T328">
        <v>35</v>
      </c>
      <c r="U328">
        <v>9</v>
      </c>
      <c r="V328">
        <v>163</v>
      </c>
    </row>
    <row r="329" spans="1:22" x14ac:dyDescent="0.25">
      <c r="A329">
        <v>2025</v>
      </c>
      <c r="B329">
        <v>6</v>
      </c>
      <c r="C329" t="s">
        <v>37</v>
      </c>
      <c r="D329" t="s">
        <v>22</v>
      </c>
      <c r="E329" t="s">
        <v>144</v>
      </c>
      <c r="F329" t="s">
        <v>23</v>
      </c>
      <c r="G329" t="s">
        <v>24</v>
      </c>
      <c r="H329" t="s">
        <v>25</v>
      </c>
      <c r="I329" t="s">
        <v>26</v>
      </c>
      <c r="J329" t="s">
        <v>25</v>
      </c>
      <c r="K329">
        <v>213</v>
      </c>
      <c r="L329">
        <v>1</v>
      </c>
      <c r="M329">
        <v>14</v>
      </c>
      <c r="N329">
        <v>15</v>
      </c>
      <c r="O329">
        <v>111</v>
      </c>
      <c r="P329">
        <v>98</v>
      </c>
      <c r="Q329">
        <v>89</v>
      </c>
      <c r="R329">
        <v>71</v>
      </c>
      <c r="S329">
        <v>54</v>
      </c>
      <c r="T329">
        <v>28</v>
      </c>
      <c r="U329">
        <v>11</v>
      </c>
      <c r="V329">
        <v>207</v>
      </c>
    </row>
    <row r="330" spans="1:22" x14ac:dyDescent="0.25">
      <c r="A330">
        <v>2025</v>
      </c>
      <c r="B330">
        <v>6</v>
      </c>
      <c r="C330" t="s">
        <v>37</v>
      </c>
      <c r="D330" t="s">
        <v>22</v>
      </c>
      <c r="E330" t="s">
        <v>144</v>
      </c>
      <c r="F330" t="s">
        <v>39</v>
      </c>
      <c r="G330" t="s">
        <v>24</v>
      </c>
      <c r="H330" t="s">
        <v>26</v>
      </c>
      <c r="I330" t="s">
        <v>26</v>
      </c>
      <c r="J330" t="s">
        <v>25</v>
      </c>
      <c r="K330">
        <v>758</v>
      </c>
      <c r="L330">
        <v>20</v>
      </c>
      <c r="M330">
        <v>89</v>
      </c>
      <c r="N330">
        <v>109</v>
      </c>
      <c r="O330">
        <v>502</v>
      </c>
      <c r="P330">
        <v>454</v>
      </c>
      <c r="Q330">
        <v>438</v>
      </c>
      <c r="R330">
        <v>371</v>
      </c>
      <c r="S330">
        <v>332</v>
      </c>
      <c r="T330">
        <v>204</v>
      </c>
      <c r="U330">
        <v>79</v>
      </c>
      <c r="V330">
        <v>706</v>
      </c>
    </row>
    <row r="331" spans="1:22" x14ac:dyDescent="0.25">
      <c r="A331">
        <v>2025</v>
      </c>
      <c r="B331">
        <v>6</v>
      </c>
      <c r="C331" t="s">
        <v>37</v>
      </c>
      <c r="D331" t="s">
        <v>22</v>
      </c>
      <c r="E331" t="s">
        <v>144</v>
      </c>
      <c r="F331" t="s">
        <v>36</v>
      </c>
      <c r="G331" t="s">
        <v>24</v>
      </c>
      <c r="H331" t="s">
        <v>25</v>
      </c>
      <c r="I331" t="s">
        <v>26</v>
      </c>
      <c r="J331" t="s">
        <v>25</v>
      </c>
      <c r="K331">
        <v>300</v>
      </c>
      <c r="L331">
        <v>4</v>
      </c>
      <c r="M331">
        <v>11</v>
      </c>
      <c r="N331">
        <v>15</v>
      </c>
      <c r="O331">
        <v>116</v>
      </c>
      <c r="P331">
        <v>94</v>
      </c>
      <c r="Q331">
        <v>85</v>
      </c>
      <c r="R331">
        <v>63</v>
      </c>
      <c r="S331">
        <v>42</v>
      </c>
      <c r="T331">
        <v>18</v>
      </c>
      <c r="U331">
        <v>4</v>
      </c>
      <c r="V331">
        <v>294</v>
      </c>
    </row>
    <row r="332" spans="1:22" x14ac:dyDescent="0.25">
      <c r="A332">
        <v>2025</v>
      </c>
      <c r="B332">
        <v>6</v>
      </c>
      <c r="C332" t="s">
        <v>37</v>
      </c>
      <c r="D332" t="s">
        <v>22</v>
      </c>
      <c r="E332" t="s">
        <v>145</v>
      </c>
      <c r="F332" t="s">
        <v>32</v>
      </c>
      <c r="G332" t="s">
        <v>24</v>
      </c>
      <c r="H332" t="s">
        <v>25</v>
      </c>
      <c r="I332" t="s">
        <v>26</v>
      </c>
      <c r="J332" t="s">
        <v>25</v>
      </c>
      <c r="K332">
        <v>228</v>
      </c>
      <c r="L332">
        <v>4</v>
      </c>
      <c r="M332">
        <v>1</v>
      </c>
      <c r="N332">
        <v>5</v>
      </c>
      <c r="O332">
        <v>167</v>
      </c>
      <c r="P332">
        <v>157</v>
      </c>
      <c r="Q332">
        <v>151</v>
      </c>
      <c r="R332">
        <v>125</v>
      </c>
      <c r="S332">
        <v>110</v>
      </c>
      <c r="T332">
        <v>63</v>
      </c>
      <c r="U332">
        <v>12</v>
      </c>
      <c r="V332">
        <v>224</v>
      </c>
    </row>
    <row r="333" spans="1:22" x14ac:dyDescent="0.25">
      <c r="A333">
        <v>2025</v>
      </c>
      <c r="B333">
        <v>6</v>
      </c>
      <c r="C333" t="s">
        <v>37</v>
      </c>
      <c r="D333" t="s">
        <v>22</v>
      </c>
      <c r="E333" t="s">
        <v>145</v>
      </c>
      <c r="F333" t="s">
        <v>38</v>
      </c>
      <c r="G333" t="s">
        <v>24</v>
      </c>
      <c r="H333" t="s">
        <v>25</v>
      </c>
      <c r="I333" t="s">
        <v>26</v>
      </c>
      <c r="J333" t="s">
        <v>25</v>
      </c>
      <c r="K333">
        <v>18</v>
      </c>
      <c r="L333">
        <v>1</v>
      </c>
      <c r="M333">
        <v>1</v>
      </c>
      <c r="N333">
        <v>2</v>
      </c>
      <c r="O333">
        <v>15</v>
      </c>
      <c r="P333">
        <v>14</v>
      </c>
      <c r="Q333">
        <v>13</v>
      </c>
      <c r="R333">
        <v>12</v>
      </c>
      <c r="S333">
        <v>8</v>
      </c>
      <c r="T333">
        <v>3</v>
      </c>
      <c r="U333">
        <v>3</v>
      </c>
      <c r="V333">
        <v>17</v>
      </c>
    </row>
    <row r="334" spans="1:22" x14ac:dyDescent="0.25">
      <c r="A334">
        <v>2025</v>
      </c>
      <c r="B334">
        <v>6</v>
      </c>
      <c r="C334" t="s">
        <v>37</v>
      </c>
      <c r="D334" t="s">
        <v>22</v>
      </c>
      <c r="E334" t="s">
        <v>154</v>
      </c>
      <c r="F334" t="s">
        <v>32</v>
      </c>
      <c r="G334" t="s">
        <v>24</v>
      </c>
      <c r="H334" t="s">
        <v>25</v>
      </c>
      <c r="I334" t="s">
        <v>26</v>
      </c>
      <c r="J334" t="s">
        <v>25</v>
      </c>
      <c r="K334">
        <v>18</v>
      </c>
      <c r="L334">
        <v>0</v>
      </c>
      <c r="M334">
        <v>3</v>
      </c>
      <c r="N334">
        <v>3</v>
      </c>
      <c r="O334">
        <v>16</v>
      </c>
      <c r="P334">
        <v>16</v>
      </c>
      <c r="Q334">
        <v>15</v>
      </c>
      <c r="R334">
        <v>12</v>
      </c>
      <c r="S334">
        <v>8</v>
      </c>
      <c r="T334">
        <v>5</v>
      </c>
      <c r="U334">
        <v>1</v>
      </c>
      <c r="V334">
        <v>17</v>
      </c>
    </row>
    <row r="335" spans="1:22" x14ac:dyDescent="0.25">
      <c r="A335">
        <v>2025</v>
      </c>
      <c r="B335">
        <v>6</v>
      </c>
      <c r="C335" t="s">
        <v>37</v>
      </c>
      <c r="D335" t="s">
        <v>22</v>
      </c>
      <c r="E335" t="s">
        <v>147</v>
      </c>
      <c r="F335" t="s">
        <v>32</v>
      </c>
      <c r="G335" t="s">
        <v>24</v>
      </c>
      <c r="H335" t="s">
        <v>25</v>
      </c>
      <c r="I335" t="s">
        <v>26</v>
      </c>
      <c r="J335" t="s">
        <v>25</v>
      </c>
      <c r="K335">
        <v>59</v>
      </c>
      <c r="L335">
        <v>1</v>
      </c>
      <c r="M335">
        <v>3</v>
      </c>
      <c r="N335">
        <v>4</v>
      </c>
      <c r="O335">
        <v>28</v>
      </c>
      <c r="P335">
        <v>25</v>
      </c>
      <c r="Q335">
        <v>23</v>
      </c>
      <c r="R335">
        <v>18</v>
      </c>
      <c r="S335">
        <v>16</v>
      </c>
      <c r="T335">
        <v>10</v>
      </c>
      <c r="U335">
        <v>5</v>
      </c>
      <c r="V335">
        <v>58</v>
      </c>
    </row>
    <row r="336" spans="1:22" x14ac:dyDescent="0.25">
      <c r="A336">
        <v>2025</v>
      </c>
      <c r="B336">
        <v>6</v>
      </c>
      <c r="C336" t="s">
        <v>37</v>
      </c>
      <c r="D336" t="s">
        <v>22</v>
      </c>
      <c r="E336" t="s">
        <v>147</v>
      </c>
      <c r="F336" t="s">
        <v>36</v>
      </c>
      <c r="G336" t="s">
        <v>24</v>
      </c>
      <c r="H336" t="s">
        <v>25</v>
      </c>
      <c r="I336" t="s">
        <v>26</v>
      </c>
      <c r="J336" t="s">
        <v>25</v>
      </c>
      <c r="K336">
        <v>233</v>
      </c>
      <c r="L336">
        <v>2</v>
      </c>
      <c r="M336">
        <v>10</v>
      </c>
      <c r="N336">
        <v>12</v>
      </c>
      <c r="O336">
        <v>125</v>
      </c>
      <c r="P336">
        <v>100</v>
      </c>
      <c r="Q336">
        <v>93</v>
      </c>
      <c r="R336">
        <v>74</v>
      </c>
      <c r="S336">
        <v>61</v>
      </c>
      <c r="T336">
        <v>27</v>
      </c>
      <c r="U336">
        <v>5</v>
      </c>
      <c r="V336">
        <v>226</v>
      </c>
    </row>
    <row r="337" spans="1:22" x14ac:dyDescent="0.25">
      <c r="A337">
        <v>2025</v>
      </c>
      <c r="B337">
        <v>6</v>
      </c>
      <c r="C337" t="s">
        <v>37</v>
      </c>
      <c r="D337" t="s">
        <v>22</v>
      </c>
      <c r="E337" t="s">
        <v>148</v>
      </c>
      <c r="F337" t="s">
        <v>32</v>
      </c>
      <c r="G337" t="s">
        <v>24</v>
      </c>
      <c r="H337" t="s">
        <v>25</v>
      </c>
      <c r="I337" t="s">
        <v>26</v>
      </c>
      <c r="J337" t="s">
        <v>25</v>
      </c>
      <c r="K337">
        <v>546</v>
      </c>
      <c r="L337">
        <v>3</v>
      </c>
      <c r="M337">
        <v>13</v>
      </c>
      <c r="N337">
        <v>16</v>
      </c>
      <c r="O337">
        <v>363</v>
      </c>
      <c r="P337">
        <v>313</v>
      </c>
      <c r="Q337">
        <v>291</v>
      </c>
      <c r="R337">
        <v>213</v>
      </c>
      <c r="S337">
        <v>151</v>
      </c>
      <c r="T337">
        <v>68</v>
      </c>
      <c r="U337">
        <v>17</v>
      </c>
      <c r="V337">
        <v>535</v>
      </c>
    </row>
    <row r="338" spans="1:22" x14ac:dyDescent="0.25">
      <c r="A338">
        <v>2025</v>
      </c>
      <c r="B338">
        <v>6</v>
      </c>
      <c r="C338" t="s">
        <v>37</v>
      </c>
      <c r="D338" t="s">
        <v>22</v>
      </c>
      <c r="E338" t="s">
        <v>149</v>
      </c>
      <c r="F338" t="s">
        <v>32</v>
      </c>
      <c r="G338" t="s">
        <v>24</v>
      </c>
      <c r="H338" t="s">
        <v>25</v>
      </c>
      <c r="I338" t="s">
        <v>26</v>
      </c>
      <c r="J338" t="s">
        <v>25</v>
      </c>
      <c r="K338">
        <v>108</v>
      </c>
      <c r="L338">
        <v>3</v>
      </c>
      <c r="M338">
        <v>17</v>
      </c>
      <c r="N338">
        <v>20</v>
      </c>
      <c r="O338">
        <v>100</v>
      </c>
      <c r="P338">
        <v>98</v>
      </c>
      <c r="Q338">
        <v>98</v>
      </c>
      <c r="R338">
        <v>93</v>
      </c>
      <c r="S338">
        <v>90</v>
      </c>
      <c r="T338">
        <v>70</v>
      </c>
      <c r="U338">
        <v>18</v>
      </c>
      <c r="V338">
        <v>100</v>
      </c>
    </row>
    <row r="339" spans="1:22" x14ac:dyDescent="0.25">
      <c r="A339">
        <v>2025</v>
      </c>
      <c r="B339">
        <v>6</v>
      </c>
      <c r="C339" t="s">
        <v>37</v>
      </c>
      <c r="D339" t="s">
        <v>22</v>
      </c>
      <c r="E339" t="s">
        <v>149</v>
      </c>
      <c r="F339" t="s">
        <v>38</v>
      </c>
      <c r="G339" t="s">
        <v>24</v>
      </c>
      <c r="H339" t="s">
        <v>25</v>
      </c>
      <c r="I339" t="s">
        <v>26</v>
      </c>
      <c r="J339" t="s">
        <v>25</v>
      </c>
      <c r="K339">
        <v>6</v>
      </c>
      <c r="L339">
        <v>0</v>
      </c>
      <c r="M339">
        <v>0</v>
      </c>
      <c r="N339">
        <v>0</v>
      </c>
      <c r="O339">
        <v>3</v>
      </c>
      <c r="P339">
        <v>3</v>
      </c>
      <c r="Q339">
        <v>3</v>
      </c>
      <c r="R339">
        <v>1</v>
      </c>
      <c r="S339">
        <v>1</v>
      </c>
      <c r="T339">
        <v>1</v>
      </c>
      <c r="U339">
        <v>0</v>
      </c>
      <c r="V339">
        <v>6</v>
      </c>
    </row>
    <row r="340" spans="1:22" x14ac:dyDescent="0.25">
      <c r="A340">
        <v>2025</v>
      </c>
      <c r="B340">
        <v>6</v>
      </c>
      <c r="C340" t="s">
        <v>37</v>
      </c>
      <c r="D340" t="s">
        <v>22</v>
      </c>
      <c r="E340" t="s">
        <v>149</v>
      </c>
      <c r="F340" t="s">
        <v>23</v>
      </c>
      <c r="G340" t="s">
        <v>24</v>
      </c>
      <c r="H340" t="s">
        <v>25</v>
      </c>
      <c r="I340" t="s">
        <v>26</v>
      </c>
      <c r="J340" t="s">
        <v>25</v>
      </c>
      <c r="K340">
        <v>370</v>
      </c>
      <c r="L340">
        <v>17</v>
      </c>
      <c r="M340">
        <v>58</v>
      </c>
      <c r="N340">
        <v>75</v>
      </c>
      <c r="O340">
        <v>181</v>
      </c>
      <c r="P340">
        <v>156</v>
      </c>
      <c r="Q340">
        <v>151</v>
      </c>
      <c r="R340">
        <v>128</v>
      </c>
      <c r="S340">
        <v>94</v>
      </c>
      <c r="T340">
        <v>65</v>
      </c>
      <c r="U340">
        <v>21</v>
      </c>
      <c r="V340">
        <v>323</v>
      </c>
    </row>
    <row r="341" spans="1:22" x14ac:dyDescent="0.25">
      <c r="A341">
        <v>2025</v>
      </c>
      <c r="B341">
        <v>6</v>
      </c>
      <c r="C341" t="s">
        <v>37</v>
      </c>
      <c r="D341" t="s">
        <v>22</v>
      </c>
      <c r="E341" t="s">
        <v>149</v>
      </c>
      <c r="F341" t="s">
        <v>39</v>
      </c>
      <c r="G341" t="s">
        <v>24</v>
      </c>
      <c r="H341" t="s">
        <v>26</v>
      </c>
      <c r="I341" t="s">
        <v>26</v>
      </c>
      <c r="J341" t="s">
        <v>25</v>
      </c>
      <c r="K341">
        <v>1186</v>
      </c>
      <c r="L341">
        <v>34</v>
      </c>
      <c r="M341">
        <v>110</v>
      </c>
      <c r="N341">
        <v>144</v>
      </c>
      <c r="O341">
        <v>806</v>
      </c>
      <c r="P341">
        <v>728</v>
      </c>
      <c r="Q341">
        <v>699</v>
      </c>
      <c r="R341">
        <v>607</v>
      </c>
      <c r="S341">
        <v>501</v>
      </c>
      <c r="T341">
        <v>277</v>
      </c>
      <c r="U341">
        <v>95</v>
      </c>
      <c r="V341">
        <v>1103</v>
      </c>
    </row>
    <row r="342" spans="1:22" x14ac:dyDescent="0.25">
      <c r="A342">
        <v>2025</v>
      </c>
      <c r="B342">
        <v>6</v>
      </c>
      <c r="C342" t="s">
        <v>37</v>
      </c>
      <c r="D342" t="s">
        <v>22</v>
      </c>
      <c r="E342" t="s">
        <v>150</v>
      </c>
      <c r="F342" t="s">
        <v>38</v>
      </c>
      <c r="G342" t="s">
        <v>24</v>
      </c>
      <c r="H342" t="s">
        <v>25</v>
      </c>
      <c r="I342" t="s">
        <v>26</v>
      </c>
      <c r="J342" t="s">
        <v>25</v>
      </c>
      <c r="K342">
        <v>21</v>
      </c>
      <c r="L342">
        <v>1</v>
      </c>
      <c r="M342">
        <v>0</v>
      </c>
      <c r="N342">
        <v>1</v>
      </c>
      <c r="O342">
        <v>16</v>
      </c>
      <c r="P342">
        <v>12</v>
      </c>
      <c r="Q342">
        <v>11</v>
      </c>
      <c r="R342">
        <v>10</v>
      </c>
      <c r="S342">
        <v>8</v>
      </c>
      <c r="T342">
        <v>2</v>
      </c>
      <c r="U342">
        <v>0</v>
      </c>
      <c r="V342">
        <v>20</v>
      </c>
    </row>
    <row r="343" spans="1:22" x14ac:dyDescent="0.25">
      <c r="A343">
        <v>2025</v>
      </c>
      <c r="B343">
        <v>6</v>
      </c>
      <c r="C343" t="s">
        <v>37</v>
      </c>
      <c r="D343" t="s">
        <v>22</v>
      </c>
      <c r="E343" t="s">
        <v>151</v>
      </c>
      <c r="F343" t="s">
        <v>39</v>
      </c>
      <c r="G343" t="s">
        <v>24</v>
      </c>
      <c r="H343" t="s">
        <v>26</v>
      </c>
      <c r="I343" t="s">
        <v>26</v>
      </c>
      <c r="J343" t="s">
        <v>25</v>
      </c>
      <c r="K343">
        <v>468</v>
      </c>
      <c r="L343">
        <v>3</v>
      </c>
      <c r="M343">
        <v>34</v>
      </c>
      <c r="N343">
        <v>37</v>
      </c>
      <c r="O343">
        <v>236</v>
      </c>
      <c r="P343">
        <v>196</v>
      </c>
      <c r="Q343">
        <v>184</v>
      </c>
      <c r="R343">
        <v>139</v>
      </c>
      <c r="S343">
        <v>100</v>
      </c>
      <c r="T343">
        <v>41</v>
      </c>
      <c r="U343">
        <v>9</v>
      </c>
      <c r="V343">
        <v>446</v>
      </c>
    </row>
    <row r="344" spans="1:22" x14ac:dyDescent="0.25">
      <c r="A344">
        <v>2025</v>
      </c>
      <c r="B344">
        <v>6</v>
      </c>
      <c r="C344" t="s">
        <v>37</v>
      </c>
      <c r="D344" t="s">
        <v>22</v>
      </c>
      <c r="E344" t="s">
        <v>123</v>
      </c>
      <c r="F344" t="s">
        <v>39</v>
      </c>
      <c r="G344" t="s">
        <v>24</v>
      </c>
      <c r="H344" t="s">
        <v>26</v>
      </c>
      <c r="I344" t="s">
        <v>26</v>
      </c>
      <c r="J344" t="s">
        <v>25</v>
      </c>
      <c r="K344">
        <v>613</v>
      </c>
      <c r="L344">
        <v>10</v>
      </c>
      <c r="M344">
        <v>16</v>
      </c>
      <c r="N344">
        <v>26</v>
      </c>
      <c r="O344">
        <v>449</v>
      </c>
      <c r="P344">
        <v>368</v>
      </c>
      <c r="Q344">
        <v>359</v>
      </c>
      <c r="R344">
        <v>280</v>
      </c>
      <c r="S344">
        <v>197</v>
      </c>
      <c r="T344">
        <v>88</v>
      </c>
      <c r="U344">
        <v>20</v>
      </c>
      <c r="V344">
        <v>593</v>
      </c>
    </row>
    <row r="345" spans="1:22" x14ac:dyDescent="0.25">
      <c r="A345">
        <v>2025</v>
      </c>
      <c r="B345">
        <v>6</v>
      </c>
      <c r="C345" t="s">
        <v>37</v>
      </c>
      <c r="D345" t="s">
        <v>22</v>
      </c>
      <c r="E345" t="s">
        <v>123</v>
      </c>
      <c r="F345" t="s">
        <v>42</v>
      </c>
      <c r="G345" t="s">
        <v>24</v>
      </c>
      <c r="H345" t="s">
        <v>26</v>
      </c>
      <c r="I345" t="s">
        <v>26</v>
      </c>
      <c r="J345" t="s">
        <v>25</v>
      </c>
      <c r="K345">
        <v>153</v>
      </c>
      <c r="L345">
        <v>2</v>
      </c>
      <c r="M345">
        <v>2</v>
      </c>
      <c r="N345">
        <v>4</v>
      </c>
      <c r="O345">
        <v>100</v>
      </c>
      <c r="P345">
        <v>86</v>
      </c>
      <c r="Q345">
        <v>83</v>
      </c>
      <c r="R345">
        <v>59</v>
      </c>
      <c r="S345">
        <v>43</v>
      </c>
      <c r="T345">
        <v>21</v>
      </c>
      <c r="U345">
        <v>12</v>
      </c>
      <c r="V345">
        <v>150</v>
      </c>
    </row>
    <row r="346" spans="1:22" x14ac:dyDescent="0.25">
      <c r="A346">
        <v>2025</v>
      </c>
      <c r="B346">
        <v>6</v>
      </c>
      <c r="C346" t="s">
        <v>37</v>
      </c>
      <c r="D346" t="s">
        <v>22</v>
      </c>
      <c r="E346" t="s">
        <v>123</v>
      </c>
      <c r="F346" t="s">
        <v>27</v>
      </c>
      <c r="G346" t="s">
        <v>24</v>
      </c>
      <c r="H346" t="s">
        <v>26</v>
      </c>
      <c r="I346" t="s">
        <v>26</v>
      </c>
      <c r="J346" t="s">
        <v>25</v>
      </c>
      <c r="K346">
        <v>2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2</v>
      </c>
    </row>
    <row r="347" spans="1:22" x14ac:dyDescent="0.25">
      <c r="A347">
        <v>2025</v>
      </c>
      <c r="B347">
        <v>6</v>
      </c>
      <c r="C347" t="s">
        <v>37</v>
      </c>
      <c r="D347" t="s">
        <v>22</v>
      </c>
      <c r="E347" t="s">
        <v>43</v>
      </c>
      <c r="F347" t="s">
        <v>23</v>
      </c>
      <c r="G347" t="s">
        <v>24</v>
      </c>
      <c r="H347" t="s">
        <v>25</v>
      </c>
      <c r="I347" t="s">
        <v>26</v>
      </c>
      <c r="J347" t="s">
        <v>25</v>
      </c>
      <c r="K347">
        <v>263</v>
      </c>
      <c r="L347">
        <v>3</v>
      </c>
      <c r="M347">
        <v>0</v>
      </c>
      <c r="N347">
        <v>3</v>
      </c>
      <c r="O347">
        <v>84</v>
      </c>
      <c r="P347">
        <v>54</v>
      </c>
      <c r="Q347">
        <v>48</v>
      </c>
      <c r="R347">
        <v>17</v>
      </c>
      <c r="S347">
        <v>9</v>
      </c>
      <c r="T347">
        <v>1</v>
      </c>
      <c r="U347">
        <v>0</v>
      </c>
      <c r="V347">
        <v>260</v>
      </c>
    </row>
    <row r="348" spans="1:22" x14ac:dyDescent="0.25">
      <c r="A348">
        <v>2025</v>
      </c>
      <c r="B348">
        <v>6</v>
      </c>
      <c r="C348" t="s">
        <v>37</v>
      </c>
      <c r="D348" t="s">
        <v>22</v>
      </c>
      <c r="E348" t="s">
        <v>155</v>
      </c>
      <c r="F348" t="s">
        <v>34</v>
      </c>
      <c r="G348" t="s">
        <v>24</v>
      </c>
      <c r="H348" t="s">
        <v>25</v>
      </c>
      <c r="I348" t="s">
        <v>26</v>
      </c>
      <c r="J348" t="s">
        <v>26</v>
      </c>
      <c r="K348">
        <v>1</v>
      </c>
      <c r="L348">
        <v>0</v>
      </c>
      <c r="M348">
        <v>0</v>
      </c>
      <c r="N348">
        <v>0</v>
      </c>
      <c r="O348">
        <v>1</v>
      </c>
      <c r="P348">
        <v>1</v>
      </c>
      <c r="Q348">
        <v>1</v>
      </c>
      <c r="R348">
        <v>1</v>
      </c>
      <c r="S348">
        <v>1</v>
      </c>
      <c r="T348">
        <v>0</v>
      </c>
      <c r="U348">
        <v>0</v>
      </c>
      <c r="V348">
        <v>1</v>
      </c>
    </row>
    <row r="349" spans="1:22" x14ac:dyDescent="0.25">
      <c r="A349">
        <v>2025</v>
      </c>
      <c r="B349">
        <v>6</v>
      </c>
      <c r="C349" t="s">
        <v>37</v>
      </c>
      <c r="D349" t="s">
        <v>22</v>
      </c>
      <c r="E349" t="s">
        <v>156</v>
      </c>
      <c r="F349" t="s">
        <v>34</v>
      </c>
      <c r="G349" t="s">
        <v>24</v>
      </c>
      <c r="H349" t="s">
        <v>25</v>
      </c>
      <c r="I349" t="s">
        <v>26</v>
      </c>
      <c r="J349" t="s">
        <v>26</v>
      </c>
      <c r="K349">
        <v>1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1</v>
      </c>
    </row>
    <row r="350" spans="1:22" x14ac:dyDescent="0.25">
      <c r="A350">
        <v>2025</v>
      </c>
      <c r="B350">
        <v>6</v>
      </c>
      <c r="C350" t="s">
        <v>37</v>
      </c>
      <c r="D350" t="s">
        <v>22</v>
      </c>
      <c r="E350" t="s">
        <v>52</v>
      </c>
      <c r="F350" t="s">
        <v>34</v>
      </c>
      <c r="G350" t="s">
        <v>24</v>
      </c>
      <c r="H350" t="s">
        <v>25</v>
      </c>
      <c r="I350" t="s">
        <v>26</v>
      </c>
      <c r="J350" t="s">
        <v>26</v>
      </c>
      <c r="K350">
        <v>1</v>
      </c>
      <c r="L350">
        <v>0</v>
      </c>
      <c r="M350">
        <v>0</v>
      </c>
      <c r="N350">
        <v>0</v>
      </c>
      <c r="O350">
        <v>1</v>
      </c>
      <c r="P350">
        <v>1</v>
      </c>
      <c r="Q350">
        <v>1</v>
      </c>
      <c r="R350">
        <v>1</v>
      </c>
      <c r="S350">
        <v>1</v>
      </c>
      <c r="T350">
        <v>0</v>
      </c>
      <c r="U350">
        <v>0</v>
      </c>
      <c r="V350">
        <v>1</v>
      </c>
    </row>
    <row r="351" spans="1:22" x14ac:dyDescent="0.25">
      <c r="A351">
        <v>2025</v>
      </c>
      <c r="B351">
        <v>6</v>
      </c>
      <c r="C351" t="s">
        <v>37</v>
      </c>
      <c r="D351" t="s">
        <v>22</v>
      </c>
      <c r="E351" t="s">
        <v>61</v>
      </c>
      <c r="F351" t="s">
        <v>35</v>
      </c>
      <c r="G351" t="s">
        <v>28</v>
      </c>
      <c r="H351" t="s">
        <v>25</v>
      </c>
      <c r="I351" t="s">
        <v>26</v>
      </c>
      <c r="J351" t="s">
        <v>26</v>
      </c>
      <c r="K351">
        <v>29</v>
      </c>
      <c r="L351">
        <v>0</v>
      </c>
      <c r="M351">
        <v>4</v>
      </c>
      <c r="N351">
        <v>4</v>
      </c>
      <c r="O351">
        <v>13</v>
      </c>
      <c r="P351">
        <v>11</v>
      </c>
      <c r="Q351">
        <v>11</v>
      </c>
      <c r="R351">
        <v>9</v>
      </c>
      <c r="S351">
        <v>8</v>
      </c>
      <c r="T351">
        <v>6</v>
      </c>
      <c r="U351">
        <v>5</v>
      </c>
      <c r="V351">
        <v>26</v>
      </c>
    </row>
    <row r="352" spans="1:22" x14ac:dyDescent="0.25">
      <c r="A352">
        <v>2025</v>
      </c>
      <c r="B352">
        <v>6</v>
      </c>
      <c r="C352" t="s">
        <v>37</v>
      </c>
      <c r="D352" t="s">
        <v>22</v>
      </c>
      <c r="E352" t="s">
        <v>61</v>
      </c>
      <c r="F352" t="s">
        <v>35</v>
      </c>
      <c r="G352" t="s">
        <v>24</v>
      </c>
      <c r="H352" t="s">
        <v>25</v>
      </c>
      <c r="I352" t="s">
        <v>26</v>
      </c>
      <c r="J352" t="s">
        <v>26</v>
      </c>
      <c r="K352">
        <v>579</v>
      </c>
      <c r="L352">
        <v>3</v>
      </c>
      <c r="M352">
        <v>46</v>
      </c>
      <c r="N352">
        <v>49</v>
      </c>
      <c r="O352">
        <v>362</v>
      </c>
      <c r="P352">
        <v>320</v>
      </c>
      <c r="Q352">
        <v>305</v>
      </c>
      <c r="R352">
        <v>268</v>
      </c>
      <c r="S352">
        <v>233</v>
      </c>
      <c r="T352">
        <v>167</v>
      </c>
      <c r="U352">
        <v>86</v>
      </c>
      <c r="V352">
        <v>564</v>
      </c>
    </row>
    <row r="353" spans="1:22" x14ac:dyDescent="0.25">
      <c r="A353">
        <v>2025</v>
      </c>
      <c r="B353">
        <v>6</v>
      </c>
      <c r="C353" t="s">
        <v>37</v>
      </c>
      <c r="D353" t="s">
        <v>22</v>
      </c>
      <c r="E353" t="s">
        <v>61</v>
      </c>
      <c r="F353" t="s">
        <v>41</v>
      </c>
      <c r="G353" t="s">
        <v>24</v>
      </c>
      <c r="H353" t="s">
        <v>26</v>
      </c>
      <c r="I353" t="s">
        <v>26</v>
      </c>
      <c r="J353" t="s">
        <v>25</v>
      </c>
      <c r="K353">
        <v>385</v>
      </c>
      <c r="L353">
        <v>6</v>
      </c>
      <c r="M353">
        <v>19</v>
      </c>
      <c r="N353">
        <v>25</v>
      </c>
      <c r="O353">
        <v>243</v>
      </c>
      <c r="P353">
        <v>216</v>
      </c>
      <c r="Q353">
        <v>207</v>
      </c>
      <c r="R353">
        <v>152</v>
      </c>
      <c r="S353">
        <v>122</v>
      </c>
      <c r="T353">
        <v>41</v>
      </c>
      <c r="U353">
        <v>10</v>
      </c>
      <c r="V353">
        <v>373</v>
      </c>
    </row>
    <row r="354" spans="1:22" x14ac:dyDescent="0.25">
      <c r="A354">
        <v>2025</v>
      </c>
      <c r="B354">
        <v>6</v>
      </c>
      <c r="C354" t="s">
        <v>37</v>
      </c>
      <c r="D354" t="s">
        <v>22</v>
      </c>
      <c r="E354" t="s">
        <v>69</v>
      </c>
      <c r="F354" t="s">
        <v>23</v>
      </c>
      <c r="G354" t="s">
        <v>28</v>
      </c>
      <c r="H354" t="s">
        <v>25</v>
      </c>
      <c r="I354" t="s">
        <v>26</v>
      </c>
      <c r="J354" t="s">
        <v>25</v>
      </c>
      <c r="K354">
        <v>20</v>
      </c>
      <c r="L354">
        <v>1</v>
      </c>
      <c r="M354">
        <v>3</v>
      </c>
      <c r="N354">
        <v>4</v>
      </c>
      <c r="O354">
        <v>14</v>
      </c>
      <c r="P354">
        <v>9</v>
      </c>
      <c r="Q354">
        <v>9</v>
      </c>
      <c r="R354">
        <v>4</v>
      </c>
      <c r="S354">
        <v>3</v>
      </c>
      <c r="T354">
        <v>0</v>
      </c>
      <c r="U354">
        <v>0</v>
      </c>
      <c r="V354">
        <v>19</v>
      </c>
    </row>
    <row r="355" spans="1:22" x14ac:dyDescent="0.25">
      <c r="A355">
        <v>2025</v>
      </c>
      <c r="B355">
        <v>6</v>
      </c>
      <c r="C355" t="s">
        <v>37</v>
      </c>
      <c r="D355" t="s">
        <v>22</v>
      </c>
      <c r="E355" t="s">
        <v>69</v>
      </c>
      <c r="F355" t="s">
        <v>23</v>
      </c>
      <c r="G355" t="s">
        <v>24</v>
      </c>
      <c r="H355" t="s">
        <v>25</v>
      </c>
      <c r="I355" t="s">
        <v>26</v>
      </c>
      <c r="J355" t="s">
        <v>25</v>
      </c>
      <c r="K355">
        <v>622</v>
      </c>
      <c r="L355">
        <v>78</v>
      </c>
      <c r="M355">
        <v>98</v>
      </c>
      <c r="N355">
        <v>176</v>
      </c>
      <c r="O355">
        <v>262</v>
      </c>
      <c r="P355">
        <v>216</v>
      </c>
      <c r="Q355">
        <v>195</v>
      </c>
      <c r="R355">
        <v>136</v>
      </c>
      <c r="S355">
        <v>102</v>
      </c>
      <c r="T355">
        <v>29</v>
      </c>
      <c r="U355">
        <v>4</v>
      </c>
      <c r="V355">
        <v>499</v>
      </c>
    </row>
    <row r="356" spans="1:22" x14ac:dyDescent="0.25">
      <c r="A356">
        <v>2025</v>
      </c>
      <c r="B356">
        <v>6</v>
      </c>
      <c r="C356" t="s">
        <v>37</v>
      </c>
      <c r="D356" t="s">
        <v>22</v>
      </c>
      <c r="E356" t="s">
        <v>69</v>
      </c>
      <c r="F356" t="s">
        <v>40</v>
      </c>
      <c r="G356" t="s">
        <v>24</v>
      </c>
      <c r="H356" t="s">
        <v>25</v>
      </c>
      <c r="I356" t="s">
        <v>26</v>
      </c>
      <c r="J356" t="s">
        <v>25</v>
      </c>
      <c r="K356">
        <v>487</v>
      </c>
      <c r="L356">
        <v>15</v>
      </c>
      <c r="M356">
        <v>0</v>
      </c>
      <c r="N356">
        <v>15</v>
      </c>
      <c r="O356">
        <v>24</v>
      </c>
      <c r="P356">
        <v>17</v>
      </c>
      <c r="Q356">
        <v>14</v>
      </c>
      <c r="R356">
        <v>6</v>
      </c>
      <c r="S356">
        <v>1</v>
      </c>
      <c r="T356">
        <v>0</v>
      </c>
      <c r="U356">
        <v>0</v>
      </c>
      <c r="V356">
        <v>472</v>
      </c>
    </row>
    <row r="357" spans="1:22" x14ac:dyDescent="0.25">
      <c r="A357">
        <v>2025</v>
      </c>
      <c r="B357">
        <v>6</v>
      </c>
      <c r="C357" t="s">
        <v>37</v>
      </c>
      <c r="D357" t="s">
        <v>22</v>
      </c>
      <c r="E357" t="s">
        <v>75</v>
      </c>
      <c r="F357" t="s">
        <v>39</v>
      </c>
      <c r="G357" t="s">
        <v>24</v>
      </c>
      <c r="H357" t="s">
        <v>26</v>
      </c>
      <c r="I357" t="s">
        <v>26</v>
      </c>
      <c r="J357" t="s">
        <v>25</v>
      </c>
      <c r="K357">
        <v>11</v>
      </c>
      <c r="L357">
        <v>4</v>
      </c>
      <c r="M357">
        <v>0</v>
      </c>
      <c r="N357">
        <v>4</v>
      </c>
      <c r="O357">
        <v>6</v>
      </c>
      <c r="P357">
        <v>6</v>
      </c>
      <c r="Q357">
        <v>6</v>
      </c>
      <c r="R357">
        <v>3</v>
      </c>
      <c r="S357">
        <v>3</v>
      </c>
      <c r="T357">
        <v>3</v>
      </c>
      <c r="U357">
        <v>1</v>
      </c>
      <c r="V357">
        <v>7</v>
      </c>
    </row>
    <row r="358" spans="1:22" x14ac:dyDescent="0.25">
      <c r="A358">
        <v>2025</v>
      </c>
      <c r="B358">
        <v>6</v>
      </c>
      <c r="C358" t="s">
        <v>37</v>
      </c>
      <c r="D358" t="s">
        <v>22</v>
      </c>
      <c r="E358" t="s">
        <v>75</v>
      </c>
      <c r="F358" t="s">
        <v>39</v>
      </c>
      <c r="G358" t="s">
        <v>29</v>
      </c>
      <c r="H358" t="s">
        <v>26</v>
      </c>
      <c r="I358" t="s">
        <v>26</v>
      </c>
      <c r="J358" t="s">
        <v>25</v>
      </c>
      <c r="K358">
        <v>3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</row>
    <row r="359" spans="1:22" x14ac:dyDescent="0.25">
      <c r="A359">
        <v>2025</v>
      </c>
      <c r="B359">
        <v>6</v>
      </c>
      <c r="C359" t="s">
        <v>37</v>
      </c>
      <c r="D359" t="s">
        <v>22</v>
      </c>
      <c r="E359" t="s">
        <v>75</v>
      </c>
      <c r="F359" t="s">
        <v>27</v>
      </c>
      <c r="G359" t="s">
        <v>24</v>
      </c>
      <c r="H359" t="s">
        <v>26</v>
      </c>
      <c r="I359" t="s">
        <v>26</v>
      </c>
      <c r="J359" t="s">
        <v>25</v>
      </c>
      <c r="K359">
        <v>2</v>
      </c>
      <c r="L359">
        <v>2</v>
      </c>
      <c r="M359">
        <v>0</v>
      </c>
      <c r="N359">
        <v>2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</row>
    <row r="360" spans="1:22" x14ac:dyDescent="0.25">
      <c r="A360">
        <v>2025</v>
      </c>
      <c r="B360">
        <v>6</v>
      </c>
      <c r="C360" t="s">
        <v>37</v>
      </c>
      <c r="D360" t="s">
        <v>22</v>
      </c>
      <c r="E360" t="s">
        <v>75</v>
      </c>
      <c r="F360" t="s">
        <v>27</v>
      </c>
      <c r="G360" t="s">
        <v>29</v>
      </c>
      <c r="H360" t="s">
        <v>26</v>
      </c>
      <c r="I360" t="s">
        <v>26</v>
      </c>
      <c r="J360" t="s">
        <v>25</v>
      </c>
      <c r="K360">
        <v>1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</row>
    <row r="361" spans="1:22" x14ac:dyDescent="0.25">
      <c r="A361">
        <v>2025</v>
      </c>
      <c r="B361">
        <v>7</v>
      </c>
      <c r="C361" t="s">
        <v>37</v>
      </c>
      <c r="D361" t="s">
        <v>22</v>
      </c>
      <c r="E361" t="s">
        <v>126</v>
      </c>
      <c r="F361" t="s">
        <v>32</v>
      </c>
      <c r="G361" t="s">
        <v>24</v>
      </c>
      <c r="H361" t="s">
        <v>25</v>
      </c>
      <c r="I361" t="s">
        <v>26</v>
      </c>
      <c r="J361" t="s">
        <v>25</v>
      </c>
      <c r="K361">
        <v>338</v>
      </c>
      <c r="L361">
        <v>3</v>
      </c>
      <c r="M361">
        <v>23</v>
      </c>
      <c r="N361">
        <v>26</v>
      </c>
      <c r="O361">
        <v>176</v>
      </c>
      <c r="P361">
        <v>146</v>
      </c>
      <c r="Q361">
        <v>133</v>
      </c>
      <c r="R361">
        <v>107</v>
      </c>
      <c r="S361">
        <v>80</v>
      </c>
      <c r="T361">
        <v>46</v>
      </c>
      <c r="U361">
        <v>25</v>
      </c>
      <c r="V361">
        <v>330</v>
      </c>
    </row>
    <row r="362" spans="1:22" x14ac:dyDescent="0.25">
      <c r="A362">
        <v>2025</v>
      </c>
      <c r="B362">
        <v>7</v>
      </c>
      <c r="C362" t="s">
        <v>37</v>
      </c>
      <c r="D362" t="s">
        <v>22</v>
      </c>
      <c r="E362" t="s">
        <v>127</v>
      </c>
      <c r="F362" t="s">
        <v>32</v>
      </c>
      <c r="G362" t="s">
        <v>24</v>
      </c>
      <c r="H362" t="s">
        <v>25</v>
      </c>
      <c r="I362" t="s">
        <v>26</v>
      </c>
      <c r="J362" t="s">
        <v>25</v>
      </c>
      <c r="K362">
        <v>2</v>
      </c>
      <c r="L362">
        <v>0</v>
      </c>
      <c r="M362">
        <v>0</v>
      </c>
      <c r="N362">
        <v>0</v>
      </c>
      <c r="O362">
        <v>1</v>
      </c>
      <c r="P362">
        <v>1</v>
      </c>
      <c r="Q362">
        <v>1</v>
      </c>
      <c r="R362">
        <v>0</v>
      </c>
      <c r="S362">
        <v>0</v>
      </c>
      <c r="T362">
        <v>0</v>
      </c>
      <c r="U362">
        <v>0</v>
      </c>
      <c r="V362">
        <v>2</v>
      </c>
    </row>
    <row r="363" spans="1:22" x14ac:dyDescent="0.25">
      <c r="A363">
        <v>2025</v>
      </c>
      <c r="B363">
        <v>7</v>
      </c>
      <c r="C363" t="s">
        <v>37</v>
      </c>
      <c r="D363" t="s">
        <v>22</v>
      </c>
      <c r="E363" t="s">
        <v>128</v>
      </c>
      <c r="F363" t="s">
        <v>32</v>
      </c>
      <c r="G363" t="s">
        <v>24</v>
      </c>
      <c r="H363" t="s">
        <v>25</v>
      </c>
      <c r="I363" t="s">
        <v>26</v>
      </c>
      <c r="J363" t="s">
        <v>25</v>
      </c>
      <c r="K363">
        <v>52</v>
      </c>
      <c r="L363">
        <v>0</v>
      </c>
      <c r="M363">
        <v>4</v>
      </c>
      <c r="N363">
        <v>4</v>
      </c>
      <c r="O363">
        <v>32</v>
      </c>
      <c r="P363">
        <v>24</v>
      </c>
      <c r="Q363">
        <v>22</v>
      </c>
      <c r="R363">
        <v>17</v>
      </c>
      <c r="S363">
        <v>15</v>
      </c>
      <c r="T363">
        <v>9</v>
      </c>
      <c r="U363">
        <v>4</v>
      </c>
      <c r="V363">
        <v>51</v>
      </c>
    </row>
    <row r="364" spans="1:22" x14ac:dyDescent="0.25">
      <c r="A364">
        <v>2025</v>
      </c>
      <c r="B364">
        <v>7</v>
      </c>
      <c r="C364" t="s">
        <v>37</v>
      </c>
      <c r="D364" t="s">
        <v>22</v>
      </c>
      <c r="E364" t="s">
        <v>128</v>
      </c>
      <c r="F364" t="s">
        <v>34</v>
      </c>
      <c r="G364" t="s">
        <v>24</v>
      </c>
      <c r="H364" t="s">
        <v>25</v>
      </c>
      <c r="I364" t="s">
        <v>26</v>
      </c>
      <c r="J364" t="s">
        <v>26</v>
      </c>
      <c r="K364">
        <v>62</v>
      </c>
      <c r="L364">
        <v>2</v>
      </c>
      <c r="M364">
        <v>0</v>
      </c>
      <c r="N364">
        <v>2</v>
      </c>
      <c r="O364">
        <v>30</v>
      </c>
      <c r="P364">
        <v>25</v>
      </c>
      <c r="Q364">
        <v>22</v>
      </c>
      <c r="R364">
        <v>18</v>
      </c>
      <c r="S364">
        <v>16</v>
      </c>
      <c r="T364">
        <v>12</v>
      </c>
      <c r="U364">
        <v>9</v>
      </c>
      <c r="V364">
        <v>60</v>
      </c>
    </row>
    <row r="365" spans="1:22" x14ac:dyDescent="0.25">
      <c r="A365">
        <v>2025</v>
      </c>
      <c r="B365">
        <v>7</v>
      </c>
      <c r="C365" t="s">
        <v>37</v>
      </c>
      <c r="D365" t="s">
        <v>22</v>
      </c>
      <c r="E365" t="s">
        <v>131</v>
      </c>
      <c r="F365" t="s">
        <v>34</v>
      </c>
      <c r="G365" t="s">
        <v>24</v>
      </c>
      <c r="H365" t="s">
        <v>25</v>
      </c>
      <c r="I365" t="s">
        <v>26</v>
      </c>
      <c r="J365" t="s">
        <v>26</v>
      </c>
      <c r="K365">
        <v>62</v>
      </c>
      <c r="L365">
        <v>0</v>
      </c>
      <c r="M365">
        <v>1</v>
      </c>
      <c r="N365">
        <v>1</v>
      </c>
      <c r="O365">
        <v>36</v>
      </c>
      <c r="P365">
        <v>29</v>
      </c>
      <c r="Q365">
        <v>28</v>
      </c>
      <c r="R365">
        <v>24</v>
      </c>
      <c r="S365">
        <v>13</v>
      </c>
      <c r="T365">
        <v>4</v>
      </c>
      <c r="U365">
        <v>1</v>
      </c>
      <c r="V365">
        <v>62</v>
      </c>
    </row>
    <row r="366" spans="1:22" x14ac:dyDescent="0.25">
      <c r="A366">
        <v>2025</v>
      </c>
      <c r="B366">
        <v>7</v>
      </c>
      <c r="C366" t="s">
        <v>37</v>
      </c>
      <c r="D366" t="s">
        <v>22</v>
      </c>
      <c r="E366" t="s">
        <v>132</v>
      </c>
      <c r="F366" t="s">
        <v>32</v>
      </c>
      <c r="G366" t="s">
        <v>24</v>
      </c>
      <c r="H366" t="s">
        <v>25</v>
      </c>
      <c r="I366" t="s">
        <v>26</v>
      </c>
      <c r="J366" t="s">
        <v>25</v>
      </c>
      <c r="K366">
        <v>62</v>
      </c>
      <c r="L366">
        <v>0</v>
      </c>
      <c r="M366">
        <v>2</v>
      </c>
      <c r="N366">
        <v>2</v>
      </c>
      <c r="O366">
        <v>36</v>
      </c>
      <c r="P366">
        <v>29</v>
      </c>
      <c r="Q366">
        <v>27</v>
      </c>
      <c r="R366">
        <v>20</v>
      </c>
      <c r="S366">
        <v>20</v>
      </c>
      <c r="T366">
        <v>20</v>
      </c>
      <c r="U366">
        <v>12</v>
      </c>
      <c r="V366">
        <v>62</v>
      </c>
    </row>
    <row r="367" spans="1:22" x14ac:dyDescent="0.25">
      <c r="A367">
        <v>2025</v>
      </c>
      <c r="B367">
        <v>7</v>
      </c>
      <c r="C367" t="s">
        <v>37</v>
      </c>
      <c r="D367" t="s">
        <v>22</v>
      </c>
      <c r="E367" t="s">
        <v>132</v>
      </c>
      <c r="F367" t="s">
        <v>34</v>
      </c>
      <c r="G367" t="s">
        <v>24</v>
      </c>
      <c r="H367" t="s">
        <v>25</v>
      </c>
      <c r="I367" t="s">
        <v>26</v>
      </c>
      <c r="J367" t="s">
        <v>26</v>
      </c>
      <c r="K367">
        <v>62</v>
      </c>
      <c r="L367">
        <v>0</v>
      </c>
      <c r="M367">
        <v>3</v>
      </c>
      <c r="N367">
        <v>3</v>
      </c>
      <c r="O367">
        <v>36</v>
      </c>
      <c r="P367">
        <v>28</v>
      </c>
      <c r="Q367">
        <v>27</v>
      </c>
      <c r="R367">
        <v>22</v>
      </c>
      <c r="S367">
        <v>21</v>
      </c>
      <c r="T367">
        <v>21</v>
      </c>
      <c r="U367">
        <v>14</v>
      </c>
      <c r="V367">
        <v>62</v>
      </c>
    </row>
    <row r="368" spans="1:22" x14ac:dyDescent="0.25">
      <c r="A368">
        <v>2025</v>
      </c>
      <c r="B368">
        <v>7</v>
      </c>
      <c r="C368" t="s">
        <v>37</v>
      </c>
      <c r="D368" t="s">
        <v>22</v>
      </c>
      <c r="E368" t="s">
        <v>37</v>
      </c>
      <c r="F368" t="s">
        <v>32</v>
      </c>
      <c r="G368" t="s">
        <v>28</v>
      </c>
      <c r="H368" t="s">
        <v>25</v>
      </c>
      <c r="I368" t="s">
        <v>26</v>
      </c>
      <c r="J368" t="s">
        <v>25</v>
      </c>
      <c r="K368">
        <v>6</v>
      </c>
      <c r="L368">
        <v>3</v>
      </c>
      <c r="M368">
        <v>1</v>
      </c>
      <c r="N368">
        <v>4</v>
      </c>
      <c r="O368">
        <v>2</v>
      </c>
      <c r="P368">
        <v>2</v>
      </c>
      <c r="Q368">
        <v>2</v>
      </c>
      <c r="R368">
        <v>2</v>
      </c>
      <c r="S368">
        <v>2</v>
      </c>
      <c r="T368">
        <v>1</v>
      </c>
      <c r="U368">
        <v>1</v>
      </c>
      <c r="V368">
        <v>3</v>
      </c>
    </row>
    <row r="369" spans="1:22" x14ac:dyDescent="0.25">
      <c r="A369">
        <v>2025</v>
      </c>
      <c r="B369">
        <v>7</v>
      </c>
      <c r="C369" t="s">
        <v>37</v>
      </c>
      <c r="D369" t="s">
        <v>22</v>
      </c>
      <c r="E369" t="s">
        <v>37</v>
      </c>
      <c r="F369" t="s">
        <v>23</v>
      </c>
      <c r="G369" t="s">
        <v>28</v>
      </c>
      <c r="H369" t="s">
        <v>25</v>
      </c>
      <c r="I369" t="s">
        <v>26</v>
      </c>
      <c r="J369" t="s">
        <v>25</v>
      </c>
      <c r="K369">
        <v>4544</v>
      </c>
      <c r="L369">
        <v>263</v>
      </c>
      <c r="M369">
        <v>603</v>
      </c>
      <c r="N369">
        <v>866</v>
      </c>
      <c r="O369">
        <v>2372</v>
      </c>
      <c r="P369">
        <v>2038</v>
      </c>
      <c r="Q369">
        <v>1919</v>
      </c>
      <c r="R369">
        <v>1553</v>
      </c>
      <c r="S369">
        <v>1232</v>
      </c>
      <c r="T369">
        <v>646</v>
      </c>
      <c r="U369">
        <v>214</v>
      </c>
      <c r="V369">
        <v>4014</v>
      </c>
    </row>
    <row r="370" spans="1:22" x14ac:dyDescent="0.25">
      <c r="A370">
        <v>2025</v>
      </c>
      <c r="B370">
        <v>7</v>
      </c>
      <c r="C370" t="s">
        <v>37</v>
      </c>
      <c r="D370" t="s">
        <v>22</v>
      </c>
      <c r="E370" t="s">
        <v>37</v>
      </c>
      <c r="F370" t="s">
        <v>23</v>
      </c>
      <c r="G370" t="s">
        <v>24</v>
      </c>
      <c r="H370" t="s">
        <v>25</v>
      </c>
      <c r="I370" t="s">
        <v>26</v>
      </c>
      <c r="J370" t="s">
        <v>25</v>
      </c>
      <c r="K370">
        <v>528</v>
      </c>
      <c r="L370">
        <v>17</v>
      </c>
      <c r="M370">
        <v>31</v>
      </c>
      <c r="N370">
        <v>48</v>
      </c>
      <c r="O370">
        <v>399</v>
      </c>
      <c r="P370">
        <v>355</v>
      </c>
      <c r="Q370">
        <v>332</v>
      </c>
      <c r="R370">
        <v>271</v>
      </c>
      <c r="S370">
        <v>210</v>
      </c>
      <c r="T370">
        <v>96</v>
      </c>
      <c r="U370">
        <v>29</v>
      </c>
      <c r="V370">
        <v>491</v>
      </c>
    </row>
    <row r="371" spans="1:22" x14ac:dyDescent="0.25">
      <c r="A371">
        <v>2025</v>
      </c>
      <c r="B371">
        <v>7</v>
      </c>
      <c r="C371" t="s">
        <v>37</v>
      </c>
      <c r="D371" t="s">
        <v>22</v>
      </c>
      <c r="E371" t="s">
        <v>37</v>
      </c>
      <c r="F371" t="s">
        <v>39</v>
      </c>
      <c r="G371" t="s">
        <v>28</v>
      </c>
      <c r="H371" t="s">
        <v>26</v>
      </c>
      <c r="I371" t="s">
        <v>26</v>
      </c>
      <c r="J371" t="s">
        <v>25</v>
      </c>
      <c r="K371">
        <v>13857</v>
      </c>
      <c r="L371">
        <v>1184</v>
      </c>
      <c r="M371">
        <v>1796</v>
      </c>
      <c r="N371">
        <v>2980</v>
      </c>
      <c r="O371">
        <v>8137</v>
      </c>
      <c r="P371">
        <v>7303</v>
      </c>
      <c r="Q371">
        <v>6965</v>
      </c>
      <c r="R371">
        <v>5855</v>
      </c>
      <c r="S371">
        <v>4760</v>
      </c>
      <c r="T371">
        <v>2809</v>
      </c>
      <c r="U371">
        <v>1212</v>
      </c>
      <c r="V371">
        <v>12006</v>
      </c>
    </row>
    <row r="372" spans="1:22" x14ac:dyDescent="0.25">
      <c r="A372">
        <v>2025</v>
      </c>
      <c r="B372">
        <v>7</v>
      </c>
      <c r="C372" t="s">
        <v>37</v>
      </c>
      <c r="D372" t="s">
        <v>22</v>
      </c>
      <c r="E372" t="s">
        <v>135</v>
      </c>
      <c r="F372" t="s">
        <v>32</v>
      </c>
      <c r="G372" t="s">
        <v>24</v>
      </c>
      <c r="H372" t="s">
        <v>25</v>
      </c>
      <c r="I372" t="s">
        <v>26</v>
      </c>
      <c r="J372" t="s">
        <v>25</v>
      </c>
      <c r="K372">
        <v>471</v>
      </c>
      <c r="L372">
        <v>15</v>
      </c>
      <c r="M372">
        <v>2</v>
      </c>
      <c r="N372">
        <v>17</v>
      </c>
      <c r="O372">
        <v>260</v>
      </c>
      <c r="P372">
        <v>214</v>
      </c>
      <c r="Q372">
        <v>194</v>
      </c>
      <c r="R372">
        <v>143</v>
      </c>
      <c r="S372">
        <v>92</v>
      </c>
      <c r="T372">
        <v>56</v>
      </c>
      <c r="U372">
        <v>30</v>
      </c>
      <c r="V372">
        <v>455</v>
      </c>
    </row>
    <row r="373" spans="1:22" x14ac:dyDescent="0.25">
      <c r="A373">
        <v>2025</v>
      </c>
      <c r="B373">
        <v>7</v>
      </c>
      <c r="C373" t="s">
        <v>37</v>
      </c>
      <c r="D373" t="s">
        <v>22</v>
      </c>
      <c r="E373" t="s">
        <v>135</v>
      </c>
      <c r="F373" t="s">
        <v>34</v>
      </c>
      <c r="G373" t="s">
        <v>24</v>
      </c>
      <c r="H373" t="s">
        <v>25</v>
      </c>
      <c r="I373" t="s">
        <v>26</v>
      </c>
      <c r="J373" t="s">
        <v>26</v>
      </c>
      <c r="K373">
        <v>1</v>
      </c>
      <c r="L373">
        <v>1</v>
      </c>
      <c r="M373">
        <v>0</v>
      </c>
      <c r="N373">
        <v>1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</row>
    <row r="374" spans="1:22" x14ac:dyDescent="0.25">
      <c r="A374">
        <v>2025</v>
      </c>
      <c r="B374">
        <v>7</v>
      </c>
      <c r="C374" t="s">
        <v>37</v>
      </c>
      <c r="D374" t="s">
        <v>22</v>
      </c>
      <c r="E374" t="s">
        <v>136</v>
      </c>
      <c r="F374" t="s">
        <v>34</v>
      </c>
      <c r="G374" t="s">
        <v>24</v>
      </c>
      <c r="H374" t="s">
        <v>25</v>
      </c>
      <c r="I374" t="s">
        <v>26</v>
      </c>
      <c r="J374" t="s">
        <v>26</v>
      </c>
      <c r="K374">
        <v>43</v>
      </c>
      <c r="L374">
        <v>4</v>
      </c>
      <c r="M374">
        <v>3</v>
      </c>
      <c r="N374">
        <v>7</v>
      </c>
      <c r="O374">
        <v>32</v>
      </c>
      <c r="P374">
        <v>30</v>
      </c>
      <c r="Q374">
        <v>28</v>
      </c>
      <c r="R374">
        <v>28</v>
      </c>
      <c r="S374">
        <v>25</v>
      </c>
      <c r="T374">
        <v>22</v>
      </c>
      <c r="U374">
        <v>15</v>
      </c>
      <c r="V374">
        <v>39</v>
      </c>
    </row>
    <row r="375" spans="1:22" x14ac:dyDescent="0.25">
      <c r="A375">
        <v>2025</v>
      </c>
      <c r="B375">
        <v>7</v>
      </c>
      <c r="C375" t="s">
        <v>37</v>
      </c>
      <c r="D375" t="s">
        <v>22</v>
      </c>
      <c r="E375" t="s">
        <v>138</v>
      </c>
      <c r="F375" t="s">
        <v>34</v>
      </c>
      <c r="G375" t="s">
        <v>24</v>
      </c>
      <c r="H375" t="s">
        <v>25</v>
      </c>
      <c r="I375" t="s">
        <v>26</v>
      </c>
      <c r="J375" t="s">
        <v>26</v>
      </c>
      <c r="K375">
        <v>13</v>
      </c>
      <c r="L375">
        <v>0</v>
      </c>
      <c r="M375">
        <v>0</v>
      </c>
      <c r="N375">
        <v>0</v>
      </c>
      <c r="O375">
        <v>6</v>
      </c>
      <c r="P375">
        <v>5</v>
      </c>
      <c r="Q375">
        <v>4</v>
      </c>
      <c r="R375">
        <v>2</v>
      </c>
      <c r="S375">
        <v>2</v>
      </c>
      <c r="T375">
        <v>1</v>
      </c>
      <c r="U375">
        <v>1</v>
      </c>
      <c r="V375">
        <v>13</v>
      </c>
    </row>
    <row r="376" spans="1:22" x14ac:dyDescent="0.25">
      <c r="A376">
        <v>2025</v>
      </c>
      <c r="B376">
        <v>7</v>
      </c>
      <c r="C376" t="s">
        <v>37</v>
      </c>
      <c r="D376" t="s">
        <v>22</v>
      </c>
      <c r="E376" t="s">
        <v>139</v>
      </c>
      <c r="F376" t="s">
        <v>34</v>
      </c>
      <c r="G376" t="s">
        <v>24</v>
      </c>
      <c r="H376" t="s">
        <v>25</v>
      </c>
      <c r="I376" t="s">
        <v>26</v>
      </c>
      <c r="J376" t="s">
        <v>26</v>
      </c>
      <c r="K376">
        <v>30</v>
      </c>
      <c r="L376">
        <v>0</v>
      </c>
      <c r="M376">
        <v>1</v>
      </c>
      <c r="N376">
        <v>1</v>
      </c>
      <c r="O376">
        <v>18</v>
      </c>
      <c r="P376">
        <v>16</v>
      </c>
      <c r="Q376">
        <v>15</v>
      </c>
      <c r="R376">
        <v>13</v>
      </c>
      <c r="S376">
        <v>10</v>
      </c>
      <c r="T376">
        <v>3</v>
      </c>
      <c r="U376">
        <v>2</v>
      </c>
      <c r="V376">
        <v>30</v>
      </c>
    </row>
    <row r="377" spans="1:22" x14ac:dyDescent="0.25">
      <c r="A377">
        <v>2025</v>
      </c>
      <c r="B377">
        <v>7</v>
      </c>
      <c r="C377" t="s">
        <v>37</v>
      </c>
      <c r="D377" t="s">
        <v>22</v>
      </c>
      <c r="E377" t="s">
        <v>141</v>
      </c>
      <c r="F377" t="s">
        <v>34</v>
      </c>
      <c r="G377" t="s">
        <v>24</v>
      </c>
      <c r="H377" t="s">
        <v>25</v>
      </c>
      <c r="I377" t="s">
        <v>26</v>
      </c>
      <c r="J377" t="s">
        <v>26</v>
      </c>
      <c r="K377">
        <v>31</v>
      </c>
      <c r="L377">
        <v>0</v>
      </c>
      <c r="M377">
        <v>0</v>
      </c>
      <c r="N377">
        <v>0</v>
      </c>
      <c r="O377">
        <v>18</v>
      </c>
      <c r="P377">
        <v>16</v>
      </c>
      <c r="Q377">
        <v>14</v>
      </c>
      <c r="R377">
        <v>11</v>
      </c>
      <c r="S377">
        <v>10</v>
      </c>
      <c r="T377">
        <v>2</v>
      </c>
      <c r="U377">
        <v>2</v>
      </c>
      <c r="V377">
        <v>31</v>
      </c>
    </row>
    <row r="378" spans="1:22" x14ac:dyDescent="0.25">
      <c r="A378">
        <v>2025</v>
      </c>
      <c r="B378">
        <v>7</v>
      </c>
      <c r="C378" t="s">
        <v>37</v>
      </c>
      <c r="D378" t="s">
        <v>22</v>
      </c>
      <c r="E378" t="s">
        <v>142</v>
      </c>
      <c r="F378" t="s">
        <v>34</v>
      </c>
      <c r="G378" t="s">
        <v>24</v>
      </c>
      <c r="H378" t="s">
        <v>25</v>
      </c>
      <c r="I378" t="s">
        <v>26</v>
      </c>
      <c r="J378" t="s">
        <v>26</v>
      </c>
      <c r="K378">
        <v>28</v>
      </c>
      <c r="L378">
        <v>0</v>
      </c>
      <c r="M378">
        <v>1</v>
      </c>
      <c r="N378">
        <v>1</v>
      </c>
      <c r="O378">
        <v>8</v>
      </c>
      <c r="P378">
        <v>8</v>
      </c>
      <c r="Q378">
        <v>6</v>
      </c>
      <c r="R378">
        <v>5</v>
      </c>
      <c r="S378">
        <v>3</v>
      </c>
      <c r="T378">
        <v>1</v>
      </c>
      <c r="U378">
        <v>1</v>
      </c>
      <c r="V378">
        <v>28</v>
      </c>
    </row>
    <row r="379" spans="1:22" x14ac:dyDescent="0.25">
      <c r="A379">
        <v>2025</v>
      </c>
      <c r="B379">
        <v>7</v>
      </c>
      <c r="C379" t="s">
        <v>37</v>
      </c>
      <c r="D379" t="s">
        <v>22</v>
      </c>
      <c r="E379" t="s">
        <v>143</v>
      </c>
      <c r="F379" t="s">
        <v>39</v>
      </c>
      <c r="G379" t="s">
        <v>24</v>
      </c>
      <c r="H379" t="s">
        <v>26</v>
      </c>
      <c r="I379" t="s">
        <v>26</v>
      </c>
      <c r="J379" t="s">
        <v>25</v>
      </c>
      <c r="K379">
        <v>457</v>
      </c>
      <c r="L379">
        <v>4</v>
      </c>
      <c r="M379">
        <v>61</v>
      </c>
      <c r="N379">
        <v>65</v>
      </c>
      <c r="O379">
        <v>257</v>
      </c>
      <c r="P379">
        <v>221</v>
      </c>
      <c r="Q379">
        <v>204</v>
      </c>
      <c r="R379">
        <v>162</v>
      </c>
      <c r="S379">
        <v>140</v>
      </c>
      <c r="T379">
        <v>82</v>
      </c>
      <c r="U379">
        <v>17</v>
      </c>
      <c r="V379">
        <v>421</v>
      </c>
    </row>
    <row r="380" spans="1:22" x14ac:dyDescent="0.25">
      <c r="A380">
        <v>2025</v>
      </c>
      <c r="B380">
        <v>7</v>
      </c>
      <c r="C380" t="s">
        <v>37</v>
      </c>
      <c r="D380" t="s">
        <v>22</v>
      </c>
      <c r="E380" t="s">
        <v>144</v>
      </c>
      <c r="F380" t="s">
        <v>32</v>
      </c>
      <c r="G380" t="s">
        <v>24</v>
      </c>
      <c r="H380" t="s">
        <v>25</v>
      </c>
      <c r="I380" t="s">
        <v>26</v>
      </c>
      <c r="J380" t="s">
        <v>25</v>
      </c>
      <c r="K380">
        <v>208</v>
      </c>
      <c r="L380">
        <v>2</v>
      </c>
      <c r="M380">
        <v>14</v>
      </c>
      <c r="N380">
        <v>16</v>
      </c>
      <c r="O380">
        <v>137</v>
      </c>
      <c r="P380">
        <v>124</v>
      </c>
      <c r="Q380">
        <v>120</v>
      </c>
      <c r="R380">
        <v>95</v>
      </c>
      <c r="S380">
        <v>69</v>
      </c>
      <c r="T380">
        <v>27</v>
      </c>
      <c r="U380">
        <v>11</v>
      </c>
      <c r="V380">
        <v>198</v>
      </c>
    </row>
    <row r="381" spans="1:22" x14ac:dyDescent="0.25">
      <c r="A381">
        <v>2025</v>
      </c>
      <c r="B381">
        <v>7</v>
      </c>
      <c r="C381" t="s">
        <v>37</v>
      </c>
      <c r="D381" t="s">
        <v>22</v>
      </c>
      <c r="E381" t="s">
        <v>144</v>
      </c>
      <c r="F381" t="s">
        <v>34</v>
      </c>
      <c r="G381" t="s">
        <v>24</v>
      </c>
      <c r="H381" t="s">
        <v>25</v>
      </c>
      <c r="I381" t="s">
        <v>26</v>
      </c>
      <c r="J381" t="s">
        <v>26</v>
      </c>
      <c r="K381">
        <v>2</v>
      </c>
      <c r="L381">
        <v>0</v>
      </c>
      <c r="M381">
        <v>0</v>
      </c>
      <c r="N381">
        <v>0</v>
      </c>
      <c r="O381">
        <v>1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2</v>
      </c>
    </row>
    <row r="382" spans="1:22" x14ac:dyDescent="0.25">
      <c r="A382">
        <v>2025</v>
      </c>
      <c r="B382">
        <v>7</v>
      </c>
      <c r="C382" t="s">
        <v>37</v>
      </c>
      <c r="D382" t="s">
        <v>22</v>
      </c>
      <c r="E382" t="s">
        <v>144</v>
      </c>
      <c r="F382" t="s">
        <v>23</v>
      </c>
      <c r="G382" t="s">
        <v>24</v>
      </c>
      <c r="H382" t="s">
        <v>25</v>
      </c>
      <c r="I382" t="s">
        <v>26</v>
      </c>
      <c r="J382" t="s">
        <v>25</v>
      </c>
      <c r="K382">
        <v>186</v>
      </c>
      <c r="L382">
        <v>3</v>
      </c>
      <c r="M382">
        <v>23</v>
      </c>
      <c r="N382">
        <v>26</v>
      </c>
      <c r="O382">
        <v>72</v>
      </c>
      <c r="P382">
        <v>60</v>
      </c>
      <c r="Q382">
        <v>57</v>
      </c>
      <c r="R382">
        <v>47</v>
      </c>
      <c r="S382">
        <v>31</v>
      </c>
      <c r="T382">
        <v>13</v>
      </c>
      <c r="U382">
        <v>7</v>
      </c>
      <c r="V382">
        <v>179</v>
      </c>
    </row>
    <row r="383" spans="1:22" x14ac:dyDescent="0.25">
      <c r="A383">
        <v>2025</v>
      </c>
      <c r="B383">
        <v>7</v>
      </c>
      <c r="C383" t="s">
        <v>37</v>
      </c>
      <c r="D383" t="s">
        <v>22</v>
      </c>
      <c r="E383" t="s">
        <v>144</v>
      </c>
      <c r="F383" t="s">
        <v>39</v>
      </c>
      <c r="G383" t="s">
        <v>24</v>
      </c>
      <c r="H383" t="s">
        <v>26</v>
      </c>
      <c r="I383" t="s">
        <v>26</v>
      </c>
      <c r="J383" t="s">
        <v>25</v>
      </c>
      <c r="K383">
        <v>793</v>
      </c>
      <c r="L383">
        <v>13</v>
      </c>
      <c r="M383">
        <v>84</v>
      </c>
      <c r="N383">
        <v>97</v>
      </c>
      <c r="O383">
        <v>553</v>
      </c>
      <c r="P383">
        <v>490</v>
      </c>
      <c r="Q383">
        <v>473</v>
      </c>
      <c r="R383">
        <v>407</v>
      </c>
      <c r="S383">
        <v>345</v>
      </c>
      <c r="T383">
        <v>210</v>
      </c>
      <c r="U383">
        <v>92</v>
      </c>
      <c r="V383">
        <v>750</v>
      </c>
    </row>
    <row r="384" spans="1:22" x14ac:dyDescent="0.25">
      <c r="A384">
        <v>2025</v>
      </c>
      <c r="B384">
        <v>7</v>
      </c>
      <c r="C384" t="s">
        <v>37</v>
      </c>
      <c r="D384" t="s">
        <v>22</v>
      </c>
      <c r="E384" t="s">
        <v>144</v>
      </c>
      <c r="F384" t="s">
        <v>36</v>
      </c>
      <c r="G384" t="s">
        <v>24</v>
      </c>
      <c r="H384" t="s">
        <v>25</v>
      </c>
      <c r="I384" t="s">
        <v>26</v>
      </c>
      <c r="J384" t="s">
        <v>25</v>
      </c>
      <c r="K384">
        <v>287</v>
      </c>
      <c r="L384">
        <v>4</v>
      </c>
      <c r="M384">
        <v>14</v>
      </c>
      <c r="N384">
        <v>18</v>
      </c>
      <c r="O384">
        <v>118</v>
      </c>
      <c r="P384">
        <v>99</v>
      </c>
      <c r="Q384">
        <v>85</v>
      </c>
      <c r="R384">
        <v>54</v>
      </c>
      <c r="S384">
        <v>38</v>
      </c>
      <c r="T384">
        <v>17</v>
      </c>
      <c r="U384">
        <v>5</v>
      </c>
      <c r="V384">
        <v>280</v>
      </c>
    </row>
    <row r="385" spans="1:22" x14ac:dyDescent="0.25">
      <c r="A385">
        <v>2025</v>
      </c>
      <c r="B385">
        <v>7</v>
      </c>
      <c r="C385" t="s">
        <v>37</v>
      </c>
      <c r="D385" t="s">
        <v>22</v>
      </c>
      <c r="E385" t="s">
        <v>145</v>
      </c>
      <c r="F385" t="s">
        <v>32</v>
      </c>
      <c r="G385" t="s">
        <v>24</v>
      </c>
      <c r="H385" t="s">
        <v>25</v>
      </c>
      <c r="I385" t="s">
        <v>26</v>
      </c>
      <c r="J385" t="s">
        <v>25</v>
      </c>
      <c r="K385">
        <v>238</v>
      </c>
      <c r="L385">
        <v>2</v>
      </c>
      <c r="M385">
        <v>1</v>
      </c>
      <c r="N385">
        <v>3</v>
      </c>
      <c r="O385">
        <v>153</v>
      </c>
      <c r="P385">
        <v>137</v>
      </c>
      <c r="Q385">
        <v>133</v>
      </c>
      <c r="R385">
        <v>110</v>
      </c>
      <c r="S385">
        <v>97</v>
      </c>
      <c r="T385">
        <v>44</v>
      </c>
      <c r="U385">
        <v>4</v>
      </c>
      <c r="V385">
        <v>235</v>
      </c>
    </row>
    <row r="386" spans="1:22" x14ac:dyDescent="0.25">
      <c r="A386">
        <v>2025</v>
      </c>
      <c r="B386">
        <v>7</v>
      </c>
      <c r="C386" t="s">
        <v>37</v>
      </c>
      <c r="D386" t="s">
        <v>22</v>
      </c>
      <c r="E386" t="s">
        <v>145</v>
      </c>
      <c r="F386" t="s">
        <v>38</v>
      </c>
      <c r="G386" t="s">
        <v>24</v>
      </c>
      <c r="H386" t="s">
        <v>25</v>
      </c>
      <c r="I386" t="s">
        <v>25</v>
      </c>
      <c r="J386" t="s">
        <v>25</v>
      </c>
      <c r="K386">
        <v>1</v>
      </c>
      <c r="L386">
        <v>0</v>
      </c>
      <c r="M386">
        <v>0</v>
      </c>
      <c r="N386">
        <v>0</v>
      </c>
      <c r="O386">
        <v>1</v>
      </c>
      <c r="P386">
        <v>1</v>
      </c>
      <c r="Q386">
        <v>1</v>
      </c>
      <c r="R386">
        <v>1</v>
      </c>
      <c r="S386">
        <v>1</v>
      </c>
      <c r="T386">
        <v>1</v>
      </c>
      <c r="U386">
        <v>1</v>
      </c>
      <c r="V386">
        <v>1</v>
      </c>
    </row>
    <row r="387" spans="1:22" x14ac:dyDescent="0.25">
      <c r="A387">
        <v>2025</v>
      </c>
      <c r="B387">
        <v>7</v>
      </c>
      <c r="C387" t="s">
        <v>37</v>
      </c>
      <c r="D387" t="s">
        <v>22</v>
      </c>
      <c r="E387" t="s">
        <v>145</v>
      </c>
      <c r="F387" t="s">
        <v>38</v>
      </c>
      <c r="G387" t="s">
        <v>24</v>
      </c>
      <c r="H387" t="s">
        <v>25</v>
      </c>
      <c r="I387" t="s">
        <v>26</v>
      </c>
      <c r="J387" t="s">
        <v>25</v>
      </c>
      <c r="K387">
        <v>31</v>
      </c>
      <c r="L387">
        <v>0</v>
      </c>
      <c r="M387">
        <v>0</v>
      </c>
      <c r="N387">
        <v>0</v>
      </c>
      <c r="O387">
        <v>28</v>
      </c>
      <c r="P387">
        <v>27</v>
      </c>
      <c r="Q387">
        <v>26</v>
      </c>
      <c r="R387">
        <v>23</v>
      </c>
      <c r="S387">
        <v>13</v>
      </c>
      <c r="T387">
        <v>4</v>
      </c>
      <c r="U387">
        <v>2</v>
      </c>
      <c r="V387">
        <v>31</v>
      </c>
    </row>
    <row r="388" spans="1:22" x14ac:dyDescent="0.25">
      <c r="A388">
        <v>2025</v>
      </c>
      <c r="B388">
        <v>7</v>
      </c>
      <c r="C388" t="s">
        <v>37</v>
      </c>
      <c r="D388" t="s">
        <v>22</v>
      </c>
      <c r="E388" t="s">
        <v>154</v>
      </c>
      <c r="F388" t="s">
        <v>32</v>
      </c>
      <c r="G388" t="s">
        <v>24</v>
      </c>
      <c r="H388" t="s">
        <v>25</v>
      </c>
      <c r="I388" t="s">
        <v>26</v>
      </c>
      <c r="J388" t="s">
        <v>25</v>
      </c>
      <c r="K388">
        <v>16</v>
      </c>
      <c r="L388">
        <v>1</v>
      </c>
      <c r="M388">
        <v>1</v>
      </c>
      <c r="N388">
        <v>2</v>
      </c>
      <c r="O388">
        <v>6</v>
      </c>
      <c r="P388">
        <v>6</v>
      </c>
      <c r="Q388">
        <v>6</v>
      </c>
      <c r="R388">
        <v>6</v>
      </c>
      <c r="S388">
        <v>6</v>
      </c>
      <c r="T388">
        <v>1</v>
      </c>
      <c r="U388">
        <v>1</v>
      </c>
      <c r="V388">
        <v>14</v>
      </c>
    </row>
    <row r="389" spans="1:22" x14ac:dyDescent="0.25">
      <c r="A389">
        <v>2025</v>
      </c>
      <c r="B389">
        <v>7</v>
      </c>
      <c r="C389" t="s">
        <v>37</v>
      </c>
      <c r="D389" t="s">
        <v>22</v>
      </c>
      <c r="E389" t="s">
        <v>147</v>
      </c>
      <c r="F389" t="s">
        <v>32</v>
      </c>
      <c r="G389" t="s">
        <v>24</v>
      </c>
      <c r="H389" t="s">
        <v>25</v>
      </c>
      <c r="I389" t="s">
        <v>26</v>
      </c>
      <c r="J389" t="s">
        <v>25</v>
      </c>
      <c r="K389">
        <v>62</v>
      </c>
      <c r="L389">
        <v>0</v>
      </c>
      <c r="M389">
        <v>0</v>
      </c>
      <c r="N389">
        <v>0</v>
      </c>
      <c r="O389">
        <v>33</v>
      </c>
      <c r="P389">
        <v>29</v>
      </c>
      <c r="Q389">
        <v>27</v>
      </c>
      <c r="R389">
        <v>23</v>
      </c>
      <c r="S389">
        <v>20</v>
      </c>
      <c r="T389">
        <v>8</v>
      </c>
      <c r="U389">
        <v>4</v>
      </c>
      <c r="V389">
        <v>62</v>
      </c>
    </row>
    <row r="390" spans="1:22" x14ac:dyDescent="0.25">
      <c r="A390">
        <v>2025</v>
      </c>
      <c r="B390">
        <v>7</v>
      </c>
      <c r="C390" t="s">
        <v>37</v>
      </c>
      <c r="D390" t="s">
        <v>22</v>
      </c>
      <c r="E390" t="s">
        <v>147</v>
      </c>
      <c r="F390" t="s">
        <v>36</v>
      </c>
      <c r="G390" t="s">
        <v>24</v>
      </c>
      <c r="H390" t="s">
        <v>25</v>
      </c>
      <c r="I390" t="s">
        <v>26</v>
      </c>
      <c r="J390" t="s">
        <v>25</v>
      </c>
      <c r="K390">
        <v>238</v>
      </c>
      <c r="L390">
        <v>2</v>
      </c>
      <c r="M390">
        <v>12</v>
      </c>
      <c r="N390">
        <v>14</v>
      </c>
      <c r="O390">
        <v>126</v>
      </c>
      <c r="P390">
        <v>100</v>
      </c>
      <c r="Q390">
        <v>92</v>
      </c>
      <c r="R390">
        <v>67</v>
      </c>
      <c r="S390">
        <v>58</v>
      </c>
      <c r="T390">
        <v>19</v>
      </c>
      <c r="U390">
        <v>7</v>
      </c>
      <c r="V390">
        <v>226</v>
      </c>
    </row>
    <row r="391" spans="1:22" x14ac:dyDescent="0.25">
      <c r="A391">
        <v>2025</v>
      </c>
      <c r="B391">
        <v>7</v>
      </c>
      <c r="C391" t="s">
        <v>37</v>
      </c>
      <c r="D391" t="s">
        <v>22</v>
      </c>
      <c r="E391" t="s">
        <v>148</v>
      </c>
      <c r="F391" t="s">
        <v>32</v>
      </c>
      <c r="G391" t="s">
        <v>24</v>
      </c>
      <c r="H391" t="s">
        <v>25</v>
      </c>
      <c r="I391" t="s">
        <v>26</v>
      </c>
      <c r="J391" t="s">
        <v>25</v>
      </c>
      <c r="K391">
        <v>417</v>
      </c>
      <c r="L391">
        <v>4</v>
      </c>
      <c r="M391">
        <v>12</v>
      </c>
      <c r="N391">
        <v>16</v>
      </c>
      <c r="O391">
        <v>242</v>
      </c>
      <c r="P391">
        <v>203</v>
      </c>
      <c r="Q391">
        <v>190</v>
      </c>
      <c r="R391">
        <v>129</v>
      </c>
      <c r="S391">
        <v>97</v>
      </c>
      <c r="T391">
        <v>58</v>
      </c>
      <c r="U391">
        <v>26</v>
      </c>
      <c r="V391">
        <v>408</v>
      </c>
    </row>
    <row r="392" spans="1:22" x14ac:dyDescent="0.25">
      <c r="A392">
        <v>2025</v>
      </c>
      <c r="B392">
        <v>7</v>
      </c>
      <c r="C392" t="s">
        <v>37</v>
      </c>
      <c r="D392" t="s">
        <v>22</v>
      </c>
      <c r="E392" t="s">
        <v>149</v>
      </c>
      <c r="F392" t="s">
        <v>32</v>
      </c>
      <c r="G392" t="s">
        <v>24</v>
      </c>
      <c r="H392" t="s">
        <v>25</v>
      </c>
      <c r="I392" t="s">
        <v>26</v>
      </c>
      <c r="J392" t="s">
        <v>25</v>
      </c>
      <c r="K392">
        <v>124</v>
      </c>
      <c r="L392">
        <v>14</v>
      </c>
      <c r="M392">
        <v>25</v>
      </c>
      <c r="N392">
        <v>39</v>
      </c>
      <c r="O392">
        <v>93</v>
      </c>
      <c r="P392">
        <v>91</v>
      </c>
      <c r="Q392">
        <v>90</v>
      </c>
      <c r="R392">
        <v>89</v>
      </c>
      <c r="S392">
        <v>84</v>
      </c>
      <c r="T392">
        <v>61</v>
      </c>
      <c r="U392">
        <v>26</v>
      </c>
      <c r="V392">
        <v>99</v>
      </c>
    </row>
    <row r="393" spans="1:22" x14ac:dyDescent="0.25">
      <c r="A393">
        <v>2025</v>
      </c>
      <c r="B393">
        <v>7</v>
      </c>
      <c r="C393" t="s">
        <v>37</v>
      </c>
      <c r="D393" t="s">
        <v>22</v>
      </c>
      <c r="E393" t="s">
        <v>149</v>
      </c>
      <c r="F393" t="s">
        <v>38</v>
      </c>
      <c r="G393" t="s">
        <v>24</v>
      </c>
      <c r="H393" t="s">
        <v>25</v>
      </c>
      <c r="I393" t="s">
        <v>26</v>
      </c>
      <c r="J393" t="s">
        <v>25</v>
      </c>
      <c r="K393">
        <v>6</v>
      </c>
      <c r="L393">
        <v>0</v>
      </c>
      <c r="M393">
        <v>0</v>
      </c>
      <c r="N393">
        <v>0</v>
      </c>
      <c r="O393">
        <v>3</v>
      </c>
      <c r="P393">
        <v>2</v>
      </c>
      <c r="Q393">
        <v>2</v>
      </c>
      <c r="R393">
        <v>2</v>
      </c>
      <c r="S393">
        <v>1</v>
      </c>
      <c r="T393">
        <v>1</v>
      </c>
      <c r="U393">
        <v>0</v>
      </c>
      <c r="V393">
        <v>6</v>
      </c>
    </row>
    <row r="394" spans="1:22" x14ac:dyDescent="0.25">
      <c r="A394">
        <v>2025</v>
      </c>
      <c r="B394">
        <v>7</v>
      </c>
      <c r="C394" t="s">
        <v>37</v>
      </c>
      <c r="D394" t="s">
        <v>22</v>
      </c>
      <c r="E394" t="s">
        <v>149</v>
      </c>
      <c r="F394" t="s">
        <v>23</v>
      </c>
      <c r="G394" t="s">
        <v>24</v>
      </c>
      <c r="H394" t="s">
        <v>25</v>
      </c>
      <c r="I394" t="s">
        <v>26</v>
      </c>
      <c r="J394" t="s">
        <v>25</v>
      </c>
      <c r="K394">
        <v>381</v>
      </c>
      <c r="L394">
        <v>6</v>
      </c>
      <c r="M394">
        <v>22</v>
      </c>
      <c r="N394">
        <v>28</v>
      </c>
      <c r="O394">
        <v>208</v>
      </c>
      <c r="P394">
        <v>181</v>
      </c>
      <c r="Q394">
        <v>173</v>
      </c>
      <c r="R394">
        <v>150</v>
      </c>
      <c r="S394">
        <v>118</v>
      </c>
      <c r="T394">
        <v>67</v>
      </c>
      <c r="U394">
        <v>27</v>
      </c>
      <c r="V394">
        <v>373</v>
      </c>
    </row>
    <row r="395" spans="1:22" x14ac:dyDescent="0.25">
      <c r="A395">
        <v>2025</v>
      </c>
      <c r="B395">
        <v>7</v>
      </c>
      <c r="C395" t="s">
        <v>37</v>
      </c>
      <c r="D395" t="s">
        <v>22</v>
      </c>
      <c r="E395" t="s">
        <v>149</v>
      </c>
      <c r="F395" t="s">
        <v>39</v>
      </c>
      <c r="G395" t="s">
        <v>24</v>
      </c>
      <c r="H395" t="s">
        <v>26</v>
      </c>
      <c r="I395" t="s">
        <v>26</v>
      </c>
      <c r="J395" t="s">
        <v>25</v>
      </c>
      <c r="K395">
        <v>1376</v>
      </c>
      <c r="L395">
        <v>23</v>
      </c>
      <c r="M395">
        <v>105</v>
      </c>
      <c r="N395">
        <v>128</v>
      </c>
      <c r="O395">
        <v>953</v>
      </c>
      <c r="P395">
        <v>867</v>
      </c>
      <c r="Q395">
        <v>836</v>
      </c>
      <c r="R395">
        <v>704</v>
      </c>
      <c r="S395">
        <v>577</v>
      </c>
      <c r="T395">
        <v>347</v>
      </c>
      <c r="U395">
        <v>137</v>
      </c>
      <c r="V395">
        <v>1317</v>
      </c>
    </row>
    <row r="396" spans="1:22" x14ac:dyDescent="0.25">
      <c r="A396">
        <v>2025</v>
      </c>
      <c r="B396">
        <v>7</v>
      </c>
      <c r="C396" t="s">
        <v>37</v>
      </c>
      <c r="D396" t="s">
        <v>22</v>
      </c>
      <c r="E396" t="s">
        <v>150</v>
      </c>
      <c r="F396" t="s">
        <v>38</v>
      </c>
      <c r="G396" t="s">
        <v>24</v>
      </c>
      <c r="H396" t="s">
        <v>25</v>
      </c>
      <c r="I396" t="s">
        <v>26</v>
      </c>
      <c r="J396" t="s">
        <v>25</v>
      </c>
      <c r="K396">
        <v>25</v>
      </c>
      <c r="L396">
        <v>3</v>
      </c>
      <c r="M396">
        <v>1</v>
      </c>
      <c r="N396">
        <v>4</v>
      </c>
      <c r="O396">
        <v>14</v>
      </c>
      <c r="P396">
        <v>12</v>
      </c>
      <c r="Q396">
        <v>12</v>
      </c>
      <c r="R396">
        <v>8</v>
      </c>
      <c r="S396">
        <v>5</v>
      </c>
      <c r="T396">
        <v>3</v>
      </c>
      <c r="U396">
        <v>0</v>
      </c>
      <c r="V396">
        <v>21</v>
      </c>
    </row>
    <row r="397" spans="1:22" x14ac:dyDescent="0.25">
      <c r="A397">
        <v>2025</v>
      </c>
      <c r="B397">
        <v>7</v>
      </c>
      <c r="C397" t="s">
        <v>37</v>
      </c>
      <c r="D397" t="s">
        <v>22</v>
      </c>
      <c r="E397" t="s">
        <v>151</v>
      </c>
      <c r="F397" t="s">
        <v>39</v>
      </c>
      <c r="G397" t="s">
        <v>24</v>
      </c>
      <c r="H397" t="s">
        <v>26</v>
      </c>
      <c r="I397" t="s">
        <v>26</v>
      </c>
      <c r="J397" t="s">
        <v>25</v>
      </c>
      <c r="K397">
        <v>487</v>
      </c>
      <c r="L397">
        <v>6</v>
      </c>
      <c r="M397">
        <v>134</v>
      </c>
      <c r="N397">
        <v>140</v>
      </c>
      <c r="O397">
        <v>251</v>
      </c>
      <c r="P397">
        <v>225</v>
      </c>
      <c r="Q397">
        <v>209</v>
      </c>
      <c r="R397">
        <v>156</v>
      </c>
      <c r="S397">
        <v>117</v>
      </c>
      <c r="T397">
        <v>61</v>
      </c>
      <c r="U397">
        <v>17</v>
      </c>
      <c r="V397">
        <v>411</v>
      </c>
    </row>
    <row r="398" spans="1:22" x14ac:dyDescent="0.25">
      <c r="A398">
        <v>2025</v>
      </c>
      <c r="B398">
        <v>7</v>
      </c>
      <c r="C398" t="s">
        <v>37</v>
      </c>
      <c r="D398" t="s">
        <v>22</v>
      </c>
      <c r="E398" t="s">
        <v>123</v>
      </c>
      <c r="F398" t="s">
        <v>39</v>
      </c>
      <c r="G398" t="s">
        <v>24</v>
      </c>
      <c r="H398" t="s">
        <v>26</v>
      </c>
      <c r="I398" t="s">
        <v>26</v>
      </c>
      <c r="J398" t="s">
        <v>25</v>
      </c>
      <c r="K398">
        <v>626</v>
      </c>
      <c r="L398">
        <v>8</v>
      </c>
      <c r="M398">
        <v>12</v>
      </c>
      <c r="N398">
        <v>20</v>
      </c>
      <c r="O398">
        <v>460</v>
      </c>
      <c r="P398">
        <v>374</v>
      </c>
      <c r="Q398">
        <v>362</v>
      </c>
      <c r="R398">
        <v>278</v>
      </c>
      <c r="S398">
        <v>213</v>
      </c>
      <c r="T398">
        <v>104</v>
      </c>
      <c r="U398">
        <v>21</v>
      </c>
      <c r="V398">
        <v>613</v>
      </c>
    </row>
    <row r="399" spans="1:22" x14ac:dyDescent="0.25">
      <c r="A399">
        <v>2025</v>
      </c>
      <c r="B399">
        <v>7</v>
      </c>
      <c r="C399" t="s">
        <v>37</v>
      </c>
      <c r="D399" t="s">
        <v>22</v>
      </c>
      <c r="E399" t="s">
        <v>123</v>
      </c>
      <c r="F399" t="s">
        <v>42</v>
      </c>
      <c r="G399" t="s">
        <v>24</v>
      </c>
      <c r="H399" t="s">
        <v>26</v>
      </c>
      <c r="I399" t="s">
        <v>26</v>
      </c>
      <c r="J399" t="s">
        <v>25</v>
      </c>
      <c r="K399">
        <v>196</v>
      </c>
      <c r="L399">
        <v>1</v>
      </c>
      <c r="M399">
        <v>4</v>
      </c>
      <c r="N399">
        <v>5</v>
      </c>
      <c r="O399">
        <v>126</v>
      </c>
      <c r="P399">
        <v>106</v>
      </c>
      <c r="Q399">
        <v>100</v>
      </c>
      <c r="R399">
        <v>82</v>
      </c>
      <c r="S399">
        <v>64</v>
      </c>
      <c r="T399">
        <v>41</v>
      </c>
      <c r="U399">
        <v>14</v>
      </c>
      <c r="V399">
        <v>192</v>
      </c>
    </row>
    <row r="400" spans="1:22" x14ac:dyDescent="0.25">
      <c r="A400">
        <v>2025</v>
      </c>
      <c r="B400">
        <v>7</v>
      </c>
      <c r="C400" t="s">
        <v>37</v>
      </c>
      <c r="D400" t="s">
        <v>22</v>
      </c>
      <c r="E400" t="s">
        <v>43</v>
      </c>
      <c r="F400" t="s">
        <v>23</v>
      </c>
      <c r="G400" t="s">
        <v>24</v>
      </c>
      <c r="H400" t="s">
        <v>25</v>
      </c>
      <c r="I400" t="s">
        <v>26</v>
      </c>
      <c r="J400" t="s">
        <v>25</v>
      </c>
      <c r="K400">
        <v>271</v>
      </c>
      <c r="L400">
        <v>3</v>
      </c>
      <c r="M400">
        <v>0</v>
      </c>
      <c r="N400">
        <v>3</v>
      </c>
      <c r="O400">
        <v>66</v>
      </c>
      <c r="P400">
        <v>43</v>
      </c>
      <c r="Q400">
        <v>37</v>
      </c>
      <c r="R400">
        <v>16</v>
      </c>
      <c r="S400">
        <v>4</v>
      </c>
      <c r="T400">
        <v>1</v>
      </c>
      <c r="U400">
        <v>0</v>
      </c>
      <c r="V400">
        <v>268</v>
      </c>
    </row>
    <row r="401" spans="1:22" x14ac:dyDescent="0.25">
      <c r="A401">
        <v>2025</v>
      </c>
      <c r="B401">
        <v>7</v>
      </c>
      <c r="C401" t="s">
        <v>37</v>
      </c>
      <c r="D401" t="s">
        <v>22</v>
      </c>
      <c r="E401" t="s">
        <v>61</v>
      </c>
      <c r="F401" t="s">
        <v>34</v>
      </c>
      <c r="G401" t="s">
        <v>24</v>
      </c>
      <c r="H401" t="s">
        <v>25</v>
      </c>
      <c r="I401" t="s">
        <v>26</v>
      </c>
      <c r="J401" t="s">
        <v>26</v>
      </c>
      <c r="K401">
        <v>1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1</v>
      </c>
    </row>
    <row r="402" spans="1:22" x14ac:dyDescent="0.25">
      <c r="A402">
        <v>2025</v>
      </c>
      <c r="B402">
        <v>7</v>
      </c>
      <c r="C402" t="s">
        <v>37</v>
      </c>
      <c r="D402" t="s">
        <v>22</v>
      </c>
      <c r="E402" t="s">
        <v>61</v>
      </c>
      <c r="F402" t="s">
        <v>35</v>
      </c>
      <c r="G402" t="s">
        <v>28</v>
      </c>
      <c r="H402" t="s">
        <v>25</v>
      </c>
      <c r="I402" t="s">
        <v>26</v>
      </c>
      <c r="J402" t="s">
        <v>26</v>
      </c>
      <c r="K402">
        <v>28</v>
      </c>
      <c r="L402">
        <v>0</v>
      </c>
      <c r="M402">
        <v>5</v>
      </c>
      <c r="N402">
        <v>5</v>
      </c>
      <c r="O402">
        <v>13</v>
      </c>
      <c r="P402">
        <v>13</v>
      </c>
      <c r="Q402">
        <v>12</v>
      </c>
      <c r="R402">
        <v>11</v>
      </c>
      <c r="S402">
        <v>9</v>
      </c>
      <c r="T402">
        <v>6</v>
      </c>
      <c r="U402">
        <v>3</v>
      </c>
      <c r="V402">
        <v>24</v>
      </c>
    </row>
    <row r="403" spans="1:22" x14ac:dyDescent="0.25">
      <c r="A403">
        <v>2025</v>
      </c>
      <c r="B403">
        <v>7</v>
      </c>
      <c r="C403" t="s">
        <v>37</v>
      </c>
      <c r="D403" t="s">
        <v>22</v>
      </c>
      <c r="E403" t="s">
        <v>61</v>
      </c>
      <c r="F403" t="s">
        <v>35</v>
      </c>
      <c r="G403" t="s">
        <v>24</v>
      </c>
      <c r="H403" t="s">
        <v>25</v>
      </c>
      <c r="I403" t="s">
        <v>26</v>
      </c>
      <c r="J403" t="s">
        <v>26</v>
      </c>
      <c r="K403">
        <v>705</v>
      </c>
      <c r="L403">
        <v>8</v>
      </c>
      <c r="M403">
        <v>31</v>
      </c>
      <c r="N403">
        <v>39</v>
      </c>
      <c r="O403">
        <v>412</v>
      </c>
      <c r="P403">
        <v>374</v>
      </c>
      <c r="Q403">
        <v>359</v>
      </c>
      <c r="R403">
        <v>306</v>
      </c>
      <c r="S403">
        <v>278</v>
      </c>
      <c r="T403">
        <v>214</v>
      </c>
      <c r="U403">
        <v>99</v>
      </c>
      <c r="V403">
        <v>692</v>
      </c>
    </row>
    <row r="404" spans="1:22" x14ac:dyDescent="0.25">
      <c r="A404">
        <v>2025</v>
      </c>
      <c r="B404">
        <v>7</v>
      </c>
      <c r="C404" t="s">
        <v>37</v>
      </c>
      <c r="D404" t="s">
        <v>22</v>
      </c>
      <c r="E404" t="s">
        <v>61</v>
      </c>
      <c r="F404" t="s">
        <v>41</v>
      </c>
      <c r="G404" t="s">
        <v>24</v>
      </c>
      <c r="H404" t="s">
        <v>26</v>
      </c>
      <c r="I404" t="s">
        <v>26</v>
      </c>
      <c r="J404" t="s">
        <v>25</v>
      </c>
      <c r="K404">
        <v>392</v>
      </c>
      <c r="L404">
        <v>7</v>
      </c>
      <c r="M404">
        <v>18</v>
      </c>
      <c r="N404">
        <v>25</v>
      </c>
      <c r="O404">
        <v>256</v>
      </c>
      <c r="P404">
        <v>212</v>
      </c>
      <c r="Q404">
        <v>193</v>
      </c>
      <c r="R404">
        <v>137</v>
      </c>
      <c r="S404">
        <v>114</v>
      </c>
      <c r="T404">
        <v>43</v>
      </c>
      <c r="U404">
        <v>13</v>
      </c>
      <c r="V404">
        <v>376</v>
      </c>
    </row>
    <row r="405" spans="1:22" x14ac:dyDescent="0.25">
      <c r="A405">
        <v>2025</v>
      </c>
      <c r="B405">
        <v>7</v>
      </c>
      <c r="C405" t="s">
        <v>37</v>
      </c>
      <c r="D405" t="s">
        <v>22</v>
      </c>
      <c r="E405" t="s">
        <v>69</v>
      </c>
      <c r="F405" t="s">
        <v>23</v>
      </c>
      <c r="G405" t="s">
        <v>28</v>
      </c>
      <c r="H405" t="s">
        <v>25</v>
      </c>
      <c r="I405" t="s">
        <v>26</v>
      </c>
      <c r="J405" t="s">
        <v>25</v>
      </c>
      <c r="K405">
        <v>23</v>
      </c>
      <c r="L405">
        <v>0</v>
      </c>
      <c r="M405">
        <v>0</v>
      </c>
      <c r="N405">
        <v>0</v>
      </c>
      <c r="O405">
        <v>14</v>
      </c>
      <c r="P405">
        <v>12</v>
      </c>
      <c r="Q405">
        <v>10</v>
      </c>
      <c r="R405">
        <v>9</v>
      </c>
      <c r="S405">
        <v>6</v>
      </c>
      <c r="T405">
        <v>1</v>
      </c>
      <c r="U405">
        <v>0</v>
      </c>
      <c r="V405">
        <v>23</v>
      </c>
    </row>
    <row r="406" spans="1:22" x14ac:dyDescent="0.25">
      <c r="A406">
        <v>2025</v>
      </c>
      <c r="B406">
        <v>7</v>
      </c>
      <c r="C406" t="s">
        <v>37</v>
      </c>
      <c r="D406" t="s">
        <v>22</v>
      </c>
      <c r="E406" t="s">
        <v>69</v>
      </c>
      <c r="F406" t="s">
        <v>23</v>
      </c>
      <c r="G406" t="s">
        <v>24</v>
      </c>
      <c r="H406" t="s">
        <v>25</v>
      </c>
      <c r="I406" t="s">
        <v>26</v>
      </c>
      <c r="J406" t="s">
        <v>25</v>
      </c>
      <c r="K406">
        <v>544</v>
      </c>
      <c r="L406">
        <v>17</v>
      </c>
      <c r="M406">
        <v>3</v>
      </c>
      <c r="N406">
        <v>20</v>
      </c>
      <c r="O406">
        <v>257</v>
      </c>
      <c r="P406">
        <v>220</v>
      </c>
      <c r="Q406">
        <v>202</v>
      </c>
      <c r="R406">
        <v>158</v>
      </c>
      <c r="S406">
        <v>115</v>
      </c>
      <c r="T406">
        <v>31</v>
      </c>
      <c r="U406">
        <v>2</v>
      </c>
      <c r="V406">
        <v>525</v>
      </c>
    </row>
    <row r="407" spans="1:22" x14ac:dyDescent="0.25">
      <c r="A407">
        <v>2025</v>
      </c>
      <c r="B407">
        <v>7</v>
      </c>
      <c r="C407" t="s">
        <v>37</v>
      </c>
      <c r="D407" t="s">
        <v>22</v>
      </c>
      <c r="E407" t="s">
        <v>69</v>
      </c>
      <c r="F407" t="s">
        <v>40</v>
      </c>
      <c r="G407" t="s">
        <v>24</v>
      </c>
      <c r="H407" t="s">
        <v>25</v>
      </c>
      <c r="I407" t="s">
        <v>26</v>
      </c>
      <c r="J407" t="s">
        <v>25</v>
      </c>
      <c r="K407">
        <v>504</v>
      </c>
      <c r="L407">
        <v>7</v>
      </c>
      <c r="M407">
        <v>0</v>
      </c>
      <c r="N407">
        <v>7</v>
      </c>
      <c r="O407">
        <v>24</v>
      </c>
      <c r="P407">
        <v>13</v>
      </c>
      <c r="Q407">
        <v>8</v>
      </c>
      <c r="R407">
        <v>3</v>
      </c>
      <c r="S407">
        <v>0</v>
      </c>
      <c r="T407">
        <v>0</v>
      </c>
      <c r="U407">
        <v>0</v>
      </c>
      <c r="V407">
        <v>497</v>
      </c>
    </row>
    <row r="408" spans="1:22" x14ac:dyDescent="0.25">
      <c r="A408">
        <v>2025</v>
      </c>
      <c r="B408">
        <v>7</v>
      </c>
      <c r="C408" t="s">
        <v>37</v>
      </c>
      <c r="D408" t="s">
        <v>22</v>
      </c>
      <c r="E408" t="s">
        <v>75</v>
      </c>
      <c r="F408" t="s">
        <v>39</v>
      </c>
      <c r="G408" t="s">
        <v>24</v>
      </c>
      <c r="H408" t="s">
        <v>26</v>
      </c>
      <c r="I408" t="s">
        <v>26</v>
      </c>
      <c r="J408" t="s">
        <v>25</v>
      </c>
      <c r="K408">
        <v>5</v>
      </c>
      <c r="L408">
        <v>2</v>
      </c>
      <c r="M408">
        <v>0</v>
      </c>
      <c r="N408">
        <v>2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3</v>
      </c>
    </row>
    <row r="409" spans="1:22" x14ac:dyDescent="0.25">
      <c r="A409">
        <v>2025</v>
      </c>
      <c r="B409">
        <v>7</v>
      </c>
      <c r="C409" t="s">
        <v>37</v>
      </c>
      <c r="D409" t="s">
        <v>22</v>
      </c>
      <c r="E409" t="s">
        <v>75</v>
      </c>
      <c r="F409" t="s">
        <v>39</v>
      </c>
      <c r="G409" t="s">
        <v>29</v>
      </c>
      <c r="H409" t="s">
        <v>26</v>
      </c>
      <c r="I409" t="s">
        <v>26</v>
      </c>
      <c r="J409" t="s">
        <v>25</v>
      </c>
      <c r="K409">
        <v>4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</row>
    <row r="410" spans="1:22" x14ac:dyDescent="0.25">
      <c r="A410">
        <v>2025</v>
      </c>
      <c r="B410">
        <v>7</v>
      </c>
      <c r="C410" t="s">
        <v>37</v>
      </c>
      <c r="D410" t="s">
        <v>22</v>
      </c>
      <c r="E410" t="s">
        <v>75</v>
      </c>
      <c r="F410" t="s">
        <v>27</v>
      </c>
      <c r="G410" t="s">
        <v>24</v>
      </c>
      <c r="H410" t="s">
        <v>26</v>
      </c>
      <c r="I410" t="s">
        <v>26</v>
      </c>
      <c r="J410" t="s">
        <v>25</v>
      </c>
      <c r="K410">
        <v>3</v>
      </c>
      <c r="L410">
        <v>3</v>
      </c>
      <c r="M410">
        <v>0</v>
      </c>
      <c r="N410">
        <v>3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</row>
    <row r="411" spans="1:22" x14ac:dyDescent="0.25">
      <c r="A411">
        <v>2025</v>
      </c>
      <c r="B411">
        <v>8</v>
      </c>
      <c r="C411" t="s">
        <v>37</v>
      </c>
      <c r="D411" t="s">
        <v>22</v>
      </c>
      <c r="E411" t="s">
        <v>126</v>
      </c>
      <c r="F411" t="s">
        <v>32</v>
      </c>
      <c r="G411" t="s">
        <v>24</v>
      </c>
      <c r="H411" t="s">
        <v>25</v>
      </c>
      <c r="I411" t="s">
        <v>26</v>
      </c>
      <c r="J411" t="s">
        <v>25</v>
      </c>
      <c r="K411">
        <v>371</v>
      </c>
      <c r="L411">
        <v>0</v>
      </c>
      <c r="M411">
        <v>5</v>
      </c>
      <c r="N411">
        <v>5</v>
      </c>
      <c r="O411">
        <v>167</v>
      </c>
      <c r="P411">
        <v>141</v>
      </c>
      <c r="Q411">
        <v>125</v>
      </c>
      <c r="R411">
        <v>93</v>
      </c>
      <c r="S411">
        <v>70</v>
      </c>
      <c r="T411">
        <v>38</v>
      </c>
      <c r="U411">
        <v>10</v>
      </c>
      <c r="V411">
        <v>371</v>
      </c>
    </row>
    <row r="412" spans="1:22" x14ac:dyDescent="0.25">
      <c r="A412">
        <v>2025</v>
      </c>
      <c r="B412">
        <v>8</v>
      </c>
      <c r="C412" t="s">
        <v>37</v>
      </c>
      <c r="D412" t="s">
        <v>22</v>
      </c>
      <c r="E412" t="s">
        <v>126</v>
      </c>
      <c r="F412" t="s">
        <v>34</v>
      </c>
      <c r="G412" t="s">
        <v>24</v>
      </c>
      <c r="H412" t="s">
        <v>25</v>
      </c>
      <c r="I412" t="s">
        <v>26</v>
      </c>
      <c r="J412" t="s">
        <v>26</v>
      </c>
      <c r="K412">
        <v>2</v>
      </c>
      <c r="L412">
        <v>0</v>
      </c>
      <c r="M412">
        <v>0</v>
      </c>
      <c r="N412">
        <v>0</v>
      </c>
      <c r="O412">
        <v>2</v>
      </c>
      <c r="P412">
        <v>1</v>
      </c>
      <c r="Q412">
        <v>1</v>
      </c>
      <c r="R412">
        <v>1</v>
      </c>
      <c r="S412">
        <v>1</v>
      </c>
      <c r="T412">
        <v>1</v>
      </c>
      <c r="U412">
        <v>1</v>
      </c>
      <c r="V412">
        <v>2</v>
      </c>
    </row>
    <row r="413" spans="1:22" x14ac:dyDescent="0.25">
      <c r="A413">
        <v>2025</v>
      </c>
      <c r="B413">
        <v>8</v>
      </c>
      <c r="C413" t="s">
        <v>37</v>
      </c>
      <c r="D413" t="s">
        <v>22</v>
      </c>
      <c r="E413" t="s">
        <v>127</v>
      </c>
      <c r="F413" t="s">
        <v>32</v>
      </c>
      <c r="G413" t="s">
        <v>24</v>
      </c>
      <c r="H413" t="s">
        <v>25</v>
      </c>
      <c r="I413" t="s">
        <v>26</v>
      </c>
      <c r="J413" t="s">
        <v>25</v>
      </c>
      <c r="K413">
        <v>7</v>
      </c>
      <c r="L413">
        <v>0</v>
      </c>
      <c r="M413">
        <v>0</v>
      </c>
      <c r="N413">
        <v>0</v>
      </c>
      <c r="O413">
        <v>6</v>
      </c>
      <c r="P413">
        <v>6</v>
      </c>
      <c r="Q413">
        <v>6</v>
      </c>
      <c r="R413">
        <v>6</v>
      </c>
      <c r="S413">
        <v>5</v>
      </c>
      <c r="T413">
        <v>4</v>
      </c>
      <c r="U413">
        <v>1</v>
      </c>
      <c r="V413">
        <v>7</v>
      </c>
    </row>
    <row r="414" spans="1:22" x14ac:dyDescent="0.25">
      <c r="A414">
        <v>2025</v>
      </c>
      <c r="B414">
        <v>8</v>
      </c>
      <c r="C414" t="s">
        <v>37</v>
      </c>
      <c r="D414" t="s">
        <v>22</v>
      </c>
      <c r="E414" t="s">
        <v>128</v>
      </c>
      <c r="F414" t="s">
        <v>32</v>
      </c>
      <c r="G414" t="s">
        <v>24</v>
      </c>
      <c r="H414" t="s">
        <v>25</v>
      </c>
      <c r="I414" t="s">
        <v>26</v>
      </c>
      <c r="J414" t="s">
        <v>25</v>
      </c>
      <c r="K414">
        <v>55</v>
      </c>
      <c r="L414">
        <v>2</v>
      </c>
      <c r="M414">
        <v>1</v>
      </c>
      <c r="N414">
        <v>3</v>
      </c>
      <c r="O414">
        <v>35</v>
      </c>
      <c r="P414">
        <v>27</v>
      </c>
      <c r="Q414">
        <v>26</v>
      </c>
      <c r="R414">
        <v>21</v>
      </c>
      <c r="S414">
        <v>17</v>
      </c>
      <c r="T414">
        <v>11</v>
      </c>
      <c r="U414">
        <v>5</v>
      </c>
      <c r="V414">
        <v>52</v>
      </c>
    </row>
    <row r="415" spans="1:22" x14ac:dyDescent="0.25">
      <c r="A415">
        <v>2025</v>
      </c>
      <c r="B415">
        <v>8</v>
      </c>
      <c r="C415" t="s">
        <v>37</v>
      </c>
      <c r="D415" t="s">
        <v>22</v>
      </c>
      <c r="E415" t="s">
        <v>128</v>
      </c>
      <c r="F415" t="s">
        <v>34</v>
      </c>
      <c r="G415" t="s">
        <v>24</v>
      </c>
      <c r="H415" t="s">
        <v>25</v>
      </c>
      <c r="I415" t="s">
        <v>26</v>
      </c>
      <c r="J415" t="s">
        <v>26</v>
      </c>
      <c r="K415">
        <v>62</v>
      </c>
      <c r="L415">
        <v>2</v>
      </c>
      <c r="M415">
        <v>0</v>
      </c>
      <c r="N415">
        <v>2</v>
      </c>
      <c r="O415">
        <v>33</v>
      </c>
      <c r="P415">
        <v>24</v>
      </c>
      <c r="Q415">
        <v>22</v>
      </c>
      <c r="R415">
        <v>18</v>
      </c>
      <c r="S415">
        <v>16</v>
      </c>
      <c r="T415">
        <v>8</v>
      </c>
      <c r="U415">
        <v>3</v>
      </c>
      <c r="V415">
        <v>60</v>
      </c>
    </row>
    <row r="416" spans="1:22" x14ac:dyDescent="0.25">
      <c r="A416">
        <v>2025</v>
      </c>
      <c r="B416">
        <v>8</v>
      </c>
      <c r="C416" t="s">
        <v>37</v>
      </c>
      <c r="D416" t="s">
        <v>22</v>
      </c>
      <c r="E416" t="s">
        <v>131</v>
      </c>
      <c r="F416" t="s">
        <v>34</v>
      </c>
      <c r="G416" t="s">
        <v>24</v>
      </c>
      <c r="H416" t="s">
        <v>25</v>
      </c>
      <c r="I416" t="s">
        <v>26</v>
      </c>
      <c r="J416" t="s">
        <v>26</v>
      </c>
      <c r="K416">
        <v>53</v>
      </c>
      <c r="L416">
        <v>0</v>
      </c>
      <c r="M416">
        <v>1</v>
      </c>
      <c r="N416">
        <v>1</v>
      </c>
      <c r="O416">
        <v>23</v>
      </c>
      <c r="P416">
        <v>22</v>
      </c>
      <c r="Q416">
        <v>21</v>
      </c>
      <c r="R416">
        <v>20</v>
      </c>
      <c r="S416">
        <v>17</v>
      </c>
      <c r="T416">
        <v>8</v>
      </c>
      <c r="U416">
        <v>2</v>
      </c>
      <c r="V416">
        <v>53</v>
      </c>
    </row>
    <row r="417" spans="1:22" x14ac:dyDescent="0.25">
      <c r="A417">
        <v>2025</v>
      </c>
      <c r="B417">
        <v>8</v>
      </c>
      <c r="C417" t="s">
        <v>37</v>
      </c>
      <c r="D417" t="s">
        <v>22</v>
      </c>
      <c r="E417" t="s">
        <v>132</v>
      </c>
      <c r="F417" t="s">
        <v>32</v>
      </c>
      <c r="G417" t="s">
        <v>24</v>
      </c>
      <c r="H417" t="s">
        <v>25</v>
      </c>
      <c r="I417" t="s">
        <v>26</v>
      </c>
      <c r="J417" t="s">
        <v>25</v>
      </c>
      <c r="K417">
        <v>62</v>
      </c>
      <c r="L417">
        <v>0</v>
      </c>
      <c r="M417">
        <v>2</v>
      </c>
      <c r="N417">
        <v>2</v>
      </c>
      <c r="O417">
        <v>27</v>
      </c>
      <c r="P417">
        <v>19</v>
      </c>
      <c r="Q417">
        <v>16</v>
      </c>
      <c r="R417">
        <v>13</v>
      </c>
      <c r="S417">
        <v>9</v>
      </c>
      <c r="T417">
        <v>6</v>
      </c>
      <c r="U417">
        <v>2</v>
      </c>
      <c r="V417">
        <v>62</v>
      </c>
    </row>
    <row r="418" spans="1:22" x14ac:dyDescent="0.25">
      <c r="A418">
        <v>2025</v>
      </c>
      <c r="B418">
        <v>8</v>
      </c>
      <c r="C418" t="s">
        <v>37</v>
      </c>
      <c r="D418" t="s">
        <v>22</v>
      </c>
      <c r="E418" t="s">
        <v>132</v>
      </c>
      <c r="F418" t="s">
        <v>34</v>
      </c>
      <c r="G418" t="s">
        <v>24</v>
      </c>
      <c r="H418" t="s">
        <v>25</v>
      </c>
      <c r="I418" t="s">
        <v>26</v>
      </c>
      <c r="J418" t="s">
        <v>26</v>
      </c>
      <c r="K418">
        <v>60</v>
      </c>
      <c r="L418">
        <v>0</v>
      </c>
      <c r="M418">
        <v>2</v>
      </c>
      <c r="N418">
        <v>2</v>
      </c>
      <c r="O418">
        <v>24</v>
      </c>
      <c r="P418">
        <v>17</v>
      </c>
      <c r="Q418">
        <v>16</v>
      </c>
      <c r="R418">
        <v>13</v>
      </c>
      <c r="S418">
        <v>9</v>
      </c>
      <c r="T418">
        <v>6</v>
      </c>
      <c r="U418">
        <v>2</v>
      </c>
      <c r="V418">
        <v>60</v>
      </c>
    </row>
    <row r="419" spans="1:22" x14ac:dyDescent="0.25">
      <c r="A419">
        <v>2025</v>
      </c>
      <c r="B419">
        <v>8</v>
      </c>
      <c r="C419" t="s">
        <v>37</v>
      </c>
      <c r="D419" t="s">
        <v>22</v>
      </c>
      <c r="E419" t="s">
        <v>37</v>
      </c>
      <c r="F419" t="s">
        <v>32</v>
      </c>
      <c r="G419" t="s">
        <v>28</v>
      </c>
      <c r="H419" t="s">
        <v>25</v>
      </c>
      <c r="I419" t="s">
        <v>26</v>
      </c>
      <c r="J419" t="s">
        <v>25</v>
      </c>
      <c r="K419">
        <v>2</v>
      </c>
      <c r="L419">
        <v>0</v>
      </c>
      <c r="M419">
        <v>1</v>
      </c>
      <c r="N419">
        <v>1</v>
      </c>
      <c r="O419">
        <v>2</v>
      </c>
      <c r="P419">
        <v>2</v>
      </c>
      <c r="Q419">
        <v>2</v>
      </c>
      <c r="R419">
        <v>1</v>
      </c>
      <c r="S419">
        <v>1</v>
      </c>
      <c r="T419">
        <v>1</v>
      </c>
      <c r="U419">
        <v>1</v>
      </c>
      <c r="V419">
        <v>2</v>
      </c>
    </row>
    <row r="420" spans="1:22" x14ac:dyDescent="0.25">
      <c r="A420">
        <v>2025</v>
      </c>
      <c r="B420">
        <v>8</v>
      </c>
      <c r="C420" t="s">
        <v>37</v>
      </c>
      <c r="D420" t="s">
        <v>22</v>
      </c>
      <c r="E420" t="s">
        <v>37</v>
      </c>
      <c r="F420" t="s">
        <v>23</v>
      </c>
      <c r="G420" t="s">
        <v>28</v>
      </c>
      <c r="H420" t="s">
        <v>25</v>
      </c>
      <c r="I420" t="s">
        <v>26</v>
      </c>
      <c r="J420" t="s">
        <v>25</v>
      </c>
      <c r="K420">
        <v>4378</v>
      </c>
      <c r="L420">
        <v>189</v>
      </c>
      <c r="M420">
        <v>533</v>
      </c>
      <c r="N420">
        <v>722</v>
      </c>
      <c r="O420">
        <v>2318</v>
      </c>
      <c r="P420">
        <v>1993</v>
      </c>
      <c r="Q420">
        <v>1871</v>
      </c>
      <c r="R420">
        <v>1509</v>
      </c>
      <c r="S420">
        <v>1178</v>
      </c>
      <c r="T420">
        <v>595</v>
      </c>
      <c r="U420">
        <v>171</v>
      </c>
      <c r="V420">
        <v>3997</v>
      </c>
    </row>
    <row r="421" spans="1:22" x14ac:dyDescent="0.25">
      <c r="A421">
        <v>2025</v>
      </c>
      <c r="B421">
        <v>8</v>
      </c>
      <c r="C421" t="s">
        <v>37</v>
      </c>
      <c r="D421" t="s">
        <v>22</v>
      </c>
      <c r="E421" t="s">
        <v>37</v>
      </c>
      <c r="F421" t="s">
        <v>23</v>
      </c>
      <c r="G421" t="s">
        <v>24</v>
      </c>
      <c r="H421" t="s">
        <v>25</v>
      </c>
      <c r="I421" t="s">
        <v>26</v>
      </c>
      <c r="J421" t="s">
        <v>25</v>
      </c>
      <c r="K421">
        <v>505</v>
      </c>
      <c r="L421">
        <v>6</v>
      </c>
      <c r="M421">
        <v>37</v>
      </c>
      <c r="N421">
        <v>43</v>
      </c>
      <c r="O421">
        <v>353</v>
      </c>
      <c r="P421">
        <v>306</v>
      </c>
      <c r="Q421">
        <v>284</v>
      </c>
      <c r="R421">
        <v>226</v>
      </c>
      <c r="S421">
        <v>171</v>
      </c>
      <c r="T421">
        <v>78</v>
      </c>
      <c r="U421">
        <v>24</v>
      </c>
      <c r="V421">
        <v>478</v>
      </c>
    </row>
    <row r="422" spans="1:22" x14ac:dyDescent="0.25">
      <c r="A422">
        <v>2025</v>
      </c>
      <c r="B422">
        <v>8</v>
      </c>
      <c r="C422" t="s">
        <v>37</v>
      </c>
      <c r="D422" t="s">
        <v>22</v>
      </c>
      <c r="E422" t="s">
        <v>37</v>
      </c>
      <c r="F422" t="s">
        <v>39</v>
      </c>
      <c r="G422" t="s">
        <v>28</v>
      </c>
      <c r="H422" t="s">
        <v>26</v>
      </c>
      <c r="I422" t="s">
        <v>26</v>
      </c>
      <c r="J422" t="s">
        <v>25</v>
      </c>
      <c r="K422">
        <v>14239</v>
      </c>
      <c r="L422">
        <v>450</v>
      </c>
      <c r="M422">
        <v>1321</v>
      </c>
      <c r="N422">
        <v>1771</v>
      </c>
      <c r="O422">
        <v>8391</v>
      </c>
      <c r="P422">
        <v>7371</v>
      </c>
      <c r="Q422">
        <v>6928</v>
      </c>
      <c r="R422">
        <v>5502</v>
      </c>
      <c r="S422">
        <v>4290</v>
      </c>
      <c r="T422">
        <v>2195</v>
      </c>
      <c r="U422">
        <v>690</v>
      </c>
      <c r="V422">
        <v>13250</v>
      </c>
    </row>
    <row r="423" spans="1:22" x14ac:dyDescent="0.25">
      <c r="A423">
        <v>2025</v>
      </c>
      <c r="B423">
        <v>8</v>
      </c>
      <c r="C423" t="s">
        <v>37</v>
      </c>
      <c r="D423" t="s">
        <v>22</v>
      </c>
      <c r="E423" t="s">
        <v>37</v>
      </c>
      <c r="F423" t="s">
        <v>39</v>
      </c>
      <c r="G423" t="s">
        <v>29</v>
      </c>
      <c r="H423" t="s">
        <v>26</v>
      </c>
      <c r="I423" t="s">
        <v>26</v>
      </c>
      <c r="J423" t="s">
        <v>25</v>
      </c>
      <c r="K423">
        <v>1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</row>
    <row r="424" spans="1:22" x14ac:dyDescent="0.25">
      <c r="A424">
        <v>2025</v>
      </c>
      <c r="B424">
        <v>8</v>
      </c>
      <c r="C424" t="s">
        <v>37</v>
      </c>
      <c r="D424" t="s">
        <v>22</v>
      </c>
      <c r="E424" t="s">
        <v>37</v>
      </c>
      <c r="F424" t="s">
        <v>36</v>
      </c>
      <c r="G424" t="s">
        <v>28</v>
      </c>
      <c r="H424" t="s">
        <v>25</v>
      </c>
      <c r="I424" t="s">
        <v>26</v>
      </c>
      <c r="J424" t="s">
        <v>25</v>
      </c>
      <c r="K424">
        <v>59</v>
      </c>
      <c r="L424">
        <v>0</v>
      </c>
      <c r="M424">
        <v>0</v>
      </c>
      <c r="N424">
        <v>0</v>
      </c>
      <c r="O424">
        <v>19</v>
      </c>
      <c r="P424">
        <v>16</v>
      </c>
      <c r="Q424">
        <v>15</v>
      </c>
      <c r="R424">
        <v>13</v>
      </c>
      <c r="S424">
        <v>9</v>
      </c>
      <c r="T424">
        <v>1</v>
      </c>
      <c r="U424">
        <v>1</v>
      </c>
      <c r="V424">
        <v>59</v>
      </c>
    </row>
    <row r="425" spans="1:22" x14ac:dyDescent="0.25">
      <c r="A425">
        <v>2025</v>
      </c>
      <c r="B425">
        <v>8</v>
      </c>
      <c r="C425" t="s">
        <v>37</v>
      </c>
      <c r="D425" t="s">
        <v>22</v>
      </c>
      <c r="E425" t="s">
        <v>37</v>
      </c>
      <c r="F425" t="s">
        <v>42</v>
      </c>
      <c r="G425" t="s">
        <v>28</v>
      </c>
      <c r="H425" t="s">
        <v>26</v>
      </c>
      <c r="I425" t="s">
        <v>26</v>
      </c>
      <c r="J425" t="s">
        <v>25</v>
      </c>
      <c r="K425">
        <v>2</v>
      </c>
      <c r="L425">
        <v>0</v>
      </c>
      <c r="M425">
        <v>0</v>
      </c>
      <c r="N425">
        <v>0</v>
      </c>
      <c r="O425">
        <v>2</v>
      </c>
      <c r="P425">
        <v>2</v>
      </c>
      <c r="Q425">
        <v>1</v>
      </c>
      <c r="R425">
        <v>1</v>
      </c>
      <c r="S425">
        <v>1</v>
      </c>
      <c r="T425">
        <v>0</v>
      </c>
      <c r="U425">
        <v>0</v>
      </c>
      <c r="V425">
        <v>2</v>
      </c>
    </row>
    <row r="426" spans="1:22" x14ac:dyDescent="0.25">
      <c r="A426">
        <v>2025</v>
      </c>
      <c r="B426">
        <v>8</v>
      </c>
      <c r="C426" t="s">
        <v>37</v>
      </c>
      <c r="D426" t="s">
        <v>22</v>
      </c>
      <c r="E426" t="s">
        <v>135</v>
      </c>
      <c r="F426" t="s">
        <v>32</v>
      </c>
      <c r="G426" t="s">
        <v>24</v>
      </c>
      <c r="H426" t="s">
        <v>25</v>
      </c>
      <c r="I426" t="s">
        <v>26</v>
      </c>
      <c r="J426" t="s">
        <v>25</v>
      </c>
      <c r="K426">
        <v>484</v>
      </c>
      <c r="L426">
        <v>6</v>
      </c>
      <c r="M426">
        <v>8</v>
      </c>
      <c r="N426">
        <v>14</v>
      </c>
      <c r="O426">
        <v>196</v>
      </c>
      <c r="P426">
        <v>157</v>
      </c>
      <c r="Q426">
        <v>138</v>
      </c>
      <c r="R426">
        <v>98</v>
      </c>
      <c r="S426">
        <v>60</v>
      </c>
      <c r="T426">
        <v>28</v>
      </c>
      <c r="U426">
        <v>10</v>
      </c>
      <c r="V426">
        <v>473</v>
      </c>
    </row>
    <row r="427" spans="1:22" x14ac:dyDescent="0.25">
      <c r="A427">
        <v>2025</v>
      </c>
      <c r="B427">
        <v>8</v>
      </c>
      <c r="C427" t="s">
        <v>37</v>
      </c>
      <c r="D427" t="s">
        <v>22</v>
      </c>
      <c r="E427" t="s">
        <v>136</v>
      </c>
      <c r="F427" t="s">
        <v>34</v>
      </c>
      <c r="G427" t="s">
        <v>24</v>
      </c>
      <c r="H427" t="s">
        <v>25</v>
      </c>
      <c r="I427" t="s">
        <v>26</v>
      </c>
      <c r="J427" t="s">
        <v>26</v>
      </c>
      <c r="K427">
        <v>53</v>
      </c>
      <c r="L427">
        <v>3</v>
      </c>
      <c r="M427">
        <v>9</v>
      </c>
      <c r="N427">
        <v>12</v>
      </c>
      <c r="O427">
        <v>26</v>
      </c>
      <c r="P427">
        <v>25</v>
      </c>
      <c r="Q427">
        <v>25</v>
      </c>
      <c r="R427">
        <v>25</v>
      </c>
      <c r="S427">
        <v>24</v>
      </c>
      <c r="T427">
        <v>20</v>
      </c>
      <c r="U427">
        <v>13</v>
      </c>
      <c r="V427">
        <v>46</v>
      </c>
    </row>
    <row r="428" spans="1:22" x14ac:dyDescent="0.25">
      <c r="A428">
        <v>2025</v>
      </c>
      <c r="B428">
        <v>8</v>
      </c>
      <c r="C428" t="s">
        <v>37</v>
      </c>
      <c r="D428" t="s">
        <v>22</v>
      </c>
      <c r="E428" t="s">
        <v>137</v>
      </c>
      <c r="F428" t="s">
        <v>34</v>
      </c>
      <c r="G428" t="s">
        <v>24</v>
      </c>
      <c r="H428" t="s">
        <v>25</v>
      </c>
      <c r="I428" t="s">
        <v>26</v>
      </c>
      <c r="J428" t="s">
        <v>26</v>
      </c>
      <c r="K428">
        <v>4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4</v>
      </c>
    </row>
    <row r="429" spans="1:22" x14ac:dyDescent="0.25">
      <c r="A429">
        <v>2025</v>
      </c>
      <c r="B429">
        <v>8</v>
      </c>
      <c r="C429" t="s">
        <v>37</v>
      </c>
      <c r="D429" t="s">
        <v>22</v>
      </c>
      <c r="E429" t="s">
        <v>139</v>
      </c>
      <c r="F429" t="s">
        <v>34</v>
      </c>
      <c r="G429" t="s">
        <v>24</v>
      </c>
      <c r="H429" t="s">
        <v>25</v>
      </c>
      <c r="I429" t="s">
        <v>26</v>
      </c>
      <c r="J429" t="s">
        <v>26</v>
      </c>
      <c r="K429">
        <v>27</v>
      </c>
      <c r="L429">
        <v>0</v>
      </c>
      <c r="M429">
        <v>0</v>
      </c>
      <c r="N429">
        <v>0</v>
      </c>
      <c r="O429">
        <v>15</v>
      </c>
      <c r="P429">
        <v>12</v>
      </c>
      <c r="Q429">
        <v>10</v>
      </c>
      <c r="R429">
        <v>6</v>
      </c>
      <c r="S429">
        <v>6</v>
      </c>
      <c r="T429">
        <v>5</v>
      </c>
      <c r="U429">
        <v>1</v>
      </c>
      <c r="V429">
        <v>27</v>
      </c>
    </row>
    <row r="430" spans="1:22" x14ac:dyDescent="0.25">
      <c r="A430">
        <v>2025</v>
      </c>
      <c r="B430">
        <v>8</v>
      </c>
      <c r="C430" t="s">
        <v>37</v>
      </c>
      <c r="D430" t="s">
        <v>22</v>
      </c>
      <c r="E430" t="s">
        <v>141</v>
      </c>
      <c r="F430" t="s">
        <v>34</v>
      </c>
      <c r="G430" t="s">
        <v>24</v>
      </c>
      <c r="H430" t="s">
        <v>25</v>
      </c>
      <c r="I430" t="s">
        <v>26</v>
      </c>
      <c r="J430" t="s">
        <v>26</v>
      </c>
      <c r="K430">
        <v>31</v>
      </c>
      <c r="L430">
        <v>0</v>
      </c>
      <c r="M430">
        <v>0</v>
      </c>
      <c r="N430">
        <v>0</v>
      </c>
      <c r="O430">
        <v>17</v>
      </c>
      <c r="P430">
        <v>13</v>
      </c>
      <c r="Q430">
        <v>11</v>
      </c>
      <c r="R430">
        <v>8</v>
      </c>
      <c r="S430">
        <v>7</v>
      </c>
      <c r="T430">
        <v>4</v>
      </c>
      <c r="U430">
        <v>1</v>
      </c>
      <c r="V430">
        <v>31</v>
      </c>
    </row>
    <row r="431" spans="1:22" x14ac:dyDescent="0.25">
      <c r="A431">
        <v>2025</v>
      </c>
      <c r="B431">
        <v>8</v>
      </c>
      <c r="C431" t="s">
        <v>37</v>
      </c>
      <c r="D431" t="s">
        <v>22</v>
      </c>
      <c r="E431" t="s">
        <v>142</v>
      </c>
      <c r="F431" t="s">
        <v>34</v>
      </c>
      <c r="G431" t="s">
        <v>24</v>
      </c>
      <c r="H431" t="s">
        <v>25</v>
      </c>
      <c r="I431" t="s">
        <v>26</v>
      </c>
      <c r="J431" t="s">
        <v>26</v>
      </c>
      <c r="K431">
        <v>31</v>
      </c>
      <c r="L431">
        <v>0</v>
      </c>
      <c r="M431">
        <v>8</v>
      </c>
      <c r="N431">
        <v>8</v>
      </c>
      <c r="O431">
        <v>8</v>
      </c>
      <c r="P431">
        <v>5</v>
      </c>
      <c r="Q431">
        <v>5</v>
      </c>
      <c r="R431">
        <v>4</v>
      </c>
      <c r="S431">
        <v>3</v>
      </c>
      <c r="T431">
        <v>1</v>
      </c>
      <c r="U431">
        <v>1</v>
      </c>
      <c r="V431">
        <v>31</v>
      </c>
    </row>
    <row r="432" spans="1:22" x14ac:dyDescent="0.25">
      <c r="A432">
        <v>2025</v>
      </c>
      <c r="B432">
        <v>8</v>
      </c>
      <c r="C432" t="s">
        <v>37</v>
      </c>
      <c r="D432" t="s">
        <v>22</v>
      </c>
      <c r="E432" t="s">
        <v>143</v>
      </c>
      <c r="F432" t="s">
        <v>39</v>
      </c>
      <c r="G432" t="s">
        <v>24</v>
      </c>
      <c r="H432" t="s">
        <v>26</v>
      </c>
      <c r="I432" t="s">
        <v>26</v>
      </c>
      <c r="J432" t="s">
        <v>25</v>
      </c>
      <c r="K432">
        <v>457</v>
      </c>
      <c r="L432">
        <v>0</v>
      </c>
      <c r="M432">
        <v>15</v>
      </c>
      <c r="N432">
        <v>15</v>
      </c>
      <c r="O432">
        <v>225</v>
      </c>
      <c r="P432">
        <v>180</v>
      </c>
      <c r="Q432">
        <v>157</v>
      </c>
      <c r="R432">
        <v>112</v>
      </c>
      <c r="S432">
        <v>76</v>
      </c>
      <c r="T432">
        <v>37</v>
      </c>
      <c r="U432">
        <v>10</v>
      </c>
      <c r="V432">
        <v>450</v>
      </c>
    </row>
    <row r="433" spans="1:22" x14ac:dyDescent="0.25">
      <c r="A433">
        <v>2025</v>
      </c>
      <c r="B433">
        <v>8</v>
      </c>
      <c r="C433" t="s">
        <v>37</v>
      </c>
      <c r="D433" t="s">
        <v>22</v>
      </c>
      <c r="E433" t="s">
        <v>144</v>
      </c>
      <c r="F433" t="s">
        <v>32</v>
      </c>
      <c r="G433" t="s">
        <v>24</v>
      </c>
      <c r="H433" t="s">
        <v>25</v>
      </c>
      <c r="I433" t="s">
        <v>26</v>
      </c>
      <c r="J433" t="s">
        <v>25</v>
      </c>
      <c r="K433">
        <v>173</v>
      </c>
      <c r="L433">
        <v>8</v>
      </c>
      <c r="M433">
        <v>17</v>
      </c>
      <c r="N433">
        <v>25</v>
      </c>
      <c r="O433">
        <v>111</v>
      </c>
      <c r="P433">
        <v>103</v>
      </c>
      <c r="Q433">
        <v>100</v>
      </c>
      <c r="R433">
        <v>85</v>
      </c>
      <c r="S433">
        <v>71</v>
      </c>
      <c r="T433">
        <v>27</v>
      </c>
      <c r="U433">
        <v>8</v>
      </c>
      <c r="V433">
        <v>158</v>
      </c>
    </row>
    <row r="434" spans="1:22" x14ac:dyDescent="0.25">
      <c r="A434">
        <v>2025</v>
      </c>
      <c r="B434">
        <v>8</v>
      </c>
      <c r="C434" t="s">
        <v>37</v>
      </c>
      <c r="D434" t="s">
        <v>22</v>
      </c>
      <c r="E434" t="s">
        <v>144</v>
      </c>
      <c r="F434" t="s">
        <v>34</v>
      </c>
      <c r="G434" t="s">
        <v>24</v>
      </c>
      <c r="H434" t="s">
        <v>25</v>
      </c>
      <c r="I434" t="s">
        <v>26</v>
      </c>
      <c r="J434" t="s">
        <v>26</v>
      </c>
      <c r="K434">
        <v>31</v>
      </c>
      <c r="L434">
        <v>0</v>
      </c>
      <c r="M434">
        <v>8</v>
      </c>
      <c r="N434">
        <v>8</v>
      </c>
      <c r="O434">
        <v>8</v>
      </c>
      <c r="P434">
        <v>5</v>
      </c>
      <c r="Q434">
        <v>5</v>
      </c>
      <c r="R434">
        <v>4</v>
      </c>
      <c r="S434">
        <v>3</v>
      </c>
      <c r="T434">
        <v>1</v>
      </c>
      <c r="U434">
        <v>1</v>
      </c>
      <c r="V434">
        <v>31</v>
      </c>
    </row>
    <row r="435" spans="1:22" x14ac:dyDescent="0.25">
      <c r="A435">
        <v>2025</v>
      </c>
      <c r="B435">
        <v>8</v>
      </c>
      <c r="C435" t="s">
        <v>37</v>
      </c>
      <c r="D435" t="s">
        <v>22</v>
      </c>
      <c r="E435" t="s">
        <v>144</v>
      </c>
      <c r="F435" t="s">
        <v>23</v>
      </c>
      <c r="G435" t="s">
        <v>24</v>
      </c>
      <c r="H435" t="s">
        <v>25</v>
      </c>
      <c r="I435" t="s">
        <v>26</v>
      </c>
      <c r="J435" t="s">
        <v>25</v>
      </c>
      <c r="K435">
        <v>154</v>
      </c>
      <c r="L435">
        <v>2</v>
      </c>
      <c r="M435">
        <v>3</v>
      </c>
      <c r="N435">
        <v>5</v>
      </c>
      <c r="O435">
        <v>61</v>
      </c>
      <c r="P435">
        <v>53</v>
      </c>
      <c r="Q435">
        <v>53</v>
      </c>
      <c r="R435">
        <v>45</v>
      </c>
      <c r="S435">
        <v>35</v>
      </c>
      <c r="T435">
        <v>15</v>
      </c>
      <c r="U435">
        <v>3</v>
      </c>
      <c r="V435">
        <v>152</v>
      </c>
    </row>
    <row r="436" spans="1:22" x14ac:dyDescent="0.25">
      <c r="A436">
        <v>2025</v>
      </c>
      <c r="B436">
        <v>8</v>
      </c>
      <c r="C436" t="s">
        <v>37</v>
      </c>
      <c r="D436" t="s">
        <v>22</v>
      </c>
      <c r="E436" t="s">
        <v>144</v>
      </c>
      <c r="F436" t="s">
        <v>39</v>
      </c>
      <c r="G436" t="s">
        <v>24</v>
      </c>
      <c r="H436" t="s">
        <v>26</v>
      </c>
      <c r="I436" t="s">
        <v>26</v>
      </c>
      <c r="J436" t="s">
        <v>25</v>
      </c>
      <c r="K436">
        <v>739</v>
      </c>
      <c r="L436">
        <v>7</v>
      </c>
      <c r="M436">
        <v>69</v>
      </c>
      <c r="N436">
        <v>76</v>
      </c>
      <c r="O436">
        <v>532</v>
      </c>
      <c r="P436">
        <v>493</v>
      </c>
      <c r="Q436">
        <v>473</v>
      </c>
      <c r="R436">
        <v>400</v>
      </c>
      <c r="S436">
        <v>317</v>
      </c>
      <c r="T436">
        <v>179</v>
      </c>
      <c r="U436">
        <v>70</v>
      </c>
      <c r="V436">
        <v>708</v>
      </c>
    </row>
    <row r="437" spans="1:22" x14ac:dyDescent="0.25">
      <c r="A437">
        <v>2025</v>
      </c>
      <c r="B437">
        <v>8</v>
      </c>
      <c r="C437" t="s">
        <v>37</v>
      </c>
      <c r="D437" t="s">
        <v>22</v>
      </c>
      <c r="E437" t="s">
        <v>144</v>
      </c>
      <c r="F437" t="s">
        <v>36</v>
      </c>
      <c r="G437" t="s">
        <v>24</v>
      </c>
      <c r="H437" t="s">
        <v>25</v>
      </c>
      <c r="I437" t="s">
        <v>26</v>
      </c>
      <c r="J437" t="s">
        <v>25</v>
      </c>
      <c r="K437">
        <v>242</v>
      </c>
      <c r="L437">
        <v>6</v>
      </c>
      <c r="M437">
        <v>11</v>
      </c>
      <c r="N437">
        <v>17</v>
      </c>
      <c r="O437">
        <v>113</v>
      </c>
      <c r="P437">
        <v>85</v>
      </c>
      <c r="Q437">
        <v>77</v>
      </c>
      <c r="R437">
        <v>62</v>
      </c>
      <c r="S437">
        <v>43</v>
      </c>
      <c r="T437">
        <v>16</v>
      </c>
      <c r="U437">
        <v>3</v>
      </c>
      <c r="V437">
        <v>232</v>
      </c>
    </row>
    <row r="438" spans="1:22" x14ac:dyDescent="0.25">
      <c r="A438">
        <v>2025</v>
      </c>
      <c r="B438">
        <v>8</v>
      </c>
      <c r="C438" t="s">
        <v>37</v>
      </c>
      <c r="D438" t="s">
        <v>22</v>
      </c>
      <c r="E438" t="s">
        <v>145</v>
      </c>
      <c r="F438" t="s">
        <v>32</v>
      </c>
      <c r="G438" t="s">
        <v>24</v>
      </c>
      <c r="H438" t="s">
        <v>25</v>
      </c>
      <c r="I438" t="s">
        <v>26</v>
      </c>
      <c r="J438" t="s">
        <v>25</v>
      </c>
      <c r="K438">
        <v>241</v>
      </c>
      <c r="L438">
        <v>2</v>
      </c>
      <c r="M438">
        <v>1</v>
      </c>
      <c r="N438">
        <v>3</v>
      </c>
      <c r="O438">
        <v>144</v>
      </c>
      <c r="P438">
        <v>125</v>
      </c>
      <c r="Q438">
        <v>112</v>
      </c>
      <c r="R438">
        <v>81</v>
      </c>
      <c r="S438">
        <v>69</v>
      </c>
      <c r="T438">
        <v>35</v>
      </c>
      <c r="U438">
        <v>7</v>
      </c>
      <c r="V438">
        <v>239</v>
      </c>
    </row>
    <row r="439" spans="1:22" x14ac:dyDescent="0.25">
      <c r="A439">
        <v>2025</v>
      </c>
      <c r="B439">
        <v>8</v>
      </c>
      <c r="C439" t="s">
        <v>37</v>
      </c>
      <c r="D439" t="s">
        <v>22</v>
      </c>
      <c r="E439" t="s">
        <v>145</v>
      </c>
      <c r="F439" t="s">
        <v>38</v>
      </c>
      <c r="G439" t="s">
        <v>24</v>
      </c>
      <c r="H439" t="s">
        <v>25</v>
      </c>
      <c r="I439" t="s">
        <v>26</v>
      </c>
      <c r="J439" t="s">
        <v>25</v>
      </c>
      <c r="K439">
        <v>25</v>
      </c>
      <c r="L439">
        <v>1</v>
      </c>
      <c r="M439">
        <v>0</v>
      </c>
      <c r="N439">
        <v>1</v>
      </c>
      <c r="O439">
        <v>17</v>
      </c>
      <c r="P439">
        <v>12</v>
      </c>
      <c r="Q439">
        <v>10</v>
      </c>
      <c r="R439">
        <v>3</v>
      </c>
      <c r="S439">
        <v>2</v>
      </c>
      <c r="T439">
        <v>1</v>
      </c>
      <c r="U439">
        <v>0</v>
      </c>
      <c r="V439">
        <v>24</v>
      </c>
    </row>
    <row r="440" spans="1:22" x14ac:dyDescent="0.25">
      <c r="A440">
        <v>2025</v>
      </c>
      <c r="B440">
        <v>8</v>
      </c>
      <c r="C440" t="s">
        <v>37</v>
      </c>
      <c r="D440" t="s">
        <v>22</v>
      </c>
      <c r="E440" t="s">
        <v>154</v>
      </c>
      <c r="F440" t="s">
        <v>32</v>
      </c>
      <c r="G440" t="s">
        <v>24</v>
      </c>
      <c r="H440" t="s">
        <v>25</v>
      </c>
      <c r="I440" t="s">
        <v>26</v>
      </c>
      <c r="J440" t="s">
        <v>25</v>
      </c>
      <c r="K440">
        <v>8</v>
      </c>
      <c r="L440">
        <v>0</v>
      </c>
      <c r="M440">
        <v>5</v>
      </c>
      <c r="N440">
        <v>5</v>
      </c>
      <c r="O440">
        <v>3</v>
      </c>
      <c r="P440">
        <v>2</v>
      </c>
      <c r="Q440">
        <v>1</v>
      </c>
      <c r="R440">
        <v>1</v>
      </c>
      <c r="S440">
        <v>1</v>
      </c>
      <c r="T440">
        <v>0</v>
      </c>
      <c r="U440">
        <v>0</v>
      </c>
      <c r="V440">
        <v>5</v>
      </c>
    </row>
    <row r="441" spans="1:22" x14ac:dyDescent="0.25">
      <c r="A441">
        <v>2025</v>
      </c>
      <c r="B441">
        <v>8</v>
      </c>
      <c r="C441" t="s">
        <v>37</v>
      </c>
      <c r="D441" t="s">
        <v>22</v>
      </c>
      <c r="E441" t="s">
        <v>147</v>
      </c>
      <c r="F441" t="s">
        <v>32</v>
      </c>
      <c r="G441" t="s">
        <v>24</v>
      </c>
      <c r="H441" t="s">
        <v>25</v>
      </c>
      <c r="I441" t="s">
        <v>26</v>
      </c>
      <c r="J441" t="s">
        <v>25</v>
      </c>
      <c r="K441">
        <v>46</v>
      </c>
      <c r="L441">
        <v>0</v>
      </c>
      <c r="M441">
        <v>0</v>
      </c>
      <c r="N441">
        <v>0</v>
      </c>
      <c r="O441">
        <v>19</v>
      </c>
      <c r="P441">
        <v>16</v>
      </c>
      <c r="Q441">
        <v>15</v>
      </c>
      <c r="R441">
        <v>11</v>
      </c>
      <c r="S441">
        <v>11</v>
      </c>
      <c r="T441">
        <v>5</v>
      </c>
      <c r="U441">
        <v>3</v>
      </c>
      <c r="V441">
        <v>46</v>
      </c>
    </row>
    <row r="442" spans="1:22" x14ac:dyDescent="0.25">
      <c r="A442">
        <v>2025</v>
      </c>
      <c r="B442">
        <v>8</v>
      </c>
      <c r="C442" t="s">
        <v>37</v>
      </c>
      <c r="D442" t="s">
        <v>22</v>
      </c>
      <c r="E442" t="s">
        <v>147</v>
      </c>
      <c r="F442" t="s">
        <v>36</v>
      </c>
      <c r="G442" t="s">
        <v>24</v>
      </c>
      <c r="H442" t="s">
        <v>25</v>
      </c>
      <c r="I442" t="s">
        <v>26</v>
      </c>
      <c r="J442" t="s">
        <v>25</v>
      </c>
      <c r="K442">
        <v>148</v>
      </c>
      <c r="L442">
        <v>1</v>
      </c>
      <c r="M442">
        <v>4</v>
      </c>
      <c r="N442">
        <v>5</v>
      </c>
      <c r="O442">
        <v>87</v>
      </c>
      <c r="P442">
        <v>69</v>
      </c>
      <c r="Q442">
        <v>65</v>
      </c>
      <c r="R442">
        <v>55</v>
      </c>
      <c r="S442">
        <v>41</v>
      </c>
      <c r="T442">
        <v>16</v>
      </c>
      <c r="U442">
        <v>1</v>
      </c>
      <c r="V442">
        <v>145</v>
      </c>
    </row>
    <row r="443" spans="1:22" x14ac:dyDescent="0.25">
      <c r="A443">
        <v>2025</v>
      </c>
      <c r="B443">
        <v>8</v>
      </c>
      <c r="C443" t="s">
        <v>37</v>
      </c>
      <c r="D443" t="s">
        <v>22</v>
      </c>
      <c r="E443" t="s">
        <v>148</v>
      </c>
      <c r="F443" t="s">
        <v>32</v>
      </c>
      <c r="G443" t="s">
        <v>24</v>
      </c>
      <c r="H443" t="s">
        <v>25</v>
      </c>
      <c r="I443" t="s">
        <v>26</v>
      </c>
      <c r="J443" t="s">
        <v>25</v>
      </c>
      <c r="K443">
        <v>600</v>
      </c>
      <c r="L443">
        <v>2</v>
      </c>
      <c r="M443">
        <v>19</v>
      </c>
      <c r="N443">
        <v>21</v>
      </c>
      <c r="O443">
        <v>320</v>
      </c>
      <c r="P443">
        <v>290</v>
      </c>
      <c r="Q443">
        <v>257</v>
      </c>
      <c r="R443">
        <v>184</v>
      </c>
      <c r="S443">
        <v>147</v>
      </c>
      <c r="T443">
        <v>70</v>
      </c>
      <c r="U443">
        <v>29</v>
      </c>
      <c r="V443">
        <v>585</v>
      </c>
    </row>
    <row r="444" spans="1:22" x14ac:dyDescent="0.25">
      <c r="A444">
        <v>2025</v>
      </c>
      <c r="B444">
        <v>8</v>
      </c>
      <c r="C444" t="s">
        <v>37</v>
      </c>
      <c r="D444" t="s">
        <v>22</v>
      </c>
      <c r="E444" t="s">
        <v>149</v>
      </c>
      <c r="F444" t="s">
        <v>32</v>
      </c>
      <c r="G444" t="s">
        <v>24</v>
      </c>
      <c r="H444" t="s">
        <v>25</v>
      </c>
      <c r="I444" t="s">
        <v>26</v>
      </c>
      <c r="J444" t="s">
        <v>25</v>
      </c>
      <c r="K444">
        <v>125</v>
      </c>
      <c r="L444">
        <v>2</v>
      </c>
      <c r="M444">
        <v>11</v>
      </c>
      <c r="N444">
        <v>13</v>
      </c>
      <c r="O444">
        <v>107</v>
      </c>
      <c r="P444">
        <v>103</v>
      </c>
      <c r="Q444">
        <v>103</v>
      </c>
      <c r="R444">
        <v>97</v>
      </c>
      <c r="S444">
        <v>84</v>
      </c>
      <c r="T444">
        <v>58</v>
      </c>
      <c r="U444">
        <v>21</v>
      </c>
      <c r="V444">
        <v>117</v>
      </c>
    </row>
    <row r="445" spans="1:22" x14ac:dyDescent="0.25">
      <c r="A445">
        <v>2025</v>
      </c>
      <c r="B445">
        <v>8</v>
      </c>
      <c r="C445" t="s">
        <v>37</v>
      </c>
      <c r="D445" t="s">
        <v>22</v>
      </c>
      <c r="E445" t="s">
        <v>149</v>
      </c>
      <c r="F445" t="s">
        <v>38</v>
      </c>
      <c r="G445" t="s">
        <v>24</v>
      </c>
      <c r="H445" t="s">
        <v>25</v>
      </c>
      <c r="I445" t="s">
        <v>26</v>
      </c>
      <c r="J445" t="s">
        <v>25</v>
      </c>
      <c r="K445">
        <v>2</v>
      </c>
      <c r="L445">
        <v>1</v>
      </c>
      <c r="M445">
        <v>0</v>
      </c>
      <c r="N445">
        <v>1</v>
      </c>
      <c r="O445">
        <v>1</v>
      </c>
      <c r="P445">
        <v>1</v>
      </c>
      <c r="Q445">
        <v>1</v>
      </c>
      <c r="R445">
        <v>0</v>
      </c>
      <c r="S445">
        <v>0</v>
      </c>
      <c r="T445">
        <v>0</v>
      </c>
      <c r="U445">
        <v>0</v>
      </c>
      <c r="V445">
        <v>1</v>
      </c>
    </row>
    <row r="446" spans="1:22" x14ac:dyDescent="0.25">
      <c r="A446">
        <v>2025</v>
      </c>
      <c r="B446">
        <v>8</v>
      </c>
      <c r="C446" t="s">
        <v>37</v>
      </c>
      <c r="D446" t="s">
        <v>22</v>
      </c>
      <c r="E446" t="s">
        <v>149</v>
      </c>
      <c r="F446" t="s">
        <v>23</v>
      </c>
      <c r="G446" t="s">
        <v>24</v>
      </c>
      <c r="H446" t="s">
        <v>25</v>
      </c>
      <c r="I446" t="s">
        <v>26</v>
      </c>
      <c r="J446" t="s">
        <v>25</v>
      </c>
      <c r="K446">
        <v>365</v>
      </c>
      <c r="L446">
        <v>7</v>
      </c>
      <c r="M446">
        <v>25</v>
      </c>
      <c r="N446">
        <v>32</v>
      </c>
      <c r="O446">
        <v>204</v>
      </c>
      <c r="P446">
        <v>154</v>
      </c>
      <c r="Q446">
        <v>143</v>
      </c>
      <c r="R446">
        <v>99</v>
      </c>
      <c r="S446">
        <v>73</v>
      </c>
      <c r="T446">
        <v>35</v>
      </c>
      <c r="U446">
        <v>13</v>
      </c>
      <c r="V446">
        <v>355</v>
      </c>
    </row>
    <row r="447" spans="1:22" x14ac:dyDescent="0.25">
      <c r="A447">
        <v>2025</v>
      </c>
      <c r="B447">
        <v>8</v>
      </c>
      <c r="C447" t="s">
        <v>37</v>
      </c>
      <c r="D447" t="s">
        <v>22</v>
      </c>
      <c r="E447" t="s">
        <v>149</v>
      </c>
      <c r="F447" t="s">
        <v>39</v>
      </c>
      <c r="G447" t="s">
        <v>24</v>
      </c>
      <c r="H447" t="s">
        <v>26</v>
      </c>
      <c r="I447" t="s">
        <v>26</v>
      </c>
      <c r="J447" t="s">
        <v>25</v>
      </c>
      <c r="K447">
        <v>1512</v>
      </c>
      <c r="L447">
        <v>29</v>
      </c>
      <c r="M447">
        <v>116</v>
      </c>
      <c r="N447">
        <v>145</v>
      </c>
      <c r="O447">
        <v>943</v>
      </c>
      <c r="P447">
        <v>837</v>
      </c>
      <c r="Q447">
        <v>799</v>
      </c>
      <c r="R447">
        <v>672</v>
      </c>
      <c r="S447">
        <v>543</v>
      </c>
      <c r="T447">
        <v>278</v>
      </c>
      <c r="U447">
        <v>86</v>
      </c>
      <c r="V447">
        <v>1432</v>
      </c>
    </row>
    <row r="448" spans="1:22" x14ac:dyDescent="0.25">
      <c r="A448">
        <v>2025</v>
      </c>
      <c r="B448">
        <v>8</v>
      </c>
      <c r="C448" t="s">
        <v>37</v>
      </c>
      <c r="D448" t="s">
        <v>22</v>
      </c>
      <c r="E448" t="s">
        <v>150</v>
      </c>
      <c r="F448" t="s">
        <v>38</v>
      </c>
      <c r="G448" t="s">
        <v>24</v>
      </c>
      <c r="H448" t="s">
        <v>25</v>
      </c>
      <c r="I448" t="s">
        <v>26</v>
      </c>
      <c r="J448" t="s">
        <v>25</v>
      </c>
      <c r="K448">
        <v>29</v>
      </c>
      <c r="L448">
        <v>0</v>
      </c>
      <c r="M448">
        <v>0</v>
      </c>
      <c r="N448">
        <v>0</v>
      </c>
      <c r="O448">
        <v>18</v>
      </c>
      <c r="P448">
        <v>11</v>
      </c>
      <c r="Q448">
        <v>9</v>
      </c>
      <c r="R448">
        <v>6</v>
      </c>
      <c r="S448">
        <v>3</v>
      </c>
      <c r="T448">
        <v>1</v>
      </c>
      <c r="U448">
        <v>0</v>
      </c>
      <c r="V448">
        <v>29</v>
      </c>
    </row>
    <row r="449" spans="1:22" x14ac:dyDescent="0.25">
      <c r="A449">
        <v>2025</v>
      </c>
      <c r="B449">
        <v>8</v>
      </c>
      <c r="C449" t="s">
        <v>37</v>
      </c>
      <c r="D449" t="s">
        <v>22</v>
      </c>
      <c r="E449" t="s">
        <v>151</v>
      </c>
      <c r="F449" t="s">
        <v>39</v>
      </c>
      <c r="G449" t="s">
        <v>24</v>
      </c>
      <c r="H449" t="s">
        <v>26</v>
      </c>
      <c r="I449" t="s">
        <v>26</v>
      </c>
      <c r="J449" t="s">
        <v>25</v>
      </c>
      <c r="K449">
        <v>484</v>
      </c>
      <c r="L449">
        <v>1</v>
      </c>
      <c r="M449">
        <v>10</v>
      </c>
      <c r="N449">
        <v>11</v>
      </c>
      <c r="O449">
        <v>352</v>
      </c>
      <c r="P449">
        <v>284</v>
      </c>
      <c r="Q449">
        <v>246</v>
      </c>
      <c r="R449">
        <v>156</v>
      </c>
      <c r="S449">
        <v>83</v>
      </c>
      <c r="T449">
        <v>31</v>
      </c>
      <c r="U449">
        <v>3</v>
      </c>
      <c r="V449">
        <v>478</v>
      </c>
    </row>
    <row r="450" spans="1:22" x14ac:dyDescent="0.25">
      <c r="A450">
        <v>2025</v>
      </c>
      <c r="B450">
        <v>8</v>
      </c>
      <c r="C450" t="s">
        <v>37</v>
      </c>
      <c r="D450" t="s">
        <v>22</v>
      </c>
      <c r="E450" t="s">
        <v>123</v>
      </c>
      <c r="F450" t="s">
        <v>39</v>
      </c>
      <c r="G450" t="s">
        <v>28</v>
      </c>
      <c r="H450" t="s">
        <v>26</v>
      </c>
      <c r="I450" t="s">
        <v>26</v>
      </c>
      <c r="J450" t="s">
        <v>25</v>
      </c>
      <c r="K450">
        <v>1</v>
      </c>
      <c r="L450">
        <v>0</v>
      </c>
      <c r="M450">
        <v>0</v>
      </c>
      <c r="N450">
        <v>0</v>
      </c>
      <c r="O450">
        <v>1</v>
      </c>
      <c r="P450">
        <v>1</v>
      </c>
      <c r="Q450">
        <v>1</v>
      </c>
      <c r="R450">
        <v>1</v>
      </c>
      <c r="S450">
        <v>1</v>
      </c>
      <c r="T450">
        <v>1</v>
      </c>
      <c r="U450">
        <v>1</v>
      </c>
      <c r="V450">
        <v>1</v>
      </c>
    </row>
    <row r="451" spans="1:22" x14ac:dyDescent="0.25">
      <c r="A451">
        <v>2025</v>
      </c>
      <c r="B451">
        <v>8</v>
      </c>
      <c r="C451" t="s">
        <v>37</v>
      </c>
      <c r="D451" t="s">
        <v>22</v>
      </c>
      <c r="E451" t="s">
        <v>123</v>
      </c>
      <c r="F451" t="s">
        <v>39</v>
      </c>
      <c r="G451" t="s">
        <v>24</v>
      </c>
      <c r="H451" t="s">
        <v>26</v>
      </c>
      <c r="I451" t="s">
        <v>26</v>
      </c>
      <c r="J451" t="s">
        <v>25</v>
      </c>
      <c r="K451">
        <v>700</v>
      </c>
      <c r="L451">
        <v>1</v>
      </c>
      <c r="M451">
        <v>7</v>
      </c>
      <c r="N451">
        <v>8</v>
      </c>
      <c r="O451">
        <v>503</v>
      </c>
      <c r="P451">
        <v>410</v>
      </c>
      <c r="Q451">
        <v>389</v>
      </c>
      <c r="R451">
        <v>280</v>
      </c>
      <c r="S451">
        <v>173</v>
      </c>
      <c r="T451">
        <v>50</v>
      </c>
      <c r="U451">
        <v>6</v>
      </c>
      <c r="V451">
        <v>696</v>
      </c>
    </row>
    <row r="452" spans="1:22" x14ac:dyDescent="0.25">
      <c r="A452">
        <v>2025</v>
      </c>
      <c r="B452">
        <v>8</v>
      </c>
      <c r="C452" t="s">
        <v>37</v>
      </c>
      <c r="D452" t="s">
        <v>22</v>
      </c>
      <c r="E452" t="s">
        <v>123</v>
      </c>
      <c r="F452" t="s">
        <v>42</v>
      </c>
      <c r="G452" t="s">
        <v>24</v>
      </c>
      <c r="H452" t="s">
        <v>26</v>
      </c>
      <c r="I452" t="s">
        <v>26</v>
      </c>
      <c r="J452" t="s">
        <v>25</v>
      </c>
      <c r="K452">
        <v>147</v>
      </c>
      <c r="L452">
        <v>0</v>
      </c>
      <c r="M452">
        <v>3</v>
      </c>
      <c r="N452">
        <v>3</v>
      </c>
      <c r="O452">
        <v>79</v>
      </c>
      <c r="P452">
        <v>64</v>
      </c>
      <c r="Q452">
        <v>59</v>
      </c>
      <c r="R452">
        <v>39</v>
      </c>
      <c r="S452">
        <v>24</v>
      </c>
      <c r="T452">
        <v>12</v>
      </c>
      <c r="U452">
        <v>3</v>
      </c>
      <c r="V452">
        <v>144</v>
      </c>
    </row>
    <row r="453" spans="1:22" x14ac:dyDescent="0.25">
      <c r="A453">
        <v>2025</v>
      </c>
      <c r="B453">
        <v>8</v>
      </c>
      <c r="C453" t="s">
        <v>37</v>
      </c>
      <c r="D453" t="s">
        <v>22</v>
      </c>
      <c r="E453" t="s">
        <v>123</v>
      </c>
      <c r="F453" t="s">
        <v>27</v>
      </c>
      <c r="G453" t="s">
        <v>24</v>
      </c>
      <c r="H453" t="s">
        <v>26</v>
      </c>
      <c r="I453" t="s">
        <v>26</v>
      </c>
      <c r="J453" t="s">
        <v>25</v>
      </c>
      <c r="K453">
        <v>1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1</v>
      </c>
    </row>
    <row r="454" spans="1:22" x14ac:dyDescent="0.25">
      <c r="A454">
        <v>2025</v>
      </c>
      <c r="B454">
        <v>8</v>
      </c>
      <c r="C454" t="s">
        <v>37</v>
      </c>
      <c r="D454" t="s">
        <v>22</v>
      </c>
      <c r="E454" t="s">
        <v>43</v>
      </c>
      <c r="F454" t="s">
        <v>23</v>
      </c>
      <c r="G454" t="s">
        <v>24</v>
      </c>
      <c r="H454" t="s">
        <v>25</v>
      </c>
      <c r="I454" t="s">
        <v>26</v>
      </c>
      <c r="J454" t="s">
        <v>25</v>
      </c>
      <c r="K454">
        <v>270</v>
      </c>
      <c r="L454">
        <v>0</v>
      </c>
      <c r="M454">
        <v>0</v>
      </c>
      <c r="N454">
        <v>0</v>
      </c>
      <c r="O454">
        <v>48</v>
      </c>
      <c r="P454">
        <v>31</v>
      </c>
      <c r="Q454">
        <v>27</v>
      </c>
      <c r="R454">
        <v>15</v>
      </c>
      <c r="S454">
        <v>7</v>
      </c>
      <c r="T454">
        <v>3</v>
      </c>
      <c r="U454">
        <v>0</v>
      </c>
      <c r="V454">
        <v>270</v>
      </c>
    </row>
    <row r="455" spans="1:22" x14ac:dyDescent="0.25">
      <c r="A455">
        <v>2025</v>
      </c>
      <c r="B455">
        <v>8</v>
      </c>
      <c r="C455" t="s">
        <v>37</v>
      </c>
      <c r="D455" t="s">
        <v>22</v>
      </c>
      <c r="E455" t="s">
        <v>61</v>
      </c>
      <c r="F455" t="s">
        <v>35</v>
      </c>
      <c r="G455" t="s">
        <v>28</v>
      </c>
      <c r="H455" t="s">
        <v>25</v>
      </c>
      <c r="I455" t="s">
        <v>26</v>
      </c>
      <c r="J455" t="s">
        <v>26</v>
      </c>
      <c r="K455">
        <v>26</v>
      </c>
      <c r="L455">
        <v>0</v>
      </c>
      <c r="M455">
        <v>4</v>
      </c>
      <c r="N455">
        <v>4</v>
      </c>
      <c r="O455">
        <v>8</v>
      </c>
      <c r="P455">
        <v>7</v>
      </c>
      <c r="Q455">
        <v>7</v>
      </c>
      <c r="R455">
        <v>7</v>
      </c>
      <c r="S455">
        <v>6</v>
      </c>
      <c r="T455">
        <v>3</v>
      </c>
      <c r="U455">
        <v>0</v>
      </c>
      <c r="V455">
        <v>23</v>
      </c>
    </row>
    <row r="456" spans="1:22" x14ac:dyDescent="0.25">
      <c r="A456">
        <v>2025</v>
      </c>
      <c r="B456">
        <v>8</v>
      </c>
      <c r="C456" t="s">
        <v>37</v>
      </c>
      <c r="D456" t="s">
        <v>22</v>
      </c>
      <c r="E456" t="s">
        <v>61</v>
      </c>
      <c r="F456" t="s">
        <v>35</v>
      </c>
      <c r="G456" t="s">
        <v>24</v>
      </c>
      <c r="H456" t="s">
        <v>25</v>
      </c>
      <c r="I456" t="s">
        <v>26</v>
      </c>
      <c r="J456" t="s">
        <v>26</v>
      </c>
      <c r="K456">
        <v>799</v>
      </c>
      <c r="L456">
        <v>10</v>
      </c>
      <c r="M456">
        <v>30</v>
      </c>
      <c r="N456">
        <v>40</v>
      </c>
      <c r="O456">
        <v>408</v>
      </c>
      <c r="P456">
        <v>350</v>
      </c>
      <c r="Q456">
        <v>326</v>
      </c>
      <c r="R456">
        <v>281</v>
      </c>
      <c r="S456">
        <v>244</v>
      </c>
      <c r="T456">
        <v>176</v>
      </c>
      <c r="U456">
        <v>77</v>
      </c>
      <c r="V456">
        <v>784</v>
      </c>
    </row>
    <row r="457" spans="1:22" x14ac:dyDescent="0.25">
      <c r="A457">
        <v>2025</v>
      </c>
      <c r="B457">
        <v>8</v>
      </c>
      <c r="C457" t="s">
        <v>37</v>
      </c>
      <c r="D457" t="s">
        <v>22</v>
      </c>
      <c r="E457" t="s">
        <v>61</v>
      </c>
      <c r="F457" t="s">
        <v>41</v>
      </c>
      <c r="G457" t="s">
        <v>24</v>
      </c>
      <c r="H457" t="s">
        <v>26</v>
      </c>
      <c r="I457" t="s">
        <v>26</v>
      </c>
      <c r="J457" t="s">
        <v>25</v>
      </c>
      <c r="K457">
        <v>418</v>
      </c>
      <c r="L457">
        <v>9</v>
      </c>
      <c r="M457">
        <v>22</v>
      </c>
      <c r="N457">
        <v>31</v>
      </c>
      <c r="O457">
        <v>269</v>
      </c>
      <c r="P457">
        <v>240</v>
      </c>
      <c r="Q457">
        <v>228</v>
      </c>
      <c r="R457">
        <v>176</v>
      </c>
      <c r="S457">
        <v>119</v>
      </c>
      <c r="T457">
        <v>53</v>
      </c>
      <c r="U457">
        <v>16</v>
      </c>
      <c r="V457">
        <v>405</v>
      </c>
    </row>
    <row r="458" spans="1:22" x14ac:dyDescent="0.25">
      <c r="A458">
        <v>2025</v>
      </c>
      <c r="B458">
        <v>8</v>
      </c>
      <c r="C458" t="s">
        <v>37</v>
      </c>
      <c r="D458" t="s">
        <v>22</v>
      </c>
      <c r="E458" t="s">
        <v>157</v>
      </c>
      <c r="F458" t="s">
        <v>35</v>
      </c>
      <c r="G458" t="s">
        <v>24</v>
      </c>
      <c r="H458" t="s">
        <v>25</v>
      </c>
      <c r="I458" t="s">
        <v>26</v>
      </c>
      <c r="J458" t="s">
        <v>26</v>
      </c>
      <c r="K458">
        <v>1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1</v>
      </c>
    </row>
    <row r="459" spans="1:22" x14ac:dyDescent="0.25">
      <c r="A459">
        <v>2025</v>
      </c>
      <c r="B459">
        <v>8</v>
      </c>
      <c r="C459" t="s">
        <v>37</v>
      </c>
      <c r="D459" t="s">
        <v>22</v>
      </c>
      <c r="E459" t="s">
        <v>69</v>
      </c>
      <c r="F459" t="s">
        <v>23</v>
      </c>
      <c r="G459" t="s">
        <v>28</v>
      </c>
      <c r="H459" t="s">
        <v>25</v>
      </c>
      <c r="I459" t="s">
        <v>26</v>
      </c>
      <c r="J459" t="s">
        <v>25</v>
      </c>
      <c r="K459">
        <v>21</v>
      </c>
      <c r="L459">
        <v>2</v>
      </c>
      <c r="M459">
        <v>1</v>
      </c>
      <c r="N459">
        <v>3</v>
      </c>
      <c r="O459">
        <v>18</v>
      </c>
      <c r="P459">
        <v>16</v>
      </c>
      <c r="Q459">
        <v>14</v>
      </c>
      <c r="R459">
        <v>8</v>
      </c>
      <c r="S459">
        <v>3</v>
      </c>
      <c r="T459">
        <v>0</v>
      </c>
      <c r="U459">
        <v>0</v>
      </c>
      <c r="V459">
        <v>18</v>
      </c>
    </row>
    <row r="460" spans="1:22" x14ac:dyDescent="0.25">
      <c r="A460">
        <v>2025</v>
      </c>
      <c r="B460">
        <v>8</v>
      </c>
      <c r="C460" t="s">
        <v>37</v>
      </c>
      <c r="D460" t="s">
        <v>22</v>
      </c>
      <c r="E460" t="s">
        <v>69</v>
      </c>
      <c r="F460" t="s">
        <v>23</v>
      </c>
      <c r="G460" t="s">
        <v>24</v>
      </c>
      <c r="H460" t="s">
        <v>25</v>
      </c>
      <c r="I460" t="s">
        <v>26</v>
      </c>
      <c r="J460" t="s">
        <v>25</v>
      </c>
      <c r="K460">
        <v>717</v>
      </c>
      <c r="L460">
        <v>10</v>
      </c>
      <c r="M460">
        <v>5</v>
      </c>
      <c r="N460">
        <v>15</v>
      </c>
      <c r="O460">
        <v>452</v>
      </c>
      <c r="P460">
        <v>351</v>
      </c>
      <c r="Q460">
        <v>299</v>
      </c>
      <c r="R460">
        <v>214</v>
      </c>
      <c r="S460">
        <v>143</v>
      </c>
      <c r="T460">
        <v>36</v>
      </c>
      <c r="U460">
        <v>6</v>
      </c>
      <c r="V460">
        <v>703</v>
      </c>
    </row>
    <row r="461" spans="1:22" x14ac:dyDescent="0.25">
      <c r="A461">
        <v>2025</v>
      </c>
      <c r="B461">
        <v>8</v>
      </c>
      <c r="C461" t="s">
        <v>37</v>
      </c>
      <c r="D461" t="s">
        <v>22</v>
      </c>
      <c r="E461" t="s">
        <v>69</v>
      </c>
      <c r="F461" t="s">
        <v>40</v>
      </c>
      <c r="G461" t="s">
        <v>24</v>
      </c>
      <c r="H461" t="s">
        <v>25</v>
      </c>
      <c r="I461" t="s">
        <v>26</v>
      </c>
      <c r="J461" t="s">
        <v>25</v>
      </c>
      <c r="K461">
        <v>506</v>
      </c>
      <c r="L461">
        <v>8</v>
      </c>
      <c r="M461">
        <v>0</v>
      </c>
      <c r="N461">
        <v>8</v>
      </c>
      <c r="O461">
        <v>29</v>
      </c>
      <c r="P461">
        <v>19</v>
      </c>
      <c r="Q461">
        <v>14</v>
      </c>
      <c r="R461">
        <v>6</v>
      </c>
      <c r="S461">
        <v>1</v>
      </c>
      <c r="T461">
        <v>0</v>
      </c>
      <c r="U461">
        <v>0</v>
      </c>
      <c r="V461">
        <v>498</v>
      </c>
    </row>
    <row r="462" spans="1:22" x14ac:dyDescent="0.25">
      <c r="A462">
        <v>2025</v>
      </c>
      <c r="B462">
        <v>8</v>
      </c>
      <c r="C462" t="s">
        <v>37</v>
      </c>
      <c r="D462" t="s">
        <v>22</v>
      </c>
      <c r="E462" t="s">
        <v>75</v>
      </c>
      <c r="F462" t="s">
        <v>39</v>
      </c>
      <c r="G462" t="s">
        <v>24</v>
      </c>
      <c r="H462" t="s">
        <v>26</v>
      </c>
      <c r="I462" t="s">
        <v>26</v>
      </c>
      <c r="J462" t="s">
        <v>25</v>
      </c>
      <c r="K462">
        <v>5</v>
      </c>
      <c r="L462">
        <v>4</v>
      </c>
      <c r="M462">
        <v>0</v>
      </c>
      <c r="N462">
        <v>4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1</v>
      </c>
    </row>
    <row r="463" spans="1:22" x14ac:dyDescent="0.25">
      <c r="A463">
        <v>2025</v>
      </c>
      <c r="B463">
        <v>8</v>
      </c>
      <c r="C463" t="s">
        <v>37</v>
      </c>
      <c r="D463" t="s">
        <v>22</v>
      </c>
      <c r="E463" t="s">
        <v>75</v>
      </c>
      <c r="F463" t="s">
        <v>39</v>
      </c>
      <c r="G463" t="s">
        <v>29</v>
      </c>
      <c r="H463" t="s">
        <v>26</v>
      </c>
      <c r="I463" t="s">
        <v>26</v>
      </c>
      <c r="J463" t="s">
        <v>25</v>
      </c>
      <c r="K463">
        <v>1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</row>
    <row r="464" spans="1:22" x14ac:dyDescent="0.25">
      <c r="A464">
        <v>2025</v>
      </c>
      <c r="B464">
        <v>8</v>
      </c>
      <c r="C464" t="s">
        <v>37</v>
      </c>
      <c r="D464" t="s">
        <v>22</v>
      </c>
      <c r="E464" t="s">
        <v>75</v>
      </c>
      <c r="F464" t="s">
        <v>27</v>
      </c>
      <c r="G464" t="s">
        <v>24</v>
      </c>
      <c r="H464" t="s">
        <v>26</v>
      </c>
      <c r="I464" t="s">
        <v>26</v>
      </c>
      <c r="J464" t="s">
        <v>25</v>
      </c>
      <c r="K464">
        <v>1</v>
      </c>
      <c r="L464">
        <v>1</v>
      </c>
      <c r="M464">
        <v>0</v>
      </c>
      <c r="N464">
        <v>1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</row>
    <row r="465" spans="1:22" x14ac:dyDescent="0.25">
      <c r="A465">
        <v>2025</v>
      </c>
      <c r="B465">
        <v>9</v>
      </c>
      <c r="C465" t="s">
        <v>37</v>
      </c>
      <c r="D465" t="s">
        <v>22</v>
      </c>
      <c r="E465" t="s">
        <v>126</v>
      </c>
      <c r="F465" t="s">
        <v>32</v>
      </c>
      <c r="G465" t="s">
        <v>24</v>
      </c>
      <c r="H465" t="s">
        <v>25</v>
      </c>
      <c r="I465" t="s">
        <v>26</v>
      </c>
      <c r="J465" t="s">
        <v>25</v>
      </c>
      <c r="K465">
        <v>264</v>
      </c>
      <c r="L465">
        <v>2</v>
      </c>
      <c r="M465">
        <v>3</v>
      </c>
      <c r="N465">
        <v>5</v>
      </c>
      <c r="O465">
        <v>102</v>
      </c>
      <c r="P465">
        <v>78</v>
      </c>
      <c r="Q465">
        <v>72</v>
      </c>
      <c r="R465">
        <v>48</v>
      </c>
      <c r="S465">
        <v>32</v>
      </c>
      <c r="T465">
        <v>15</v>
      </c>
      <c r="U465">
        <v>6</v>
      </c>
      <c r="V465">
        <v>262</v>
      </c>
    </row>
    <row r="466" spans="1:22" x14ac:dyDescent="0.25">
      <c r="A466">
        <v>2025</v>
      </c>
      <c r="B466">
        <v>9</v>
      </c>
      <c r="C466" t="s">
        <v>37</v>
      </c>
      <c r="D466" t="s">
        <v>22</v>
      </c>
      <c r="E466" t="s">
        <v>126</v>
      </c>
      <c r="F466" t="s">
        <v>34</v>
      </c>
      <c r="G466" t="s">
        <v>24</v>
      </c>
      <c r="H466" t="s">
        <v>25</v>
      </c>
      <c r="I466" t="s">
        <v>26</v>
      </c>
      <c r="J466" t="s">
        <v>26</v>
      </c>
      <c r="K466">
        <v>3</v>
      </c>
      <c r="L466">
        <v>0</v>
      </c>
      <c r="M466">
        <v>1</v>
      </c>
      <c r="N466">
        <v>1</v>
      </c>
      <c r="O466">
        <v>1</v>
      </c>
      <c r="P466">
        <v>1</v>
      </c>
      <c r="Q466">
        <v>1</v>
      </c>
      <c r="R466">
        <v>1</v>
      </c>
      <c r="S466">
        <v>1</v>
      </c>
      <c r="T466">
        <v>1</v>
      </c>
      <c r="U466">
        <v>1</v>
      </c>
      <c r="V466">
        <v>2</v>
      </c>
    </row>
    <row r="467" spans="1:22" x14ac:dyDescent="0.25">
      <c r="A467">
        <v>2025</v>
      </c>
      <c r="B467">
        <v>9</v>
      </c>
      <c r="C467" t="s">
        <v>37</v>
      </c>
      <c r="D467" t="s">
        <v>22</v>
      </c>
      <c r="E467" t="s">
        <v>127</v>
      </c>
      <c r="F467" t="s">
        <v>32</v>
      </c>
      <c r="G467" t="s">
        <v>24</v>
      </c>
      <c r="H467" t="s">
        <v>25</v>
      </c>
      <c r="I467" t="s">
        <v>26</v>
      </c>
      <c r="J467" t="s">
        <v>25</v>
      </c>
      <c r="K467">
        <v>13</v>
      </c>
      <c r="L467">
        <v>0</v>
      </c>
      <c r="M467">
        <v>0</v>
      </c>
      <c r="N467">
        <v>0</v>
      </c>
      <c r="O467">
        <v>12</v>
      </c>
      <c r="P467">
        <v>10</v>
      </c>
      <c r="Q467">
        <v>10</v>
      </c>
      <c r="R467">
        <v>8</v>
      </c>
      <c r="S467">
        <v>8</v>
      </c>
      <c r="T467">
        <v>4</v>
      </c>
      <c r="U467">
        <v>1</v>
      </c>
      <c r="V467">
        <v>13</v>
      </c>
    </row>
    <row r="468" spans="1:22" x14ac:dyDescent="0.25">
      <c r="A468">
        <v>2025</v>
      </c>
      <c r="B468">
        <v>9</v>
      </c>
      <c r="C468" t="s">
        <v>37</v>
      </c>
      <c r="D468" t="s">
        <v>22</v>
      </c>
      <c r="E468" t="s">
        <v>128</v>
      </c>
      <c r="F468" t="s">
        <v>32</v>
      </c>
      <c r="G468" t="s">
        <v>24</v>
      </c>
      <c r="H468" t="s">
        <v>25</v>
      </c>
      <c r="I468" t="s">
        <v>26</v>
      </c>
      <c r="J468" t="s">
        <v>25</v>
      </c>
      <c r="K468">
        <v>31</v>
      </c>
      <c r="L468">
        <v>0</v>
      </c>
      <c r="M468">
        <v>3</v>
      </c>
      <c r="N468">
        <v>3</v>
      </c>
      <c r="O468">
        <v>13</v>
      </c>
      <c r="P468">
        <v>11</v>
      </c>
      <c r="Q468">
        <v>11</v>
      </c>
      <c r="R468">
        <v>9</v>
      </c>
      <c r="S468">
        <v>9</v>
      </c>
      <c r="T468">
        <v>3</v>
      </c>
      <c r="U468">
        <v>2</v>
      </c>
      <c r="V468">
        <v>29</v>
      </c>
    </row>
    <row r="469" spans="1:22" x14ac:dyDescent="0.25">
      <c r="A469">
        <v>2025</v>
      </c>
      <c r="B469">
        <v>9</v>
      </c>
      <c r="C469" t="s">
        <v>37</v>
      </c>
      <c r="D469" t="s">
        <v>22</v>
      </c>
      <c r="E469" t="s">
        <v>128</v>
      </c>
      <c r="F469" t="s">
        <v>34</v>
      </c>
      <c r="G469" t="s">
        <v>24</v>
      </c>
      <c r="H469" t="s">
        <v>25</v>
      </c>
      <c r="I469" t="s">
        <v>26</v>
      </c>
      <c r="J469" t="s">
        <v>26</v>
      </c>
      <c r="K469">
        <v>59</v>
      </c>
      <c r="L469">
        <v>0</v>
      </c>
      <c r="M469">
        <v>1</v>
      </c>
      <c r="N469">
        <v>1</v>
      </c>
      <c r="O469">
        <v>39</v>
      </c>
      <c r="P469">
        <v>32</v>
      </c>
      <c r="Q469">
        <v>30</v>
      </c>
      <c r="R469">
        <v>25</v>
      </c>
      <c r="S469">
        <v>19</v>
      </c>
      <c r="T469">
        <v>10</v>
      </c>
      <c r="U469">
        <v>2</v>
      </c>
      <c r="V469">
        <v>59</v>
      </c>
    </row>
    <row r="470" spans="1:22" x14ac:dyDescent="0.25">
      <c r="A470">
        <v>2025</v>
      </c>
      <c r="B470">
        <v>9</v>
      </c>
      <c r="C470" t="s">
        <v>37</v>
      </c>
      <c r="D470" t="s">
        <v>22</v>
      </c>
      <c r="E470" t="s">
        <v>131</v>
      </c>
      <c r="F470" t="s">
        <v>34</v>
      </c>
      <c r="G470" t="s">
        <v>24</v>
      </c>
      <c r="H470" t="s">
        <v>25</v>
      </c>
      <c r="I470" t="s">
        <v>26</v>
      </c>
      <c r="J470" t="s">
        <v>26</v>
      </c>
      <c r="K470">
        <v>60</v>
      </c>
      <c r="L470">
        <v>0</v>
      </c>
      <c r="M470">
        <v>14</v>
      </c>
      <c r="N470">
        <v>14</v>
      </c>
      <c r="O470">
        <v>29</v>
      </c>
      <c r="P470">
        <v>25</v>
      </c>
      <c r="Q470">
        <v>24</v>
      </c>
      <c r="R470">
        <v>22</v>
      </c>
      <c r="S470">
        <v>15</v>
      </c>
      <c r="T470">
        <v>10</v>
      </c>
      <c r="U470">
        <v>4</v>
      </c>
      <c r="V470">
        <v>60</v>
      </c>
    </row>
    <row r="471" spans="1:22" x14ac:dyDescent="0.25">
      <c r="A471">
        <v>2025</v>
      </c>
      <c r="B471">
        <v>9</v>
      </c>
      <c r="C471" t="s">
        <v>37</v>
      </c>
      <c r="D471" t="s">
        <v>22</v>
      </c>
      <c r="E471" t="s">
        <v>132</v>
      </c>
      <c r="F471" t="s">
        <v>32</v>
      </c>
      <c r="G471" t="s">
        <v>24</v>
      </c>
      <c r="H471" t="s">
        <v>25</v>
      </c>
      <c r="I471" t="s">
        <v>26</v>
      </c>
      <c r="J471" t="s">
        <v>25</v>
      </c>
      <c r="K471">
        <v>60</v>
      </c>
      <c r="L471">
        <v>0</v>
      </c>
      <c r="M471">
        <v>3</v>
      </c>
      <c r="N471">
        <v>3</v>
      </c>
      <c r="O471">
        <v>36</v>
      </c>
      <c r="P471">
        <v>30</v>
      </c>
      <c r="Q471">
        <v>28</v>
      </c>
      <c r="R471">
        <v>25</v>
      </c>
      <c r="S471">
        <v>22</v>
      </c>
      <c r="T471">
        <v>16</v>
      </c>
      <c r="U471">
        <v>5</v>
      </c>
      <c r="V471">
        <v>59</v>
      </c>
    </row>
    <row r="472" spans="1:22" x14ac:dyDescent="0.25">
      <c r="A472">
        <v>2025</v>
      </c>
      <c r="B472">
        <v>9</v>
      </c>
      <c r="C472" t="s">
        <v>37</v>
      </c>
      <c r="D472" t="s">
        <v>22</v>
      </c>
      <c r="E472" t="s">
        <v>132</v>
      </c>
      <c r="F472" t="s">
        <v>34</v>
      </c>
      <c r="G472" t="s">
        <v>24</v>
      </c>
      <c r="H472" t="s">
        <v>25</v>
      </c>
      <c r="I472" t="s">
        <v>26</v>
      </c>
      <c r="J472" t="s">
        <v>26</v>
      </c>
      <c r="K472">
        <v>57</v>
      </c>
      <c r="L472">
        <v>0</v>
      </c>
      <c r="M472">
        <v>6</v>
      </c>
      <c r="N472">
        <v>6</v>
      </c>
      <c r="O472">
        <v>32</v>
      </c>
      <c r="P472">
        <v>28</v>
      </c>
      <c r="Q472">
        <v>25</v>
      </c>
      <c r="R472">
        <v>22</v>
      </c>
      <c r="S472">
        <v>19</v>
      </c>
      <c r="T472">
        <v>13</v>
      </c>
      <c r="U472">
        <v>4</v>
      </c>
      <c r="V472">
        <v>55</v>
      </c>
    </row>
    <row r="473" spans="1:22" x14ac:dyDescent="0.25">
      <c r="A473">
        <v>2025</v>
      </c>
      <c r="B473">
        <v>9</v>
      </c>
      <c r="C473" t="s">
        <v>37</v>
      </c>
      <c r="D473" t="s">
        <v>22</v>
      </c>
      <c r="E473" t="s">
        <v>37</v>
      </c>
      <c r="F473" t="s">
        <v>32</v>
      </c>
      <c r="G473" t="s">
        <v>28</v>
      </c>
      <c r="H473" t="s">
        <v>25</v>
      </c>
      <c r="I473" t="s">
        <v>26</v>
      </c>
      <c r="J473" t="s">
        <v>25</v>
      </c>
      <c r="K473">
        <v>1</v>
      </c>
      <c r="L473">
        <v>1</v>
      </c>
      <c r="M473">
        <v>0</v>
      </c>
      <c r="N473">
        <v>1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</row>
    <row r="474" spans="1:22" x14ac:dyDescent="0.25">
      <c r="A474">
        <v>2025</v>
      </c>
      <c r="B474">
        <v>9</v>
      </c>
      <c r="C474" t="s">
        <v>37</v>
      </c>
      <c r="D474" t="s">
        <v>22</v>
      </c>
      <c r="E474" t="s">
        <v>37</v>
      </c>
      <c r="F474" t="s">
        <v>23</v>
      </c>
      <c r="G474" t="s">
        <v>28</v>
      </c>
      <c r="H474" t="s">
        <v>25</v>
      </c>
      <c r="I474" t="s">
        <v>26</v>
      </c>
      <c r="J474" t="s">
        <v>25</v>
      </c>
      <c r="K474">
        <v>4446</v>
      </c>
      <c r="L474">
        <v>159</v>
      </c>
      <c r="M474">
        <v>579</v>
      </c>
      <c r="N474">
        <v>738</v>
      </c>
      <c r="O474">
        <v>2790</v>
      </c>
      <c r="P474">
        <v>2466</v>
      </c>
      <c r="Q474">
        <v>2331</v>
      </c>
      <c r="R474">
        <v>1878</v>
      </c>
      <c r="S474">
        <v>1502</v>
      </c>
      <c r="T474">
        <v>760</v>
      </c>
      <c r="U474">
        <v>209</v>
      </c>
      <c r="V474">
        <v>4100</v>
      </c>
    </row>
    <row r="475" spans="1:22" x14ac:dyDescent="0.25">
      <c r="A475">
        <v>2025</v>
      </c>
      <c r="B475">
        <v>9</v>
      </c>
      <c r="C475" t="s">
        <v>37</v>
      </c>
      <c r="D475" t="s">
        <v>22</v>
      </c>
      <c r="E475" t="s">
        <v>37</v>
      </c>
      <c r="F475" t="s">
        <v>23</v>
      </c>
      <c r="G475" t="s">
        <v>24</v>
      </c>
      <c r="H475" t="s">
        <v>25</v>
      </c>
      <c r="I475" t="s">
        <v>26</v>
      </c>
      <c r="J475" t="s">
        <v>25</v>
      </c>
      <c r="K475">
        <v>447</v>
      </c>
      <c r="L475">
        <v>12</v>
      </c>
      <c r="M475">
        <v>49</v>
      </c>
      <c r="N475">
        <v>61</v>
      </c>
      <c r="O475">
        <v>366</v>
      </c>
      <c r="P475">
        <v>344</v>
      </c>
      <c r="Q475">
        <v>335</v>
      </c>
      <c r="R475">
        <v>294</v>
      </c>
      <c r="S475">
        <v>253</v>
      </c>
      <c r="T475">
        <v>144</v>
      </c>
      <c r="U475">
        <v>60</v>
      </c>
      <c r="V475">
        <v>411</v>
      </c>
    </row>
    <row r="476" spans="1:22" x14ac:dyDescent="0.25">
      <c r="A476">
        <v>2025</v>
      </c>
      <c r="B476">
        <v>9</v>
      </c>
      <c r="C476" t="s">
        <v>37</v>
      </c>
      <c r="D476" t="s">
        <v>22</v>
      </c>
      <c r="E476" t="s">
        <v>37</v>
      </c>
      <c r="F476" t="s">
        <v>39</v>
      </c>
      <c r="G476" t="s">
        <v>28</v>
      </c>
      <c r="H476" t="s">
        <v>26</v>
      </c>
      <c r="I476" t="s">
        <v>26</v>
      </c>
      <c r="J476" t="s">
        <v>25</v>
      </c>
      <c r="K476">
        <v>14239</v>
      </c>
      <c r="L476">
        <v>398</v>
      </c>
      <c r="M476">
        <v>1420</v>
      </c>
      <c r="N476">
        <v>1818</v>
      </c>
      <c r="O476">
        <v>8992</v>
      </c>
      <c r="P476">
        <v>7949</v>
      </c>
      <c r="Q476">
        <v>7529</v>
      </c>
      <c r="R476">
        <v>6139</v>
      </c>
      <c r="S476">
        <v>4867</v>
      </c>
      <c r="T476">
        <v>2516</v>
      </c>
      <c r="U476">
        <v>812</v>
      </c>
      <c r="V476">
        <v>13257</v>
      </c>
    </row>
    <row r="477" spans="1:22" x14ac:dyDescent="0.25">
      <c r="A477">
        <v>2025</v>
      </c>
      <c r="B477">
        <v>9</v>
      </c>
      <c r="C477" t="s">
        <v>37</v>
      </c>
      <c r="D477" t="s">
        <v>22</v>
      </c>
      <c r="E477" t="s">
        <v>37</v>
      </c>
      <c r="F477" t="s">
        <v>39</v>
      </c>
      <c r="G477" t="s">
        <v>29</v>
      </c>
      <c r="H477" t="s">
        <v>26</v>
      </c>
      <c r="I477" t="s">
        <v>26</v>
      </c>
      <c r="J477" t="s">
        <v>25</v>
      </c>
      <c r="K477">
        <v>1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</row>
    <row r="478" spans="1:22" x14ac:dyDescent="0.25">
      <c r="A478">
        <v>2025</v>
      </c>
      <c r="B478">
        <v>9</v>
      </c>
      <c r="C478" t="s">
        <v>37</v>
      </c>
      <c r="D478" t="s">
        <v>22</v>
      </c>
      <c r="E478" t="s">
        <v>37</v>
      </c>
      <c r="F478" t="s">
        <v>36</v>
      </c>
      <c r="G478" t="s">
        <v>28</v>
      </c>
      <c r="H478" t="s">
        <v>25</v>
      </c>
      <c r="I478" t="s">
        <v>26</v>
      </c>
      <c r="J478" t="s">
        <v>25</v>
      </c>
      <c r="K478">
        <v>60</v>
      </c>
      <c r="L478">
        <v>2</v>
      </c>
      <c r="M478">
        <v>1</v>
      </c>
      <c r="N478">
        <v>3</v>
      </c>
      <c r="O478">
        <v>21</v>
      </c>
      <c r="P478">
        <v>16</v>
      </c>
      <c r="Q478">
        <v>16</v>
      </c>
      <c r="R478">
        <v>11</v>
      </c>
      <c r="S478">
        <v>8</v>
      </c>
      <c r="T478">
        <v>1</v>
      </c>
      <c r="U478">
        <v>0</v>
      </c>
      <c r="V478">
        <v>58</v>
      </c>
    </row>
    <row r="479" spans="1:22" x14ac:dyDescent="0.25">
      <c r="A479">
        <v>2025</v>
      </c>
      <c r="B479">
        <v>9</v>
      </c>
      <c r="C479" t="s">
        <v>37</v>
      </c>
      <c r="D479" t="s">
        <v>22</v>
      </c>
      <c r="E479" t="s">
        <v>135</v>
      </c>
      <c r="F479" t="s">
        <v>32</v>
      </c>
      <c r="G479" t="s">
        <v>24</v>
      </c>
      <c r="H479" t="s">
        <v>25</v>
      </c>
      <c r="I479" t="s">
        <v>26</v>
      </c>
      <c r="J479" t="s">
        <v>25</v>
      </c>
      <c r="K479">
        <v>363</v>
      </c>
      <c r="L479">
        <v>3</v>
      </c>
      <c r="M479">
        <v>5</v>
      </c>
      <c r="N479">
        <v>8</v>
      </c>
      <c r="O479">
        <v>153</v>
      </c>
      <c r="P479">
        <v>105</v>
      </c>
      <c r="Q479">
        <v>95</v>
      </c>
      <c r="R479">
        <v>71</v>
      </c>
      <c r="S479">
        <v>37</v>
      </c>
      <c r="T479">
        <v>19</v>
      </c>
      <c r="U479">
        <v>6</v>
      </c>
      <c r="V479">
        <v>357</v>
      </c>
    </row>
    <row r="480" spans="1:22" x14ac:dyDescent="0.25">
      <c r="A480">
        <v>2025</v>
      </c>
      <c r="B480">
        <v>9</v>
      </c>
      <c r="C480" t="s">
        <v>37</v>
      </c>
      <c r="D480" t="s">
        <v>22</v>
      </c>
      <c r="E480" t="s">
        <v>136</v>
      </c>
      <c r="F480" t="s">
        <v>34</v>
      </c>
      <c r="G480" t="s">
        <v>24</v>
      </c>
      <c r="H480" t="s">
        <v>25</v>
      </c>
      <c r="I480" t="s">
        <v>26</v>
      </c>
      <c r="J480" t="s">
        <v>26</v>
      </c>
      <c r="K480">
        <v>58</v>
      </c>
      <c r="L480">
        <v>3</v>
      </c>
      <c r="M480">
        <v>2</v>
      </c>
      <c r="N480">
        <v>5</v>
      </c>
      <c r="O480">
        <v>19</v>
      </c>
      <c r="P480">
        <v>17</v>
      </c>
      <c r="Q480">
        <v>16</v>
      </c>
      <c r="R480">
        <v>14</v>
      </c>
      <c r="S480">
        <v>12</v>
      </c>
      <c r="T480">
        <v>10</v>
      </c>
      <c r="U480">
        <v>5</v>
      </c>
      <c r="V480">
        <v>54</v>
      </c>
    </row>
    <row r="481" spans="1:22" x14ac:dyDescent="0.25">
      <c r="A481">
        <v>2025</v>
      </c>
      <c r="B481">
        <v>9</v>
      </c>
      <c r="C481" t="s">
        <v>37</v>
      </c>
      <c r="D481" t="s">
        <v>22</v>
      </c>
      <c r="E481" t="s">
        <v>139</v>
      </c>
      <c r="F481" t="s">
        <v>34</v>
      </c>
      <c r="G481" t="s">
        <v>24</v>
      </c>
      <c r="H481" t="s">
        <v>25</v>
      </c>
      <c r="I481" t="s">
        <v>26</v>
      </c>
      <c r="J481" t="s">
        <v>26</v>
      </c>
      <c r="K481">
        <v>38</v>
      </c>
      <c r="L481">
        <v>0</v>
      </c>
      <c r="M481">
        <v>1</v>
      </c>
      <c r="N481">
        <v>1</v>
      </c>
      <c r="O481">
        <v>15</v>
      </c>
      <c r="P481">
        <v>13</v>
      </c>
      <c r="Q481">
        <v>13</v>
      </c>
      <c r="R481">
        <v>13</v>
      </c>
      <c r="S481">
        <v>11</v>
      </c>
      <c r="T481">
        <v>4</v>
      </c>
      <c r="U481">
        <v>3</v>
      </c>
      <c r="V481">
        <v>37</v>
      </c>
    </row>
    <row r="482" spans="1:22" x14ac:dyDescent="0.25">
      <c r="A482">
        <v>2025</v>
      </c>
      <c r="B482">
        <v>9</v>
      </c>
      <c r="C482" t="s">
        <v>37</v>
      </c>
      <c r="D482" t="s">
        <v>22</v>
      </c>
      <c r="E482" t="s">
        <v>141</v>
      </c>
      <c r="F482" t="s">
        <v>34</v>
      </c>
      <c r="G482" t="s">
        <v>24</v>
      </c>
      <c r="H482" t="s">
        <v>25</v>
      </c>
      <c r="I482" t="s">
        <v>26</v>
      </c>
      <c r="J482" t="s">
        <v>26</v>
      </c>
      <c r="K482">
        <v>30</v>
      </c>
      <c r="L482">
        <v>0</v>
      </c>
      <c r="M482">
        <v>1</v>
      </c>
      <c r="N482">
        <v>1</v>
      </c>
      <c r="O482">
        <v>17</v>
      </c>
      <c r="P482">
        <v>14</v>
      </c>
      <c r="Q482">
        <v>14</v>
      </c>
      <c r="R482">
        <v>14</v>
      </c>
      <c r="S482">
        <v>12</v>
      </c>
      <c r="T482">
        <v>5</v>
      </c>
      <c r="U482">
        <v>3</v>
      </c>
      <c r="V482">
        <v>29</v>
      </c>
    </row>
    <row r="483" spans="1:22" x14ac:dyDescent="0.25">
      <c r="A483">
        <v>2025</v>
      </c>
      <c r="B483">
        <v>9</v>
      </c>
      <c r="C483" t="s">
        <v>37</v>
      </c>
      <c r="D483" t="s">
        <v>22</v>
      </c>
      <c r="E483" t="s">
        <v>142</v>
      </c>
      <c r="F483" t="s">
        <v>34</v>
      </c>
      <c r="G483" t="s">
        <v>24</v>
      </c>
      <c r="H483" t="s">
        <v>25</v>
      </c>
      <c r="I483" t="s">
        <v>26</v>
      </c>
      <c r="J483" t="s">
        <v>26</v>
      </c>
      <c r="K483">
        <v>30</v>
      </c>
      <c r="L483">
        <v>0</v>
      </c>
      <c r="M483">
        <v>0</v>
      </c>
      <c r="N483">
        <v>0</v>
      </c>
      <c r="O483">
        <v>8</v>
      </c>
      <c r="P483">
        <v>8</v>
      </c>
      <c r="Q483">
        <v>7</v>
      </c>
      <c r="R483">
        <v>4</v>
      </c>
      <c r="S483">
        <v>3</v>
      </c>
      <c r="T483">
        <v>2</v>
      </c>
      <c r="U483">
        <v>1</v>
      </c>
      <c r="V483">
        <v>30</v>
      </c>
    </row>
    <row r="484" spans="1:22" x14ac:dyDescent="0.25">
      <c r="A484">
        <v>2025</v>
      </c>
      <c r="B484">
        <v>9</v>
      </c>
      <c r="C484" t="s">
        <v>37</v>
      </c>
      <c r="D484" t="s">
        <v>22</v>
      </c>
      <c r="E484" t="s">
        <v>143</v>
      </c>
      <c r="F484" t="s">
        <v>39</v>
      </c>
      <c r="G484" t="s">
        <v>24</v>
      </c>
      <c r="H484" t="s">
        <v>26</v>
      </c>
      <c r="I484" t="s">
        <v>26</v>
      </c>
      <c r="J484" t="s">
        <v>25</v>
      </c>
      <c r="K484">
        <v>447</v>
      </c>
      <c r="L484">
        <v>2</v>
      </c>
      <c r="M484">
        <v>133</v>
      </c>
      <c r="N484">
        <v>135</v>
      </c>
      <c r="O484">
        <v>309</v>
      </c>
      <c r="P484">
        <v>281</v>
      </c>
      <c r="Q484">
        <v>262</v>
      </c>
      <c r="R484">
        <v>221</v>
      </c>
      <c r="S484">
        <v>188</v>
      </c>
      <c r="T484">
        <v>95</v>
      </c>
      <c r="U484">
        <v>24</v>
      </c>
      <c r="V484">
        <v>377</v>
      </c>
    </row>
    <row r="485" spans="1:22" x14ac:dyDescent="0.25">
      <c r="A485">
        <v>2025</v>
      </c>
      <c r="B485">
        <v>9</v>
      </c>
      <c r="C485" t="s">
        <v>37</v>
      </c>
      <c r="D485" t="s">
        <v>22</v>
      </c>
      <c r="E485" t="s">
        <v>144</v>
      </c>
      <c r="F485" t="s">
        <v>32</v>
      </c>
      <c r="G485" t="s">
        <v>24</v>
      </c>
      <c r="H485" t="s">
        <v>25</v>
      </c>
      <c r="I485" t="s">
        <v>26</v>
      </c>
      <c r="J485" t="s">
        <v>25</v>
      </c>
      <c r="K485">
        <v>222</v>
      </c>
      <c r="L485">
        <v>0</v>
      </c>
      <c r="M485">
        <v>12</v>
      </c>
      <c r="N485">
        <v>12</v>
      </c>
      <c r="O485">
        <v>142</v>
      </c>
      <c r="P485">
        <v>119</v>
      </c>
      <c r="Q485">
        <v>106</v>
      </c>
      <c r="R485">
        <v>81</v>
      </c>
      <c r="S485">
        <v>61</v>
      </c>
      <c r="T485">
        <v>26</v>
      </c>
      <c r="U485">
        <v>5</v>
      </c>
      <c r="V485">
        <v>218</v>
      </c>
    </row>
    <row r="486" spans="1:22" x14ac:dyDescent="0.25">
      <c r="A486">
        <v>2025</v>
      </c>
      <c r="B486">
        <v>9</v>
      </c>
      <c r="C486" t="s">
        <v>37</v>
      </c>
      <c r="D486" t="s">
        <v>22</v>
      </c>
      <c r="E486" t="s">
        <v>144</v>
      </c>
      <c r="F486" t="s">
        <v>34</v>
      </c>
      <c r="G486" t="s">
        <v>24</v>
      </c>
      <c r="H486" t="s">
        <v>25</v>
      </c>
      <c r="I486" t="s">
        <v>26</v>
      </c>
      <c r="J486" t="s">
        <v>26</v>
      </c>
      <c r="K486">
        <v>22</v>
      </c>
      <c r="L486">
        <v>0</v>
      </c>
      <c r="M486">
        <v>0</v>
      </c>
      <c r="N486">
        <v>0</v>
      </c>
      <c r="O486">
        <v>7</v>
      </c>
      <c r="P486">
        <v>7</v>
      </c>
      <c r="Q486">
        <v>6</v>
      </c>
      <c r="R486">
        <v>4</v>
      </c>
      <c r="S486">
        <v>3</v>
      </c>
      <c r="T486">
        <v>2</v>
      </c>
      <c r="U486">
        <v>1</v>
      </c>
      <c r="V486">
        <v>22</v>
      </c>
    </row>
    <row r="487" spans="1:22" x14ac:dyDescent="0.25">
      <c r="A487">
        <v>2025</v>
      </c>
      <c r="B487">
        <v>9</v>
      </c>
      <c r="C487" t="s">
        <v>37</v>
      </c>
      <c r="D487" t="s">
        <v>22</v>
      </c>
      <c r="E487" t="s">
        <v>144</v>
      </c>
      <c r="F487" t="s">
        <v>23</v>
      </c>
      <c r="G487" t="s">
        <v>24</v>
      </c>
      <c r="H487" t="s">
        <v>25</v>
      </c>
      <c r="I487" t="s">
        <v>26</v>
      </c>
      <c r="J487" t="s">
        <v>25</v>
      </c>
      <c r="K487">
        <v>169</v>
      </c>
      <c r="L487">
        <v>0</v>
      </c>
      <c r="M487">
        <v>26</v>
      </c>
      <c r="N487">
        <v>26</v>
      </c>
      <c r="O487">
        <v>78</v>
      </c>
      <c r="P487">
        <v>69</v>
      </c>
      <c r="Q487">
        <v>67</v>
      </c>
      <c r="R487">
        <v>62</v>
      </c>
      <c r="S487">
        <v>45</v>
      </c>
      <c r="T487">
        <v>27</v>
      </c>
      <c r="U487">
        <v>10</v>
      </c>
      <c r="V487">
        <v>167</v>
      </c>
    </row>
    <row r="488" spans="1:22" x14ac:dyDescent="0.25">
      <c r="A488">
        <v>2025</v>
      </c>
      <c r="B488">
        <v>9</v>
      </c>
      <c r="C488" t="s">
        <v>37</v>
      </c>
      <c r="D488" t="s">
        <v>22</v>
      </c>
      <c r="E488" t="s">
        <v>144</v>
      </c>
      <c r="F488" t="s">
        <v>39</v>
      </c>
      <c r="G488" t="s">
        <v>24</v>
      </c>
      <c r="H488" t="s">
        <v>26</v>
      </c>
      <c r="I488" t="s">
        <v>26</v>
      </c>
      <c r="J488" t="s">
        <v>25</v>
      </c>
      <c r="K488">
        <v>692</v>
      </c>
      <c r="L488">
        <v>1</v>
      </c>
      <c r="M488">
        <v>44</v>
      </c>
      <c r="N488">
        <v>45</v>
      </c>
      <c r="O488">
        <v>515</v>
      </c>
      <c r="P488">
        <v>463</v>
      </c>
      <c r="Q488">
        <v>441</v>
      </c>
      <c r="R488">
        <v>369</v>
      </c>
      <c r="S488">
        <v>312</v>
      </c>
      <c r="T488">
        <v>170</v>
      </c>
      <c r="U488">
        <v>45</v>
      </c>
      <c r="V488">
        <v>677</v>
      </c>
    </row>
    <row r="489" spans="1:22" x14ac:dyDescent="0.25">
      <c r="A489">
        <v>2025</v>
      </c>
      <c r="B489">
        <v>9</v>
      </c>
      <c r="C489" t="s">
        <v>37</v>
      </c>
      <c r="D489" t="s">
        <v>22</v>
      </c>
      <c r="E489" t="s">
        <v>144</v>
      </c>
      <c r="F489" t="s">
        <v>36</v>
      </c>
      <c r="G489" t="s">
        <v>24</v>
      </c>
      <c r="H489" t="s">
        <v>25</v>
      </c>
      <c r="I489" t="s">
        <v>26</v>
      </c>
      <c r="J489" t="s">
        <v>25</v>
      </c>
      <c r="K489">
        <v>237</v>
      </c>
      <c r="L489">
        <v>2</v>
      </c>
      <c r="M489">
        <v>3</v>
      </c>
      <c r="N489">
        <v>5</v>
      </c>
      <c r="O489">
        <v>100</v>
      </c>
      <c r="P489">
        <v>76</v>
      </c>
      <c r="Q489">
        <v>69</v>
      </c>
      <c r="R489">
        <v>38</v>
      </c>
      <c r="S489">
        <v>21</v>
      </c>
      <c r="T489">
        <v>6</v>
      </c>
      <c r="U489">
        <v>2</v>
      </c>
      <c r="V489">
        <v>234</v>
      </c>
    </row>
    <row r="490" spans="1:22" x14ac:dyDescent="0.25">
      <c r="A490">
        <v>2025</v>
      </c>
      <c r="B490">
        <v>9</v>
      </c>
      <c r="C490" t="s">
        <v>37</v>
      </c>
      <c r="D490" t="s">
        <v>22</v>
      </c>
      <c r="E490" t="s">
        <v>145</v>
      </c>
      <c r="F490" t="s">
        <v>32</v>
      </c>
      <c r="G490" t="s">
        <v>24</v>
      </c>
      <c r="H490" t="s">
        <v>25</v>
      </c>
      <c r="I490" t="s">
        <v>26</v>
      </c>
      <c r="J490" t="s">
        <v>25</v>
      </c>
      <c r="K490">
        <v>233</v>
      </c>
      <c r="L490">
        <v>4</v>
      </c>
      <c r="M490">
        <v>1</v>
      </c>
      <c r="N490">
        <v>5</v>
      </c>
      <c r="O490">
        <v>182</v>
      </c>
      <c r="P490">
        <v>163</v>
      </c>
      <c r="Q490">
        <v>154</v>
      </c>
      <c r="R490">
        <v>121</v>
      </c>
      <c r="S490">
        <v>88</v>
      </c>
      <c r="T490">
        <v>55</v>
      </c>
      <c r="U490">
        <v>3</v>
      </c>
      <c r="V490">
        <v>228</v>
      </c>
    </row>
    <row r="491" spans="1:22" x14ac:dyDescent="0.25">
      <c r="A491">
        <v>2025</v>
      </c>
      <c r="B491">
        <v>9</v>
      </c>
      <c r="C491" t="s">
        <v>37</v>
      </c>
      <c r="D491" t="s">
        <v>22</v>
      </c>
      <c r="E491" t="s">
        <v>145</v>
      </c>
      <c r="F491" t="s">
        <v>38</v>
      </c>
      <c r="G491" t="s">
        <v>24</v>
      </c>
      <c r="H491" t="s">
        <v>25</v>
      </c>
      <c r="I491" t="s">
        <v>26</v>
      </c>
      <c r="J491" t="s">
        <v>25</v>
      </c>
      <c r="K491">
        <v>24</v>
      </c>
      <c r="L491">
        <v>0</v>
      </c>
      <c r="M491">
        <v>1</v>
      </c>
      <c r="N491">
        <v>1</v>
      </c>
      <c r="O491">
        <v>21</v>
      </c>
      <c r="P491">
        <v>19</v>
      </c>
      <c r="Q491">
        <v>19</v>
      </c>
      <c r="R491">
        <v>14</v>
      </c>
      <c r="S491">
        <v>10</v>
      </c>
      <c r="T491">
        <v>6</v>
      </c>
      <c r="U491">
        <v>2</v>
      </c>
      <c r="V491">
        <v>24</v>
      </c>
    </row>
    <row r="492" spans="1:22" x14ac:dyDescent="0.25">
      <c r="A492">
        <v>2025</v>
      </c>
      <c r="B492">
        <v>9</v>
      </c>
      <c r="C492" t="s">
        <v>37</v>
      </c>
      <c r="D492" t="s">
        <v>22</v>
      </c>
      <c r="E492" t="s">
        <v>154</v>
      </c>
      <c r="F492" t="s">
        <v>32</v>
      </c>
      <c r="G492" t="s">
        <v>24</v>
      </c>
      <c r="H492" t="s">
        <v>25</v>
      </c>
      <c r="I492" t="s">
        <v>26</v>
      </c>
      <c r="J492" t="s">
        <v>25</v>
      </c>
      <c r="K492">
        <v>16</v>
      </c>
      <c r="L492">
        <v>0</v>
      </c>
      <c r="M492">
        <v>0</v>
      </c>
      <c r="N492">
        <v>0</v>
      </c>
      <c r="O492">
        <v>13</v>
      </c>
      <c r="P492">
        <v>12</v>
      </c>
      <c r="Q492">
        <v>12</v>
      </c>
      <c r="R492">
        <v>11</v>
      </c>
      <c r="S492">
        <v>10</v>
      </c>
      <c r="T492">
        <v>6</v>
      </c>
      <c r="U492">
        <v>0</v>
      </c>
      <c r="V492">
        <v>16</v>
      </c>
    </row>
    <row r="493" spans="1:22" x14ac:dyDescent="0.25">
      <c r="A493">
        <v>2025</v>
      </c>
      <c r="B493">
        <v>9</v>
      </c>
      <c r="C493" t="s">
        <v>37</v>
      </c>
      <c r="D493" t="s">
        <v>22</v>
      </c>
      <c r="E493" t="s">
        <v>147</v>
      </c>
      <c r="F493" t="s">
        <v>32</v>
      </c>
      <c r="G493" t="s">
        <v>24</v>
      </c>
      <c r="H493" t="s">
        <v>25</v>
      </c>
      <c r="I493" t="s">
        <v>26</v>
      </c>
      <c r="J493" t="s">
        <v>25</v>
      </c>
      <c r="K493">
        <v>60</v>
      </c>
      <c r="L493">
        <v>0</v>
      </c>
      <c r="M493">
        <v>2</v>
      </c>
      <c r="N493">
        <v>2</v>
      </c>
      <c r="O493">
        <v>36</v>
      </c>
      <c r="P493">
        <v>31</v>
      </c>
      <c r="Q493">
        <v>29</v>
      </c>
      <c r="R493">
        <v>20</v>
      </c>
      <c r="S493">
        <v>15</v>
      </c>
      <c r="T493">
        <v>7</v>
      </c>
      <c r="U493">
        <v>2</v>
      </c>
      <c r="V493">
        <v>60</v>
      </c>
    </row>
    <row r="494" spans="1:22" x14ac:dyDescent="0.25">
      <c r="A494">
        <v>2025</v>
      </c>
      <c r="B494">
        <v>9</v>
      </c>
      <c r="C494" t="s">
        <v>37</v>
      </c>
      <c r="D494" t="s">
        <v>22</v>
      </c>
      <c r="E494" t="s">
        <v>147</v>
      </c>
      <c r="F494" t="s">
        <v>36</v>
      </c>
      <c r="G494" t="s">
        <v>24</v>
      </c>
      <c r="H494" t="s">
        <v>25</v>
      </c>
      <c r="I494" t="s">
        <v>26</v>
      </c>
      <c r="J494" t="s">
        <v>25</v>
      </c>
      <c r="K494">
        <v>233</v>
      </c>
      <c r="L494">
        <v>1</v>
      </c>
      <c r="M494">
        <v>3</v>
      </c>
      <c r="N494">
        <v>4</v>
      </c>
      <c r="O494">
        <v>134</v>
      </c>
      <c r="P494">
        <v>100</v>
      </c>
      <c r="Q494">
        <v>87</v>
      </c>
      <c r="R494">
        <v>62</v>
      </c>
      <c r="S494">
        <v>45</v>
      </c>
      <c r="T494">
        <v>21</v>
      </c>
      <c r="U494">
        <v>5</v>
      </c>
      <c r="V494">
        <v>230</v>
      </c>
    </row>
    <row r="495" spans="1:22" x14ac:dyDescent="0.25">
      <c r="A495">
        <v>2025</v>
      </c>
      <c r="B495">
        <v>9</v>
      </c>
      <c r="C495" t="s">
        <v>37</v>
      </c>
      <c r="D495" t="s">
        <v>22</v>
      </c>
      <c r="E495" t="s">
        <v>148</v>
      </c>
      <c r="F495" t="s">
        <v>32</v>
      </c>
      <c r="G495" t="s">
        <v>24</v>
      </c>
      <c r="H495" t="s">
        <v>25</v>
      </c>
      <c r="I495" t="s">
        <v>26</v>
      </c>
      <c r="J495" t="s">
        <v>25</v>
      </c>
      <c r="K495">
        <v>584</v>
      </c>
      <c r="L495">
        <v>3</v>
      </c>
      <c r="M495">
        <v>7</v>
      </c>
      <c r="N495">
        <v>10</v>
      </c>
      <c r="O495">
        <v>297</v>
      </c>
      <c r="P495">
        <v>252</v>
      </c>
      <c r="Q495">
        <v>228</v>
      </c>
      <c r="R495">
        <v>157</v>
      </c>
      <c r="S495">
        <v>119</v>
      </c>
      <c r="T495">
        <v>64</v>
      </c>
      <c r="U495">
        <v>24</v>
      </c>
      <c r="V495">
        <v>577</v>
      </c>
    </row>
    <row r="496" spans="1:22" x14ac:dyDescent="0.25">
      <c r="A496">
        <v>2025</v>
      </c>
      <c r="B496">
        <v>9</v>
      </c>
      <c r="C496" t="s">
        <v>37</v>
      </c>
      <c r="D496" t="s">
        <v>22</v>
      </c>
      <c r="E496" t="s">
        <v>149</v>
      </c>
      <c r="F496" t="s">
        <v>32</v>
      </c>
      <c r="G496" t="s">
        <v>24</v>
      </c>
      <c r="H496" t="s">
        <v>25</v>
      </c>
      <c r="I496" t="s">
        <v>26</v>
      </c>
      <c r="J496" t="s">
        <v>25</v>
      </c>
      <c r="K496">
        <v>120</v>
      </c>
      <c r="L496">
        <v>1</v>
      </c>
      <c r="M496">
        <v>13</v>
      </c>
      <c r="N496">
        <v>14</v>
      </c>
      <c r="O496">
        <v>105</v>
      </c>
      <c r="P496">
        <v>103</v>
      </c>
      <c r="Q496">
        <v>99</v>
      </c>
      <c r="R496">
        <v>96</v>
      </c>
      <c r="S496">
        <v>91</v>
      </c>
      <c r="T496">
        <v>65</v>
      </c>
      <c r="U496">
        <v>24</v>
      </c>
      <c r="V496">
        <v>114</v>
      </c>
    </row>
    <row r="497" spans="1:22" x14ac:dyDescent="0.25">
      <c r="A497">
        <v>2025</v>
      </c>
      <c r="B497">
        <v>9</v>
      </c>
      <c r="C497" t="s">
        <v>37</v>
      </c>
      <c r="D497" t="s">
        <v>22</v>
      </c>
      <c r="E497" t="s">
        <v>149</v>
      </c>
      <c r="F497" t="s">
        <v>38</v>
      </c>
      <c r="G497" t="s">
        <v>24</v>
      </c>
      <c r="H497" t="s">
        <v>25</v>
      </c>
      <c r="I497" t="s">
        <v>26</v>
      </c>
      <c r="J497" t="s">
        <v>25</v>
      </c>
      <c r="K497">
        <v>8</v>
      </c>
      <c r="L497">
        <v>0</v>
      </c>
      <c r="M497">
        <v>0</v>
      </c>
      <c r="N497">
        <v>0</v>
      </c>
      <c r="O497">
        <v>5</v>
      </c>
      <c r="P497">
        <v>3</v>
      </c>
      <c r="Q497">
        <v>3</v>
      </c>
      <c r="R497">
        <v>3</v>
      </c>
      <c r="S497">
        <v>1</v>
      </c>
      <c r="T497">
        <v>0</v>
      </c>
      <c r="U497">
        <v>0</v>
      </c>
      <c r="V497">
        <v>8</v>
      </c>
    </row>
    <row r="498" spans="1:22" x14ac:dyDescent="0.25">
      <c r="A498">
        <v>2025</v>
      </c>
      <c r="B498">
        <v>9</v>
      </c>
      <c r="C498" t="s">
        <v>37</v>
      </c>
      <c r="D498" t="s">
        <v>22</v>
      </c>
      <c r="E498" t="s">
        <v>149</v>
      </c>
      <c r="F498" t="s">
        <v>23</v>
      </c>
      <c r="G498" t="s">
        <v>24</v>
      </c>
      <c r="H498" t="s">
        <v>25</v>
      </c>
      <c r="I498" t="s">
        <v>26</v>
      </c>
      <c r="J498" t="s">
        <v>25</v>
      </c>
      <c r="K498">
        <v>358</v>
      </c>
      <c r="L498">
        <v>1</v>
      </c>
      <c r="M498">
        <v>15</v>
      </c>
      <c r="N498">
        <v>16</v>
      </c>
      <c r="O498">
        <v>223</v>
      </c>
      <c r="P498">
        <v>190</v>
      </c>
      <c r="Q498">
        <v>172</v>
      </c>
      <c r="R498">
        <v>131</v>
      </c>
      <c r="S498">
        <v>94</v>
      </c>
      <c r="T498">
        <v>56</v>
      </c>
      <c r="U498">
        <v>26</v>
      </c>
      <c r="V498">
        <v>357</v>
      </c>
    </row>
    <row r="499" spans="1:22" x14ac:dyDescent="0.25">
      <c r="A499">
        <v>2025</v>
      </c>
      <c r="B499">
        <v>9</v>
      </c>
      <c r="C499" t="s">
        <v>37</v>
      </c>
      <c r="D499" t="s">
        <v>22</v>
      </c>
      <c r="E499" t="s">
        <v>149</v>
      </c>
      <c r="F499" t="s">
        <v>39</v>
      </c>
      <c r="G499" t="s">
        <v>24</v>
      </c>
      <c r="H499" t="s">
        <v>26</v>
      </c>
      <c r="I499" t="s">
        <v>26</v>
      </c>
      <c r="J499" t="s">
        <v>25</v>
      </c>
      <c r="K499">
        <v>1421</v>
      </c>
      <c r="L499">
        <v>9</v>
      </c>
      <c r="M499">
        <v>108</v>
      </c>
      <c r="N499">
        <v>117</v>
      </c>
      <c r="O499">
        <v>942</v>
      </c>
      <c r="P499">
        <v>850</v>
      </c>
      <c r="Q499">
        <v>805</v>
      </c>
      <c r="R499">
        <v>658</v>
      </c>
      <c r="S499">
        <v>528</v>
      </c>
      <c r="T499">
        <v>276</v>
      </c>
      <c r="U499">
        <v>84</v>
      </c>
      <c r="V499">
        <v>1362</v>
      </c>
    </row>
    <row r="500" spans="1:22" x14ac:dyDescent="0.25">
      <c r="A500">
        <v>2025</v>
      </c>
      <c r="B500">
        <v>9</v>
      </c>
      <c r="C500" t="s">
        <v>37</v>
      </c>
      <c r="D500" t="s">
        <v>22</v>
      </c>
      <c r="E500" t="s">
        <v>150</v>
      </c>
      <c r="F500" t="s">
        <v>38</v>
      </c>
      <c r="G500" t="s">
        <v>24</v>
      </c>
      <c r="H500" t="s">
        <v>25</v>
      </c>
      <c r="I500" t="s">
        <v>26</v>
      </c>
      <c r="J500" t="s">
        <v>25</v>
      </c>
      <c r="K500">
        <v>22</v>
      </c>
      <c r="L500">
        <v>0</v>
      </c>
      <c r="M500">
        <v>0</v>
      </c>
      <c r="N500">
        <v>0</v>
      </c>
      <c r="O500">
        <v>15</v>
      </c>
      <c r="P500">
        <v>11</v>
      </c>
      <c r="Q500">
        <v>10</v>
      </c>
      <c r="R500">
        <v>6</v>
      </c>
      <c r="S500">
        <v>4</v>
      </c>
      <c r="T500">
        <v>3</v>
      </c>
      <c r="U500">
        <v>1</v>
      </c>
      <c r="V500">
        <v>22</v>
      </c>
    </row>
    <row r="501" spans="1:22" x14ac:dyDescent="0.25">
      <c r="A501">
        <v>2025</v>
      </c>
      <c r="B501">
        <v>9</v>
      </c>
      <c r="C501" t="s">
        <v>37</v>
      </c>
      <c r="D501" t="s">
        <v>22</v>
      </c>
      <c r="E501" t="s">
        <v>151</v>
      </c>
      <c r="F501" t="s">
        <v>39</v>
      </c>
      <c r="G501" t="s">
        <v>24</v>
      </c>
      <c r="H501" t="s">
        <v>26</v>
      </c>
      <c r="I501" t="s">
        <v>26</v>
      </c>
      <c r="J501" t="s">
        <v>25</v>
      </c>
      <c r="K501">
        <v>462</v>
      </c>
      <c r="L501">
        <v>1</v>
      </c>
      <c r="M501">
        <v>23</v>
      </c>
      <c r="N501">
        <v>24</v>
      </c>
      <c r="O501">
        <v>246</v>
      </c>
      <c r="P501">
        <v>207</v>
      </c>
      <c r="Q501">
        <v>198</v>
      </c>
      <c r="R501">
        <v>112</v>
      </c>
      <c r="S501">
        <v>76</v>
      </c>
      <c r="T501">
        <v>31</v>
      </c>
      <c r="U501">
        <v>2</v>
      </c>
      <c r="V501">
        <v>448</v>
      </c>
    </row>
    <row r="502" spans="1:22" x14ac:dyDescent="0.25">
      <c r="A502">
        <v>2025</v>
      </c>
      <c r="B502">
        <v>9</v>
      </c>
      <c r="C502" t="s">
        <v>37</v>
      </c>
      <c r="D502" t="s">
        <v>22</v>
      </c>
      <c r="E502" t="s">
        <v>123</v>
      </c>
      <c r="F502" t="s">
        <v>39</v>
      </c>
      <c r="G502" t="s">
        <v>24</v>
      </c>
      <c r="H502" t="s">
        <v>26</v>
      </c>
      <c r="I502" t="s">
        <v>26</v>
      </c>
      <c r="J502" t="s">
        <v>25</v>
      </c>
      <c r="K502">
        <v>679</v>
      </c>
      <c r="L502">
        <v>2</v>
      </c>
      <c r="M502">
        <v>14</v>
      </c>
      <c r="N502">
        <v>16</v>
      </c>
      <c r="O502">
        <v>516</v>
      </c>
      <c r="P502">
        <v>431</v>
      </c>
      <c r="Q502">
        <v>423</v>
      </c>
      <c r="R502">
        <v>314</v>
      </c>
      <c r="S502">
        <v>224</v>
      </c>
      <c r="T502">
        <v>59</v>
      </c>
      <c r="U502">
        <v>11</v>
      </c>
      <c r="V502">
        <v>668</v>
      </c>
    </row>
    <row r="503" spans="1:22" x14ac:dyDescent="0.25">
      <c r="A503">
        <v>2025</v>
      </c>
      <c r="B503">
        <v>9</v>
      </c>
      <c r="C503" t="s">
        <v>37</v>
      </c>
      <c r="D503" t="s">
        <v>22</v>
      </c>
      <c r="E503" t="s">
        <v>123</v>
      </c>
      <c r="F503" t="s">
        <v>42</v>
      </c>
      <c r="G503" t="s">
        <v>24</v>
      </c>
      <c r="H503" t="s">
        <v>26</v>
      </c>
      <c r="I503" t="s">
        <v>26</v>
      </c>
      <c r="J503" t="s">
        <v>25</v>
      </c>
      <c r="K503">
        <v>135</v>
      </c>
      <c r="L503">
        <v>3</v>
      </c>
      <c r="M503">
        <v>3</v>
      </c>
      <c r="N503">
        <v>6</v>
      </c>
      <c r="O503">
        <v>81</v>
      </c>
      <c r="P503">
        <v>65</v>
      </c>
      <c r="Q503">
        <v>61</v>
      </c>
      <c r="R503">
        <v>45</v>
      </c>
      <c r="S503">
        <v>35</v>
      </c>
      <c r="T503">
        <v>15</v>
      </c>
      <c r="U503">
        <v>3</v>
      </c>
      <c r="V503">
        <v>129</v>
      </c>
    </row>
    <row r="504" spans="1:22" x14ac:dyDescent="0.25">
      <c r="A504">
        <v>2025</v>
      </c>
      <c r="B504">
        <v>9</v>
      </c>
      <c r="C504" t="s">
        <v>37</v>
      </c>
      <c r="D504" t="s">
        <v>22</v>
      </c>
      <c r="E504" t="s">
        <v>123</v>
      </c>
      <c r="F504" t="s">
        <v>27</v>
      </c>
      <c r="G504" t="s">
        <v>24</v>
      </c>
      <c r="H504" t="s">
        <v>26</v>
      </c>
      <c r="I504" t="s">
        <v>26</v>
      </c>
      <c r="J504" t="s">
        <v>25</v>
      </c>
      <c r="K504">
        <v>2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2</v>
      </c>
    </row>
    <row r="505" spans="1:22" x14ac:dyDescent="0.25">
      <c r="A505">
        <v>2025</v>
      </c>
      <c r="B505">
        <v>9</v>
      </c>
      <c r="C505" t="s">
        <v>37</v>
      </c>
      <c r="D505" t="s">
        <v>22</v>
      </c>
      <c r="E505" t="s">
        <v>43</v>
      </c>
      <c r="F505" t="s">
        <v>23</v>
      </c>
      <c r="G505" t="s">
        <v>24</v>
      </c>
      <c r="H505" t="s">
        <v>25</v>
      </c>
      <c r="I505" t="s">
        <v>26</v>
      </c>
      <c r="J505" t="s">
        <v>25</v>
      </c>
      <c r="K505">
        <v>261</v>
      </c>
      <c r="L505">
        <v>1</v>
      </c>
      <c r="M505">
        <v>0</v>
      </c>
      <c r="N505">
        <v>1</v>
      </c>
      <c r="O505">
        <v>57</v>
      </c>
      <c r="P505">
        <v>28</v>
      </c>
      <c r="Q505">
        <v>24</v>
      </c>
      <c r="R505">
        <v>7</v>
      </c>
      <c r="S505">
        <v>5</v>
      </c>
      <c r="T505">
        <v>0</v>
      </c>
      <c r="U505">
        <v>0</v>
      </c>
      <c r="V505">
        <v>260</v>
      </c>
    </row>
    <row r="506" spans="1:22" x14ac:dyDescent="0.25">
      <c r="A506">
        <v>2025</v>
      </c>
      <c r="B506">
        <v>9</v>
      </c>
      <c r="C506" t="s">
        <v>37</v>
      </c>
      <c r="D506" t="s">
        <v>22</v>
      </c>
      <c r="E506" t="s">
        <v>61</v>
      </c>
      <c r="F506" t="s">
        <v>35</v>
      </c>
      <c r="G506" t="s">
        <v>28</v>
      </c>
      <c r="H506" t="s">
        <v>25</v>
      </c>
      <c r="I506" t="s">
        <v>26</v>
      </c>
      <c r="J506" t="s">
        <v>26</v>
      </c>
      <c r="K506">
        <v>29</v>
      </c>
      <c r="L506">
        <v>2</v>
      </c>
      <c r="M506">
        <v>3</v>
      </c>
      <c r="N506">
        <v>5</v>
      </c>
      <c r="O506">
        <v>16</v>
      </c>
      <c r="P506">
        <v>11</v>
      </c>
      <c r="Q506">
        <v>11</v>
      </c>
      <c r="R506">
        <v>9</v>
      </c>
      <c r="S506">
        <v>7</v>
      </c>
      <c r="T506">
        <v>4</v>
      </c>
      <c r="U506">
        <v>4</v>
      </c>
      <c r="V506">
        <v>25</v>
      </c>
    </row>
    <row r="507" spans="1:22" x14ac:dyDescent="0.25">
      <c r="A507">
        <v>2025</v>
      </c>
      <c r="B507">
        <v>9</v>
      </c>
      <c r="C507" t="s">
        <v>37</v>
      </c>
      <c r="D507" t="s">
        <v>22</v>
      </c>
      <c r="E507" t="s">
        <v>61</v>
      </c>
      <c r="F507" t="s">
        <v>35</v>
      </c>
      <c r="G507" t="s">
        <v>24</v>
      </c>
      <c r="H507" t="s">
        <v>25</v>
      </c>
      <c r="I507" t="s">
        <v>26</v>
      </c>
      <c r="J507" t="s">
        <v>26</v>
      </c>
      <c r="K507">
        <v>779</v>
      </c>
      <c r="L507">
        <v>6</v>
      </c>
      <c r="M507">
        <v>32</v>
      </c>
      <c r="N507">
        <v>38</v>
      </c>
      <c r="O507">
        <v>488</v>
      </c>
      <c r="P507">
        <v>438</v>
      </c>
      <c r="Q507">
        <v>418</v>
      </c>
      <c r="R507">
        <v>358</v>
      </c>
      <c r="S507">
        <v>315</v>
      </c>
      <c r="T507">
        <v>223</v>
      </c>
      <c r="U507">
        <v>129</v>
      </c>
      <c r="V507">
        <v>768</v>
      </c>
    </row>
    <row r="508" spans="1:22" x14ac:dyDescent="0.25">
      <c r="A508">
        <v>2025</v>
      </c>
      <c r="B508">
        <v>9</v>
      </c>
      <c r="C508" t="s">
        <v>37</v>
      </c>
      <c r="D508" t="s">
        <v>22</v>
      </c>
      <c r="E508" t="s">
        <v>61</v>
      </c>
      <c r="F508" t="s">
        <v>41</v>
      </c>
      <c r="G508" t="s">
        <v>24</v>
      </c>
      <c r="H508" t="s">
        <v>26</v>
      </c>
      <c r="I508" t="s">
        <v>26</v>
      </c>
      <c r="J508" t="s">
        <v>25</v>
      </c>
      <c r="K508">
        <v>356</v>
      </c>
      <c r="L508">
        <v>0</v>
      </c>
      <c r="M508">
        <v>6</v>
      </c>
      <c r="N508">
        <v>6</v>
      </c>
      <c r="O508">
        <v>232</v>
      </c>
      <c r="P508">
        <v>204</v>
      </c>
      <c r="Q508">
        <v>185</v>
      </c>
      <c r="R508">
        <v>141</v>
      </c>
      <c r="S508">
        <v>93</v>
      </c>
      <c r="T508">
        <v>32</v>
      </c>
      <c r="U508">
        <v>5</v>
      </c>
      <c r="V508">
        <v>355</v>
      </c>
    </row>
    <row r="509" spans="1:22" x14ac:dyDescent="0.25">
      <c r="A509">
        <v>2025</v>
      </c>
      <c r="B509">
        <v>9</v>
      </c>
      <c r="C509" t="s">
        <v>37</v>
      </c>
      <c r="D509" t="s">
        <v>22</v>
      </c>
      <c r="E509" t="s">
        <v>157</v>
      </c>
      <c r="F509" t="s">
        <v>35</v>
      </c>
      <c r="G509" t="s">
        <v>24</v>
      </c>
      <c r="H509" t="s">
        <v>25</v>
      </c>
      <c r="I509" t="s">
        <v>26</v>
      </c>
      <c r="J509" t="s">
        <v>26</v>
      </c>
      <c r="K509">
        <v>1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1</v>
      </c>
    </row>
    <row r="510" spans="1:22" x14ac:dyDescent="0.25">
      <c r="A510">
        <v>2025</v>
      </c>
      <c r="B510">
        <v>9</v>
      </c>
      <c r="C510" t="s">
        <v>37</v>
      </c>
      <c r="D510" t="s">
        <v>22</v>
      </c>
      <c r="E510" t="s">
        <v>69</v>
      </c>
      <c r="F510" t="s">
        <v>23</v>
      </c>
      <c r="G510" t="s">
        <v>28</v>
      </c>
      <c r="H510" t="s">
        <v>25</v>
      </c>
      <c r="I510" t="s">
        <v>26</v>
      </c>
      <c r="J510" t="s">
        <v>25</v>
      </c>
      <c r="K510">
        <v>22</v>
      </c>
      <c r="L510">
        <v>1</v>
      </c>
      <c r="M510">
        <v>1</v>
      </c>
      <c r="N510">
        <v>2</v>
      </c>
      <c r="O510">
        <v>19</v>
      </c>
      <c r="P510">
        <v>16</v>
      </c>
      <c r="Q510">
        <v>16</v>
      </c>
      <c r="R510">
        <v>12</v>
      </c>
      <c r="S510">
        <v>9</v>
      </c>
      <c r="T510">
        <v>0</v>
      </c>
      <c r="U510">
        <v>0</v>
      </c>
      <c r="V510">
        <v>20</v>
      </c>
    </row>
    <row r="511" spans="1:22" x14ac:dyDescent="0.25">
      <c r="A511">
        <v>2025</v>
      </c>
      <c r="B511">
        <v>9</v>
      </c>
      <c r="C511" t="s">
        <v>37</v>
      </c>
      <c r="D511" t="s">
        <v>22</v>
      </c>
      <c r="E511" t="s">
        <v>69</v>
      </c>
      <c r="F511" t="s">
        <v>23</v>
      </c>
      <c r="G511" t="s">
        <v>24</v>
      </c>
      <c r="H511" t="s">
        <v>25</v>
      </c>
      <c r="I511" t="s">
        <v>26</v>
      </c>
      <c r="J511" t="s">
        <v>25</v>
      </c>
      <c r="K511">
        <v>679</v>
      </c>
      <c r="L511">
        <v>19</v>
      </c>
      <c r="M511">
        <v>9</v>
      </c>
      <c r="N511">
        <v>28</v>
      </c>
      <c r="O511">
        <v>453</v>
      </c>
      <c r="P511">
        <v>346</v>
      </c>
      <c r="Q511">
        <v>312</v>
      </c>
      <c r="R511">
        <v>208</v>
      </c>
      <c r="S511">
        <v>136</v>
      </c>
      <c r="T511">
        <v>35</v>
      </c>
      <c r="U511">
        <v>3</v>
      </c>
      <c r="V511">
        <v>654</v>
      </c>
    </row>
    <row r="512" spans="1:22" x14ac:dyDescent="0.25">
      <c r="A512">
        <v>2025</v>
      </c>
      <c r="B512">
        <v>9</v>
      </c>
      <c r="C512" t="s">
        <v>37</v>
      </c>
      <c r="D512" t="s">
        <v>22</v>
      </c>
      <c r="E512" t="s">
        <v>69</v>
      </c>
      <c r="F512" t="s">
        <v>40</v>
      </c>
      <c r="G512" t="s">
        <v>24</v>
      </c>
      <c r="H512" t="s">
        <v>25</v>
      </c>
      <c r="I512" t="s">
        <v>26</v>
      </c>
      <c r="J512" t="s">
        <v>25</v>
      </c>
      <c r="K512">
        <v>494</v>
      </c>
      <c r="L512">
        <v>13</v>
      </c>
      <c r="M512">
        <v>0</v>
      </c>
      <c r="N512">
        <v>13</v>
      </c>
      <c r="O512">
        <v>29</v>
      </c>
      <c r="P512">
        <v>13</v>
      </c>
      <c r="Q512">
        <v>10</v>
      </c>
      <c r="R512">
        <v>3</v>
      </c>
      <c r="S512">
        <v>2</v>
      </c>
      <c r="T512">
        <v>0</v>
      </c>
      <c r="U512">
        <v>0</v>
      </c>
      <c r="V512">
        <v>481</v>
      </c>
    </row>
    <row r="513" spans="1:22" x14ac:dyDescent="0.25">
      <c r="A513">
        <v>2025</v>
      </c>
      <c r="B513">
        <v>9</v>
      </c>
      <c r="C513" t="s">
        <v>37</v>
      </c>
      <c r="D513" t="s">
        <v>22</v>
      </c>
      <c r="E513" t="s">
        <v>75</v>
      </c>
      <c r="F513" t="s">
        <v>39</v>
      </c>
      <c r="G513" t="s">
        <v>24</v>
      </c>
      <c r="H513" t="s">
        <v>26</v>
      </c>
      <c r="I513" t="s">
        <v>26</v>
      </c>
      <c r="J513" t="s">
        <v>25</v>
      </c>
      <c r="K513">
        <v>4</v>
      </c>
      <c r="L513">
        <v>3</v>
      </c>
      <c r="M513">
        <v>0</v>
      </c>
      <c r="N513">
        <v>3</v>
      </c>
      <c r="O513">
        <v>1</v>
      </c>
      <c r="P513">
        <v>1</v>
      </c>
      <c r="Q513">
        <v>1</v>
      </c>
      <c r="R513">
        <v>1</v>
      </c>
      <c r="S513">
        <v>0</v>
      </c>
      <c r="T513">
        <v>0</v>
      </c>
      <c r="U513">
        <v>0</v>
      </c>
      <c r="V513">
        <v>1</v>
      </c>
    </row>
    <row r="514" spans="1:22" x14ac:dyDescent="0.25">
      <c r="A514">
        <v>2025</v>
      </c>
      <c r="B514">
        <v>9</v>
      </c>
      <c r="C514" t="s">
        <v>37</v>
      </c>
      <c r="D514" t="s">
        <v>22</v>
      </c>
      <c r="E514" t="s">
        <v>75</v>
      </c>
      <c r="F514" t="s">
        <v>39</v>
      </c>
      <c r="G514" t="s">
        <v>29</v>
      </c>
      <c r="H514" t="s">
        <v>26</v>
      </c>
      <c r="I514" t="s">
        <v>26</v>
      </c>
      <c r="J514" t="s">
        <v>25</v>
      </c>
      <c r="K514">
        <v>2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</row>
    <row r="515" spans="1:22" x14ac:dyDescent="0.25">
      <c r="A515">
        <v>2025</v>
      </c>
      <c r="B515">
        <v>9</v>
      </c>
      <c r="C515" t="s">
        <v>37</v>
      </c>
      <c r="D515" t="s">
        <v>22</v>
      </c>
      <c r="E515" t="s">
        <v>75</v>
      </c>
      <c r="F515" t="s">
        <v>27</v>
      </c>
      <c r="G515" t="s">
        <v>24</v>
      </c>
      <c r="H515" t="s">
        <v>26</v>
      </c>
      <c r="I515" t="s">
        <v>26</v>
      </c>
      <c r="J515" t="s">
        <v>25</v>
      </c>
      <c r="K515">
        <v>2</v>
      </c>
      <c r="L515">
        <v>2</v>
      </c>
      <c r="M515">
        <v>0</v>
      </c>
      <c r="N515">
        <v>2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</row>
    <row r="516" spans="1:22" x14ac:dyDescent="0.25">
      <c r="A516">
        <v>2025</v>
      </c>
      <c r="B516">
        <v>9</v>
      </c>
      <c r="C516" t="s">
        <v>37</v>
      </c>
      <c r="D516" t="s">
        <v>22</v>
      </c>
      <c r="E516" t="s">
        <v>75</v>
      </c>
      <c r="F516" t="s">
        <v>27</v>
      </c>
      <c r="G516" t="s">
        <v>29</v>
      </c>
      <c r="H516" t="s">
        <v>26</v>
      </c>
      <c r="I516" t="s">
        <v>26</v>
      </c>
      <c r="J516" t="s">
        <v>25</v>
      </c>
      <c r="K516">
        <v>1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</row>
    <row r="517" spans="1:22" x14ac:dyDescent="0.25">
      <c r="A517">
        <v>2025</v>
      </c>
      <c r="B517">
        <v>10</v>
      </c>
      <c r="C517" t="s">
        <v>37</v>
      </c>
      <c r="D517" t="s">
        <v>22</v>
      </c>
      <c r="E517" t="s">
        <v>126</v>
      </c>
      <c r="F517" t="s">
        <v>32</v>
      </c>
      <c r="G517" t="s">
        <v>24</v>
      </c>
      <c r="H517" t="s">
        <v>25</v>
      </c>
      <c r="I517" t="s">
        <v>26</v>
      </c>
      <c r="J517" t="s">
        <v>25</v>
      </c>
      <c r="K517">
        <v>251</v>
      </c>
      <c r="L517">
        <v>0</v>
      </c>
      <c r="M517">
        <v>5</v>
      </c>
      <c r="N517">
        <v>5</v>
      </c>
      <c r="O517">
        <v>144</v>
      </c>
      <c r="P517">
        <v>100</v>
      </c>
      <c r="Q517">
        <v>73</v>
      </c>
      <c r="R517">
        <v>46</v>
      </c>
      <c r="S517">
        <v>29</v>
      </c>
      <c r="T517">
        <v>12</v>
      </c>
      <c r="U517">
        <v>6</v>
      </c>
      <c r="V517">
        <v>251</v>
      </c>
    </row>
    <row r="518" spans="1:22" x14ac:dyDescent="0.25">
      <c r="A518">
        <v>2025</v>
      </c>
      <c r="B518">
        <v>10</v>
      </c>
      <c r="C518" t="s">
        <v>37</v>
      </c>
      <c r="D518" t="s">
        <v>22</v>
      </c>
      <c r="E518" t="s">
        <v>126</v>
      </c>
      <c r="F518" t="s">
        <v>34</v>
      </c>
      <c r="G518" t="s">
        <v>24</v>
      </c>
      <c r="H518" t="s">
        <v>25</v>
      </c>
      <c r="I518" t="s">
        <v>26</v>
      </c>
      <c r="J518" t="s">
        <v>26</v>
      </c>
      <c r="K518">
        <v>5</v>
      </c>
      <c r="L518">
        <v>0</v>
      </c>
      <c r="M518">
        <v>0</v>
      </c>
      <c r="N518">
        <v>0</v>
      </c>
      <c r="O518">
        <v>5</v>
      </c>
      <c r="P518">
        <v>5</v>
      </c>
      <c r="Q518">
        <v>5</v>
      </c>
      <c r="R518">
        <v>5</v>
      </c>
      <c r="S518">
        <v>5</v>
      </c>
      <c r="T518">
        <v>4</v>
      </c>
      <c r="U518">
        <v>3</v>
      </c>
      <c r="V518">
        <v>5</v>
      </c>
    </row>
    <row r="519" spans="1:22" x14ac:dyDescent="0.25">
      <c r="A519">
        <v>2025</v>
      </c>
      <c r="B519">
        <v>10</v>
      </c>
      <c r="C519" t="s">
        <v>37</v>
      </c>
      <c r="D519" t="s">
        <v>22</v>
      </c>
      <c r="E519" t="s">
        <v>127</v>
      </c>
      <c r="F519" t="s">
        <v>32</v>
      </c>
      <c r="G519" t="s">
        <v>24</v>
      </c>
      <c r="H519" t="s">
        <v>25</v>
      </c>
      <c r="I519" t="s">
        <v>26</v>
      </c>
      <c r="J519" t="s">
        <v>25</v>
      </c>
      <c r="K519">
        <v>25</v>
      </c>
      <c r="L519">
        <v>0</v>
      </c>
      <c r="M519">
        <v>0</v>
      </c>
      <c r="N519">
        <v>0</v>
      </c>
      <c r="O519">
        <v>20</v>
      </c>
      <c r="P519">
        <v>19</v>
      </c>
      <c r="Q519">
        <v>19</v>
      </c>
      <c r="R519">
        <v>18</v>
      </c>
      <c r="S519">
        <v>17</v>
      </c>
      <c r="T519">
        <v>14</v>
      </c>
      <c r="U519">
        <v>5</v>
      </c>
      <c r="V519">
        <v>25</v>
      </c>
    </row>
    <row r="520" spans="1:22" x14ac:dyDescent="0.25">
      <c r="A520">
        <v>2025</v>
      </c>
      <c r="B520">
        <v>10</v>
      </c>
      <c r="C520" t="s">
        <v>37</v>
      </c>
      <c r="D520" t="s">
        <v>22</v>
      </c>
      <c r="E520" t="s">
        <v>128</v>
      </c>
      <c r="F520" t="s">
        <v>32</v>
      </c>
      <c r="G520" t="s">
        <v>24</v>
      </c>
      <c r="H520" t="s">
        <v>25</v>
      </c>
      <c r="I520" t="s">
        <v>26</v>
      </c>
      <c r="J520" t="s">
        <v>25</v>
      </c>
      <c r="K520">
        <v>25</v>
      </c>
      <c r="L520">
        <v>0</v>
      </c>
      <c r="M520">
        <v>0</v>
      </c>
      <c r="N520">
        <v>0</v>
      </c>
      <c r="O520">
        <v>20</v>
      </c>
      <c r="P520">
        <v>14</v>
      </c>
      <c r="Q520">
        <v>13</v>
      </c>
      <c r="R520">
        <v>10</v>
      </c>
      <c r="S520">
        <v>7</v>
      </c>
      <c r="T520">
        <v>1</v>
      </c>
      <c r="U520">
        <v>1</v>
      </c>
      <c r="V520">
        <v>25</v>
      </c>
    </row>
    <row r="521" spans="1:22" x14ac:dyDescent="0.25">
      <c r="A521">
        <v>2025</v>
      </c>
      <c r="B521">
        <v>10</v>
      </c>
      <c r="C521" t="s">
        <v>37</v>
      </c>
      <c r="D521" t="s">
        <v>22</v>
      </c>
      <c r="E521" t="s">
        <v>128</v>
      </c>
      <c r="F521" t="s">
        <v>34</v>
      </c>
      <c r="G521" t="s">
        <v>24</v>
      </c>
      <c r="H521" t="s">
        <v>25</v>
      </c>
      <c r="I521" t="s">
        <v>26</v>
      </c>
      <c r="J521" t="s">
        <v>26</v>
      </c>
      <c r="K521">
        <v>51</v>
      </c>
      <c r="L521">
        <v>0</v>
      </c>
      <c r="M521">
        <v>0</v>
      </c>
      <c r="N521">
        <v>0</v>
      </c>
      <c r="O521">
        <v>44</v>
      </c>
      <c r="P521">
        <v>38</v>
      </c>
      <c r="Q521">
        <v>37</v>
      </c>
      <c r="R521">
        <v>34</v>
      </c>
      <c r="S521">
        <v>29</v>
      </c>
      <c r="T521">
        <v>14</v>
      </c>
      <c r="U521">
        <v>3</v>
      </c>
      <c r="V521">
        <v>51</v>
      </c>
    </row>
    <row r="522" spans="1:22" x14ac:dyDescent="0.25">
      <c r="A522">
        <v>2025</v>
      </c>
      <c r="B522">
        <v>10</v>
      </c>
      <c r="C522" t="s">
        <v>37</v>
      </c>
      <c r="D522" t="s">
        <v>22</v>
      </c>
      <c r="E522" t="s">
        <v>130</v>
      </c>
      <c r="F522" t="s">
        <v>34</v>
      </c>
      <c r="G522" t="s">
        <v>24</v>
      </c>
      <c r="H522" t="s">
        <v>25</v>
      </c>
      <c r="I522" t="s">
        <v>26</v>
      </c>
      <c r="J522" t="s">
        <v>26</v>
      </c>
      <c r="K522">
        <v>21</v>
      </c>
      <c r="L522">
        <v>0</v>
      </c>
      <c r="M522">
        <v>0</v>
      </c>
      <c r="N522">
        <v>0</v>
      </c>
      <c r="O522">
        <v>14</v>
      </c>
      <c r="P522">
        <v>12</v>
      </c>
      <c r="Q522">
        <v>11</v>
      </c>
      <c r="R522">
        <v>10</v>
      </c>
      <c r="S522">
        <v>9</v>
      </c>
      <c r="T522">
        <v>3</v>
      </c>
      <c r="U522">
        <v>0</v>
      </c>
      <c r="V522">
        <v>21</v>
      </c>
    </row>
    <row r="523" spans="1:22" x14ac:dyDescent="0.25">
      <c r="A523">
        <v>2025</v>
      </c>
      <c r="B523">
        <v>10</v>
      </c>
      <c r="C523" t="s">
        <v>37</v>
      </c>
      <c r="D523" t="s">
        <v>22</v>
      </c>
      <c r="E523" t="s">
        <v>131</v>
      </c>
      <c r="F523" t="s">
        <v>34</v>
      </c>
      <c r="G523" t="s">
        <v>24</v>
      </c>
      <c r="H523" t="s">
        <v>25</v>
      </c>
      <c r="I523" t="s">
        <v>26</v>
      </c>
      <c r="J523" t="s">
        <v>26</v>
      </c>
      <c r="K523">
        <v>40</v>
      </c>
      <c r="L523">
        <v>0</v>
      </c>
      <c r="M523">
        <v>0</v>
      </c>
      <c r="N523">
        <v>0</v>
      </c>
      <c r="O523">
        <v>18</v>
      </c>
      <c r="P523">
        <v>13</v>
      </c>
      <c r="Q523">
        <v>12</v>
      </c>
      <c r="R523">
        <v>9</v>
      </c>
      <c r="S523">
        <v>6</v>
      </c>
      <c r="T523">
        <v>3</v>
      </c>
      <c r="U523">
        <v>0</v>
      </c>
      <c r="V523">
        <v>40</v>
      </c>
    </row>
    <row r="524" spans="1:22" x14ac:dyDescent="0.25">
      <c r="A524">
        <v>2025</v>
      </c>
      <c r="B524">
        <v>10</v>
      </c>
      <c r="C524" t="s">
        <v>37</v>
      </c>
      <c r="D524" t="s">
        <v>22</v>
      </c>
      <c r="E524" t="s">
        <v>132</v>
      </c>
      <c r="F524" t="s">
        <v>32</v>
      </c>
      <c r="G524" t="s">
        <v>24</v>
      </c>
      <c r="H524" t="s">
        <v>25</v>
      </c>
      <c r="I524" t="s">
        <v>26</v>
      </c>
      <c r="J524" t="s">
        <v>25</v>
      </c>
      <c r="K524">
        <v>52</v>
      </c>
      <c r="L524">
        <v>0</v>
      </c>
      <c r="M524">
        <v>1</v>
      </c>
      <c r="N524">
        <v>1</v>
      </c>
      <c r="O524">
        <v>39</v>
      </c>
      <c r="P524">
        <v>34</v>
      </c>
      <c r="Q524">
        <v>31</v>
      </c>
      <c r="R524">
        <v>24</v>
      </c>
      <c r="S524">
        <v>19</v>
      </c>
      <c r="T524">
        <v>12</v>
      </c>
      <c r="U524">
        <v>7</v>
      </c>
      <c r="V524">
        <v>51</v>
      </c>
    </row>
    <row r="525" spans="1:22" x14ac:dyDescent="0.25">
      <c r="A525">
        <v>2025</v>
      </c>
      <c r="B525">
        <v>10</v>
      </c>
      <c r="C525" t="s">
        <v>37</v>
      </c>
      <c r="D525" t="s">
        <v>22</v>
      </c>
      <c r="E525" t="s">
        <v>132</v>
      </c>
      <c r="F525" t="s">
        <v>34</v>
      </c>
      <c r="G525" t="s">
        <v>24</v>
      </c>
      <c r="H525" t="s">
        <v>25</v>
      </c>
      <c r="I525" t="s">
        <v>26</v>
      </c>
      <c r="J525" t="s">
        <v>26</v>
      </c>
      <c r="K525">
        <v>46</v>
      </c>
      <c r="L525">
        <v>0</v>
      </c>
      <c r="M525">
        <v>2</v>
      </c>
      <c r="N525">
        <v>2</v>
      </c>
      <c r="O525">
        <v>32</v>
      </c>
      <c r="P525">
        <v>28</v>
      </c>
      <c r="Q525">
        <v>25</v>
      </c>
      <c r="R525">
        <v>18</v>
      </c>
      <c r="S525">
        <v>12</v>
      </c>
      <c r="T525">
        <v>8</v>
      </c>
      <c r="U525">
        <v>4</v>
      </c>
      <c r="V525">
        <v>45</v>
      </c>
    </row>
    <row r="526" spans="1:22" x14ac:dyDescent="0.25">
      <c r="A526">
        <v>2025</v>
      </c>
      <c r="B526">
        <v>10</v>
      </c>
      <c r="C526" t="s">
        <v>37</v>
      </c>
      <c r="D526" t="s">
        <v>22</v>
      </c>
      <c r="E526" t="s">
        <v>37</v>
      </c>
      <c r="F526" t="s">
        <v>32</v>
      </c>
      <c r="G526" t="s">
        <v>28</v>
      </c>
      <c r="H526" t="s">
        <v>25</v>
      </c>
      <c r="I526" t="s">
        <v>26</v>
      </c>
      <c r="J526" t="s">
        <v>25</v>
      </c>
      <c r="K526">
        <v>6</v>
      </c>
      <c r="L526">
        <v>0</v>
      </c>
      <c r="M526">
        <v>0</v>
      </c>
      <c r="N526">
        <v>0</v>
      </c>
      <c r="O526">
        <v>6</v>
      </c>
      <c r="P526">
        <v>6</v>
      </c>
      <c r="Q526">
        <v>6</v>
      </c>
      <c r="R526">
        <v>5</v>
      </c>
      <c r="S526">
        <v>3</v>
      </c>
      <c r="T526">
        <v>2</v>
      </c>
      <c r="U526">
        <v>0</v>
      </c>
      <c r="V526">
        <v>6</v>
      </c>
    </row>
    <row r="527" spans="1:22" x14ac:dyDescent="0.25">
      <c r="A527">
        <v>2025</v>
      </c>
      <c r="B527">
        <v>10</v>
      </c>
      <c r="C527" t="s">
        <v>37</v>
      </c>
      <c r="D527" t="s">
        <v>22</v>
      </c>
      <c r="E527" t="s">
        <v>37</v>
      </c>
      <c r="F527" t="s">
        <v>38</v>
      </c>
      <c r="G527" t="s">
        <v>28</v>
      </c>
      <c r="H527" t="s">
        <v>25</v>
      </c>
      <c r="I527" t="s">
        <v>26</v>
      </c>
      <c r="J527" t="s">
        <v>25</v>
      </c>
      <c r="K527">
        <v>1</v>
      </c>
      <c r="L527">
        <v>0</v>
      </c>
      <c r="M527">
        <v>0</v>
      </c>
      <c r="N527">
        <v>0</v>
      </c>
      <c r="O527">
        <v>1</v>
      </c>
      <c r="P527">
        <v>1</v>
      </c>
      <c r="Q527">
        <v>1</v>
      </c>
      <c r="R527">
        <v>1</v>
      </c>
      <c r="S527">
        <v>1</v>
      </c>
      <c r="T527">
        <v>1</v>
      </c>
      <c r="U527">
        <v>0</v>
      </c>
      <c r="V527">
        <v>1</v>
      </c>
    </row>
    <row r="528" spans="1:22" x14ac:dyDescent="0.25">
      <c r="A528">
        <v>2025</v>
      </c>
      <c r="B528">
        <v>10</v>
      </c>
      <c r="C528" t="s">
        <v>37</v>
      </c>
      <c r="D528" t="s">
        <v>22</v>
      </c>
      <c r="E528" t="s">
        <v>37</v>
      </c>
      <c r="F528" t="s">
        <v>38</v>
      </c>
      <c r="G528" t="s">
        <v>24</v>
      </c>
      <c r="H528" t="s">
        <v>25</v>
      </c>
      <c r="I528" t="s">
        <v>26</v>
      </c>
      <c r="J528" t="s">
        <v>25</v>
      </c>
      <c r="K528">
        <v>18</v>
      </c>
      <c r="L528">
        <v>1</v>
      </c>
      <c r="M528">
        <v>0</v>
      </c>
      <c r="N528">
        <v>1</v>
      </c>
      <c r="O528">
        <v>15</v>
      </c>
      <c r="P528">
        <v>15</v>
      </c>
      <c r="Q528">
        <v>15</v>
      </c>
      <c r="R528">
        <v>9</v>
      </c>
      <c r="S528">
        <v>5</v>
      </c>
      <c r="T528">
        <v>0</v>
      </c>
      <c r="U528">
        <v>0</v>
      </c>
      <c r="V528">
        <v>17</v>
      </c>
    </row>
    <row r="529" spans="1:22" x14ac:dyDescent="0.25">
      <c r="A529">
        <v>2025</v>
      </c>
      <c r="B529">
        <v>10</v>
      </c>
      <c r="C529" t="s">
        <v>37</v>
      </c>
      <c r="D529" t="s">
        <v>22</v>
      </c>
      <c r="E529" t="s">
        <v>37</v>
      </c>
      <c r="F529" t="s">
        <v>34</v>
      </c>
      <c r="G529" t="s">
        <v>29</v>
      </c>
      <c r="H529" t="s">
        <v>25</v>
      </c>
      <c r="I529" t="s">
        <v>26</v>
      </c>
      <c r="J529" t="s">
        <v>26</v>
      </c>
      <c r="K529">
        <v>1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</row>
    <row r="530" spans="1:22" x14ac:dyDescent="0.25">
      <c r="A530">
        <v>2025</v>
      </c>
      <c r="B530">
        <v>10</v>
      </c>
      <c r="C530" t="s">
        <v>37</v>
      </c>
      <c r="D530" t="s">
        <v>22</v>
      </c>
      <c r="E530" t="s">
        <v>37</v>
      </c>
      <c r="F530" t="s">
        <v>23</v>
      </c>
      <c r="G530" t="s">
        <v>28</v>
      </c>
      <c r="H530" t="s">
        <v>25</v>
      </c>
      <c r="I530" t="s">
        <v>26</v>
      </c>
      <c r="J530" t="s">
        <v>25</v>
      </c>
      <c r="K530">
        <v>4766</v>
      </c>
      <c r="L530">
        <v>193</v>
      </c>
      <c r="M530">
        <v>570</v>
      </c>
      <c r="N530">
        <v>763</v>
      </c>
      <c r="O530">
        <v>3220</v>
      </c>
      <c r="P530">
        <v>2897</v>
      </c>
      <c r="Q530">
        <v>2763</v>
      </c>
      <c r="R530">
        <v>2296</v>
      </c>
      <c r="S530">
        <v>1855</v>
      </c>
      <c r="T530">
        <v>952</v>
      </c>
      <c r="U530">
        <v>240</v>
      </c>
      <c r="V530">
        <v>4413</v>
      </c>
    </row>
    <row r="531" spans="1:22" x14ac:dyDescent="0.25">
      <c r="A531">
        <v>2025</v>
      </c>
      <c r="B531">
        <v>10</v>
      </c>
      <c r="C531" t="s">
        <v>37</v>
      </c>
      <c r="D531" t="s">
        <v>22</v>
      </c>
      <c r="E531" t="s">
        <v>37</v>
      </c>
      <c r="F531" t="s">
        <v>23</v>
      </c>
      <c r="G531" t="s">
        <v>24</v>
      </c>
      <c r="H531" t="s">
        <v>25</v>
      </c>
      <c r="I531" t="s">
        <v>26</v>
      </c>
      <c r="J531" t="s">
        <v>25</v>
      </c>
      <c r="K531">
        <v>704</v>
      </c>
      <c r="L531">
        <v>14</v>
      </c>
      <c r="M531">
        <v>49</v>
      </c>
      <c r="N531">
        <v>63</v>
      </c>
      <c r="O531">
        <v>523</v>
      </c>
      <c r="P531">
        <v>477</v>
      </c>
      <c r="Q531">
        <v>462</v>
      </c>
      <c r="R531">
        <v>390</v>
      </c>
      <c r="S531">
        <v>309</v>
      </c>
      <c r="T531">
        <v>174</v>
      </c>
      <c r="U531">
        <v>59</v>
      </c>
      <c r="V531">
        <v>663</v>
      </c>
    </row>
    <row r="532" spans="1:22" x14ac:dyDescent="0.25">
      <c r="A532">
        <v>2025</v>
      </c>
      <c r="B532">
        <v>10</v>
      </c>
      <c r="C532" t="s">
        <v>37</v>
      </c>
      <c r="D532" t="s">
        <v>22</v>
      </c>
      <c r="E532" t="s">
        <v>37</v>
      </c>
      <c r="F532" t="s">
        <v>23</v>
      </c>
      <c r="G532" t="s">
        <v>29</v>
      </c>
      <c r="H532" t="s">
        <v>25</v>
      </c>
      <c r="I532" t="s">
        <v>26</v>
      </c>
      <c r="J532" t="s">
        <v>25</v>
      </c>
      <c r="K532">
        <v>1</v>
      </c>
      <c r="L532">
        <v>1</v>
      </c>
      <c r="M532">
        <v>0</v>
      </c>
      <c r="N532">
        <v>1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</row>
    <row r="533" spans="1:22" x14ac:dyDescent="0.25">
      <c r="A533">
        <v>2025</v>
      </c>
      <c r="B533">
        <v>10</v>
      </c>
      <c r="C533" t="s">
        <v>37</v>
      </c>
      <c r="D533" t="s">
        <v>22</v>
      </c>
      <c r="E533" t="s">
        <v>37</v>
      </c>
      <c r="F533" t="s">
        <v>39</v>
      </c>
      <c r="G533" t="s">
        <v>28</v>
      </c>
      <c r="H533" t="s">
        <v>26</v>
      </c>
      <c r="I533" t="s">
        <v>26</v>
      </c>
      <c r="J533" t="s">
        <v>25</v>
      </c>
      <c r="K533">
        <v>15703</v>
      </c>
      <c r="L533">
        <v>396</v>
      </c>
      <c r="M533">
        <v>1410</v>
      </c>
      <c r="N533">
        <v>1806</v>
      </c>
      <c r="O533">
        <v>10531</v>
      </c>
      <c r="P533">
        <v>9497</v>
      </c>
      <c r="Q533">
        <v>9052</v>
      </c>
      <c r="R533">
        <v>7603</v>
      </c>
      <c r="S533">
        <v>6177</v>
      </c>
      <c r="T533">
        <v>3460</v>
      </c>
      <c r="U533">
        <v>1059</v>
      </c>
      <c r="V533">
        <v>14750</v>
      </c>
    </row>
    <row r="534" spans="1:22" x14ac:dyDescent="0.25">
      <c r="A534">
        <v>2025</v>
      </c>
      <c r="B534">
        <v>10</v>
      </c>
      <c r="C534" t="s">
        <v>37</v>
      </c>
      <c r="D534" t="s">
        <v>22</v>
      </c>
      <c r="E534" t="s">
        <v>37</v>
      </c>
      <c r="F534" t="s">
        <v>36</v>
      </c>
      <c r="G534" t="s">
        <v>28</v>
      </c>
      <c r="H534" t="s">
        <v>25</v>
      </c>
      <c r="I534" t="s">
        <v>26</v>
      </c>
      <c r="J534" t="s">
        <v>25</v>
      </c>
      <c r="K534">
        <v>55</v>
      </c>
      <c r="L534">
        <v>1</v>
      </c>
      <c r="M534">
        <v>1</v>
      </c>
      <c r="N534">
        <v>2</v>
      </c>
      <c r="O534">
        <v>28</v>
      </c>
      <c r="P534">
        <v>22</v>
      </c>
      <c r="Q534">
        <v>21</v>
      </c>
      <c r="R534">
        <v>16</v>
      </c>
      <c r="S534">
        <v>13</v>
      </c>
      <c r="T534">
        <v>3</v>
      </c>
      <c r="U534">
        <v>0</v>
      </c>
      <c r="V534">
        <v>54</v>
      </c>
    </row>
    <row r="535" spans="1:22" x14ac:dyDescent="0.25">
      <c r="A535">
        <v>2025</v>
      </c>
      <c r="B535">
        <v>10</v>
      </c>
      <c r="C535" t="s">
        <v>37</v>
      </c>
      <c r="D535" t="s">
        <v>22</v>
      </c>
      <c r="E535" t="s">
        <v>37</v>
      </c>
      <c r="F535" t="s">
        <v>36</v>
      </c>
      <c r="G535" t="s">
        <v>29</v>
      </c>
      <c r="H535" t="s">
        <v>25</v>
      </c>
      <c r="I535" t="s">
        <v>26</v>
      </c>
      <c r="J535" t="s">
        <v>25</v>
      </c>
      <c r="K535">
        <v>1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</row>
    <row r="536" spans="1:22" x14ac:dyDescent="0.25">
      <c r="A536">
        <v>2025</v>
      </c>
      <c r="B536">
        <v>10</v>
      </c>
      <c r="C536" t="s">
        <v>37</v>
      </c>
      <c r="D536" t="s">
        <v>22</v>
      </c>
      <c r="E536" t="s">
        <v>135</v>
      </c>
      <c r="F536" t="s">
        <v>32</v>
      </c>
      <c r="G536" t="s">
        <v>24</v>
      </c>
      <c r="H536" t="s">
        <v>25</v>
      </c>
      <c r="I536" t="s">
        <v>26</v>
      </c>
      <c r="J536" t="s">
        <v>25</v>
      </c>
      <c r="K536">
        <v>372</v>
      </c>
      <c r="L536">
        <v>8</v>
      </c>
      <c r="M536">
        <v>11</v>
      </c>
      <c r="N536">
        <v>19</v>
      </c>
      <c r="O536">
        <v>160</v>
      </c>
      <c r="P536">
        <v>118</v>
      </c>
      <c r="Q536">
        <v>104</v>
      </c>
      <c r="R536">
        <v>65</v>
      </c>
      <c r="S536">
        <v>45</v>
      </c>
      <c r="T536">
        <v>23</v>
      </c>
      <c r="U536">
        <v>12</v>
      </c>
      <c r="V536">
        <v>357</v>
      </c>
    </row>
    <row r="537" spans="1:22" x14ac:dyDescent="0.25">
      <c r="A537">
        <v>2025</v>
      </c>
      <c r="B537">
        <v>10</v>
      </c>
      <c r="C537" t="s">
        <v>37</v>
      </c>
      <c r="D537" t="s">
        <v>22</v>
      </c>
      <c r="E537" t="s">
        <v>135</v>
      </c>
      <c r="F537" t="s">
        <v>34</v>
      </c>
      <c r="G537" t="s">
        <v>24</v>
      </c>
      <c r="H537" t="s">
        <v>25</v>
      </c>
      <c r="I537" t="s">
        <v>26</v>
      </c>
      <c r="J537" t="s">
        <v>26</v>
      </c>
      <c r="K537">
        <v>1</v>
      </c>
      <c r="L537">
        <v>0</v>
      </c>
      <c r="M537">
        <v>0</v>
      </c>
      <c r="N537">
        <v>0</v>
      </c>
      <c r="O537">
        <v>1</v>
      </c>
      <c r="P537">
        <v>1</v>
      </c>
      <c r="Q537">
        <v>1</v>
      </c>
      <c r="R537">
        <v>1</v>
      </c>
      <c r="S537">
        <v>1</v>
      </c>
      <c r="T537">
        <v>1</v>
      </c>
      <c r="U537">
        <v>0</v>
      </c>
      <c r="V537">
        <v>1</v>
      </c>
    </row>
    <row r="538" spans="1:22" x14ac:dyDescent="0.25">
      <c r="A538">
        <v>2025</v>
      </c>
      <c r="B538">
        <v>10</v>
      </c>
      <c r="C538" t="s">
        <v>37</v>
      </c>
      <c r="D538" t="s">
        <v>22</v>
      </c>
      <c r="E538" t="s">
        <v>136</v>
      </c>
      <c r="F538" t="s">
        <v>34</v>
      </c>
      <c r="G538" t="s">
        <v>24</v>
      </c>
      <c r="H538" t="s">
        <v>25</v>
      </c>
      <c r="I538" t="s">
        <v>26</v>
      </c>
      <c r="J538" t="s">
        <v>26</v>
      </c>
      <c r="K538">
        <v>63</v>
      </c>
      <c r="L538">
        <v>4</v>
      </c>
      <c r="M538">
        <v>3</v>
      </c>
      <c r="N538">
        <v>7</v>
      </c>
      <c r="O538">
        <v>28</v>
      </c>
      <c r="P538">
        <v>26</v>
      </c>
      <c r="Q538">
        <v>25</v>
      </c>
      <c r="R538">
        <v>19</v>
      </c>
      <c r="S538">
        <v>16</v>
      </c>
      <c r="T538">
        <v>13</v>
      </c>
      <c r="U538">
        <v>6</v>
      </c>
      <c r="V538">
        <v>57</v>
      </c>
    </row>
    <row r="539" spans="1:22" x14ac:dyDescent="0.25">
      <c r="A539">
        <v>2025</v>
      </c>
      <c r="B539">
        <v>10</v>
      </c>
      <c r="C539" t="s">
        <v>37</v>
      </c>
      <c r="D539" t="s">
        <v>22</v>
      </c>
      <c r="E539" t="s">
        <v>137</v>
      </c>
      <c r="F539" t="s">
        <v>34</v>
      </c>
      <c r="G539" t="s">
        <v>24</v>
      </c>
      <c r="H539" t="s">
        <v>25</v>
      </c>
      <c r="I539" t="s">
        <v>26</v>
      </c>
      <c r="J539" t="s">
        <v>26</v>
      </c>
      <c r="K539">
        <v>2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2</v>
      </c>
    </row>
    <row r="540" spans="1:22" x14ac:dyDescent="0.25">
      <c r="A540">
        <v>2025</v>
      </c>
      <c r="B540">
        <v>10</v>
      </c>
      <c r="C540" t="s">
        <v>37</v>
      </c>
      <c r="D540" t="s">
        <v>22</v>
      </c>
      <c r="E540" t="s">
        <v>139</v>
      </c>
      <c r="F540" t="s">
        <v>34</v>
      </c>
      <c r="G540" t="s">
        <v>24</v>
      </c>
      <c r="H540" t="s">
        <v>25</v>
      </c>
      <c r="I540" t="s">
        <v>26</v>
      </c>
      <c r="J540" t="s">
        <v>26</v>
      </c>
      <c r="K540">
        <v>60</v>
      </c>
      <c r="L540">
        <v>2</v>
      </c>
      <c r="M540">
        <v>0</v>
      </c>
      <c r="N540">
        <v>2</v>
      </c>
      <c r="O540">
        <v>30</v>
      </c>
      <c r="P540">
        <v>28</v>
      </c>
      <c r="Q540">
        <v>25</v>
      </c>
      <c r="R540">
        <v>20</v>
      </c>
      <c r="S540">
        <v>16</v>
      </c>
      <c r="T540">
        <v>12</v>
      </c>
      <c r="U540">
        <v>3</v>
      </c>
      <c r="V540">
        <v>58</v>
      </c>
    </row>
    <row r="541" spans="1:22" x14ac:dyDescent="0.25">
      <c r="A541">
        <v>2025</v>
      </c>
      <c r="B541">
        <v>10</v>
      </c>
      <c r="C541" t="s">
        <v>37</v>
      </c>
      <c r="D541" t="s">
        <v>22</v>
      </c>
      <c r="E541" t="s">
        <v>141</v>
      </c>
      <c r="F541" t="s">
        <v>34</v>
      </c>
      <c r="G541" t="s">
        <v>24</v>
      </c>
      <c r="H541" t="s">
        <v>25</v>
      </c>
      <c r="I541" t="s">
        <v>26</v>
      </c>
      <c r="J541" t="s">
        <v>26</v>
      </c>
      <c r="K541">
        <v>20</v>
      </c>
      <c r="L541">
        <v>1</v>
      </c>
      <c r="M541">
        <v>0</v>
      </c>
      <c r="N541">
        <v>1</v>
      </c>
      <c r="O541">
        <v>13</v>
      </c>
      <c r="P541">
        <v>13</v>
      </c>
      <c r="Q541">
        <v>11</v>
      </c>
      <c r="R541">
        <v>9</v>
      </c>
      <c r="S541">
        <v>7</v>
      </c>
      <c r="T541">
        <v>5</v>
      </c>
      <c r="U541">
        <v>0</v>
      </c>
      <c r="V541">
        <v>19</v>
      </c>
    </row>
    <row r="542" spans="1:22" x14ac:dyDescent="0.25">
      <c r="A542">
        <v>2025</v>
      </c>
      <c r="B542">
        <v>10</v>
      </c>
      <c r="C542" t="s">
        <v>37</v>
      </c>
      <c r="D542" t="s">
        <v>22</v>
      </c>
      <c r="E542" t="s">
        <v>142</v>
      </c>
      <c r="F542" t="s">
        <v>34</v>
      </c>
      <c r="G542" t="s">
        <v>24</v>
      </c>
      <c r="H542" t="s">
        <v>25</v>
      </c>
      <c r="I542" t="s">
        <v>26</v>
      </c>
      <c r="J542" t="s">
        <v>26</v>
      </c>
      <c r="K542">
        <v>42</v>
      </c>
      <c r="L542">
        <v>0</v>
      </c>
      <c r="M542">
        <v>0</v>
      </c>
      <c r="N542">
        <v>0</v>
      </c>
      <c r="O542">
        <v>19</v>
      </c>
      <c r="P542">
        <v>17</v>
      </c>
      <c r="Q542">
        <v>16</v>
      </c>
      <c r="R542">
        <v>12</v>
      </c>
      <c r="S542">
        <v>9</v>
      </c>
      <c r="T542">
        <v>6</v>
      </c>
      <c r="U542">
        <v>3</v>
      </c>
      <c r="V542">
        <v>42</v>
      </c>
    </row>
    <row r="543" spans="1:22" x14ac:dyDescent="0.25">
      <c r="A543">
        <v>2025</v>
      </c>
      <c r="B543">
        <v>10</v>
      </c>
      <c r="C543" t="s">
        <v>37</v>
      </c>
      <c r="D543" t="s">
        <v>22</v>
      </c>
      <c r="E543" t="s">
        <v>143</v>
      </c>
      <c r="F543" t="s">
        <v>39</v>
      </c>
      <c r="G543" t="s">
        <v>24</v>
      </c>
      <c r="H543" t="s">
        <v>26</v>
      </c>
      <c r="I543" t="s">
        <v>26</v>
      </c>
      <c r="J543" t="s">
        <v>25</v>
      </c>
      <c r="K543">
        <v>465</v>
      </c>
      <c r="L543">
        <v>1</v>
      </c>
      <c r="M543">
        <v>31</v>
      </c>
      <c r="N543">
        <v>32</v>
      </c>
      <c r="O543">
        <v>312</v>
      </c>
      <c r="P543">
        <v>261</v>
      </c>
      <c r="Q543">
        <v>244</v>
      </c>
      <c r="R543">
        <v>184</v>
      </c>
      <c r="S543">
        <v>140</v>
      </c>
      <c r="T543">
        <v>57</v>
      </c>
      <c r="U543">
        <v>16</v>
      </c>
      <c r="V543">
        <v>451</v>
      </c>
    </row>
    <row r="544" spans="1:22" x14ac:dyDescent="0.25">
      <c r="A544">
        <v>2025</v>
      </c>
      <c r="B544">
        <v>10</v>
      </c>
      <c r="C544" t="s">
        <v>37</v>
      </c>
      <c r="D544" t="s">
        <v>22</v>
      </c>
      <c r="E544" t="s">
        <v>144</v>
      </c>
      <c r="F544" t="s">
        <v>31</v>
      </c>
      <c r="G544" t="s">
        <v>24</v>
      </c>
      <c r="H544" t="s">
        <v>25</v>
      </c>
      <c r="I544" t="s">
        <v>25</v>
      </c>
      <c r="J544" t="s">
        <v>25</v>
      </c>
      <c r="K544">
        <v>1</v>
      </c>
      <c r="L544">
        <v>0</v>
      </c>
      <c r="M544">
        <v>0</v>
      </c>
      <c r="N544">
        <v>0</v>
      </c>
      <c r="O544">
        <v>1</v>
      </c>
      <c r="P544">
        <v>1</v>
      </c>
      <c r="Q544">
        <v>1</v>
      </c>
      <c r="R544">
        <v>0</v>
      </c>
      <c r="S544">
        <v>0</v>
      </c>
      <c r="T544">
        <v>0</v>
      </c>
      <c r="U544">
        <v>0</v>
      </c>
      <c r="V544">
        <v>1</v>
      </c>
    </row>
    <row r="545" spans="1:22" x14ac:dyDescent="0.25">
      <c r="A545">
        <v>2025</v>
      </c>
      <c r="B545">
        <v>10</v>
      </c>
      <c r="C545" t="s">
        <v>37</v>
      </c>
      <c r="D545" t="s">
        <v>22</v>
      </c>
      <c r="E545" t="s">
        <v>144</v>
      </c>
      <c r="F545" t="s">
        <v>32</v>
      </c>
      <c r="G545" t="s">
        <v>24</v>
      </c>
      <c r="H545" t="s">
        <v>25</v>
      </c>
      <c r="I545" t="s">
        <v>26</v>
      </c>
      <c r="J545" t="s">
        <v>25</v>
      </c>
      <c r="K545">
        <v>238</v>
      </c>
      <c r="L545">
        <v>2</v>
      </c>
      <c r="M545">
        <v>18</v>
      </c>
      <c r="N545">
        <v>20</v>
      </c>
      <c r="O545">
        <v>158</v>
      </c>
      <c r="P545">
        <v>142</v>
      </c>
      <c r="Q545">
        <v>135</v>
      </c>
      <c r="R545">
        <v>106</v>
      </c>
      <c r="S545">
        <v>94</v>
      </c>
      <c r="T545">
        <v>58</v>
      </c>
      <c r="U545">
        <v>22</v>
      </c>
      <c r="V545">
        <v>225</v>
      </c>
    </row>
    <row r="546" spans="1:22" x14ac:dyDescent="0.25">
      <c r="A546">
        <v>2025</v>
      </c>
      <c r="B546">
        <v>10</v>
      </c>
      <c r="C546" t="s">
        <v>37</v>
      </c>
      <c r="D546" t="s">
        <v>22</v>
      </c>
      <c r="E546" t="s">
        <v>144</v>
      </c>
      <c r="F546" t="s">
        <v>23</v>
      </c>
      <c r="G546" t="s">
        <v>24</v>
      </c>
      <c r="H546" t="s">
        <v>25</v>
      </c>
      <c r="I546" t="s">
        <v>26</v>
      </c>
      <c r="J546" t="s">
        <v>25</v>
      </c>
      <c r="K546">
        <v>154</v>
      </c>
      <c r="L546">
        <v>0</v>
      </c>
      <c r="M546">
        <v>3</v>
      </c>
      <c r="N546">
        <v>3</v>
      </c>
      <c r="O546">
        <v>65</v>
      </c>
      <c r="P546">
        <v>47</v>
      </c>
      <c r="Q546">
        <v>42</v>
      </c>
      <c r="R546">
        <v>34</v>
      </c>
      <c r="S546">
        <v>23</v>
      </c>
      <c r="T546">
        <v>8</v>
      </c>
      <c r="U546">
        <v>2</v>
      </c>
      <c r="V546">
        <v>152</v>
      </c>
    </row>
    <row r="547" spans="1:22" x14ac:dyDescent="0.25">
      <c r="A547">
        <v>2025</v>
      </c>
      <c r="B547">
        <v>10</v>
      </c>
      <c r="C547" t="s">
        <v>37</v>
      </c>
      <c r="D547" t="s">
        <v>22</v>
      </c>
      <c r="E547" t="s">
        <v>144</v>
      </c>
      <c r="F547" t="s">
        <v>39</v>
      </c>
      <c r="G547" t="s">
        <v>24</v>
      </c>
      <c r="H547" t="s">
        <v>26</v>
      </c>
      <c r="I547" t="s">
        <v>26</v>
      </c>
      <c r="J547" t="s">
        <v>25</v>
      </c>
      <c r="K547">
        <v>690</v>
      </c>
      <c r="L547">
        <v>2</v>
      </c>
      <c r="M547">
        <v>43</v>
      </c>
      <c r="N547">
        <v>45</v>
      </c>
      <c r="O547">
        <v>552</v>
      </c>
      <c r="P547">
        <v>508</v>
      </c>
      <c r="Q547">
        <v>497</v>
      </c>
      <c r="R547">
        <v>443</v>
      </c>
      <c r="S547">
        <v>372</v>
      </c>
      <c r="T547">
        <v>225</v>
      </c>
      <c r="U547">
        <v>89</v>
      </c>
      <c r="V547">
        <v>678</v>
      </c>
    </row>
    <row r="548" spans="1:22" x14ac:dyDescent="0.25">
      <c r="A548">
        <v>2025</v>
      </c>
      <c r="B548">
        <v>10</v>
      </c>
      <c r="C548" t="s">
        <v>37</v>
      </c>
      <c r="D548" t="s">
        <v>22</v>
      </c>
      <c r="E548" t="s">
        <v>144</v>
      </c>
      <c r="F548" t="s">
        <v>36</v>
      </c>
      <c r="G548" t="s">
        <v>24</v>
      </c>
      <c r="H548" t="s">
        <v>25</v>
      </c>
      <c r="I548" t="s">
        <v>26</v>
      </c>
      <c r="J548" t="s">
        <v>25</v>
      </c>
      <c r="K548">
        <v>196</v>
      </c>
      <c r="L548">
        <v>1</v>
      </c>
      <c r="M548">
        <v>2</v>
      </c>
      <c r="N548">
        <v>3</v>
      </c>
      <c r="O548">
        <v>95</v>
      </c>
      <c r="P548">
        <v>79</v>
      </c>
      <c r="Q548">
        <v>73</v>
      </c>
      <c r="R548">
        <v>50</v>
      </c>
      <c r="S548">
        <v>40</v>
      </c>
      <c r="T548">
        <v>8</v>
      </c>
      <c r="U548">
        <v>2</v>
      </c>
      <c r="V548">
        <v>194</v>
      </c>
    </row>
    <row r="549" spans="1:22" x14ac:dyDescent="0.25">
      <c r="A549">
        <v>2025</v>
      </c>
      <c r="B549">
        <v>10</v>
      </c>
      <c r="C549" t="s">
        <v>37</v>
      </c>
      <c r="D549" t="s">
        <v>22</v>
      </c>
      <c r="E549" t="s">
        <v>145</v>
      </c>
      <c r="F549" t="s">
        <v>32</v>
      </c>
      <c r="G549" t="s">
        <v>24</v>
      </c>
      <c r="H549" t="s">
        <v>25</v>
      </c>
      <c r="I549" t="s">
        <v>26</v>
      </c>
      <c r="J549" t="s">
        <v>25</v>
      </c>
      <c r="K549">
        <v>242</v>
      </c>
      <c r="L549">
        <v>0</v>
      </c>
      <c r="M549">
        <v>2</v>
      </c>
      <c r="N549">
        <v>2</v>
      </c>
      <c r="O549">
        <v>198</v>
      </c>
      <c r="P549">
        <v>177</v>
      </c>
      <c r="Q549">
        <v>169</v>
      </c>
      <c r="R549">
        <v>124</v>
      </c>
      <c r="S549">
        <v>94</v>
      </c>
      <c r="T549">
        <v>40</v>
      </c>
      <c r="U549">
        <v>9</v>
      </c>
      <c r="V549">
        <v>240</v>
      </c>
    </row>
    <row r="550" spans="1:22" x14ac:dyDescent="0.25">
      <c r="A550">
        <v>2025</v>
      </c>
      <c r="B550">
        <v>10</v>
      </c>
      <c r="C550" t="s">
        <v>37</v>
      </c>
      <c r="D550" t="s">
        <v>22</v>
      </c>
      <c r="E550" t="s">
        <v>145</v>
      </c>
      <c r="F550" t="s">
        <v>38</v>
      </c>
      <c r="G550" t="s">
        <v>24</v>
      </c>
      <c r="H550" t="s">
        <v>25</v>
      </c>
      <c r="I550" t="s">
        <v>26</v>
      </c>
      <c r="J550" t="s">
        <v>25</v>
      </c>
      <c r="K550">
        <v>17</v>
      </c>
      <c r="L550">
        <v>0</v>
      </c>
      <c r="M550">
        <v>0</v>
      </c>
      <c r="N550">
        <v>0</v>
      </c>
      <c r="O550">
        <v>16</v>
      </c>
      <c r="P550">
        <v>14</v>
      </c>
      <c r="Q550">
        <v>11</v>
      </c>
      <c r="R550">
        <v>7</v>
      </c>
      <c r="S550">
        <v>4</v>
      </c>
      <c r="T550">
        <v>0</v>
      </c>
      <c r="U550">
        <v>0</v>
      </c>
      <c r="V550">
        <v>17</v>
      </c>
    </row>
    <row r="551" spans="1:22" x14ac:dyDescent="0.25">
      <c r="A551">
        <v>2025</v>
      </c>
      <c r="B551">
        <v>10</v>
      </c>
      <c r="C551" t="s">
        <v>37</v>
      </c>
      <c r="D551" t="s">
        <v>22</v>
      </c>
      <c r="E551" t="s">
        <v>145</v>
      </c>
      <c r="F551" t="s">
        <v>39</v>
      </c>
      <c r="G551" t="s">
        <v>24</v>
      </c>
      <c r="H551" t="s">
        <v>26</v>
      </c>
      <c r="I551" t="s">
        <v>26</v>
      </c>
      <c r="J551" t="s">
        <v>25</v>
      </c>
      <c r="K551">
        <v>6</v>
      </c>
      <c r="L551">
        <v>0</v>
      </c>
      <c r="M551">
        <v>0</v>
      </c>
      <c r="N551">
        <v>0</v>
      </c>
      <c r="O551">
        <v>4</v>
      </c>
      <c r="P551">
        <v>3</v>
      </c>
      <c r="Q551">
        <v>2</v>
      </c>
      <c r="R551">
        <v>2</v>
      </c>
      <c r="S551">
        <v>2</v>
      </c>
      <c r="T551">
        <v>1</v>
      </c>
      <c r="U551">
        <v>0</v>
      </c>
      <c r="V551">
        <v>6</v>
      </c>
    </row>
    <row r="552" spans="1:22" x14ac:dyDescent="0.25">
      <c r="A552">
        <v>2025</v>
      </c>
      <c r="B552">
        <v>10</v>
      </c>
      <c r="C552" t="s">
        <v>37</v>
      </c>
      <c r="D552" t="s">
        <v>22</v>
      </c>
      <c r="E552" t="s">
        <v>154</v>
      </c>
      <c r="F552" t="s">
        <v>32</v>
      </c>
      <c r="G552" t="s">
        <v>24</v>
      </c>
      <c r="H552" t="s">
        <v>25</v>
      </c>
      <c r="I552" t="s">
        <v>26</v>
      </c>
      <c r="J552" t="s">
        <v>25</v>
      </c>
      <c r="K552">
        <v>11</v>
      </c>
      <c r="L552">
        <v>0</v>
      </c>
      <c r="M552">
        <v>0</v>
      </c>
      <c r="N552">
        <v>0</v>
      </c>
      <c r="O552">
        <v>11</v>
      </c>
      <c r="P552">
        <v>11</v>
      </c>
      <c r="Q552">
        <v>11</v>
      </c>
      <c r="R552">
        <v>10</v>
      </c>
      <c r="S552">
        <v>9</v>
      </c>
      <c r="T552">
        <v>6</v>
      </c>
      <c r="U552">
        <v>2</v>
      </c>
      <c r="V552">
        <v>11</v>
      </c>
    </row>
    <row r="553" spans="1:22" x14ac:dyDescent="0.25">
      <c r="A553">
        <v>2025</v>
      </c>
      <c r="B553">
        <v>10</v>
      </c>
      <c r="C553" t="s">
        <v>37</v>
      </c>
      <c r="D553" t="s">
        <v>22</v>
      </c>
      <c r="E553" t="s">
        <v>147</v>
      </c>
      <c r="F553" t="s">
        <v>32</v>
      </c>
      <c r="G553" t="s">
        <v>24</v>
      </c>
      <c r="H553" t="s">
        <v>25</v>
      </c>
      <c r="I553" t="s">
        <v>26</v>
      </c>
      <c r="J553" t="s">
        <v>25</v>
      </c>
      <c r="K553">
        <v>62</v>
      </c>
      <c r="L553">
        <v>2</v>
      </c>
      <c r="M553">
        <v>0</v>
      </c>
      <c r="N553">
        <v>2</v>
      </c>
      <c r="O553">
        <v>31</v>
      </c>
      <c r="P553">
        <v>27</v>
      </c>
      <c r="Q553">
        <v>26</v>
      </c>
      <c r="R553">
        <v>20</v>
      </c>
      <c r="S553">
        <v>11</v>
      </c>
      <c r="T553">
        <v>5</v>
      </c>
      <c r="U553">
        <v>1</v>
      </c>
      <c r="V553">
        <v>60</v>
      </c>
    </row>
    <row r="554" spans="1:22" x14ac:dyDescent="0.25">
      <c r="A554">
        <v>2025</v>
      </c>
      <c r="B554">
        <v>10</v>
      </c>
      <c r="C554" t="s">
        <v>37</v>
      </c>
      <c r="D554" t="s">
        <v>22</v>
      </c>
      <c r="E554" t="s">
        <v>147</v>
      </c>
      <c r="F554" t="s">
        <v>36</v>
      </c>
      <c r="G554" t="s">
        <v>24</v>
      </c>
      <c r="H554" t="s">
        <v>25</v>
      </c>
      <c r="I554" t="s">
        <v>26</v>
      </c>
      <c r="J554" t="s">
        <v>25</v>
      </c>
      <c r="K554">
        <v>240</v>
      </c>
      <c r="L554">
        <v>4</v>
      </c>
      <c r="M554">
        <v>7</v>
      </c>
      <c r="N554">
        <v>11</v>
      </c>
      <c r="O554">
        <v>122</v>
      </c>
      <c r="P554">
        <v>101</v>
      </c>
      <c r="Q554">
        <v>93</v>
      </c>
      <c r="R554">
        <v>73</v>
      </c>
      <c r="S554">
        <v>50</v>
      </c>
      <c r="T554">
        <v>24</v>
      </c>
      <c r="U554">
        <v>6</v>
      </c>
      <c r="V554">
        <v>235</v>
      </c>
    </row>
    <row r="555" spans="1:22" x14ac:dyDescent="0.25">
      <c r="A555">
        <v>2025</v>
      </c>
      <c r="B555">
        <v>10</v>
      </c>
      <c r="C555" t="s">
        <v>37</v>
      </c>
      <c r="D555" t="s">
        <v>22</v>
      </c>
      <c r="E555" t="s">
        <v>148</v>
      </c>
      <c r="F555" t="s">
        <v>32</v>
      </c>
      <c r="G555" t="s">
        <v>24</v>
      </c>
      <c r="H555" t="s">
        <v>25</v>
      </c>
      <c r="I555" t="s">
        <v>26</v>
      </c>
      <c r="J555" t="s">
        <v>25</v>
      </c>
      <c r="K555">
        <v>480</v>
      </c>
      <c r="L555">
        <v>8</v>
      </c>
      <c r="M555">
        <v>14</v>
      </c>
      <c r="N555">
        <v>22</v>
      </c>
      <c r="O555">
        <v>298</v>
      </c>
      <c r="P555">
        <v>259</v>
      </c>
      <c r="Q555">
        <v>245</v>
      </c>
      <c r="R555">
        <v>198</v>
      </c>
      <c r="S555">
        <v>154</v>
      </c>
      <c r="T555">
        <v>74</v>
      </c>
      <c r="U555">
        <v>23</v>
      </c>
      <c r="V555">
        <v>467</v>
      </c>
    </row>
    <row r="556" spans="1:22" x14ac:dyDescent="0.25">
      <c r="A556">
        <v>2025</v>
      </c>
      <c r="B556">
        <v>10</v>
      </c>
      <c r="C556" t="s">
        <v>37</v>
      </c>
      <c r="D556" t="s">
        <v>22</v>
      </c>
      <c r="E556" t="s">
        <v>149</v>
      </c>
      <c r="F556" t="s">
        <v>32</v>
      </c>
      <c r="G556" t="s">
        <v>24</v>
      </c>
      <c r="H556" t="s">
        <v>25</v>
      </c>
      <c r="I556" t="s">
        <v>26</v>
      </c>
      <c r="J556" t="s">
        <v>25</v>
      </c>
      <c r="K556">
        <v>119</v>
      </c>
      <c r="L556">
        <v>3</v>
      </c>
      <c r="M556">
        <v>13</v>
      </c>
      <c r="N556">
        <v>16</v>
      </c>
      <c r="O556">
        <v>101</v>
      </c>
      <c r="P556">
        <v>97</v>
      </c>
      <c r="Q556">
        <v>97</v>
      </c>
      <c r="R556">
        <v>93</v>
      </c>
      <c r="S556">
        <v>87</v>
      </c>
      <c r="T556">
        <v>66</v>
      </c>
      <c r="U556">
        <v>21</v>
      </c>
      <c r="V556">
        <v>107</v>
      </c>
    </row>
    <row r="557" spans="1:22" x14ac:dyDescent="0.25">
      <c r="A557">
        <v>2025</v>
      </c>
      <c r="B557">
        <v>10</v>
      </c>
      <c r="C557" t="s">
        <v>37</v>
      </c>
      <c r="D557" t="s">
        <v>22</v>
      </c>
      <c r="E557" t="s">
        <v>149</v>
      </c>
      <c r="F557" t="s">
        <v>23</v>
      </c>
      <c r="G557" t="s">
        <v>24</v>
      </c>
      <c r="H557" t="s">
        <v>25</v>
      </c>
      <c r="I557" t="s">
        <v>26</v>
      </c>
      <c r="J557" t="s">
        <v>25</v>
      </c>
      <c r="K557">
        <v>241</v>
      </c>
      <c r="L557">
        <v>5</v>
      </c>
      <c r="M557">
        <v>20</v>
      </c>
      <c r="N557">
        <v>25</v>
      </c>
      <c r="O557">
        <v>171</v>
      </c>
      <c r="P557">
        <v>148</v>
      </c>
      <c r="Q557">
        <v>141</v>
      </c>
      <c r="R557">
        <v>111</v>
      </c>
      <c r="S557">
        <v>80</v>
      </c>
      <c r="T557">
        <v>52</v>
      </c>
      <c r="U557">
        <v>18</v>
      </c>
      <c r="V557">
        <v>234</v>
      </c>
    </row>
    <row r="558" spans="1:22" x14ac:dyDescent="0.25">
      <c r="A558">
        <v>2025</v>
      </c>
      <c r="B558">
        <v>10</v>
      </c>
      <c r="C558" t="s">
        <v>37</v>
      </c>
      <c r="D558" t="s">
        <v>22</v>
      </c>
      <c r="E558" t="s">
        <v>149</v>
      </c>
      <c r="F558" t="s">
        <v>39</v>
      </c>
      <c r="G558" t="s">
        <v>24</v>
      </c>
      <c r="H558" t="s">
        <v>26</v>
      </c>
      <c r="I558" t="s">
        <v>26</v>
      </c>
      <c r="J558" t="s">
        <v>25</v>
      </c>
      <c r="K558">
        <v>1363</v>
      </c>
      <c r="L558">
        <v>14</v>
      </c>
      <c r="M558">
        <v>130</v>
      </c>
      <c r="N558">
        <v>144</v>
      </c>
      <c r="O558">
        <v>946</v>
      </c>
      <c r="P558">
        <v>853</v>
      </c>
      <c r="Q558">
        <v>818</v>
      </c>
      <c r="R558">
        <v>689</v>
      </c>
      <c r="S558">
        <v>569</v>
      </c>
      <c r="T558">
        <v>306</v>
      </c>
      <c r="U558">
        <v>79</v>
      </c>
      <c r="V558">
        <v>1299</v>
      </c>
    </row>
    <row r="559" spans="1:22" x14ac:dyDescent="0.25">
      <c r="A559">
        <v>2025</v>
      </c>
      <c r="B559">
        <v>10</v>
      </c>
      <c r="C559" t="s">
        <v>37</v>
      </c>
      <c r="D559" t="s">
        <v>22</v>
      </c>
      <c r="E559" t="s">
        <v>150</v>
      </c>
      <c r="F559" t="s">
        <v>38</v>
      </c>
      <c r="G559" t="s">
        <v>24</v>
      </c>
      <c r="H559" t="s">
        <v>25</v>
      </c>
      <c r="I559" t="s">
        <v>26</v>
      </c>
      <c r="J559" t="s">
        <v>25</v>
      </c>
      <c r="K559">
        <v>26</v>
      </c>
      <c r="L559">
        <v>1</v>
      </c>
      <c r="M559">
        <v>0</v>
      </c>
      <c r="N559">
        <v>1</v>
      </c>
      <c r="O559">
        <v>17</v>
      </c>
      <c r="P559">
        <v>14</v>
      </c>
      <c r="Q559">
        <v>11</v>
      </c>
      <c r="R559">
        <v>8</v>
      </c>
      <c r="S559">
        <v>3</v>
      </c>
      <c r="T559">
        <v>3</v>
      </c>
      <c r="U559">
        <v>1</v>
      </c>
      <c r="V559">
        <v>25</v>
      </c>
    </row>
    <row r="560" spans="1:22" x14ac:dyDescent="0.25">
      <c r="A560">
        <v>2025</v>
      </c>
      <c r="B560">
        <v>10</v>
      </c>
      <c r="C560" t="s">
        <v>37</v>
      </c>
      <c r="D560" t="s">
        <v>22</v>
      </c>
      <c r="E560" t="s">
        <v>151</v>
      </c>
      <c r="F560" t="s">
        <v>39</v>
      </c>
      <c r="G560" t="s">
        <v>24</v>
      </c>
      <c r="H560" t="s">
        <v>26</v>
      </c>
      <c r="I560" t="s">
        <v>26</v>
      </c>
      <c r="J560" t="s">
        <v>25</v>
      </c>
      <c r="K560">
        <v>483</v>
      </c>
      <c r="L560">
        <v>0</v>
      </c>
      <c r="M560">
        <v>7</v>
      </c>
      <c r="N560">
        <v>7</v>
      </c>
      <c r="O560">
        <v>298</v>
      </c>
      <c r="P560">
        <v>256</v>
      </c>
      <c r="Q560">
        <v>238</v>
      </c>
      <c r="R560">
        <v>166</v>
      </c>
      <c r="S560">
        <v>115</v>
      </c>
      <c r="T560">
        <v>30</v>
      </c>
      <c r="U560">
        <v>5</v>
      </c>
      <c r="V560">
        <v>479</v>
      </c>
    </row>
    <row r="561" spans="1:22" x14ac:dyDescent="0.25">
      <c r="A561">
        <v>2025</v>
      </c>
      <c r="B561">
        <v>10</v>
      </c>
      <c r="C561" t="s">
        <v>37</v>
      </c>
      <c r="D561" t="s">
        <v>22</v>
      </c>
      <c r="E561" t="s">
        <v>123</v>
      </c>
      <c r="F561" t="s">
        <v>39</v>
      </c>
      <c r="G561" t="s">
        <v>24</v>
      </c>
      <c r="H561" t="s">
        <v>26</v>
      </c>
      <c r="I561" t="s">
        <v>26</v>
      </c>
      <c r="J561" t="s">
        <v>25</v>
      </c>
      <c r="K561">
        <v>417</v>
      </c>
      <c r="L561">
        <v>1</v>
      </c>
      <c r="M561">
        <v>1</v>
      </c>
      <c r="N561">
        <v>2</v>
      </c>
      <c r="O561">
        <v>291</v>
      </c>
      <c r="P561">
        <v>242</v>
      </c>
      <c r="Q561">
        <v>228</v>
      </c>
      <c r="R561">
        <v>188</v>
      </c>
      <c r="S561">
        <v>134</v>
      </c>
      <c r="T561">
        <v>44</v>
      </c>
      <c r="U561">
        <v>6</v>
      </c>
      <c r="V561">
        <v>415</v>
      </c>
    </row>
    <row r="562" spans="1:22" x14ac:dyDescent="0.25">
      <c r="A562">
        <v>2025</v>
      </c>
      <c r="B562">
        <v>10</v>
      </c>
      <c r="C562" t="s">
        <v>37</v>
      </c>
      <c r="D562" t="s">
        <v>22</v>
      </c>
      <c r="E562" t="s">
        <v>123</v>
      </c>
      <c r="F562" t="s">
        <v>42</v>
      </c>
      <c r="G562" t="s">
        <v>24</v>
      </c>
      <c r="H562" t="s">
        <v>26</v>
      </c>
      <c r="I562" t="s">
        <v>26</v>
      </c>
      <c r="J562" t="s">
        <v>25</v>
      </c>
      <c r="K562">
        <v>424</v>
      </c>
      <c r="L562">
        <v>1</v>
      </c>
      <c r="M562">
        <v>2</v>
      </c>
      <c r="N562">
        <v>3</v>
      </c>
      <c r="O562">
        <v>308</v>
      </c>
      <c r="P562">
        <v>262</v>
      </c>
      <c r="Q562">
        <v>240</v>
      </c>
      <c r="R562">
        <v>179</v>
      </c>
      <c r="S562">
        <v>148</v>
      </c>
      <c r="T562">
        <v>76</v>
      </c>
      <c r="U562">
        <v>12</v>
      </c>
      <c r="V562">
        <v>422</v>
      </c>
    </row>
    <row r="563" spans="1:22" x14ac:dyDescent="0.25">
      <c r="A563">
        <v>2025</v>
      </c>
      <c r="B563">
        <v>10</v>
      </c>
      <c r="C563" t="s">
        <v>37</v>
      </c>
      <c r="D563" t="s">
        <v>22</v>
      </c>
      <c r="E563" t="s">
        <v>43</v>
      </c>
      <c r="F563" t="s">
        <v>23</v>
      </c>
      <c r="G563" t="s">
        <v>24</v>
      </c>
      <c r="H563" t="s">
        <v>25</v>
      </c>
      <c r="I563" t="s">
        <v>26</v>
      </c>
      <c r="J563" t="s">
        <v>25</v>
      </c>
      <c r="K563">
        <v>272</v>
      </c>
      <c r="L563">
        <v>1</v>
      </c>
      <c r="M563">
        <v>0</v>
      </c>
      <c r="N563">
        <v>1</v>
      </c>
      <c r="O563">
        <v>93</v>
      </c>
      <c r="P563">
        <v>55</v>
      </c>
      <c r="Q563">
        <v>43</v>
      </c>
      <c r="R563">
        <v>17</v>
      </c>
      <c r="S563">
        <v>5</v>
      </c>
      <c r="T563">
        <v>1</v>
      </c>
      <c r="U563">
        <v>0</v>
      </c>
      <c r="V563">
        <v>271</v>
      </c>
    </row>
    <row r="564" spans="1:22" x14ac:dyDescent="0.25">
      <c r="A564">
        <v>2025</v>
      </c>
      <c r="B564">
        <v>10</v>
      </c>
      <c r="C564" t="s">
        <v>37</v>
      </c>
      <c r="D564" t="s">
        <v>22</v>
      </c>
      <c r="E564" t="s">
        <v>61</v>
      </c>
      <c r="F564" t="s">
        <v>35</v>
      </c>
      <c r="G564" t="s">
        <v>28</v>
      </c>
      <c r="H564" t="s">
        <v>25</v>
      </c>
      <c r="I564" t="s">
        <v>26</v>
      </c>
      <c r="J564" t="s">
        <v>26</v>
      </c>
      <c r="K564">
        <v>29</v>
      </c>
      <c r="L564">
        <v>0</v>
      </c>
      <c r="M564">
        <v>5</v>
      </c>
      <c r="N564">
        <v>5</v>
      </c>
      <c r="O564">
        <v>21</v>
      </c>
      <c r="P564">
        <v>14</v>
      </c>
      <c r="Q564">
        <v>14</v>
      </c>
      <c r="R564">
        <v>12</v>
      </c>
      <c r="S564">
        <v>9</v>
      </c>
      <c r="T564">
        <v>6</v>
      </c>
      <c r="U564">
        <v>2</v>
      </c>
      <c r="V564">
        <v>26</v>
      </c>
    </row>
    <row r="565" spans="1:22" x14ac:dyDescent="0.25">
      <c r="A565">
        <v>2025</v>
      </c>
      <c r="B565">
        <v>10</v>
      </c>
      <c r="C565" t="s">
        <v>37</v>
      </c>
      <c r="D565" t="s">
        <v>22</v>
      </c>
      <c r="E565" t="s">
        <v>61</v>
      </c>
      <c r="F565" t="s">
        <v>35</v>
      </c>
      <c r="G565" t="s">
        <v>24</v>
      </c>
      <c r="H565" t="s">
        <v>25</v>
      </c>
      <c r="I565" t="s">
        <v>26</v>
      </c>
      <c r="J565" t="s">
        <v>26</v>
      </c>
      <c r="K565">
        <v>748</v>
      </c>
      <c r="L565">
        <v>11</v>
      </c>
      <c r="M565">
        <v>31</v>
      </c>
      <c r="N565">
        <v>42</v>
      </c>
      <c r="O565">
        <v>472</v>
      </c>
      <c r="P565">
        <v>434</v>
      </c>
      <c r="Q565">
        <v>418</v>
      </c>
      <c r="R565">
        <v>366</v>
      </c>
      <c r="S565">
        <v>325</v>
      </c>
      <c r="T565">
        <v>238</v>
      </c>
      <c r="U565">
        <v>123</v>
      </c>
      <c r="V565">
        <v>727</v>
      </c>
    </row>
    <row r="566" spans="1:22" x14ac:dyDescent="0.25">
      <c r="A566">
        <v>2025</v>
      </c>
      <c r="B566">
        <v>10</v>
      </c>
      <c r="C566" t="s">
        <v>37</v>
      </c>
      <c r="D566" t="s">
        <v>22</v>
      </c>
      <c r="E566" t="s">
        <v>61</v>
      </c>
      <c r="F566" t="s">
        <v>41</v>
      </c>
      <c r="G566" t="s">
        <v>24</v>
      </c>
      <c r="H566" t="s">
        <v>26</v>
      </c>
      <c r="I566" t="s">
        <v>26</v>
      </c>
      <c r="J566" t="s">
        <v>25</v>
      </c>
      <c r="K566">
        <v>335</v>
      </c>
      <c r="L566">
        <v>0</v>
      </c>
      <c r="M566">
        <v>6</v>
      </c>
      <c r="N566">
        <v>6</v>
      </c>
      <c r="O566">
        <v>210</v>
      </c>
      <c r="P566">
        <v>180</v>
      </c>
      <c r="Q566">
        <v>165</v>
      </c>
      <c r="R566">
        <v>131</v>
      </c>
      <c r="S566">
        <v>99</v>
      </c>
      <c r="T566">
        <v>44</v>
      </c>
      <c r="U566">
        <v>9</v>
      </c>
      <c r="V566">
        <v>332</v>
      </c>
    </row>
    <row r="567" spans="1:22" x14ac:dyDescent="0.25">
      <c r="A567">
        <v>2025</v>
      </c>
      <c r="B567">
        <v>10</v>
      </c>
      <c r="C567" t="s">
        <v>37</v>
      </c>
      <c r="D567" t="s">
        <v>22</v>
      </c>
      <c r="E567" t="s">
        <v>157</v>
      </c>
      <c r="F567" t="s">
        <v>35</v>
      </c>
      <c r="G567" t="s">
        <v>24</v>
      </c>
      <c r="H567" t="s">
        <v>25</v>
      </c>
      <c r="I567" t="s">
        <v>26</v>
      </c>
      <c r="J567" t="s">
        <v>26</v>
      </c>
      <c r="K567">
        <v>2</v>
      </c>
      <c r="L567">
        <v>0</v>
      </c>
      <c r="M567">
        <v>0</v>
      </c>
      <c r="N567">
        <v>0</v>
      </c>
      <c r="O567">
        <v>2</v>
      </c>
      <c r="P567">
        <v>2</v>
      </c>
      <c r="Q567">
        <v>2</v>
      </c>
      <c r="R567">
        <v>2</v>
      </c>
      <c r="S567">
        <v>2</v>
      </c>
      <c r="T567">
        <v>1</v>
      </c>
      <c r="U567">
        <v>0</v>
      </c>
      <c r="V567">
        <v>2</v>
      </c>
    </row>
    <row r="568" spans="1:22" x14ac:dyDescent="0.25">
      <c r="A568">
        <v>2025</v>
      </c>
      <c r="B568">
        <v>10</v>
      </c>
      <c r="C568" t="s">
        <v>37</v>
      </c>
      <c r="D568" t="s">
        <v>22</v>
      </c>
      <c r="E568" t="s">
        <v>66</v>
      </c>
      <c r="F568" t="s">
        <v>34</v>
      </c>
      <c r="G568" t="s">
        <v>24</v>
      </c>
      <c r="H568" t="s">
        <v>25</v>
      </c>
      <c r="I568" t="s">
        <v>26</v>
      </c>
      <c r="J568" t="s">
        <v>26</v>
      </c>
      <c r="K568">
        <v>1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1</v>
      </c>
    </row>
    <row r="569" spans="1:22" x14ac:dyDescent="0.25">
      <c r="A569">
        <v>2025</v>
      </c>
      <c r="B569">
        <v>10</v>
      </c>
      <c r="C569" t="s">
        <v>37</v>
      </c>
      <c r="D569" t="s">
        <v>22</v>
      </c>
      <c r="E569" t="s">
        <v>69</v>
      </c>
      <c r="F569" t="s">
        <v>23</v>
      </c>
      <c r="G569" t="s">
        <v>28</v>
      </c>
      <c r="H569" t="s">
        <v>25</v>
      </c>
      <c r="I569" t="s">
        <v>26</v>
      </c>
      <c r="J569" t="s">
        <v>25</v>
      </c>
      <c r="K569">
        <v>22</v>
      </c>
      <c r="L569">
        <v>0</v>
      </c>
      <c r="M569">
        <v>2</v>
      </c>
      <c r="N569">
        <v>2</v>
      </c>
      <c r="O569">
        <v>18</v>
      </c>
      <c r="P569">
        <v>15</v>
      </c>
      <c r="Q569">
        <v>15</v>
      </c>
      <c r="R569">
        <v>9</v>
      </c>
      <c r="S569">
        <v>6</v>
      </c>
      <c r="T569">
        <v>0</v>
      </c>
      <c r="U569">
        <v>0</v>
      </c>
      <c r="V569">
        <v>20</v>
      </c>
    </row>
    <row r="570" spans="1:22" x14ac:dyDescent="0.25">
      <c r="A570">
        <v>2025</v>
      </c>
      <c r="B570">
        <v>10</v>
      </c>
      <c r="C570" t="s">
        <v>37</v>
      </c>
      <c r="D570" t="s">
        <v>22</v>
      </c>
      <c r="E570" t="s">
        <v>69</v>
      </c>
      <c r="F570" t="s">
        <v>23</v>
      </c>
      <c r="G570" t="s">
        <v>24</v>
      </c>
      <c r="H570" t="s">
        <v>25</v>
      </c>
      <c r="I570" t="s">
        <v>26</v>
      </c>
      <c r="J570" t="s">
        <v>25</v>
      </c>
      <c r="K570">
        <v>716</v>
      </c>
      <c r="L570">
        <v>9</v>
      </c>
      <c r="M570">
        <v>18</v>
      </c>
      <c r="N570">
        <v>27</v>
      </c>
      <c r="O570">
        <v>548</v>
      </c>
      <c r="P570">
        <v>465</v>
      </c>
      <c r="Q570">
        <v>431</v>
      </c>
      <c r="R570">
        <v>324</v>
      </c>
      <c r="S570">
        <v>245</v>
      </c>
      <c r="T570">
        <v>82</v>
      </c>
      <c r="U570">
        <v>15</v>
      </c>
      <c r="V570">
        <v>694</v>
      </c>
    </row>
    <row r="571" spans="1:22" x14ac:dyDescent="0.25">
      <c r="A571">
        <v>2025</v>
      </c>
      <c r="B571">
        <v>10</v>
      </c>
      <c r="C571" t="s">
        <v>37</v>
      </c>
      <c r="D571" t="s">
        <v>22</v>
      </c>
      <c r="E571" t="s">
        <v>69</v>
      </c>
      <c r="F571" t="s">
        <v>40</v>
      </c>
      <c r="G571" t="s">
        <v>24</v>
      </c>
      <c r="H571" t="s">
        <v>25</v>
      </c>
      <c r="I571" t="s">
        <v>26</v>
      </c>
      <c r="J571" t="s">
        <v>25</v>
      </c>
      <c r="K571">
        <v>340</v>
      </c>
      <c r="L571">
        <v>2</v>
      </c>
      <c r="M571">
        <v>0</v>
      </c>
      <c r="N571">
        <v>2</v>
      </c>
      <c r="O571">
        <v>9</v>
      </c>
      <c r="P571">
        <v>6</v>
      </c>
      <c r="Q571">
        <v>5</v>
      </c>
      <c r="R571">
        <v>2</v>
      </c>
      <c r="S571">
        <v>0</v>
      </c>
      <c r="T571">
        <v>0</v>
      </c>
      <c r="U571">
        <v>0</v>
      </c>
      <c r="V571">
        <v>338</v>
      </c>
    </row>
    <row r="572" spans="1:22" x14ac:dyDescent="0.25">
      <c r="A572">
        <v>2025</v>
      </c>
      <c r="B572">
        <v>10</v>
      </c>
      <c r="C572" t="s">
        <v>37</v>
      </c>
      <c r="D572" t="s">
        <v>22</v>
      </c>
      <c r="E572" t="s">
        <v>75</v>
      </c>
      <c r="F572" t="s">
        <v>39</v>
      </c>
      <c r="G572" t="s">
        <v>24</v>
      </c>
      <c r="H572" t="s">
        <v>26</v>
      </c>
      <c r="I572" t="s">
        <v>26</v>
      </c>
      <c r="J572" t="s">
        <v>25</v>
      </c>
      <c r="K572">
        <v>5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5</v>
      </c>
    </row>
    <row r="573" spans="1:22" x14ac:dyDescent="0.25">
      <c r="A573">
        <v>2025</v>
      </c>
      <c r="B573">
        <v>10</v>
      </c>
      <c r="C573" t="s">
        <v>37</v>
      </c>
      <c r="D573" t="s">
        <v>22</v>
      </c>
      <c r="E573" t="s">
        <v>75</v>
      </c>
      <c r="F573" t="s">
        <v>39</v>
      </c>
      <c r="G573" t="s">
        <v>29</v>
      </c>
      <c r="H573" t="s">
        <v>26</v>
      </c>
      <c r="I573" t="s">
        <v>26</v>
      </c>
      <c r="J573" t="s">
        <v>25</v>
      </c>
      <c r="K573">
        <v>1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</row>
    <row r="574" spans="1:22" x14ac:dyDescent="0.25">
      <c r="A574">
        <v>2025</v>
      </c>
      <c r="B574">
        <v>10</v>
      </c>
      <c r="C574" t="s">
        <v>37</v>
      </c>
      <c r="D574" t="s">
        <v>22</v>
      </c>
      <c r="E574" t="s">
        <v>75</v>
      </c>
      <c r="F574" t="s">
        <v>111</v>
      </c>
      <c r="G574" t="s">
        <v>24</v>
      </c>
      <c r="H574" t="s">
        <v>26</v>
      </c>
      <c r="I574" t="s">
        <v>26</v>
      </c>
      <c r="J574" t="s">
        <v>25</v>
      </c>
      <c r="K574">
        <v>2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2</v>
      </c>
    </row>
    <row r="575" spans="1:22" x14ac:dyDescent="0.25">
      <c r="A575">
        <v>2025</v>
      </c>
      <c r="B575">
        <v>11</v>
      </c>
      <c r="C575" t="s">
        <v>37</v>
      </c>
      <c r="D575" t="s">
        <v>22</v>
      </c>
      <c r="E575" t="s">
        <v>126</v>
      </c>
      <c r="F575" t="s">
        <v>32</v>
      </c>
      <c r="G575" t="s">
        <v>24</v>
      </c>
      <c r="H575" t="s">
        <v>25</v>
      </c>
      <c r="I575" t="s">
        <v>26</v>
      </c>
      <c r="J575" t="s">
        <v>25</v>
      </c>
      <c r="K575">
        <v>190</v>
      </c>
      <c r="L575">
        <v>3</v>
      </c>
      <c r="M575">
        <v>1</v>
      </c>
      <c r="N575">
        <v>4</v>
      </c>
      <c r="O575">
        <v>110</v>
      </c>
      <c r="P575">
        <v>84</v>
      </c>
      <c r="Q575">
        <v>76</v>
      </c>
      <c r="R575">
        <v>57</v>
      </c>
      <c r="S575">
        <v>40</v>
      </c>
      <c r="T575">
        <v>18</v>
      </c>
      <c r="U575">
        <v>8</v>
      </c>
      <c r="V575">
        <v>187</v>
      </c>
    </row>
    <row r="576" spans="1:22" x14ac:dyDescent="0.25">
      <c r="A576">
        <v>2025</v>
      </c>
      <c r="B576">
        <v>11</v>
      </c>
      <c r="C576" t="s">
        <v>37</v>
      </c>
      <c r="D576" t="s">
        <v>22</v>
      </c>
      <c r="E576" t="s">
        <v>127</v>
      </c>
      <c r="F576" t="s">
        <v>32</v>
      </c>
      <c r="G576" t="s">
        <v>24</v>
      </c>
      <c r="H576" t="s">
        <v>25</v>
      </c>
      <c r="I576" t="s">
        <v>26</v>
      </c>
      <c r="J576" t="s">
        <v>25</v>
      </c>
      <c r="K576">
        <v>13</v>
      </c>
      <c r="L576">
        <v>0</v>
      </c>
      <c r="M576">
        <v>1</v>
      </c>
      <c r="N576">
        <v>1</v>
      </c>
      <c r="O576">
        <v>10</v>
      </c>
      <c r="P576">
        <v>10</v>
      </c>
      <c r="Q576">
        <v>9</v>
      </c>
      <c r="R576">
        <v>8</v>
      </c>
      <c r="S576">
        <v>8</v>
      </c>
      <c r="T576">
        <v>3</v>
      </c>
      <c r="U576">
        <v>1</v>
      </c>
      <c r="V576">
        <v>12</v>
      </c>
    </row>
    <row r="577" spans="1:22" x14ac:dyDescent="0.25">
      <c r="A577">
        <v>2025</v>
      </c>
      <c r="B577">
        <v>11</v>
      </c>
      <c r="C577" t="s">
        <v>37</v>
      </c>
      <c r="D577" t="s">
        <v>22</v>
      </c>
      <c r="E577" t="s">
        <v>128</v>
      </c>
      <c r="F577" t="s">
        <v>32</v>
      </c>
      <c r="G577" t="s">
        <v>24</v>
      </c>
      <c r="H577" t="s">
        <v>25</v>
      </c>
      <c r="I577" t="s">
        <v>26</v>
      </c>
      <c r="J577" t="s">
        <v>25</v>
      </c>
      <c r="K577">
        <v>22</v>
      </c>
      <c r="L577">
        <v>0</v>
      </c>
      <c r="M577">
        <v>0</v>
      </c>
      <c r="N577">
        <v>0</v>
      </c>
      <c r="O577">
        <v>16</v>
      </c>
      <c r="P577">
        <v>13</v>
      </c>
      <c r="Q577">
        <v>12</v>
      </c>
      <c r="R577">
        <v>9</v>
      </c>
      <c r="S577">
        <v>4</v>
      </c>
      <c r="T577">
        <v>1</v>
      </c>
      <c r="U577">
        <v>0</v>
      </c>
      <c r="V577">
        <v>22</v>
      </c>
    </row>
    <row r="578" spans="1:22" x14ac:dyDescent="0.25">
      <c r="A578">
        <v>2025</v>
      </c>
      <c r="B578">
        <v>11</v>
      </c>
      <c r="C578" t="s">
        <v>37</v>
      </c>
      <c r="D578" t="s">
        <v>22</v>
      </c>
      <c r="E578" t="s">
        <v>128</v>
      </c>
      <c r="F578" t="s">
        <v>34</v>
      </c>
      <c r="G578" t="s">
        <v>24</v>
      </c>
      <c r="H578" t="s">
        <v>25</v>
      </c>
      <c r="I578" t="s">
        <v>26</v>
      </c>
      <c r="J578" t="s">
        <v>26</v>
      </c>
      <c r="K578">
        <v>42</v>
      </c>
      <c r="L578">
        <v>2</v>
      </c>
      <c r="M578">
        <v>1</v>
      </c>
      <c r="N578">
        <v>3</v>
      </c>
      <c r="O578">
        <v>35</v>
      </c>
      <c r="P578">
        <v>30</v>
      </c>
      <c r="Q578">
        <v>27</v>
      </c>
      <c r="R578">
        <v>21</v>
      </c>
      <c r="S578">
        <v>17</v>
      </c>
      <c r="T578">
        <v>11</v>
      </c>
      <c r="U578">
        <v>5</v>
      </c>
      <c r="V578">
        <v>40</v>
      </c>
    </row>
    <row r="579" spans="1:22" x14ac:dyDescent="0.25">
      <c r="A579">
        <v>2025</v>
      </c>
      <c r="B579">
        <v>11</v>
      </c>
      <c r="C579" t="s">
        <v>37</v>
      </c>
      <c r="D579" t="s">
        <v>22</v>
      </c>
      <c r="E579" t="s">
        <v>130</v>
      </c>
      <c r="F579" t="s">
        <v>34</v>
      </c>
      <c r="G579" t="s">
        <v>24</v>
      </c>
      <c r="H579" t="s">
        <v>25</v>
      </c>
      <c r="I579" t="s">
        <v>26</v>
      </c>
      <c r="J579" t="s">
        <v>26</v>
      </c>
      <c r="K579">
        <v>2</v>
      </c>
      <c r="L579">
        <v>0</v>
      </c>
      <c r="M579">
        <v>0</v>
      </c>
      <c r="N579">
        <v>0</v>
      </c>
      <c r="O579">
        <v>1</v>
      </c>
      <c r="P579">
        <v>1</v>
      </c>
      <c r="Q579">
        <v>1</v>
      </c>
      <c r="R579">
        <v>0</v>
      </c>
      <c r="S579">
        <v>0</v>
      </c>
      <c r="T579">
        <v>0</v>
      </c>
      <c r="U579">
        <v>0</v>
      </c>
      <c r="V579">
        <v>2</v>
      </c>
    </row>
    <row r="580" spans="1:22" x14ac:dyDescent="0.25">
      <c r="A580">
        <v>2025</v>
      </c>
      <c r="B580">
        <v>11</v>
      </c>
      <c r="C580" t="s">
        <v>37</v>
      </c>
      <c r="D580" t="s">
        <v>22</v>
      </c>
      <c r="E580" t="s">
        <v>130</v>
      </c>
      <c r="F580" t="s">
        <v>23</v>
      </c>
      <c r="G580" t="s">
        <v>24</v>
      </c>
      <c r="H580" t="s">
        <v>25</v>
      </c>
      <c r="I580" t="s">
        <v>26</v>
      </c>
      <c r="J580" t="s">
        <v>25</v>
      </c>
      <c r="K580">
        <v>1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1</v>
      </c>
    </row>
    <row r="581" spans="1:22" x14ac:dyDescent="0.25">
      <c r="A581">
        <v>2025</v>
      </c>
      <c r="B581">
        <v>11</v>
      </c>
      <c r="C581" t="s">
        <v>37</v>
      </c>
      <c r="D581" t="s">
        <v>22</v>
      </c>
      <c r="E581" t="s">
        <v>131</v>
      </c>
      <c r="F581" t="s">
        <v>34</v>
      </c>
      <c r="G581" t="s">
        <v>24</v>
      </c>
      <c r="H581" t="s">
        <v>25</v>
      </c>
      <c r="I581" t="s">
        <v>26</v>
      </c>
      <c r="J581" t="s">
        <v>26</v>
      </c>
      <c r="K581">
        <v>55</v>
      </c>
      <c r="L581">
        <v>0</v>
      </c>
      <c r="M581">
        <v>0</v>
      </c>
      <c r="N581">
        <v>0</v>
      </c>
      <c r="O581">
        <v>31</v>
      </c>
      <c r="P581">
        <v>30</v>
      </c>
      <c r="Q581">
        <v>29</v>
      </c>
      <c r="R581">
        <v>24</v>
      </c>
      <c r="S581">
        <v>21</v>
      </c>
      <c r="T581">
        <v>8</v>
      </c>
      <c r="U581">
        <v>2</v>
      </c>
      <c r="V581">
        <v>55</v>
      </c>
    </row>
    <row r="582" spans="1:22" x14ac:dyDescent="0.25">
      <c r="A582">
        <v>2025</v>
      </c>
      <c r="B582">
        <v>11</v>
      </c>
      <c r="C582" t="s">
        <v>37</v>
      </c>
      <c r="D582" t="s">
        <v>22</v>
      </c>
      <c r="E582" t="s">
        <v>132</v>
      </c>
      <c r="F582" t="s">
        <v>32</v>
      </c>
      <c r="G582" t="s">
        <v>24</v>
      </c>
      <c r="H582" t="s">
        <v>25</v>
      </c>
      <c r="I582" t="s">
        <v>26</v>
      </c>
      <c r="J582" t="s">
        <v>25</v>
      </c>
      <c r="K582">
        <v>48</v>
      </c>
      <c r="L582">
        <v>0</v>
      </c>
      <c r="M582">
        <v>0</v>
      </c>
      <c r="N582">
        <v>0</v>
      </c>
      <c r="O582">
        <v>34</v>
      </c>
      <c r="P582">
        <v>28</v>
      </c>
      <c r="Q582">
        <v>24</v>
      </c>
      <c r="R582">
        <v>17</v>
      </c>
      <c r="S582">
        <v>14</v>
      </c>
      <c r="T582">
        <v>11</v>
      </c>
      <c r="U582">
        <v>5</v>
      </c>
      <c r="V582">
        <v>48</v>
      </c>
    </row>
    <row r="583" spans="1:22" x14ac:dyDescent="0.25">
      <c r="A583">
        <v>2025</v>
      </c>
      <c r="B583">
        <v>11</v>
      </c>
      <c r="C583" t="s">
        <v>37</v>
      </c>
      <c r="D583" t="s">
        <v>22</v>
      </c>
      <c r="E583" t="s">
        <v>132</v>
      </c>
      <c r="F583" t="s">
        <v>34</v>
      </c>
      <c r="G583" t="s">
        <v>24</v>
      </c>
      <c r="H583" t="s">
        <v>25</v>
      </c>
      <c r="I583" t="s">
        <v>26</v>
      </c>
      <c r="J583" t="s">
        <v>26</v>
      </c>
      <c r="K583">
        <v>47</v>
      </c>
      <c r="L583">
        <v>0</v>
      </c>
      <c r="M583">
        <v>0</v>
      </c>
      <c r="N583">
        <v>0</v>
      </c>
      <c r="O583">
        <v>32</v>
      </c>
      <c r="P583">
        <v>26</v>
      </c>
      <c r="Q583">
        <v>23</v>
      </c>
      <c r="R583">
        <v>15</v>
      </c>
      <c r="S583">
        <v>13</v>
      </c>
      <c r="T583">
        <v>10</v>
      </c>
      <c r="U583">
        <v>5</v>
      </c>
      <c r="V583">
        <v>47</v>
      </c>
    </row>
    <row r="584" spans="1:22" x14ac:dyDescent="0.25">
      <c r="A584">
        <v>2025</v>
      </c>
      <c r="B584">
        <v>11</v>
      </c>
      <c r="C584" t="s">
        <v>37</v>
      </c>
      <c r="D584" t="s">
        <v>22</v>
      </c>
      <c r="E584" t="s">
        <v>37</v>
      </c>
      <c r="F584" t="s">
        <v>32</v>
      </c>
      <c r="G584" t="s">
        <v>28</v>
      </c>
      <c r="H584" t="s">
        <v>25</v>
      </c>
      <c r="I584" t="s">
        <v>26</v>
      </c>
      <c r="J584" t="s">
        <v>25</v>
      </c>
      <c r="K584">
        <v>20</v>
      </c>
      <c r="L584">
        <v>4</v>
      </c>
      <c r="M584">
        <v>1</v>
      </c>
      <c r="N584">
        <v>5</v>
      </c>
      <c r="O584">
        <v>3</v>
      </c>
      <c r="P584">
        <v>2</v>
      </c>
      <c r="Q584">
        <v>1</v>
      </c>
      <c r="R584">
        <v>1</v>
      </c>
      <c r="S584">
        <v>1</v>
      </c>
      <c r="T584">
        <v>0</v>
      </c>
      <c r="U584">
        <v>0</v>
      </c>
      <c r="V584">
        <v>15</v>
      </c>
    </row>
    <row r="585" spans="1:22" x14ac:dyDescent="0.25">
      <c r="A585">
        <v>2025</v>
      </c>
      <c r="B585">
        <v>11</v>
      </c>
      <c r="C585" t="s">
        <v>37</v>
      </c>
      <c r="D585" t="s">
        <v>22</v>
      </c>
      <c r="E585" t="s">
        <v>37</v>
      </c>
      <c r="F585" t="s">
        <v>32</v>
      </c>
      <c r="G585" t="s">
        <v>29</v>
      </c>
      <c r="H585" t="s">
        <v>25</v>
      </c>
      <c r="I585" t="s">
        <v>26</v>
      </c>
      <c r="J585" t="s">
        <v>25</v>
      </c>
      <c r="K585">
        <v>1</v>
      </c>
      <c r="L585">
        <v>1</v>
      </c>
      <c r="M585">
        <v>0</v>
      </c>
      <c r="N585">
        <v>1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</row>
    <row r="586" spans="1:22" x14ac:dyDescent="0.25">
      <c r="A586">
        <v>2025</v>
      </c>
      <c r="B586">
        <v>11</v>
      </c>
      <c r="C586" t="s">
        <v>37</v>
      </c>
      <c r="D586" t="s">
        <v>22</v>
      </c>
      <c r="E586" t="s">
        <v>37</v>
      </c>
      <c r="F586" t="s">
        <v>38</v>
      </c>
      <c r="G586" t="s">
        <v>24</v>
      </c>
      <c r="H586" t="s">
        <v>25</v>
      </c>
      <c r="I586" t="s">
        <v>26</v>
      </c>
      <c r="J586" t="s">
        <v>25</v>
      </c>
      <c r="K586">
        <v>8</v>
      </c>
      <c r="L586">
        <v>0</v>
      </c>
      <c r="M586">
        <v>0</v>
      </c>
      <c r="N586">
        <v>0</v>
      </c>
      <c r="O586">
        <v>7</v>
      </c>
      <c r="P586">
        <v>6</v>
      </c>
      <c r="Q586">
        <v>5</v>
      </c>
      <c r="R586">
        <v>5</v>
      </c>
      <c r="S586">
        <v>5</v>
      </c>
      <c r="T586">
        <v>3</v>
      </c>
      <c r="U586">
        <v>3</v>
      </c>
      <c r="V586">
        <v>8</v>
      </c>
    </row>
    <row r="587" spans="1:22" x14ac:dyDescent="0.25">
      <c r="A587">
        <v>2025</v>
      </c>
      <c r="B587">
        <v>11</v>
      </c>
      <c r="C587" t="s">
        <v>37</v>
      </c>
      <c r="D587" t="s">
        <v>22</v>
      </c>
      <c r="E587" t="s">
        <v>37</v>
      </c>
      <c r="F587" t="s">
        <v>34</v>
      </c>
      <c r="G587" t="s">
        <v>28</v>
      </c>
      <c r="H587" t="s">
        <v>25</v>
      </c>
      <c r="I587" t="s">
        <v>26</v>
      </c>
      <c r="J587" t="s">
        <v>26</v>
      </c>
      <c r="K587">
        <v>1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1</v>
      </c>
    </row>
    <row r="588" spans="1:22" x14ac:dyDescent="0.25">
      <c r="A588">
        <v>2025</v>
      </c>
      <c r="B588">
        <v>11</v>
      </c>
      <c r="C588" t="s">
        <v>37</v>
      </c>
      <c r="D588" t="s">
        <v>22</v>
      </c>
      <c r="E588" t="s">
        <v>37</v>
      </c>
      <c r="F588" t="s">
        <v>23</v>
      </c>
      <c r="G588" t="s">
        <v>28</v>
      </c>
      <c r="H588" t="s">
        <v>25</v>
      </c>
      <c r="I588" t="s">
        <v>26</v>
      </c>
      <c r="J588" t="s">
        <v>25</v>
      </c>
      <c r="K588">
        <v>4247</v>
      </c>
      <c r="L588">
        <v>161</v>
      </c>
      <c r="M588">
        <v>551</v>
      </c>
      <c r="N588">
        <v>712</v>
      </c>
      <c r="O588">
        <v>2682</v>
      </c>
      <c r="P588">
        <v>2369</v>
      </c>
      <c r="Q588">
        <v>2224</v>
      </c>
      <c r="R588">
        <v>1794</v>
      </c>
      <c r="S588">
        <v>1435</v>
      </c>
      <c r="T588">
        <v>719</v>
      </c>
      <c r="U588">
        <v>187</v>
      </c>
      <c r="V588">
        <v>3904</v>
      </c>
    </row>
    <row r="589" spans="1:22" x14ac:dyDescent="0.25">
      <c r="A589">
        <v>2025</v>
      </c>
      <c r="B589">
        <v>11</v>
      </c>
      <c r="C589" t="s">
        <v>37</v>
      </c>
      <c r="D589" t="s">
        <v>22</v>
      </c>
      <c r="E589" t="s">
        <v>37</v>
      </c>
      <c r="F589" t="s">
        <v>23</v>
      </c>
      <c r="G589" t="s">
        <v>24</v>
      </c>
      <c r="H589" t="s">
        <v>25</v>
      </c>
      <c r="I589" t="s">
        <v>26</v>
      </c>
      <c r="J589" t="s">
        <v>25</v>
      </c>
      <c r="K589">
        <v>118</v>
      </c>
      <c r="L589">
        <v>0</v>
      </c>
      <c r="M589">
        <v>7</v>
      </c>
      <c r="N589">
        <v>7</v>
      </c>
      <c r="O589">
        <v>95</v>
      </c>
      <c r="P589">
        <v>84</v>
      </c>
      <c r="Q589">
        <v>80</v>
      </c>
      <c r="R589">
        <v>61</v>
      </c>
      <c r="S589">
        <v>45</v>
      </c>
      <c r="T589">
        <v>14</v>
      </c>
      <c r="U589">
        <v>6</v>
      </c>
      <c r="V589">
        <v>118</v>
      </c>
    </row>
    <row r="590" spans="1:22" x14ac:dyDescent="0.25">
      <c r="A590">
        <v>2025</v>
      </c>
      <c r="B590">
        <v>11</v>
      </c>
      <c r="C590" t="s">
        <v>37</v>
      </c>
      <c r="D590" t="s">
        <v>22</v>
      </c>
      <c r="E590" t="s">
        <v>37</v>
      </c>
      <c r="F590" t="s">
        <v>39</v>
      </c>
      <c r="G590" t="s">
        <v>28</v>
      </c>
      <c r="H590" t="s">
        <v>26</v>
      </c>
      <c r="I590" t="s">
        <v>26</v>
      </c>
      <c r="J590" t="s">
        <v>25</v>
      </c>
      <c r="K590">
        <v>14706</v>
      </c>
      <c r="L590">
        <v>334</v>
      </c>
      <c r="M590">
        <v>1276</v>
      </c>
      <c r="N590">
        <v>1610</v>
      </c>
      <c r="O590">
        <v>9699</v>
      </c>
      <c r="P590">
        <v>8670</v>
      </c>
      <c r="Q590">
        <v>8219</v>
      </c>
      <c r="R590">
        <v>6697</v>
      </c>
      <c r="S590">
        <v>5262</v>
      </c>
      <c r="T590">
        <v>2766</v>
      </c>
      <c r="U590">
        <v>840</v>
      </c>
      <c r="V590">
        <v>13889</v>
      </c>
    </row>
    <row r="591" spans="1:22" x14ac:dyDescent="0.25">
      <c r="A591">
        <v>2025</v>
      </c>
      <c r="B591">
        <v>11</v>
      </c>
      <c r="C591" t="s">
        <v>37</v>
      </c>
      <c r="D591" t="s">
        <v>22</v>
      </c>
      <c r="E591" t="s">
        <v>37</v>
      </c>
      <c r="F591" t="s">
        <v>36</v>
      </c>
      <c r="G591" t="s">
        <v>28</v>
      </c>
      <c r="H591" t="s">
        <v>25</v>
      </c>
      <c r="I591" t="s">
        <v>26</v>
      </c>
      <c r="J591" t="s">
        <v>25</v>
      </c>
      <c r="K591">
        <v>42</v>
      </c>
      <c r="L591">
        <v>0</v>
      </c>
      <c r="M591">
        <v>0</v>
      </c>
      <c r="N591">
        <v>0</v>
      </c>
      <c r="O591">
        <v>24</v>
      </c>
      <c r="P591">
        <v>23</v>
      </c>
      <c r="Q591">
        <v>21</v>
      </c>
      <c r="R591">
        <v>17</v>
      </c>
      <c r="S591">
        <v>13</v>
      </c>
      <c r="T591">
        <v>5</v>
      </c>
      <c r="U591">
        <v>2</v>
      </c>
      <c r="V591">
        <v>42</v>
      </c>
    </row>
    <row r="592" spans="1:22" x14ac:dyDescent="0.25">
      <c r="A592">
        <v>2025</v>
      </c>
      <c r="B592">
        <v>11</v>
      </c>
      <c r="C592" t="s">
        <v>37</v>
      </c>
      <c r="D592" t="s">
        <v>22</v>
      </c>
      <c r="E592" t="s">
        <v>37</v>
      </c>
      <c r="F592" t="s">
        <v>36</v>
      </c>
      <c r="G592" t="s">
        <v>29</v>
      </c>
      <c r="H592" t="s">
        <v>25</v>
      </c>
      <c r="I592" t="s">
        <v>26</v>
      </c>
      <c r="J592" t="s">
        <v>25</v>
      </c>
      <c r="K592">
        <v>2</v>
      </c>
      <c r="L592">
        <v>1</v>
      </c>
      <c r="M592">
        <v>0</v>
      </c>
      <c r="N592">
        <v>1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</row>
    <row r="593" spans="1:22" x14ac:dyDescent="0.25">
      <c r="A593">
        <v>2025</v>
      </c>
      <c r="B593">
        <v>11</v>
      </c>
      <c r="C593" t="s">
        <v>37</v>
      </c>
      <c r="D593" t="s">
        <v>22</v>
      </c>
      <c r="E593" t="s">
        <v>135</v>
      </c>
      <c r="F593" t="s">
        <v>32</v>
      </c>
      <c r="G593" t="s">
        <v>24</v>
      </c>
      <c r="H593" t="s">
        <v>25</v>
      </c>
      <c r="I593" t="s">
        <v>26</v>
      </c>
      <c r="J593" t="s">
        <v>25</v>
      </c>
      <c r="K593">
        <v>280</v>
      </c>
      <c r="L593">
        <v>11</v>
      </c>
      <c r="M593">
        <v>7</v>
      </c>
      <c r="N593">
        <v>18</v>
      </c>
      <c r="O593">
        <v>130</v>
      </c>
      <c r="P593">
        <v>102</v>
      </c>
      <c r="Q593">
        <v>97</v>
      </c>
      <c r="R593">
        <v>70</v>
      </c>
      <c r="S593">
        <v>47</v>
      </c>
      <c r="T593">
        <v>23</v>
      </c>
      <c r="U593">
        <v>14</v>
      </c>
      <c r="V593">
        <v>263</v>
      </c>
    </row>
    <row r="594" spans="1:22" x14ac:dyDescent="0.25">
      <c r="A594">
        <v>2025</v>
      </c>
      <c r="B594">
        <v>11</v>
      </c>
      <c r="C594" t="s">
        <v>37</v>
      </c>
      <c r="D594" t="s">
        <v>22</v>
      </c>
      <c r="E594" t="s">
        <v>135</v>
      </c>
      <c r="F594" t="s">
        <v>34</v>
      </c>
      <c r="G594" t="s">
        <v>24</v>
      </c>
      <c r="H594" t="s">
        <v>25</v>
      </c>
      <c r="I594" t="s">
        <v>26</v>
      </c>
      <c r="J594" t="s">
        <v>26</v>
      </c>
      <c r="K594">
        <v>1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1</v>
      </c>
    </row>
    <row r="595" spans="1:22" x14ac:dyDescent="0.25">
      <c r="A595">
        <v>2025</v>
      </c>
      <c r="B595">
        <v>11</v>
      </c>
      <c r="C595" t="s">
        <v>37</v>
      </c>
      <c r="D595" t="s">
        <v>22</v>
      </c>
      <c r="E595" t="s">
        <v>136</v>
      </c>
      <c r="F595" t="s">
        <v>34</v>
      </c>
      <c r="G595" t="s">
        <v>24</v>
      </c>
      <c r="H595" t="s">
        <v>25</v>
      </c>
      <c r="I595" t="s">
        <v>26</v>
      </c>
      <c r="J595" t="s">
        <v>26</v>
      </c>
      <c r="K595">
        <v>44</v>
      </c>
      <c r="L595">
        <v>0</v>
      </c>
      <c r="M595">
        <v>2</v>
      </c>
      <c r="N595">
        <v>2</v>
      </c>
      <c r="O595">
        <v>13</v>
      </c>
      <c r="P595">
        <v>12</v>
      </c>
      <c r="Q595">
        <v>11</v>
      </c>
      <c r="R595">
        <v>11</v>
      </c>
      <c r="S595">
        <v>9</v>
      </c>
      <c r="T595">
        <v>6</v>
      </c>
      <c r="U595">
        <v>3</v>
      </c>
      <c r="V595">
        <v>43</v>
      </c>
    </row>
    <row r="596" spans="1:22" x14ac:dyDescent="0.25">
      <c r="A596">
        <v>2025</v>
      </c>
      <c r="B596">
        <v>11</v>
      </c>
      <c r="C596" t="s">
        <v>37</v>
      </c>
      <c r="D596" t="s">
        <v>22</v>
      </c>
      <c r="E596" t="s">
        <v>137</v>
      </c>
      <c r="F596" t="s">
        <v>34</v>
      </c>
      <c r="G596" t="s">
        <v>24</v>
      </c>
      <c r="H596" t="s">
        <v>25</v>
      </c>
      <c r="I596" t="s">
        <v>26</v>
      </c>
      <c r="J596" t="s">
        <v>26</v>
      </c>
      <c r="K596">
        <v>1</v>
      </c>
      <c r="L596">
        <v>0</v>
      </c>
      <c r="M596">
        <v>0</v>
      </c>
      <c r="N596">
        <v>0</v>
      </c>
      <c r="O596">
        <v>1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1</v>
      </c>
    </row>
    <row r="597" spans="1:22" x14ac:dyDescent="0.25">
      <c r="A597">
        <v>2025</v>
      </c>
      <c r="B597">
        <v>11</v>
      </c>
      <c r="C597" t="s">
        <v>37</v>
      </c>
      <c r="D597" t="s">
        <v>22</v>
      </c>
      <c r="E597" t="s">
        <v>138</v>
      </c>
      <c r="F597" t="s">
        <v>34</v>
      </c>
      <c r="G597" t="s">
        <v>24</v>
      </c>
      <c r="H597" t="s">
        <v>25</v>
      </c>
      <c r="I597" t="s">
        <v>26</v>
      </c>
      <c r="J597" t="s">
        <v>26</v>
      </c>
      <c r="K597">
        <v>2</v>
      </c>
      <c r="L597">
        <v>0</v>
      </c>
      <c r="M597">
        <v>0</v>
      </c>
      <c r="N597">
        <v>0</v>
      </c>
      <c r="O597">
        <v>2</v>
      </c>
      <c r="P597">
        <v>2</v>
      </c>
      <c r="Q597">
        <v>2</v>
      </c>
      <c r="R597">
        <v>2</v>
      </c>
      <c r="S597">
        <v>2</v>
      </c>
      <c r="T597">
        <v>0</v>
      </c>
      <c r="U597">
        <v>0</v>
      </c>
      <c r="V597">
        <v>2</v>
      </c>
    </row>
    <row r="598" spans="1:22" x14ac:dyDescent="0.25">
      <c r="A598">
        <v>2025</v>
      </c>
      <c r="B598">
        <v>11</v>
      </c>
      <c r="C598" t="s">
        <v>37</v>
      </c>
      <c r="D598" t="s">
        <v>22</v>
      </c>
      <c r="E598" t="s">
        <v>139</v>
      </c>
      <c r="F598" t="s">
        <v>34</v>
      </c>
      <c r="G598" t="s">
        <v>24</v>
      </c>
      <c r="H598" t="s">
        <v>25</v>
      </c>
      <c r="I598" t="s">
        <v>26</v>
      </c>
      <c r="J598" t="s">
        <v>26</v>
      </c>
      <c r="K598">
        <v>54</v>
      </c>
      <c r="L598">
        <v>1</v>
      </c>
      <c r="M598">
        <v>0</v>
      </c>
      <c r="N598">
        <v>1</v>
      </c>
      <c r="O598">
        <v>36</v>
      </c>
      <c r="P598">
        <v>33</v>
      </c>
      <c r="Q598">
        <v>32</v>
      </c>
      <c r="R598">
        <v>28</v>
      </c>
      <c r="S598">
        <v>22</v>
      </c>
      <c r="T598">
        <v>10</v>
      </c>
      <c r="U598">
        <v>5</v>
      </c>
      <c r="V598">
        <v>53</v>
      </c>
    </row>
    <row r="599" spans="1:22" x14ac:dyDescent="0.25">
      <c r="A599">
        <v>2025</v>
      </c>
      <c r="B599">
        <v>11</v>
      </c>
      <c r="C599" t="s">
        <v>37</v>
      </c>
      <c r="D599" t="s">
        <v>22</v>
      </c>
      <c r="E599" t="s">
        <v>141</v>
      </c>
      <c r="F599" t="s">
        <v>34</v>
      </c>
      <c r="G599" t="s">
        <v>24</v>
      </c>
      <c r="H599" t="s">
        <v>25</v>
      </c>
      <c r="I599" t="s">
        <v>26</v>
      </c>
      <c r="J599" t="s">
        <v>26</v>
      </c>
      <c r="K599">
        <v>25</v>
      </c>
      <c r="L599">
        <v>0</v>
      </c>
      <c r="M599">
        <v>0</v>
      </c>
      <c r="N599">
        <v>0</v>
      </c>
      <c r="O599">
        <v>24</v>
      </c>
      <c r="P599">
        <v>22</v>
      </c>
      <c r="Q599">
        <v>21</v>
      </c>
      <c r="R599">
        <v>20</v>
      </c>
      <c r="S599">
        <v>17</v>
      </c>
      <c r="T599">
        <v>7</v>
      </c>
      <c r="U599">
        <v>4</v>
      </c>
      <c r="V599">
        <v>25</v>
      </c>
    </row>
    <row r="600" spans="1:22" x14ac:dyDescent="0.25">
      <c r="A600">
        <v>2025</v>
      </c>
      <c r="B600">
        <v>11</v>
      </c>
      <c r="C600" t="s">
        <v>37</v>
      </c>
      <c r="D600" t="s">
        <v>22</v>
      </c>
      <c r="E600" t="s">
        <v>142</v>
      </c>
      <c r="F600" t="s">
        <v>34</v>
      </c>
      <c r="G600" t="s">
        <v>24</v>
      </c>
      <c r="H600" t="s">
        <v>25</v>
      </c>
      <c r="I600" t="s">
        <v>26</v>
      </c>
      <c r="J600" t="s">
        <v>26</v>
      </c>
      <c r="K600">
        <v>31</v>
      </c>
      <c r="L600">
        <v>1</v>
      </c>
      <c r="M600">
        <v>0</v>
      </c>
      <c r="N600">
        <v>1</v>
      </c>
      <c r="O600">
        <v>15</v>
      </c>
      <c r="P600">
        <v>13</v>
      </c>
      <c r="Q600">
        <v>12</v>
      </c>
      <c r="R600">
        <v>10</v>
      </c>
      <c r="S600">
        <v>7</v>
      </c>
      <c r="T600">
        <v>3</v>
      </c>
      <c r="U600">
        <v>1</v>
      </c>
      <c r="V600">
        <v>30</v>
      </c>
    </row>
    <row r="601" spans="1:22" x14ac:dyDescent="0.25">
      <c r="A601">
        <v>2025</v>
      </c>
      <c r="B601">
        <v>11</v>
      </c>
      <c r="C601" t="s">
        <v>37</v>
      </c>
      <c r="D601" t="s">
        <v>22</v>
      </c>
      <c r="E601" t="s">
        <v>143</v>
      </c>
      <c r="F601" t="s">
        <v>39</v>
      </c>
      <c r="G601" t="s">
        <v>24</v>
      </c>
      <c r="H601" t="s">
        <v>26</v>
      </c>
      <c r="I601" t="s">
        <v>26</v>
      </c>
      <c r="J601" t="s">
        <v>25</v>
      </c>
      <c r="K601">
        <v>843</v>
      </c>
      <c r="L601">
        <v>0</v>
      </c>
      <c r="M601">
        <v>42</v>
      </c>
      <c r="N601">
        <v>42</v>
      </c>
      <c r="O601">
        <v>583</v>
      </c>
      <c r="P601">
        <v>488</v>
      </c>
      <c r="Q601">
        <v>461</v>
      </c>
      <c r="R601">
        <v>355</v>
      </c>
      <c r="S601">
        <v>276</v>
      </c>
      <c r="T601">
        <v>115</v>
      </c>
      <c r="U601">
        <v>26</v>
      </c>
      <c r="V601">
        <v>825</v>
      </c>
    </row>
    <row r="602" spans="1:22" x14ac:dyDescent="0.25">
      <c r="A602">
        <v>2025</v>
      </c>
      <c r="B602">
        <v>11</v>
      </c>
      <c r="C602" t="s">
        <v>37</v>
      </c>
      <c r="D602" t="s">
        <v>22</v>
      </c>
      <c r="E602" t="s">
        <v>144</v>
      </c>
      <c r="F602" t="s">
        <v>32</v>
      </c>
      <c r="G602" t="s">
        <v>24</v>
      </c>
      <c r="H602" t="s">
        <v>25</v>
      </c>
      <c r="I602" t="s">
        <v>26</v>
      </c>
      <c r="J602" t="s">
        <v>25</v>
      </c>
      <c r="K602">
        <v>96</v>
      </c>
      <c r="L602">
        <v>2</v>
      </c>
      <c r="M602">
        <v>8</v>
      </c>
      <c r="N602">
        <v>10</v>
      </c>
      <c r="O602">
        <v>65</v>
      </c>
      <c r="P602">
        <v>57</v>
      </c>
      <c r="Q602">
        <v>53</v>
      </c>
      <c r="R602">
        <v>42</v>
      </c>
      <c r="S602">
        <v>35</v>
      </c>
      <c r="T602">
        <v>15</v>
      </c>
      <c r="U602">
        <v>3</v>
      </c>
      <c r="V602">
        <v>90</v>
      </c>
    </row>
    <row r="603" spans="1:22" x14ac:dyDescent="0.25">
      <c r="A603">
        <v>2025</v>
      </c>
      <c r="B603">
        <v>11</v>
      </c>
      <c r="C603" t="s">
        <v>37</v>
      </c>
      <c r="D603" t="s">
        <v>22</v>
      </c>
      <c r="E603" t="s">
        <v>144</v>
      </c>
      <c r="F603" t="s">
        <v>38</v>
      </c>
      <c r="G603" t="s">
        <v>24</v>
      </c>
      <c r="H603" t="s">
        <v>25</v>
      </c>
      <c r="I603" t="s">
        <v>26</v>
      </c>
      <c r="J603" t="s">
        <v>25</v>
      </c>
      <c r="K603">
        <v>5</v>
      </c>
      <c r="L603">
        <v>0</v>
      </c>
      <c r="M603">
        <v>0</v>
      </c>
      <c r="N603">
        <v>0</v>
      </c>
      <c r="O603">
        <v>5</v>
      </c>
      <c r="P603">
        <v>5</v>
      </c>
      <c r="Q603">
        <v>5</v>
      </c>
      <c r="R603">
        <v>5</v>
      </c>
      <c r="S603">
        <v>1</v>
      </c>
      <c r="T603">
        <v>0</v>
      </c>
      <c r="U603">
        <v>0</v>
      </c>
      <c r="V603">
        <v>5</v>
      </c>
    </row>
    <row r="604" spans="1:22" x14ac:dyDescent="0.25">
      <c r="A604">
        <v>2025</v>
      </c>
      <c r="B604">
        <v>11</v>
      </c>
      <c r="C604" t="s">
        <v>37</v>
      </c>
      <c r="D604" t="s">
        <v>22</v>
      </c>
      <c r="E604" t="s">
        <v>144</v>
      </c>
      <c r="F604" t="s">
        <v>23</v>
      </c>
      <c r="G604" t="s">
        <v>24</v>
      </c>
      <c r="H604" t="s">
        <v>25</v>
      </c>
      <c r="I604" t="s">
        <v>26</v>
      </c>
      <c r="J604" t="s">
        <v>25</v>
      </c>
      <c r="K604">
        <v>167</v>
      </c>
      <c r="L604">
        <v>2</v>
      </c>
      <c r="M604">
        <v>7</v>
      </c>
      <c r="N604">
        <v>9</v>
      </c>
      <c r="O604">
        <v>84</v>
      </c>
      <c r="P604">
        <v>74</v>
      </c>
      <c r="Q604">
        <v>71</v>
      </c>
      <c r="R604">
        <v>56</v>
      </c>
      <c r="S604">
        <v>45</v>
      </c>
      <c r="T604">
        <v>15</v>
      </c>
      <c r="U604">
        <v>4</v>
      </c>
      <c r="V604">
        <v>162</v>
      </c>
    </row>
    <row r="605" spans="1:22" x14ac:dyDescent="0.25">
      <c r="A605">
        <v>2025</v>
      </c>
      <c r="B605">
        <v>11</v>
      </c>
      <c r="C605" t="s">
        <v>37</v>
      </c>
      <c r="D605" t="s">
        <v>22</v>
      </c>
      <c r="E605" t="s">
        <v>144</v>
      </c>
      <c r="F605" t="s">
        <v>39</v>
      </c>
      <c r="G605" t="s">
        <v>24</v>
      </c>
      <c r="H605" t="s">
        <v>26</v>
      </c>
      <c r="I605" t="s">
        <v>26</v>
      </c>
      <c r="J605" t="s">
        <v>25</v>
      </c>
      <c r="K605">
        <v>679</v>
      </c>
      <c r="L605">
        <v>4</v>
      </c>
      <c r="M605">
        <v>57</v>
      </c>
      <c r="N605">
        <v>61</v>
      </c>
      <c r="O605">
        <v>526</v>
      </c>
      <c r="P605">
        <v>484</v>
      </c>
      <c r="Q605">
        <v>466</v>
      </c>
      <c r="R605">
        <v>414</v>
      </c>
      <c r="S605">
        <v>359</v>
      </c>
      <c r="T605">
        <v>211</v>
      </c>
      <c r="U605">
        <v>73</v>
      </c>
      <c r="V605">
        <v>659</v>
      </c>
    </row>
    <row r="606" spans="1:22" x14ac:dyDescent="0.25">
      <c r="A606">
        <v>2025</v>
      </c>
      <c r="B606">
        <v>11</v>
      </c>
      <c r="C606" t="s">
        <v>37</v>
      </c>
      <c r="D606" t="s">
        <v>22</v>
      </c>
      <c r="E606" t="s">
        <v>144</v>
      </c>
      <c r="F606" t="s">
        <v>36</v>
      </c>
      <c r="G606" t="s">
        <v>24</v>
      </c>
      <c r="H606" t="s">
        <v>25</v>
      </c>
      <c r="I606" t="s">
        <v>26</v>
      </c>
      <c r="J606" t="s">
        <v>25</v>
      </c>
      <c r="K606">
        <v>135</v>
      </c>
      <c r="L606">
        <v>5</v>
      </c>
      <c r="M606">
        <v>1</v>
      </c>
      <c r="N606">
        <v>6</v>
      </c>
      <c r="O606">
        <v>80</v>
      </c>
      <c r="P606">
        <v>66</v>
      </c>
      <c r="Q606">
        <v>59</v>
      </c>
      <c r="R606">
        <v>45</v>
      </c>
      <c r="S606">
        <v>34</v>
      </c>
      <c r="T606">
        <v>10</v>
      </c>
      <c r="U606">
        <v>4</v>
      </c>
      <c r="V606">
        <v>130</v>
      </c>
    </row>
    <row r="607" spans="1:22" x14ac:dyDescent="0.25">
      <c r="A607">
        <v>2025</v>
      </c>
      <c r="B607">
        <v>11</v>
      </c>
      <c r="C607" t="s">
        <v>37</v>
      </c>
      <c r="D607" t="s">
        <v>22</v>
      </c>
      <c r="E607" t="s">
        <v>145</v>
      </c>
      <c r="F607" t="s">
        <v>32</v>
      </c>
      <c r="G607" t="s">
        <v>24</v>
      </c>
      <c r="H607" t="s">
        <v>25</v>
      </c>
      <c r="I607" t="s">
        <v>26</v>
      </c>
      <c r="J607" t="s">
        <v>25</v>
      </c>
      <c r="K607">
        <v>240</v>
      </c>
      <c r="L607">
        <v>1</v>
      </c>
      <c r="M607">
        <v>0</v>
      </c>
      <c r="N607">
        <v>1</v>
      </c>
      <c r="O607">
        <v>216</v>
      </c>
      <c r="P607">
        <v>195</v>
      </c>
      <c r="Q607">
        <v>188</v>
      </c>
      <c r="R607">
        <v>154</v>
      </c>
      <c r="S607">
        <v>109</v>
      </c>
      <c r="T607">
        <v>54</v>
      </c>
      <c r="U607">
        <v>5</v>
      </c>
      <c r="V607">
        <v>239</v>
      </c>
    </row>
    <row r="608" spans="1:22" x14ac:dyDescent="0.25">
      <c r="A608">
        <v>2025</v>
      </c>
      <c r="B608">
        <v>11</v>
      </c>
      <c r="C608" t="s">
        <v>37</v>
      </c>
      <c r="D608" t="s">
        <v>22</v>
      </c>
      <c r="E608" t="s">
        <v>145</v>
      </c>
      <c r="F608" t="s">
        <v>38</v>
      </c>
      <c r="G608" t="s">
        <v>24</v>
      </c>
      <c r="H608" t="s">
        <v>25</v>
      </c>
      <c r="I608" t="s">
        <v>26</v>
      </c>
      <c r="J608" t="s">
        <v>25</v>
      </c>
      <c r="K608">
        <v>24</v>
      </c>
      <c r="L608">
        <v>0</v>
      </c>
      <c r="M608">
        <v>0</v>
      </c>
      <c r="N608">
        <v>0</v>
      </c>
      <c r="O608">
        <v>22</v>
      </c>
      <c r="P608">
        <v>20</v>
      </c>
      <c r="Q608">
        <v>19</v>
      </c>
      <c r="R608">
        <v>12</v>
      </c>
      <c r="S608">
        <v>8</v>
      </c>
      <c r="T608">
        <v>3</v>
      </c>
      <c r="U608">
        <v>0</v>
      </c>
      <c r="V608">
        <v>24</v>
      </c>
    </row>
    <row r="609" spans="1:22" x14ac:dyDescent="0.25">
      <c r="A609">
        <v>2025</v>
      </c>
      <c r="B609">
        <v>11</v>
      </c>
      <c r="C609" t="s">
        <v>37</v>
      </c>
      <c r="D609" t="s">
        <v>22</v>
      </c>
      <c r="E609" t="s">
        <v>147</v>
      </c>
      <c r="F609" t="s">
        <v>32</v>
      </c>
      <c r="G609" t="s">
        <v>24</v>
      </c>
      <c r="H609" t="s">
        <v>25</v>
      </c>
      <c r="I609" t="s">
        <v>26</v>
      </c>
      <c r="J609" t="s">
        <v>25</v>
      </c>
      <c r="K609">
        <v>56</v>
      </c>
      <c r="L609">
        <v>0</v>
      </c>
      <c r="M609">
        <v>2</v>
      </c>
      <c r="N609">
        <v>2</v>
      </c>
      <c r="O609">
        <v>43</v>
      </c>
      <c r="P609">
        <v>36</v>
      </c>
      <c r="Q609">
        <v>35</v>
      </c>
      <c r="R609">
        <v>30</v>
      </c>
      <c r="S609">
        <v>27</v>
      </c>
      <c r="T609">
        <v>18</v>
      </c>
      <c r="U609">
        <v>5</v>
      </c>
      <c r="V609">
        <v>56</v>
      </c>
    </row>
    <row r="610" spans="1:22" x14ac:dyDescent="0.25">
      <c r="A610">
        <v>2025</v>
      </c>
      <c r="B610">
        <v>11</v>
      </c>
      <c r="C610" t="s">
        <v>37</v>
      </c>
      <c r="D610" t="s">
        <v>22</v>
      </c>
      <c r="E610" t="s">
        <v>147</v>
      </c>
      <c r="F610" t="s">
        <v>36</v>
      </c>
      <c r="G610" t="s">
        <v>24</v>
      </c>
      <c r="H610" t="s">
        <v>25</v>
      </c>
      <c r="I610" t="s">
        <v>26</v>
      </c>
      <c r="J610" t="s">
        <v>25</v>
      </c>
      <c r="K610">
        <v>230</v>
      </c>
      <c r="L610">
        <v>1</v>
      </c>
      <c r="M610">
        <v>6</v>
      </c>
      <c r="N610">
        <v>7</v>
      </c>
      <c r="O610">
        <v>154</v>
      </c>
      <c r="P610">
        <v>134</v>
      </c>
      <c r="Q610">
        <v>129</v>
      </c>
      <c r="R610">
        <v>98</v>
      </c>
      <c r="S610">
        <v>75</v>
      </c>
      <c r="T610">
        <v>30</v>
      </c>
      <c r="U610">
        <v>8</v>
      </c>
      <c r="V610">
        <v>227</v>
      </c>
    </row>
    <row r="611" spans="1:22" x14ac:dyDescent="0.25">
      <c r="A611">
        <v>2025</v>
      </c>
      <c r="B611">
        <v>11</v>
      </c>
      <c r="C611" t="s">
        <v>37</v>
      </c>
      <c r="D611" t="s">
        <v>22</v>
      </c>
      <c r="E611" t="s">
        <v>148</v>
      </c>
      <c r="F611" t="s">
        <v>32</v>
      </c>
      <c r="G611" t="s">
        <v>24</v>
      </c>
      <c r="H611" t="s">
        <v>25</v>
      </c>
      <c r="I611" t="s">
        <v>26</v>
      </c>
      <c r="J611" t="s">
        <v>25</v>
      </c>
      <c r="K611">
        <v>576</v>
      </c>
      <c r="L611">
        <v>15</v>
      </c>
      <c r="M611">
        <v>7</v>
      </c>
      <c r="N611">
        <v>22</v>
      </c>
      <c r="O611">
        <v>344</v>
      </c>
      <c r="P611">
        <v>298</v>
      </c>
      <c r="Q611">
        <v>277</v>
      </c>
      <c r="R611">
        <v>212</v>
      </c>
      <c r="S611">
        <v>153</v>
      </c>
      <c r="T611">
        <v>59</v>
      </c>
      <c r="U611">
        <v>12</v>
      </c>
      <c r="V611">
        <v>556</v>
      </c>
    </row>
    <row r="612" spans="1:22" x14ac:dyDescent="0.25">
      <c r="A612">
        <v>2025</v>
      </c>
      <c r="B612">
        <v>11</v>
      </c>
      <c r="C612" t="s">
        <v>37</v>
      </c>
      <c r="D612" t="s">
        <v>22</v>
      </c>
      <c r="E612" t="s">
        <v>149</v>
      </c>
      <c r="F612" t="s">
        <v>32</v>
      </c>
      <c r="G612" t="s">
        <v>24</v>
      </c>
      <c r="H612" t="s">
        <v>25</v>
      </c>
      <c r="I612" t="s">
        <v>26</v>
      </c>
      <c r="J612" t="s">
        <v>25</v>
      </c>
      <c r="K612">
        <v>71</v>
      </c>
      <c r="L612">
        <v>2</v>
      </c>
      <c r="M612">
        <v>9</v>
      </c>
      <c r="N612">
        <v>11</v>
      </c>
      <c r="O612">
        <v>50</v>
      </c>
      <c r="P612">
        <v>49</v>
      </c>
      <c r="Q612">
        <v>49</v>
      </c>
      <c r="R612">
        <v>47</v>
      </c>
      <c r="S612">
        <v>46</v>
      </c>
      <c r="T612">
        <v>36</v>
      </c>
      <c r="U612">
        <v>19</v>
      </c>
      <c r="V612">
        <v>64</v>
      </c>
    </row>
    <row r="613" spans="1:22" x14ac:dyDescent="0.25">
      <c r="A613">
        <v>2025</v>
      </c>
      <c r="B613">
        <v>11</v>
      </c>
      <c r="C613" t="s">
        <v>37</v>
      </c>
      <c r="D613" t="s">
        <v>22</v>
      </c>
      <c r="E613" t="s">
        <v>149</v>
      </c>
      <c r="F613" t="s">
        <v>38</v>
      </c>
      <c r="G613" t="s">
        <v>24</v>
      </c>
      <c r="H613" t="s">
        <v>25</v>
      </c>
      <c r="I613" t="s">
        <v>26</v>
      </c>
      <c r="J613" t="s">
        <v>25</v>
      </c>
      <c r="K613">
        <v>3</v>
      </c>
      <c r="L613">
        <v>0</v>
      </c>
      <c r="M613">
        <v>0</v>
      </c>
      <c r="N613">
        <v>0</v>
      </c>
      <c r="O613">
        <v>2</v>
      </c>
      <c r="P613">
        <v>1</v>
      </c>
      <c r="Q613">
        <v>1</v>
      </c>
      <c r="R613">
        <v>1</v>
      </c>
      <c r="S613">
        <v>1</v>
      </c>
      <c r="T613">
        <v>1</v>
      </c>
      <c r="U613">
        <v>0</v>
      </c>
      <c r="V613">
        <v>3</v>
      </c>
    </row>
    <row r="614" spans="1:22" x14ac:dyDescent="0.25">
      <c r="A614">
        <v>2025</v>
      </c>
      <c r="B614">
        <v>11</v>
      </c>
      <c r="C614" t="s">
        <v>37</v>
      </c>
      <c r="D614" t="s">
        <v>22</v>
      </c>
      <c r="E614" t="s">
        <v>149</v>
      </c>
      <c r="F614" t="s">
        <v>23</v>
      </c>
      <c r="G614" t="s">
        <v>24</v>
      </c>
      <c r="H614" t="s">
        <v>25</v>
      </c>
      <c r="I614" t="s">
        <v>26</v>
      </c>
      <c r="J614" t="s">
        <v>25</v>
      </c>
      <c r="K614">
        <v>331</v>
      </c>
      <c r="L614">
        <v>1</v>
      </c>
      <c r="M614">
        <v>12</v>
      </c>
      <c r="N614">
        <v>13</v>
      </c>
      <c r="O614">
        <v>208</v>
      </c>
      <c r="P614">
        <v>171</v>
      </c>
      <c r="Q614">
        <v>158</v>
      </c>
      <c r="R614">
        <v>126</v>
      </c>
      <c r="S614">
        <v>92</v>
      </c>
      <c r="T614">
        <v>59</v>
      </c>
      <c r="U614">
        <v>24</v>
      </c>
      <c r="V614">
        <v>328</v>
      </c>
    </row>
    <row r="615" spans="1:22" x14ac:dyDescent="0.25">
      <c r="A615">
        <v>2025</v>
      </c>
      <c r="B615">
        <v>11</v>
      </c>
      <c r="C615" t="s">
        <v>37</v>
      </c>
      <c r="D615" t="s">
        <v>22</v>
      </c>
      <c r="E615" t="s">
        <v>149</v>
      </c>
      <c r="F615" t="s">
        <v>39</v>
      </c>
      <c r="G615" t="s">
        <v>24</v>
      </c>
      <c r="H615" t="s">
        <v>26</v>
      </c>
      <c r="I615" t="s">
        <v>26</v>
      </c>
      <c r="J615" t="s">
        <v>25</v>
      </c>
      <c r="K615">
        <v>1174</v>
      </c>
      <c r="L615">
        <v>16</v>
      </c>
      <c r="M615">
        <v>74</v>
      </c>
      <c r="N615">
        <v>90</v>
      </c>
      <c r="O615">
        <v>850</v>
      </c>
      <c r="P615">
        <v>751</v>
      </c>
      <c r="Q615">
        <v>713</v>
      </c>
      <c r="R615">
        <v>610</v>
      </c>
      <c r="S615">
        <v>491</v>
      </c>
      <c r="T615">
        <v>268</v>
      </c>
      <c r="U615">
        <v>78</v>
      </c>
      <c r="V615">
        <v>1135</v>
      </c>
    </row>
    <row r="616" spans="1:22" x14ac:dyDescent="0.25">
      <c r="A616">
        <v>2025</v>
      </c>
      <c r="B616">
        <v>11</v>
      </c>
      <c r="C616" t="s">
        <v>37</v>
      </c>
      <c r="D616" t="s">
        <v>22</v>
      </c>
      <c r="E616" t="s">
        <v>150</v>
      </c>
      <c r="F616" t="s">
        <v>38</v>
      </c>
      <c r="G616" t="s">
        <v>24</v>
      </c>
      <c r="H616" t="s">
        <v>25</v>
      </c>
      <c r="I616" t="s">
        <v>26</v>
      </c>
      <c r="J616" t="s">
        <v>25</v>
      </c>
      <c r="K616">
        <v>27</v>
      </c>
      <c r="L616">
        <v>0</v>
      </c>
      <c r="M616">
        <v>0</v>
      </c>
      <c r="N616">
        <v>0</v>
      </c>
      <c r="O616">
        <v>17</v>
      </c>
      <c r="P616">
        <v>15</v>
      </c>
      <c r="Q616">
        <v>11</v>
      </c>
      <c r="R616">
        <v>8</v>
      </c>
      <c r="S616">
        <v>4</v>
      </c>
      <c r="T616">
        <v>2</v>
      </c>
      <c r="U616">
        <v>0</v>
      </c>
      <c r="V616">
        <v>27</v>
      </c>
    </row>
    <row r="617" spans="1:22" x14ac:dyDescent="0.25">
      <c r="A617">
        <v>2025</v>
      </c>
      <c r="B617">
        <v>11</v>
      </c>
      <c r="C617" t="s">
        <v>37</v>
      </c>
      <c r="D617" t="s">
        <v>22</v>
      </c>
      <c r="E617" t="s">
        <v>151</v>
      </c>
      <c r="F617" t="s">
        <v>39</v>
      </c>
      <c r="G617" t="s">
        <v>24</v>
      </c>
      <c r="H617" t="s">
        <v>26</v>
      </c>
      <c r="I617" t="s">
        <v>26</v>
      </c>
      <c r="J617" t="s">
        <v>25</v>
      </c>
      <c r="K617">
        <v>425</v>
      </c>
      <c r="L617">
        <v>2</v>
      </c>
      <c r="M617">
        <v>9</v>
      </c>
      <c r="N617">
        <v>11</v>
      </c>
      <c r="O617">
        <v>259</v>
      </c>
      <c r="P617">
        <v>223</v>
      </c>
      <c r="Q617">
        <v>211</v>
      </c>
      <c r="R617">
        <v>159</v>
      </c>
      <c r="S617">
        <v>118</v>
      </c>
      <c r="T617">
        <v>39</v>
      </c>
      <c r="U617">
        <v>4</v>
      </c>
      <c r="V617">
        <v>418</v>
      </c>
    </row>
    <row r="618" spans="1:22" x14ac:dyDescent="0.25">
      <c r="A618">
        <v>2025</v>
      </c>
      <c r="B618">
        <v>11</v>
      </c>
      <c r="C618" t="s">
        <v>37</v>
      </c>
      <c r="D618" t="s">
        <v>22</v>
      </c>
      <c r="E618" t="s">
        <v>123</v>
      </c>
      <c r="F618" t="s">
        <v>39</v>
      </c>
      <c r="G618" t="s">
        <v>24</v>
      </c>
      <c r="H618" t="s">
        <v>26</v>
      </c>
      <c r="I618" t="s">
        <v>26</v>
      </c>
      <c r="J618" t="s">
        <v>25</v>
      </c>
      <c r="K618">
        <v>394</v>
      </c>
      <c r="L618">
        <v>7</v>
      </c>
      <c r="M618">
        <v>6</v>
      </c>
      <c r="N618">
        <v>13</v>
      </c>
      <c r="O618">
        <v>271</v>
      </c>
      <c r="P618">
        <v>223</v>
      </c>
      <c r="Q618">
        <v>194</v>
      </c>
      <c r="R618">
        <v>148</v>
      </c>
      <c r="S618">
        <v>104</v>
      </c>
      <c r="T618">
        <v>35</v>
      </c>
      <c r="U618">
        <v>9</v>
      </c>
      <c r="V618">
        <v>384</v>
      </c>
    </row>
    <row r="619" spans="1:22" x14ac:dyDescent="0.25">
      <c r="A619">
        <v>2025</v>
      </c>
      <c r="B619">
        <v>11</v>
      </c>
      <c r="C619" t="s">
        <v>37</v>
      </c>
      <c r="D619" t="s">
        <v>22</v>
      </c>
      <c r="E619" t="s">
        <v>123</v>
      </c>
      <c r="F619" t="s">
        <v>42</v>
      </c>
      <c r="G619" t="s">
        <v>24</v>
      </c>
      <c r="H619" t="s">
        <v>26</v>
      </c>
      <c r="I619" t="s">
        <v>26</v>
      </c>
      <c r="J619" t="s">
        <v>25</v>
      </c>
      <c r="K619">
        <v>402</v>
      </c>
      <c r="L619">
        <v>0</v>
      </c>
      <c r="M619">
        <v>3</v>
      </c>
      <c r="N619">
        <v>3</v>
      </c>
      <c r="O619">
        <v>269</v>
      </c>
      <c r="P619">
        <v>218</v>
      </c>
      <c r="Q619">
        <v>204</v>
      </c>
      <c r="R619">
        <v>157</v>
      </c>
      <c r="S619">
        <v>118</v>
      </c>
      <c r="T619">
        <v>45</v>
      </c>
      <c r="U619">
        <v>7</v>
      </c>
      <c r="V619">
        <v>399</v>
      </c>
    </row>
    <row r="620" spans="1:22" x14ac:dyDescent="0.25">
      <c r="A620">
        <v>2025</v>
      </c>
      <c r="B620">
        <v>11</v>
      </c>
      <c r="C620" t="s">
        <v>37</v>
      </c>
      <c r="D620" t="s">
        <v>22</v>
      </c>
      <c r="E620" t="s">
        <v>43</v>
      </c>
      <c r="F620" t="s">
        <v>23</v>
      </c>
      <c r="G620" t="s">
        <v>24</v>
      </c>
      <c r="H620" t="s">
        <v>25</v>
      </c>
      <c r="I620" t="s">
        <v>26</v>
      </c>
      <c r="J620" t="s">
        <v>25</v>
      </c>
      <c r="K620">
        <v>245</v>
      </c>
      <c r="L620">
        <v>2</v>
      </c>
      <c r="M620">
        <v>0</v>
      </c>
      <c r="N620">
        <v>2</v>
      </c>
      <c r="O620">
        <v>102</v>
      </c>
      <c r="P620">
        <v>69</v>
      </c>
      <c r="Q620">
        <v>56</v>
      </c>
      <c r="R620">
        <v>29</v>
      </c>
      <c r="S620">
        <v>11</v>
      </c>
      <c r="T620">
        <v>2</v>
      </c>
      <c r="U620">
        <v>0</v>
      </c>
      <c r="V620">
        <v>243</v>
      </c>
    </row>
    <row r="621" spans="1:22" x14ac:dyDescent="0.25">
      <c r="A621">
        <v>2025</v>
      </c>
      <c r="B621">
        <v>11</v>
      </c>
      <c r="C621" t="s">
        <v>37</v>
      </c>
      <c r="D621" t="s">
        <v>22</v>
      </c>
      <c r="E621" t="s">
        <v>52</v>
      </c>
      <c r="F621" t="s">
        <v>34</v>
      </c>
      <c r="G621" t="s">
        <v>24</v>
      </c>
      <c r="H621" t="s">
        <v>25</v>
      </c>
      <c r="I621" t="s">
        <v>26</v>
      </c>
      <c r="J621" t="s">
        <v>26</v>
      </c>
      <c r="K621">
        <v>4</v>
      </c>
      <c r="L621">
        <v>0</v>
      </c>
      <c r="M621">
        <v>0</v>
      </c>
      <c r="N621">
        <v>0</v>
      </c>
      <c r="O621">
        <v>4</v>
      </c>
      <c r="P621">
        <v>3</v>
      </c>
      <c r="Q621">
        <v>3</v>
      </c>
      <c r="R621">
        <v>1</v>
      </c>
      <c r="S621">
        <v>1</v>
      </c>
      <c r="T621">
        <v>1</v>
      </c>
      <c r="U621">
        <v>1</v>
      </c>
      <c r="V621">
        <v>4</v>
      </c>
    </row>
    <row r="622" spans="1:22" x14ac:dyDescent="0.25">
      <c r="A622">
        <v>2025</v>
      </c>
      <c r="B622">
        <v>11</v>
      </c>
      <c r="C622" t="s">
        <v>37</v>
      </c>
      <c r="D622" t="s">
        <v>22</v>
      </c>
      <c r="E622" t="s">
        <v>61</v>
      </c>
      <c r="F622" t="s">
        <v>34</v>
      </c>
      <c r="G622" t="s">
        <v>24</v>
      </c>
      <c r="H622" t="s">
        <v>25</v>
      </c>
      <c r="I622" t="s">
        <v>26</v>
      </c>
      <c r="J622" t="s">
        <v>26</v>
      </c>
      <c r="K622">
        <v>2</v>
      </c>
      <c r="L622">
        <v>0</v>
      </c>
      <c r="M622">
        <v>0</v>
      </c>
      <c r="N622">
        <v>0</v>
      </c>
      <c r="O622">
        <v>2</v>
      </c>
      <c r="P622">
        <v>2</v>
      </c>
      <c r="Q622">
        <v>2</v>
      </c>
      <c r="R622">
        <v>1</v>
      </c>
      <c r="S622">
        <v>1</v>
      </c>
      <c r="T622">
        <v>1</v>
      </c>
      <c r="U622">
        <v>1</v>
      </c>
      <c r="V622">
        <v>2</v>
      </c>
    </row>
    <row r="623" spans="1:22" x14ac:dyDescent="0.25">
      <c r="A623">
        <v>2025</v>
      </c>
      <c r="B623">
        <v>11</v>
      </c>
      <c r="C623" t="s">
        <v>37</v>
      </c>
      <c r="D623" t="s">
        <v>22</v>
      </c>
      <c r="E623" t="s">
        <v>61</v>
      </c>
      <c r="F623" t="s">
        <v>35</v>
      </c>
      <c r="G623" t="s">
        <v>28</v>
      </c>
      <c r="H623" t="s">
        <v>25</v>
      </c>
      <c r="I623" t="s">
        <v>26</v>
      </c>
      <c r="J623" t="s">
        <v>26</v>
      </c>
      <c r="K623">
        <v>26</v>
      </c>
      <c r="L623">
        <v>5</v>
      </c>
      <c r="M623">
        <v>1</v>
      </c>
      <c r="N623">
        <v>6</v>
      </c>
      <c r="O623">
        <v>14</v>
      </c>
      <c r="P623">
        <v>13</v>
      </c>
      <c r="Q623">
        <v>13</v>
      </c>
      <c r="R623">
        <v>11</v>
      </c>
      <c r="S623">
        <v>7</v>
      </c>
      <c r="T623">
        <v>5</v>
      </c>
      <c r="U623">
        <v>3</v>
      </c>
      <c r="V623">
        <v>21</v>
      </c>
    </row>
    <row r="624" spans="1:22" x14ac:dyDescent="0.25">
      <c r="A624">
        <v>2025</v>
      </c>
      <c r="B624">
        <v>11</v>
      </c>
      <c r="C624" t="s">
        <v>37</v>
      </c>
      <c r="D624" t="s">
        <v>22</v>
      </c>
      <c r="E624" t="s">
        <v>61</v>
      </c>
      <c r="F624" t="s">
        <v>35</v>
      </c>
      <c r="G624" t="s">
        <v>24</v>
      </c>
      <c r="H624" t="s">
        <v>25</v>
      </c>
      <c r="I624" t="s">
        <v>26</v>
      </c>
      <c r="J624" t="s">
        <v>26</v>
      </c>
      <c r="K624">
        <v>688</v>
      </c>
      <c r="L624">
        <v>10</v>
      </c>
      <c r="M624">
        <v>31</v>
      </c>
      <c r="N624">
        <v>41</v>
      </c>
      <c r="O624">
        <v>456</v>
      </c>
      <c r="P624">
        <v>420</v>
      </c>
      <c r="Q624">
        <v>403</v>
      </c>
      <c r="R624">
        <v>350</v>
      </c>
      <c r="S624">
        <v>300</v>
      </c>
      <c r="T624">
        <v>220</v>
      </c>
      <c r="U624">
        <v>107</v>
      </c>
      <c r="V624">
        <v>668</v>
      </c>
    </row>
    <row r="625" spans="1:22" x14ac:dyDescent="0.25">
      <c r="A625">
        <v>2025</v>
      </c>
      <c r="B625">
        <v>11</v>
      </c>
      <c r="C625" t="s">
        <v>37</v>
      </c>
      <c r="D625" t="s">
        <v>22</v>
      </c>
      <c r="E625" t="s">
        <v>61</v>
      </c>
      <c r="F625" t="s">
        <v>41</v>
      </c>
      <c r="G625" t="s">
        <v>24</v>
      </c>
      <c r="H625" t="s">
        <v>26</v>
      </c>
      <c r="I625" t="s">
        <v>26</v>
      </c>
      <c r="J625" t="s">
        <v>25</v>
      </c>
      <c r="K625">
        <v>353</v>
      </c>
      <c r="L625">
        <v>0</v>
      </c>
      <c r="M625">
        <v>4</v>
      </c>
      <c r="N625">
        <v>4</v>
      </c>
      <c r="O625">
        <v>273</v>
      </c>
      <c r="P625">
        <v>233</v>
      </c>
      <c r="Q625">
        <v>216</v>
      </c>
      <c r="R625">
        <v>176</v>
      </c>
      <c r="S625">
        <v>138</v>
      </c>
      <c r="T625">
        <v>64</v>
      </c>
      <c r="U625">
        <v>11</v>
      </c>
      <c r="V625">
        <v>351</v>
      </c>
    </row>
    <row r="626" spans="1:22" x14ac:dyDescent="0.25">
      <c r="A626">
        <v>2025</v>
      </c>
      <c r="B626">
        <v>11</v>
      </c>
      <c r="C626" t="s">
        <v>37</v>
      </c>
      <c r="D626" t="s">
        <v>22</v>
      </c>
      <c r="E626" t="s">
        <v>61</v>
      </c>
      <c r="F626" t="s">
        <v>41</v>
      </c>
      <c r="G626" t="s">
        <v>29</v>
      </c>
      <c r="H626" t="s">
        <v>26</v>
      </c>
      <c r="I626" t="s">
        <v>26</v>
      </c>
      <c r="J626" t="s">
        <v>25</v>
      </c>
      <c r="K626">
        <v>1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</row>
    <row r="627" spans="1:22" x14ac:dyDescent="0.25">
      <c r="A627">
        <v>2025</v>
      </c>
      <c r="B627">
        <v>11</v>
      </c>
      <c r="C627" t="s">
        <v>37</v>
      </c>
      <c r="D627" t="s">
        <v>22</v>
      </c>
      <c r="E627" t="s">
        <v>66</v>
      </c>
      <c r="F627" t="s">
        <v>34</v>
      </c>
      <c r="G627" t="s">
        <v>28</v>
      </c>
      <c r="H627" t="s">
        <v>25</v>
      </c>
      <c r="I627" t="s">
        <v>26</v>
      </c>
      <c r="J627" t="s">
        <v>26</v>
      </c>
      <c r="K627">
        <v>1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1</v>
      </c>
    </row>
    <row r="628" spans="1:22" x14ac:dyDescent="0.25">
      <c r="A628">
        <v>2025</v>
      </c>
      <c r="B628">
        <v>11</v>
      </c>
      <c r="C628" t="s">
        <v>37</v>
      </c>
      <c r="D628" t="s">
        <v>22</v>
      </c>
      <c r="E628" t="s">
        <v>66</v>
      </c>
      <c r="F628" t="s">
        <v>34</v>
      </c>
      <c r="G628" t="s">
        <v>24</v>
      </c>
      <c r="H628" t="s">
        <v>25</v>
      </c>
      <c r="I628" t="s">
        <v>26</v>
      </c>
      <c r="J628" t="s">
        <v>26</v>
      </c>
      <c r="K628">
        <v>1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1</v>
      </c>
    </row>
    <row r="629" spans="1:22" x14ac:dyDescent="0.25">
      <c r="A629">
        <v>2025</v>
      </c>
      <c r="B629">
        <v>11</v>
      </c>
      <c r="C629" t="s">
        <v>37</v>
      </c>
      <c r="D629" t="s">
        <v>22</v>
      </c>
      <c r="E629" t="s">
        <v>69</v>
      </c>
      <c r="F629" t="s">
        <v>23</v>
      </c>
      <c r="G629" t="s">
        <v>28</v>
      </c>
      <c r="H629" t="s">
        <v>25</v>
      </c>
      <c r="I629" t="s">
        <v>26</v>
      </c>
      <c r="J629" t="s">
        <v>25</v>
      </c>
      <c r="K629">
        <v>20</v>
      </c>
      <c r="L629">
        <v>1</v>
      </c>
      <c r="M629">
        <v>0</v>
      </c>
      <c r="N629">
        <v>1</v>
      </c>
      <c r="O629">
        <v>15</v>
      </c>
      <c r="P629">
        <v>13</v>
      </c>
      <c r="Q629">
        <v>13</v>
      </c>
      <c r="R629">
        <v>10</v>
      </c>
      <c r="S629">
        <v>3</v>
      </c>
      <c r="T629">
        <v>1</v>
      </c>
      <c r="U629">
        <v>0</v>
      </c>
      <c r="V629">
        <v>19</v>
      </c>
    </row>
    <row r="630" spans="1:22" x14ac:dyDescent="0.25">
      <c r="A630">
        <v>2025</v>
      </c>
      <c r="B630">
        <v>11</v>
      </c>
      <c r="C630" t="s">
        <v>37</v>
      </c>
      <c r="D630" t="s">
        <v>22</v>
      </c>
      <c r="E630" t="s">
        <v>69</v>
      </c>
      <c r="F630" t="s">
        <v>23</v>
      </c>
      <c r="G630" t="s">
        <v>24</v>
      </c>
      <c r="H630" t="s">
        <v>25</v>
      </c>
      <c r="I630" t="s">
        <v>26</v>
      </c>
      <c r="J630" t="s">
        <v>25</v>
      </c>
      <c r="K630">
        <v>694</v>
      </c>
      <c r="L630">
        <v>9</v>
      </c>
      <c r="M630">
        <v>11</v>
      </c>
      <c r="N630">
        <v>20</v>
      </c>
      <c r="O630">
        <v>445</v>
      </c>
      <c r="P630">
        <v>365</v>
      </c>
      <c r="Q630">
        <v>331</v>
      </c>
      <c r="R630">
        <v>226</v>
      </c>
      <c r="S630">
        <v>156</v>
      </c>
      <c r="T630">
        <v>40</v>
      </c>
      <c r="U630">
        <v>3</v>
      </c>
      <c r="V630">
        <v>678</v>
      </c>
    </row>
    <row r="631" spans="1:22" x14ac:dyDescent="0.25">
      <c r="A631">
        <v>2025</v>
      </c>
      <c r="B631">
        <v>11</v>
      </c>
      <c r="C631" t="s">
        <v>37</v>
      </c>
      <c r="D631" t="s">
        <v>22</v>
      </c>
      <c r="E631" t="s">
        <v>69</v>
      </c>
      <c r="F631" t="s">
        <v>40</v>
      </c>
      <c r="G631" t="s">
        <v>24</v>
      </c>
      <c r="H631" t="s">
        <v>25</v>
      </c>
      <c r="I631" t="s">
        <v>26</v>
      </c>
      <c r="J631" t="s">
        <v>25</v>
      </c>
      <c r="K631">
        <v>468</v>
      </c>
      <c r="L631">
        <v>9</v>
      </c>
      <c r="M631">
        <v>0</v>
      </c>
      <c r="N631">
        <v>9</v>
      </c>
      <c r="O631">
        <v>27</v>
      </c>
      <c r="P631">
        <v>12</v>
      </c>
      <c r="Q631">
        <v>7</v>
      </c>
      <c r="R631">
        <v>5</v>
      </c>
      <c r="S631">
        <v>1</v>
      </c>
      <c r="T631">
        <v>0</v>
      </c>
      <c r="U631">
        <v>0</v>
      </c>
      <c r="V631">
        <v>459</v>
      </c>
    </row>
    <row r="632" spans="1:22" x14ac:dyDescent="0.25">
      <c r="A632">
        <v>2025</v>
      </c>
      <c r="B632">
        <v>11</v>
      </c>
      <c r="C632" t="s">
        <v>37</v>
      </c>
      <c r="D632" t="s">
        <v>22</v>
      </c>
      <c r="E632" t="s">
        <v>75</v>
      </c>
      <c r="F632" t="s">
        <v>39</v>
      </c>
      <c r="G632" t="s">
        <v>24</v>
      </c>
      <c r="H632" t="s">
        <v>26</v>
      </c>
      <c r="I632" t="s">
        <v>26</v>
      </c>
      <c r="J632" t="s">
        <v>25</v>
      </c>
      <c r="K632">
        <v>11</v>
      </c>
      <c r="L632">
        <v>6</v>
      </c>
      <c r="M632">
        <v>0</v>
      </c>
      <c r="N632">
        <v>6</v>
      </c>
      <c r="O632">
        <v>2</v>
      </c>
      <c r="P632">
        <v>1</v>
      </c>
      <c r="Q632">
        <v>1</v>
      </c>
      <c r="R632">
        <v>1</v>
      </c>
      <c r="S632">
        <v>1</v>
      </c>
      <c r="T632">
        <v>1</v>
      </c>
      <c r="U632">
        <v>0</v>
      </c>
      <c r="V632">
        <v>5</v>
      </c>
    </row>
    <row r="633" spans="1:22" x14ac:dyDescent="0.25">
      <c r="A633">
        <v>2025</v>
      </c>
      <c r="B633">
        <v>11</v>
      </c>
      <c r="C633" t="s">
        <v>37</v>
      </c>
      <c r="D633" t="s">
        <v>22</v>
      </c>
      <c r="E633" t="s">
        <v>75</v>
      </c>
      <c r="F633" t="s">
        <v>39</v>
      </c>
      <c r="G633" t="s">
        <v>29</v>
      </c>
      <c r="H633" t="s">
        <v>26</v>
      </c>
      <c r="I633" t="s">
        <v>26</v>
      </c>
      <c r="J633" t="s">
        <v>25</v>
      </c>
      <c r="K633">
        <v>3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</row>
    <row r="634" spans="1:22" x14ac:dyDescent="0.25">
      <c r="A634">
        <v>2025</v>
      </c>
      <c r="B634">
        <v>11</v>
      </c>
      <c r="C634" t="s">
        <v>37</v>
      </c>
      <c r="D634" t="s">
        <v>22</v>
      </c>
      <c r="E634" t="s">
        <v>75</v>
      </c>
      <c r="F634" t="s">
        <v>111</v>
      </c>
      <c r="G634" t="s">
        <v>24</v>
      </c>
      <c r="H634" t="s">
        <v>26</v>
      </c>
      <c r="I634" t="s">
        <v>26</v>
      </c>
      <c r="J634" t="s">
        <v>25</v>
      </c>
      <c r="K634">
        <v>5</v>
      </c>
      <c r="L634">
        <v>0</v>
      </c>
      <c r="M634">
        <v>0</v>
      </c>
      <c r="N634">
        <v>0</v>
      </c>
      <c r="O634">
        <v>1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5</v>
      </c>
    </row>
    <row r="635" spans="1:22" x14ac:dyDescent="0.25">
      <c r="A635">
        <v>2025</v>
      </c>
      <c r="B635">
        <v>12</v>
      </c>
      <c r="C635" t="s">
        <v>37</v>
      </c>
      <c r="D635" t="s">
        <v>22</v>
      </c>
      <c r="E635" t="s">
        <v>126</v>
      </c>
      <c r="F635" t="s">
        <v>32</v>
      </c>
      <c r="G635" t="s">
        <v>24</v>
      </c>
      <c r="H635" t="s">
        <v>25</v>
      </c>
      <c r="I635" t="s">
        <v>26</v>
      </c>
      <c r="J635" t="s">
        <v>25</v>
      </c>
      <c r="K635">
        <v>34</v>
      </c>
      <c r="L635">
        <v>0</v>
      </c>
      <c r="M635">
        <v>1</v>
      </c>
      <c r="N635">
        <v>1</v>
      </c>
      <c r="O635">
        <v>23</v>
      </c>
      <c r="P635">
        <v>21</v>
      </c>
      <c r="Q635">
        <v>21</v>
      </c>
      <c r="R635">
        <v>15</v>
      </c>
      <c r="S635">
        <v>14</v>
      </c>
      <c r="T635">
        <v>5</v>
      </c>
      <c r="U635">
        <v>0</v>
      </c>
      <c r="V635">
        <v>34</v>
      </c>
    </row>
    <row r="636" spans="1:22" x14ac:dyDescent="0.25">
      <c r="A636">
        <v>2025</v>
      </c>
      <c r="B636">
        <v>12</v>
      </c>
      <c r="C636" t="s">
        <v>37</v>
      </c>
      <c r="D636" t="s">
        <v>22</v>
      </c>
      <c r="E636" t="s">
        <v>126</v>
      </c>
      <c r="F636" t="s">
        <v>36</v>
      </c>
      <c r="G636" t="s">
        <v>24</v>
      </c>
      <c r="H636" t="s">
        <v>25</v>
      </c>
      <c r="I636" t="s">
        <v>26</v>
      </c>
      <c r="J636" t="s">
        <v>25</v>
      </c>
      <c r="K636">
        <v>234</v>
      </c>
      <c r="L636">
        <v>0</v>
      </c>
      <c r="M636">
        <v>4</v>
      </c>
      <c r="N636">
        <v>4</v>
      </c>
      <c r="O636">
        <v>160</v>
      </c>
      <c r="P636">
        <v>133</v>
      </c>
      <c r="Q636">
        <v>124</v>
      </c>
      <c r="R636">
        <v>101</v>
      </c>
      <c r="S636">
        <v>67</v>
      </c>
      <c r="T636">
        <v>31</v>
      </c>
      <c r="U636">
        <v>13</v>
      </c>
      <c r="V636">
        <v>233</v>
      </c>
    </row>
    <row r="637" spans="1:22" x14ac:dyDescent="0.25">
      <c r="A637">
        <v>2025</v>
      </c>
      <c r="B637">
        <v>12</v>
      </c>
      <c r="C637" t="s">
        <v>37</v>
      </c>
      <c r="D637" t="s">
        <v>22</v>
      </c>
      <c r="E637" t="s">
        <v>128</v>
      </c>
      <c r="F637" t="s">
        <v>32</v>
      </c>
      <c r="G637" t="s">
        <v>24</v>
      </c>
      <c r="H637" t="s">
        <v>25</v>
      </c>
      <c r="I637" t="s">
        <v>26</v>
      </c>
      <c r="J637" t="s">
        <v>25</v>
      </c>
      <c r="K637">
        <v>7</v>
      </c>
      <c r="L637">
        <v>0</v>
      </c>
      <c r="M637">
        <v>0</v>
      </c>
      <c r="N637">
        <v>0</v>
      </c>
      <c r="O637">
        <v>7</v>
      </c>
      <c r="P637">
        <v>6</v>
      </c>
      <c r="Q637">
        <v>6</v>
      </c>
      <c r="R637">
        <v>5</v>
      </c>
      <c r="S637">
        <v>5</v>
      </c>
      <c r="T637">
        <v>3</v>
      </c>
      <c r="U637">
        <v>1</v>
      </c>
      <c r="V637">
        <v>7</v>
      </c>
    </row>
    <row r="638" spans="1:22" x14ac:dyDescent="0.25">
      <c r="A638">
        <v>2025</v>
      </c>
      <c r="B638">
        <v>12</v>
      </c>
      <c r="C638" t="s">
        <v>37</v>
      </c>
      <c r="D638" t="s">
        <v>22</v>
      </c>
      <c r="E638" t="s">
        <v>128</v>
      </c>
      <c r="F638" t="s">
        <v>34</v>
      </c>
      <c r="G638" t="s">
        <v>24</v>
      </c>
      <c r="H638" t="s">
        <v>25</v>
      </c>
      <c r="I638" t="s">
        <v>26</v>
      </c>
      <c r="J638" t="s">
        <v>26</v>
      </c>
      <c r="K638">
        <v>43</v>
      </c>
      <c r="L638">
        <v>0</v>
      </c>
      <c r="M638">
        <v>2</v>
      </c>
      <c r="N638">
        <v>2</v>
      </c>
      <c r="O638">
        <v>26</v>
      </c>
      <c r="P638">
        <v>21</v>
      </c>
      <c r="Q638">
        <v>20</v>
      </c>
      <c r="R638">
        <v>17</v>
      </c>
      <c r="S638">
        <v>12</v>
      </c>
      <c r="T638">
        <v>8</v>
      </c>
      <c r="U638">
        <v>4</v>
      </c>
      <c r="V638">
        <v>43</v>
      </c>
    </row>
    <row r="639" spans="1:22" x14ac:dyDescent="0.25">
      <c r="A639">
        <v>2025</v>
      </c>
      <c r="B639">
        <v>12</v>
      </c>
      <c r="C639" t="s">
        <v>37</v>
      </c>
      <c r="D639" t="s">
        <v>22</v>
      </c>
      <c r="E639" t="s">
        <v>129</v>
      </c>
      <c r="F639" t="s">
        <v>36</v>
      </c>
      <c r="G639" t="s">
        <v>24</v>
      </c>
      <c r="H639" t="s">
        <v>25</v>
      </c>
      <c r="I639" t="s">
        <v>26</v>
      </c>
      <c r="J639" t="s">
        <v>25</v>
      </c>
      <c r="K639">
        <v>36</v>
      </c>
      <c r="L639">
        <v>0</v>
      </c>
      <c r="M639">
        <v>3</v>
      </c>
      <c r="N639">
        <v>3</v>
      </c>
      <c r="O639">
        <v>21</v>
      </c>
      <c r="P639">
        <v>17</v>
      </c>
      <c r="Q639">
        <v>16</v>
      </c>
      <c r="R639">
        <v>14</v>
      </c>
      <c r="S639">
        <v>10</v>
      </c>
      <c r="T639">
        <v>3</v>
      </c>
      <c r="U639">
        <v>2</v>
      </c>
      <c r="V639">
        <v>36</v>
      </c>
    </row>
    <row r="640" spans="1:22" x14ac:dyDescent="0.25">
      <c r="A640">
        <v>2025</v>
      </c>
      <c r="B640">
        <v>12</v>
      </c>
      <c r="C640" t="s">
        <v>37</v>
      </c>
      <c r="D640" t="s">
        <v>22</v>
      </c>
      <c r="E640" t="s">
        <v>131</v>
      </c>
      <c r="F640" t="s">
        <v>34</v>
      </c>
      <c r="G640" t="s">
        <v>24</v>
      </c>
      <c r="H640" t="s">
        <v>25</v>
      </c>
      <c r="I640" t="s">
        <v>26</v>
      </c>
      <c r="J640" t="s">
        <v>26</v>
      </c>
      <c r="K640">
        <v>97</v>
      </c>
      <c r="L640">
        <v>0</v>
      </c>
      <c r="M640">
        <v>0</v>
      </c>
      <c r="N640">
        <v>0</v>
      </c>
      <c r="O640">
        <v>50</v>
      </c>
      <c r="P640">
        <v>46</v>
      </c>
      <c r="Q640">
        <v>46</v>
      </c>
      <c r="R640">
        <v>40</v>
      </c>
      <c r="S640">
        <v>35</v>
      </c>
      <c r="T640">
        <v>14</v>
      </c>
      <c r="U640">
        <v>10</v>
      </c>
      <c r="V640">
        <v>97</v>
      </c>
    </row>
    <row r="641" spans="1:22" x14ac:dyDescent="0.25">
      <c r="A641">
        <v>2025</v>
      </c>
      <c r="B641">
        <v>12</v>
      </c>
      <c r="C641" t="s">
        <v>37</v>
      </c>
      <c r="D641" t="s">
        <v>22</v>
      </c>
      <c r="E641" t="s">
        <v>132</v>
      </c>
      <c r="F641" t="s">
        <v>32</v>
      </c>
      <c r="G641" t="s">
        <v>24</v>
      </c>
      <c r="H641" t="s">
        <v>25</v>
      </c>
      <c r="I641" t="s">
        <v>26</v>
      </c>
      <c r="J641" t="s">
        <v>25</v>
      </c>
      <c r="K641">
        <v>44</v>
      </c>
      <c r="L641">
        <v>0</v>
      </c>
      <c r="M641">
        <v>2</v>
      </c>
      <c r="N641">
        <v>2</v>
      </c>
      <c r="O641">
        <v>13</v>
      </c>
      <c r="P641">
        <v>12</v>
      </c>
      <c r="Q641">
        <v>10</v>
      </c>
      <c r="R641">
        <v>10</v>
      </c>
      <c r="S641">
        <v>8</v>
      </c>
      <c r="T641">
        <v>4</v>
      </c>
      <c r="U641">
        <v>1</v>
      </c>
      <c r="V641">
        <v>44</v>
      </c>
    </row>
    <row r="642" spans="1:22" x14ac:dyDescent="0.25">
      <c r="A642">
        <v>2025</v>
      </c>
      <c r="B642">
        <v>12</v>
      </c>
      <c r="C642" t="s">
        <v>37</v>
      </c>
      <c r="D642" t="s">
        <v>22</v>
      </c>
      <c r="E642" t="s">
        <v>132</v>
      </c>
      <c r="F642" t="s">
        <v>34</v>
      </c>
      <c r="G642" t="s">
        <v>24</v>
      </c>
      <c r="H642" t="s">
        <v>25</v>
      </c>
      <c r="I642" t="s">
        <v>26</v>
      </c>
      <c r="J642" t="s">
        <v>26</v>
      </c>
      <c r="K642">
        <v>43</v>
      </c>
      <c r="L642">
        <v>0</v>
      </c>
      <c r="M642">
        <v>2</v>
      </c>
      <c r="N642">
        <v>2</v>
      </c>
      <c r="O642">
        <v>13</v>
      </c>
      <c r="P642">
        <v>12</v>
      </c>
      <c r="Q642">
        <v>11</v>
      </c>
      <c r="R642">
        <v>11</v>
      </c>
      <c r="S642">
        <v>9</v>
      </c>
      <c r="T642">
        <v>6</v>
      </c>
      <c r="U642">
        <v>1</v>
      </c>
      <c r="V642">
        <v>43</v>
      </c>
    </row>
    <row r="643" spans="1:22" x14ac:dyDescent="0.25">
      <c r="A643">
        <v>2025</v>
      </c>
      <c r="B643">
        <v>12</v>
      </c>
      <c r="C643" t="s">
        <v>37</v>
      </c>
      <c r="D643" t="s">
        <v>22</v>
      </c>
      <c r="E643" t="s">
        <v>37</v>
      </c>
      <c r="F643" t="s">
        <v>38</v>
      </c>
      <c r="G643" t="s">
        <v>28</v>
      </c>
      <c r="H643" t="s">
        <v>25</v>
      </c>
      <c r="I643" t="s">
        <v>26</v>
      </c>
      <c r="J643" t="s">
        <v>25</v>
      </c>
      <c r="K643">
        <v>2</v>
      </c>
      <c r="L643">
        <v>0</v>
      </c>
      <c r="M643">
        <v>0</v>
      </c>
      <c r="N643">
        <v>0</v>
      </c>
      <c r="O643">
        <v>1</v>
      </c>
      <c r="P643">
        <v>1</v>
      </c>
      <c r="Q643">
        <v>1</v>
      </c>
      <c r="R643">
        <v>1</v>
      </c>
      <c r="S643">
        <v>1</v>
      </c>
      <c r="T643">
        <v>0</v>
      </c>
      <c r="U643">
        <v>0</v>
      </c>
      <c r="V643">
        <v>2</v>
      </c>
    </row>
    <row r="644" spans="1:22" x14ac:dyDescent="0.25">
      <c r="A644">
        <v>2025</v>
      </c>
      <c r="B644">
        <v>12</v>
      </c>
      <c r="C644" t="s">
        <v>37</v>
      </c>
      <c r="D644" t="s">
        <v>22</v>
      </c>
      <c r="E644" t="s">
        <v>37</v>
      </c>
      <c r="F644" t="s">
        <v>38</v>
      </c>
      <c r="G644" t="s">
        <v>24</v>
      </c>
      <c r="H644" t="s">
        <v>25</v>
      </c>
      <c r="I644" t="s">
        <v>26</v>
      </c>
      <c r="J644" t="s">
        <v>25</v>
      </c>
      <c r="K644">
        <v>95</v>
      </c>
      <c r="L644">
        <v>0</v>
      </c>
      <c r="M644">
        <v>12</v>
      </c>
      <c r="N644">
        <v>12</v>
      </c>
      <c r="O644">
        <v>46</v>
      </c>
      <c r="P644">
        <v>37</v>
      </c>
      <c r="Q644">
        <v>36</v>
      </c>
      <c r="R644">
        <v>29</v>
      </c>
      <c r="S644">
        <v>26</v>
      </c>
      <c r="T644">
        <v>16</v>
      </c>
      <c r="U644">
        <v>5</v>
      </c>
      <c r="V644">
        <v>89</v>
      </c>
    </row>
    <row r="645" spans="1:22" x14ac:dyDescent="0.25">
      <c r="A645">
        <v>2025</v>
      </c>
      <c r="B645">
        <v>12</v>
      </c>
      <c r="C645" t="s">
        <v>37</v>
      </c>
      <c r="D645" t="s">
        <v>22</v>
      </c>
      <c r="E645" t="s">
        <v>37</v>
      </c>
      <c r="F645" t="s">
        <v>34</v>
      </c>
      <c r="G645" t="s">
        <v>28</v>
      </c>
      <c r="H645" t="s">
        <v>25</v>
      </c>
      <c r="I645" t="s">
        <v>26</v>
      </c>
      <c r="J645" t="s">
        <v>26</v>
      </c>
      <c r="K645">
        <v>1</v>
      </c>
      <c r="L645">
        <v>0</v>
      </c>
      <c r="M645">
        <v>0</v>
      </c>
      <c r="N645">
        <v>0</v>
      </c>
      <c r="O645">
        <v>1</v>
      </c>
      <c r="P645">
        <v>1</v>
      </c>
      <c r="Q645">
        <v>1</v>
      </c>
      <c r="R645">
        <v>1</v>
      </c>
      <c r="S645">
        <v>1</v>
      </c>
      <c r="T645">
        <v>1</v>
      </c>
      <c r="U645">
        <v>1</v>
      </c>
      <c r="V645">
        <v>1</v>
      </c>
    </row>
    <row r="646" spans="1:22" x14ac:dyDescent="0.25">
      <c r="A646">
        <v>2025</v>
      </c>
      <c r="B646">
        <v>12</v>
      </c>
      <c r="C646" t="s">
        <v>37</v>
      </c>
      <c r="D646" t="s">
        <v>22</v>
      </c>
      <c r="E646" t="s">
        <v>37</v>
      </c>
      <c r="F646" t="s">
        <v>23</v>
      </c>
      <c r="G646" t="s">
        <v>28</v>
      </c>
      <c r="H646" t="s">
        <v>25</v>
      </c>
      <c r="I646" t="s">
        <v>26</v>
      </c>
      <c r="J646" t="s">
        <v>25</v>
      </c>
      <c r="K646">
        <v>4348</v>
      </c>
      <c r="L646">
        <v>221</v>
      </c>
      <c r="M646">
        <v>504</v>
      </c>
      <c r="N646">
        <v>725</v>
      </c>
      <c r="O646">
        <v>2416</v>
      </c>
      <c r="P646">
        <v>2073</v>
      </c>
      <c r="Q646">
        <v>1944</v>
      </c>
      <c r="R646">
        <v>1521</v>
      </c>
      <c r="S646">
        <v>1209</v>
      </c>
      <c r="T646">
        <v>550</v>
      </c>
      <c r="U646">
        <v>157</v>
      </c>
      <c r="V646">
        <v>3980</v>
      </c>
    </row>
    <row r="647" spans="1:22" x14ac:dyDescent="0.25">
      <c r="A647">
        <v>2025</v>
      </c>
      <c r="B647">
        <v>12</v>
      </c>
      <c r="C647" t="s">
        <v>37</v>
      </c>
      <c r="D647" t="s">
        <v>22</v>
      </c>
      <c r="E647" t="s">
        <v>37</v>
      </c>
      <c r="F647" t="s">
        <v>23</v>
      </c>
      <c r="G647" t="s">
        <v>24</v>
      </c>
      <c r="H647" t="s">
        <v>25</v>
      </c>
      <c r="I647" t="s">
        <v>26</v>
      </c>
      <c r="J647" t="s">
        <v>25</v>
      </c>
      <c r="K647">
        <v>84</v>
      </c>
      <c r="L647">
        <v>0</v>
      </c>
      <c r="M647">
        <v>4</v>
      </c>
      <c r="N647">
        <v>4</v>
      </c>
      <c r="O647">
        <v>51</v>
      </c>
      <c r="P647">
        <v>43</v>
      </c>
      <c r="Q647">
        <v>41</v>
      </c>
      <c r="R647">
        <v>25</v>
      </c>
      <c r="S647">
        <v>19</v>
      </c>
      <c r="T647">
        <v>7</v>
      </c>
      <c r="U647">
        <v>1</v>
      </c>
      <c r="V647">
        <v>82</v>
      </c>
    </row>
    <row r="648" spans="1:22" x14ac:dyDescent="0.25">
      <c r="A648">
        <v>2025</v>
      </c>
      <c r="B648">
        <v>12</v>
      </c>
      <c r="C648" t="s">
        <v>37</v>
      </c>
      <c r="D648" t="s">
        <v>22</v>
      </c>
      <c r="E648" t="s">
        <v>37</v>
      </c>
      <c r="F648" t="s">
        <v>39</v>
      </c>
      <c r="G648" t="s">
        <v>28</v>
      </c>
      <c r="H648" t="s">
        <v>26</v>
      </c>
      <c r="I648" t="s">
        <v>26</v>
      </c>
      <c r="J648" t="s">
        <v>25</v>
      </c>
      <c r="K648">
        <v>15967</v>
      </c>
      <c r="L648">
        <v>323</v>
      </c>
      <c r="M648">
        <v>1350</v>
      </c>
      <c r="N648">
        <v>1673</v>
      </c>
      <c r="O648">
        <v>8901</v>
      </c>
      <c r="P648">
        <v>7712</v>
      </c>
      <c r="Q648">
        <v>7224</v>
      </c>
      <c r="R648">
        <v>5781</v>
      </c>
      <c r="S648">
        <v>4471</v>
      </c>
      <c r="T648">
        <v>2137</v>
      </c>
      <c r="U648">
        <v>591</v>
      </c>
      <c r="V648">
        <v>15158</v>
      </c>
    </row>
    <row r="649" spans="1:22" x14ac:dyDescent="0.25">
      <c r="A649">
        <v>2025</v>
      </c>
      <c r="B649">
        <v>12</v>
      </c>
      <c r="C649" t="s">
        <v>37</v>
      </c>
      <c r="D649" t="s">
        <v>22</v>
      </c>
      <c r="E649" t="s">
        <v>37</v>
      </c>
      <c r="F649" t="s">
        <v>39</v>
      </c>
      <c r="G649" t="s">
        <v>29</v>
      </c>
      <c r="H649" t="s">
        <v>26</v>
      </c>
      <c r="I649" t="s">
        <v>26</v>
      </c>
      <c r="J649" t="s">
        <v>25</v>
      </c>
      <c r="K649">
        <v>6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</row>
    <row r="650" spans="1:22" x14ac:dyDescent="0.25">
      <c r="A650">
        <v>2025</v>
      </c>
      <c r="B650">
        <v>12</v>
      </c>
      <c r="C650" t="s">
        <v>37</v>
      </c>
      <c r="D650" t="s">
        <v>22</v>
      </c>
      <c r="E650" t="s">
        <v>37</v>
      </c>
      <c r="F650" t="s">
        <v>36</v>
      </c>
      <c r="G650" t="s">
        <v>28</v>
      </c>
      <c r="H650" t="s">
        <v>25</v>
      </c>
      <c r="I650" t="s">
        <v>26</v>
      </c>
      <c r="J650" t="s">
        <v>25</v>
      </c>
      <c r="K650">
        <v>30</v>
      </c>
      <c r="L650">
        <v>0</v>
      </c>
      <c r="M650">
        <v>3</v>
      </c>
      <c r="N650">
        <v>3</v>
      </c>
      <c r="O650">
        <v>19</v>
      </c>
      <c r="P650">
        <v>17</v>
      </c>
      <c r="Q650">
        <v>16</v>
      </c>
      <c r="R650">
        <v>13</v>
      </c>
      <c r="S650">
        <v>7</v>
      </c>
      <c r="T650">
        <v>6</v>
      </c>
      <c r="U650">
        <v>0</v>
      </c>
      <c r="V650">
        <v>30</v>
      </c>
    </row>
    <row r="651" spans="1:22" x14ac:dyDescent="0.25">
      <c r="A651">
        <v>2025</v>
      </c>
      <c r="B651">
        <v>12</v>
      </c>
      <c r="C651" t="s">
        <v>37</v>
      </c>
      <c r="D651" t="s">
        <v>22</v>
      </c>
      <c r="E651" t="s">
        <v>135</v>
      </c>
      <c r="F651" t="s">
        <v>32</v>
      </c>
      <c r="G651" t="s">
        <v>24</v>
      </c>
      <c r="H651" t="s">
        <v>25</v>
      </c>
      <c r="I651" t="s">
        <v>26</v>
      </c>
      <c r="J651" t="s">
        <v>25</v>
      </c>
      <c r="K651">
        <v>335</v>
      </c>
      <c r="L651">
        <v>32</v>
      </c>
      <c r="M651">
        <v>18</v>
      </c>
      <c r="N651">
        <v>50</v>
      </c>
      <c r="O651">
        <v>127</v>
      </c>
      <c r="P651">
        <v>106</v>
      </c>
      <c r="Q651">
        <v>100</v>
      </c>
      <c r="R651">
        <v>74</v>
      </c>
      <c r="S651">
        <v>62</v>
      </c>
      <c r="T651">
        <v>44</v>
      </c>
      <c r="U651">
        <v>18</v>
      </c>
      <c r="V651">
        <v>293</v>
      </c>
    </row>
    <row r="652" spans="1:22" x14ac:dyDescent="0.25">
      <c r="A652">
        <v>2025</v>
      </c>
      <c r="B652">
        <v>12</v>
      </c>
      <c r="C652" t="s">
        <v>37</v>
      </c>
      <c r="D652" t="s">
        <v>22</v>
      </c>
      <c r="E652" t="s">
        <v>135</v>
      </c>
      <c r="F652" t="s">
        <v>34</v>
      </c>
      <c r="G652" t="s">
        <v>24</v>
      </c>
      <c r="H652" t="s">
        <v>25</v>
      </c>
      <c r="I652" t="s">
        <v>26</v>
      </c>
      <c r="J652" t="s">
        <v>26</v>
      </c>
      <c r="K652">
        <v>1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1</v>
      </c>
    </row>
    <row r="653" spans="1:22" x14ac:dyDescent="0.25">
      <c r="A653">
        <v>2025</v>
      </c>
      <c r="B653">
        <v>12</v>
      </c>
      <c r="C653" t="s">
        <v>37</v>
      </c>
      <c r="D653" t="s">
        <v>22</v>
      </c>
      <c r="E653" t="s">
        <v>136</v>
      </c>
      <c r="F653" t="s">
        <v>34</v>
      </c>
      <c r="G653" t="s">
        <v>24</v>
      </c>
      <c r="H653" t="s">
        <v>25</v>
      </c>
      <c r="I653" t="s">
        <v>26</v>
      </c>
      <c r="J653" t="s">
        <v>26</v>
      </c>
      <c r="K653">
        <v>57</v>
      </c>
      <c r="L653">
        <v>0</v>
      </c>
      <c r="M653">
        <v>1</v>
      </c>
      <c r="N653">
        <v>1</v>
      </c>
      <c r="O653">
        <v>13</v>
      </c>
      <c r="P653">
        <v>10</v>
      </c>
      <c r="Q653">
        <v>9</v>
      </c>
      <c r="R653">
        <v>9</v>
      </c>
      <c r="S653">
        <v>8</v>
      </c>
      <c r="T653">
        <v>6</v>
      </c>
      <c r="U653">
        <v>2</v>
      </c>
      <c r="V653">
        <v>56</v>
      </c>
    </row>
    <row r="654" spans="1:22" x14ac:dyDescent="0.25">
      <c r="A654">
        <v>2025</v>
      </c>
      <c r="B654">
        <v>12</v>
      </c>
      <c r="C654" t="s">
        <v>37</v>
      </c>
      <c r="D654" t="s">
        <v>22</v>
      </c>
      <c r="E654" t="s">
        <v>139</v>
      </c>
      <c r="F654" t="s">
        <v>32</v>
      </c>
      <c r="G654" t="s">
        <v>24</v>
      </c>
      <c r="H654" t="s">
        <v>25</v>
      </c>
      <c r="I654" t="s">
        <v>26</v>
      </c>
      <c r="J654" t="s">
        <v>25</v>
      </c>
      <c r="K654">
        <v>18</v>
      </c>
      <c r="L654">
        <v>0</v>
      </c>
      <c r="M654">
        <v>2</v>
      </c>
      <c r="N654">
        <v>2</v>
      </c>
      <c r="O654">
        <v>7</v>
      </c>
      <c r="P654">
        <v>6</v>
      </c>
      <c r="Q654">
        <v>5</v>
      </c>
      <c r="R654">
        <v>5</v>
      </c>
      <c r="S654">
        <v>4</v>
      </c>
      <c r="T654">
        <v>2</v>
      </c>
      <c r="U654">
        <v>0</v>
      </c>
      <c r="V654">
        <v>18</v>
      </c>
    </row>
    <row r="655" spans="1:22" x14ac:dyDescent="0.25">
      <c r="A655">
        <v>2025</v>
      </c>
      <c r="B655">
        <v>12</v>
      </c>
      <c r="C655" t="s">
        <v>37</v>
      </c>
      <c r="D655" t="s">
        <v>22</v>
      </c>
      <c r="E655" t="s">
        <v>139</v>
      </c>
      <c r="F655" t="s">
        <v>34</v>
      </c>
      <c r="G655" t="s">
        <v>24</v>
      </c>
      <c r="H655" t="s">
        <v>25</v>
      </c>
      <c r="I655" t="s">
        <v>26</v>
      </c>
      <c r="J655" t="s">
        <v>26</v>
      </c>
      <c r="K655">
        <v>61</v>
      </c>
      <c r="L655">
        <v>1</v>
      </c>
      <c r="M655">
        <v>0</v>
      </c>
      <c r="N655">
        <v>1</v>
      </c>
      <c r="O655">
        <v>36</v>
      </c>
      <c r="P655">
        <v>34</v>
      </c>
      <c r="Q655">
        <v>32</v>
      </c>
      <c r="R655">
        <v>20</v>
      </c>
      <c r="S655">
        <v>14</v>
      </c>
      <c r="T655">
        <v>5</v>
      </c>
      <c r="U655">
        <v>3</v>
      </c>
      <c r="V655">
        <v>60</v>
      </c>
    </row>
    <row r="656" spans="1:22" x14ac:dyDescent="0.25">
      <c r="A656">
        <v>2025</v>
      </c>
      <c r="B656">
        <v>12</v>
      </c>
      <c r="C656" t="s">
        <v>37</v>
      </c>
      <c r="D656" t="s">
        <v>22</v>
      </c>
      <c r="E656" t="s">
        <v>141</v>
      </c>
      <c r="F656" t="s">
        <v>34</v>
      </c>
      <c r="G656" t="s">
        <v>24</v>
      </c>
      <c r="H656" t="s">
        <v>25</v>
      </c>
      <c r="I656" t="s">
        <v>26</v>
      </c>
      <c r="J656" t="s">
        <v>26</v>
      </c>
      <c r="K656">
        <v>30</v>
      </c>
      <c r="L656">
        <v>0</v>
      </c>
      <c r="M656">
        <v>0</v>
      </c>
      <c r="N656">
        <v>0</v>
      </c>
      <c r="O656">
        <v>29</v>
      </c>
      <c r="P656">
        <v>28</v>
      </c>
      <c r="Q656">
        <v>27</v>
      </c>
      <c r="R656">
        <v>15</v>
      </c>
      <c r="S656">
        <v>10</v>
      </c>
      <c r="T656">
        <v>3</v>
      </c>
      <c r="U656">
        <v>2</v>
      </c>
      <c r="V656">
        <v>30</v>
      </c>
    </row>
    <row r="657" spans="1:22" x14ac:dyDescent="0.25">
      <c r="A657">
        <v>2025</v>
      </c>
      <c r="B657">
        <v>12</v>
      </c>
      <c r="C657" t="s">
        <v>37</v>
      </c>
      <c r="D657" t="s">
        <v>22</v>
      </c>
      <c r="E657" t="s">
        <v>142</v>
      </c>
      <c r="F657" t="s">
        <v>34</v>
      </c>
      <c r="G657" t="s">
        <v>24</v>
      </c>
      <c r="H657" t="s">
        <v>25</v>
      </c>
      <c r="I657" t="s">
        <v>26</v>
      </c>
      <c r="J657" t="s">
        <v>26</v>
      </c>
      <c r="K657">
        <v>31</v>
      </c>
      <c r="L657">
        <v>1</v>
      </c>
      <c r="M657">
        <v>0</v>
      </c>
      <c r="N657">
        <v>1</v>
      </c>
      <c r="O657">
        <v>8</v>
      </c>
      <c r="P657">
        <v>7</v>
      </c>
      <c r="Q657">
        <v>5</v>
      </c>
      <c r="R657">
        <v>4</v>
      </c>
      <c r="S657">
        <v>4</v>
      </c>
      <c r="T657">
        <v>3</v>
      </c>
      <c r="U657">
        <v>1</v>
      </c>
      <c r="V657">
        <v>30</v>
      </c>
    </row>
    <row r="658" spans="1:22" x14ac:dyDescent="0.25">
      <c r="A658">
        <v>2025</v>
      </c>
      <c r="B658">
        <v>12</v>
      </c>
      <c r="C658" t="s">
        <v>37</v>
      </c>
      <c r="D658" t="s">
        <v>22</v>
      </c>
      <c r="E658" t="s">
        <v>143</v>
      </c>
      <c r="F658" t="s">
        <v>39</v>
      </c>
      <c r="G658" t="s">
        <v>24</v>
      </c>
      <c r="H658" t="s">
        <v>26</v>
      </c>
      <c r="I658" t="s">
        <v>26</v>
      </c>
      <c r="J658" t="s">
        <v>25</v>
      </c>
      <c r="K658">
        <v>905</v>
      </c>
      <c r="L658">
        <v>4</v>
      </c>
      <c r="M658">
        <v>41</v>
      </c>
      <c r="N658">
        <v>45</v>
      </c>
      <c r="O658">
        <v>611</v>
      </c>
      <c r="P658">
        <v>532</v>
      </c>
      <c r="Q658">
        <v>505</v>
      </c>
      <c r="R658">
        <v>397</v>
      </c>
      <c r="S658">
        <v>310</v>
      </c>
      <c r="T658">
        <v>153</v>
      </c>
      <c r="U658">
        <v>42</v>
      </c>
      <c r="V658">
        <v>879</v>
      </c>
    </row>
    <row r="659" spans="1:22" x14ac:dyDescent="0.25">
      <c r="A659">
        <v>2025</v>
      </c>
      <c r="B659">
        <v>12</v>
      </c>
      <c r="C659" t="s">
        <v>37</v>
      </c>
      <c r="D659" t="s">
        <v>22</v>
      </c>
      <c r="E659" t="s">
        <v>144</v>
      </c>
      <c r="F659" t="s">
        <v>32</v>
      </c>
      <c r="G659" t="s">
        <v>24</v>
      </c>
      <c r="H659" t="s">
        <v>25</v>
      </c>
      <c r="I659" t="s">
        <v>26</v>
      </c>
      <c r="J659" t="s">
        <v>25</v>
      </c>
      <c r="K659">
        <v>133</v>
      </c>
      <c r="L659">
        <v>0</v>
      </c>
      <c r="M659">
        <v>8</v>
      </c>
      <c r="N659">
        <v>8</v>
      </c>
      <c r="O659">
        <v>82</v>
      </c>
      <c r="P659">
        <v>71</v>
      </c>
      <c r="Q659">
        <v>68</v>
      </c>
      <c r="R659">
        <v>54</v>
      </c>
      <c r="S659">
        <v>48</v>
      </c>
      <c r="T659">
        <v>14</v>
      </c>
      <c r="U659">
        <v>4</v>
      </c>
      <c r="V659">
        <v>128</v>
      </c>
    </row>
    <row r="660" spans="1:22" x14ac:dyDescent="0.25">
      <c r="A660">
        <v>2025</v>
      </c>
      <c r="B660">
        <v>12</v>
      </c>
      <c r="C660" t="s">
        <v>37</v>
      </c>
      <c r="D660" t="s">
        <v>22</v>
      </c>
      <c r="E660" t="s">
        <v>144</v>
      </c>
      <c r="F660" t="s">
        <v>23</v>
      </c>
      <c r="G660" t="s">
        <v>24</v>
      </c>
      <c r="H660" t="s">
        <v>25</v>
      </c>
      <c r="I660" t="s">
        <v>26</v>
      </c>
      <c r="J660" t="s">
        <v>25</v>
      </c>
      <c r="K660">
        <v>130</v>
      </c>
      <c r="L660">
        <v>0</v>
      </c>
      <c r="M660">
        <v>2</v>
      </c>
      <c r="N660">
        <v>2</v>
      </c>
      <c r="O660">
        <v>57</v>
      </c>
      <c r="P660">
        <v>50</v>
      </c>
      <c r="Q660">
        <v>50</v>
      </c>
      <c r="R660">
        <v>41</v>
      </c>
      <c r="S660">
        <v>31</v>
      </c>
      <c r="T660">
        <v>11</v>
      </c>
      <c r="U660">
        <v>4</v>
      </c>
      <c r="V660">
        <v>130</v>
      </c>
    </row>
    <row r="661" spans="1:22" x14ac:dyDescent="0.25">
      <c r="A661">
        <v>2025</v>
      </c>
      <c r="B661">
        <v>12</v>
      </c>
      <c r="C661" t="s">
        <v>37</v>
      </c>
      <c r="D661" t="s">
        <v>22</v>
      </c>
      <c r="E661" t="s">
        <v>144</v>
      </c>
      <c r="F661" t="s">
        <v>39</v>
      </c>
      <c r="G661" t="s">
        <v>24</v>
      </c>
      <c r="H661" t="s">
        <v>26</v>
      </c>
      <c r="I661" t="s">
        <v>26</v>
      </c>
      <c r="J661" t="s">
        <v>25</v>
      </c>
      <c r="K661">
        <v>837</v>
      </c>
      <c r="L661">
        <v>3</v>
      </c>
      <c r="M661">
        <v>48</v>
      </c>
      <c r="N661">
        <v>51</v>
      </c>
      <c r="O661">
        <v>542</v>
      </c>
      <c r="P661">
        <v>485</v>
      </c>
      <c r="Q661">
        <v>456</v>
      </c>
      <c r="R661">
        <v>378</v>
      </c>
      <c r="S661">
        <v>303</v>
      </c>
      <c r="T661">
        <v>147</v>
      </c>
      <c r="U661">
        <v>52</v>
      </c>
      <c r="V661">
        <v>814</v>
      </c>
    </row>
    <row r="662" spans="1:22" x14ac:dyDescent="0.25">
      <c r="A662">
        <v>2025</v>
      </c>
      <c r="B662">
        <v>12</v>
      </c>
      <c r="C662" t="s">
        <v>37</v>
      </c>
      <c r="D662" t="s">
        <v>22</v>
      </c>
      <c r="E662" t="s">
        <v>144</v>
      </c>
      <c r="F662" t="s">
        <v>36</v>
      </c>
      <c r="G662" t="s">
        <v>24</v>
      </c>
      <c r="H662" t="s">
        <v>25</v>
      </c>
      <c r="I662" t="s">
        <v>26</v>
      </c>
      <c r="J662" t="s">
        <v>25</v>
      </c>
      <c r="K662">
        <v>278</v>
      </c>
      <c r="L662">
        <v>10</v>
      </c>
      <c r="M662">
        <v>7</v>
      </c>
      <c r="N662">
        <v>17</v>
      </c>
      <c r="O662">
        <v>76</v>
      </c>
      <c r="P662">
        <v>57</v>
      </c>
      <c r="Q662">
        <v>49</v>
      </c>
      <c r="R662">
        <v>33</v>
      </c>
      <c r="S662">
        <v>28</v>
      </c>
      <c r="T662">
        <v>18</v>
      </c>
      <c r="U662">
        <v>8</v>
      </c>
      <c r="V662">
        <v>268</v>
      </c>
    </row>
    <row r="663" spans="1:22" x14ac:dyDescent="0.25">
      <c r="A663">
        <v>2025</v>
      </c>
      <c r="B663">
        <v>12</v>
      </c>
      <c r="C663" t="s">
        <v>37</v>
      </c>
      <c r="D663" t="s">
        <v>22</v>
      </c>
      <c r="E663" t="s">
        <v>145</v>
      </c>
      <c r="F663" t="s">
        <v>32</v>
      </c>
      <c r="G663" t="s">
        <v>24</v>
      </c>
      <c r="H663" t="s">
        <v>25</v>
      </c>
      <c r="I663" t="s">
        <v>26</v>
      </c>
      <c r="J663" t="s">
        <v>25</v>
      </c>
      <c r="K663">
        <v>240</v>
      </c>
      <c r="L663">
        <v>1</v>
      </c>
      <c r="M663">
        <v>0</v>
      </c>
      <c r="N663">
        <v>1</v>
      </c>
      <c r="O663">
        <v>209</v>
      </c>
      <c r="P663">
        <v>194</v>
      </c>
      <c r="Q663">
        <v>181</v>
      </c>
      <c r="R663">
        <v>146</v>
      </c>
      <c r="S663">
        <v>84</v>
      </c>
      <c r="T663">
        <v>44</v>
      </c>
      <c r="U663">
        <v>3</v>
      </c>
      <c r="V663">
        <v>239</v>
      </c>
    </row>
    <row r="664" spans="1:22" x14ac:dyDescent="0.25">
      <c r="A664">
        <v>2025</v>
      </c>
      <c r="B664">
        <v>12</v>
      </c>
      <c r="C664" t="s">
        <v>37</v>
      </c>
      <c r="D664" t="s">
        <v>22</v>
      </c>
      <c r="E664" t="s">
        <v>145</v>
      </c>
      <c r="F664" t="s">
        <v>38</v>
      </c>
      <c r="G664" t="s">
        <v>24</v>
      </c>
      <c r="H664" t="s">
        <v>25</v>
      </c>
      <c r="I664" t="s">
        <v>26</v>
      </c>
      <c r="J664" t="s">
        <v>25</v>
      </c>
      <c r="K664">
        <v>11</v>
      </c>
      <c r="L664">
        <v>0</v>
      </c>
      <c r="M664">
        <v>1</v>
      </c>
      <c r="N664">
        <v>1</v>
      </c>
      <c r="O664">
        <v>10</v>
      </c>
      <c r="P664">
        <v>9</v>
      </c>
      <c r="Q664">
        <v>9</v>
      </c>
      <c r="R664">
        <v>5</v>
      </c>
      <c r="S664">
        <v>1</v>
      </c>
      <c r="T664">
        <v>0</v>
      </c>
      <c r="U664">
        <v>0</v>
      </c>
      <c r="V664">
        <v>10</v>
      </c>
    </row>
    <row r="665" spans="1:22" x14ac:dyDescent="0.25">
      <c r="A665">
        <v>2025</v>
      </c>
      <c r="B665">
        <v>12</v>
      </c>
      <c r="C665" t="s">
        <v>37</v>
      </c>
      <c r="D665" t="s">
        <v>22</v>
      </c>
      <c r="E665" t="s">
        <v>147</v>
      </c>
      <c r="F665" t="s">
        <v>32</v>
      </c>
      <c r="G665" t="s">
        <v>24</v>
      </c>
      <c r="H665" t="s">
        <v>25</v>
      </c>
      <c r="I665" t="s">
        <v>26</v>
      </c>
      <c r="J665" t="s">
        <v>25</v>
      </c>
      <c r="K665">
        <v>62</v>
      </c>
      <c r="L665">
        <v>1</v>
      </c>
      <c r="M665">
        <v>1</v>
      </c>
      <c r="N665">
        <v>2</v>
      </c>
      <c r="O665">
        <v>30</v>
      </c>
      <c r="P665">
        <v>28</v>
      </c>
      <c r="Q665">
        <v>26</v>
      </c>
      <c r="R665">
        <v>21</v>
      </c>
      <c r="S665">
        <v>14</v>
      </c>
      <c r="T665">
        <v>4</v>
      </c>
      <c r="U665">
        <v>2</v>
      </c>
      <c r="V665">
        <v>61</v>
      </c>
    </row>
    <row r="666" spans="1:22" x14ac:dyDescent="0.25">
      <c r="A666">
        <v>2025</v>
      </c>
      <c r="B666">
        <v>12</v>
      </c>
      <c r="C666" t="s">
        <v>37</v>
      </c>
      <c r="D666" t="s">
        <v>22</v>
      </c>
      <c r="E666" t="s">
        <v>147</v>
      </c>
      <c r="F666" t="s">
        <v>36</v>
      </c>
      <c r="G666" t="s">
        <v>24</v>
      </c>
      <c r="H666" t="s">
        <v>25</v>
      </c>
      <c r="I666" t="s">
        <v>26</v>
      </c>
      <c r="J666" t="s">
        <v>25</v>
      </c>
      <c r="K666">
        <v>246</v>
      </c>
      <c r="L666">
        <v>8</v>
      </c>
      <c r="M666">
        <v>7</v>
      </c>
      <c r="N666">
        <v>15</v>
      </c>
      <c r="O666">
        <v>105</v>
      </c>
      <c r="P666">
        <v>88</v>
      </c>
      <c r="Q666">
        <v>82</v>
      </c>
      <c r="R666">
        <v>60</v>
      </c>
      <c r="S666">
        <v>41</v>
      </c>
      <c r="T666">
        <v>15</v>
      </c>
      <c r="U666">
        <v>1</v>
      </c>
      <c r="V666">
        <v>233</v>
      </c>
    </row>
    <row r="667" spans="1:22" x14ac:dyDescent="0.25">
      <c r="A667">
        <v>2025</v>
      </c>
      <c r="B667">
        <v>12</v>
      </c>
      <c r="C667" t="s">
        <v>37</v>
      </c>
      <c r="D667" t="s">
        <v>22</v>
      </c>
      <c r="E667" t="s">
        <v>148</v>
      </c>
      <c r="F667" t="s">
        <v>32</v>
      </c>
      <c r="G667" t="s">
        <v>24</v>
      </c>
      <c r="H667" t="s">
        <v>25</v>
      </c>
      <c r="I667" t="s">
        <v>26</v>
      </c>
      <c r="J667" t="s">
        <v>25</v>
      </c>
      <c r="K667">
        <v>738</v>
      </c>
      <c r="L667">
        <v>5</v>
      </c>
      <c r="M667">
        <v>21</v>
      </c>
      <c r="N667">
        <v>26</v>
      </c>
      <c r="O667">
        <v>319</v>
      </c>
      <c r="P667">
        <v>269</v>
      </c>
      <c r="Q667">
        <v>252</v>
      </c>
      <c r="R667">
        <v>202</v>
      </c>
      <c r="S667">
        <v>145</v>
      </c>
      <c r="T667">
        <v>80</v>
      </c>
      <c r="U667">
        <v>32</v>
      </c>
      <c r="V667">
        <v>718</v>
      </c>
    </row>
    <row r="668" spans="1:22" x14ac:dyDescent="0.25">
      <c r="A668">
        <v>2025</v>
      </c>
      <c r="B668">
        <v>12</v>
      </c>
      <c r="C668" t="s">
        <v>37</v>
      </c>
      <c r="D668" t="s">
        <v>22</v>
      </c>
      <c r="E668" t="s">
        <v>149</v>
      </c>
      <c r="F668" t="s">
        <v>32</v>
      </c>
      <c r="G668" t="s">
        <v>24</v>
      </c>
      <c r="H668" t="s">
        <v>25</v>
      </c>
      <c r="I668" t="s">
        <v>26</v>
      </c>
      <c r="J668" t="s">
        <v>25</v>
      </c>
      <c r="K668">
        <v>55</v>
      </c>
      <c r="L668">
        <v>1</v>
      </c>
      <c r="M668">
        <v>5</v>
      </c>
      <c r="N668">
        <v>6</v>
      </c>
      <c r="O668">
        <v>49</v>
      </c>
      <c r="P668">
        <v>49</v>
      </c>
      <c r="Q668">
        <v>49</v>
      </c>
      <c r="R668">
        <v>47</v>
      </c>
      <c r="S668">
        <v>45</v>
      </c>
      <c r="T668">
        <v>35</v>
      </c>
      <c r="U668">
        <v>12</v>
      </c>
      <c r="V668">
        <v>52</v>
      </c>
    </row>
    <row r="669" spans="1:22" x14ac:dyDescent="0.25">
      <c r="A669">
        <v>2025</v>
      </c>
      <c r="B669">
        <v>12</v>
      </c>
      <c r="C669" t="s">
        <v>37</v>
      </c>
      <c r="D669" t="s">
        <v>22</v>
      </c>
      <c r="E669" t="s">
        <v>149</v>
      </c>
      <c r="F669" t="s">
        <v>38</v>
      </c>
      <c r="G669" t="s">
        <v>24</v>
      </c>
      <c r="H669" t="s">
        <v>25</v>
      </c>
      <c r="I669" t="s">
        <v>26</v>
      </c>
      <c r="J669" t="s">
        <v>25</v>
      </c>
      <c r="K669">
        <v>1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1</v>
      </c>
    </row>
    <row r="670" spans="1:22" x14ac:dyDescent="0.25">
      <c r="A670">
        <v>2025</v>
      </c>
      <c r="B670">
        <v>12</v>
      </c>
      <c r="C670" t="s">
        <v>37</v>
      </c>
      <c r="D670" t="s">
        <v>22</v>
      </c>
      <c r="E670" t="s">
        <v>149</v>
      </c>
      <c r="F670" t="s">
        <v>23</v>
      </c>
      <c r="G670" t="s">
        <v>24</v>
      </c>
      <c r="H670" t="s">
        <v>25</v>
      </c>
      <c r="I670" t="s">
        <v>26</v>
      </c>
      <c r="J670" t="s">
        <v>25</v>
      </c>
      <c r="K670">
        <v>244</v>
      </c>
      <c r="L670">
        <v>7</v>
      </c>
      <c r="M670">
        <v>16</v>
      </c>
      <c r="N670">
        <v>23</v>
      </c>
      <c r="O670">
        <v>102</v>
      </c>
      <c r="P670">
        <v>81</v>
      </c>
      <c r="Q670">
        <v>76</v>
      </c>
      <c r="R670">
        <v>55</v>
      </c>
      <c r="S670">
        <v>38</v>
      </c>
      <c r="T670">
        <v>24</v>
      </c>
      <c r="U670">
        <v>11</v>
      </c>
      <c r="V670">
        <v>234</v>
      </c>
    </row>
    <row r="671" spans="1:22" x14ac:dyDescent="0.25">
      <c r="A671">
        <v>2025</v>
      </c>
      <c r="B671">
        <v>12</v>
      </c>
      <c r="C671" t="s">
        <v>37</v>
      </c>
      <c r="D671" t="s">
        <v>22</v>
      </c>
      <c r="E671" t="s">
        <v>149</v>
      </c>
      <c r="F671" t="s">
        <v>39</v>
      </c>
      <c r="G671" t="s">
        <v>24</v>
      </c>
      <c r="H671" t="s">
        <v>26</v>
      </c>
      <c r="I671" t="s">
        <v>26</v>
      </c>
      <c r="J671" t="s">
        <v>25</v>
      </c>
      <c r="K671">
        <v>1393</v>
      </c>
      <c r="L671">
        <v>10</v>
      </c>
      <c r="M671">
        <v>74</v>
      </c>
      <c r="N671">
        <v>84</v>
      </c>
      <c r="O671">
        <v>760</v>
      </c>
      <c r="P671">
        <v>662</v>
      </c>
      <c r="Q671">
        <v>624</v>
      </c>
      <c r="R671">
        <v>501</v>
      </c>
      <c r="S671">
        <v>410</v>
      </c>
      <c r="T671">
        <v>199</v>
      </c>
      <c r="U671">
        <v>56</v>
      </c>
      <c r="V671">
        <v>1353</v>
      </c>
    </row>
    <row r="672" spans="1:22" x14ac:dyDescent="0.25">
      <c r="A672">
        <v>2025</v>
      </c>
      <c r="B672">
        <v>12</v>
      </c>
      <c r="C672" t="s">
        <v>37</v>
      </c>
      <c r="D672" t="s">
        <v>22</v>
      </c>
      <c r="E672" t="s">
        <v>150</v>
      </c>
      <c r="F672" t="s">
        <v>38</v>
      </c>
      <c r="G672" t="s">
        <v>24</v>
      </c>
      <c r="H672" t="s">
        <v>25</v>
      </c>
      <c r="I672" t="s">
        <v>26</v>
      </c>
      <c r="J672" t="s">
        <v>25</v>
      </c>
      <c r="K672">
        <v>29</v>
      </c>
      <c r="L672">
        <v>2</v>
      </c>
      <c r="M672">
        <v>0</v>
      </c>
      <c r="N672">
        <v>2</v>
      </c>
      <c r="O672">
        <v>13</v>
      </c>
      <c r="P672">
        <v>8</v>
      </c>
      <c r="Q672">
        <v>8</v>
      </c>
      <c r="R672">
        <v>2</v>
      </c>
      <c r="S672">
        <v>2</v>
      </c>
      <c r="T672">
        <v>1</v>
      </c>
      <c r="U672">
        <v>1</v>
      </c>
      <c r="V672">
        <v>27</v>
      </c>
    </row>
    <row r="673" spans="1:22" x14ac:dyDescent="0.25">
      <c r="A673">
        <v>2025</v>
      </c>
      <c r="B673">
        <v>12</v>
      </c>
      <c r="C673" t="s">
        <v>37</v>
      </c>
      <c r="D673" t="s">
        <v>22</v>
      </c>
      <c r="E673" t="s">
        <v>151</v>
      </c>
      <c r="F673" t="s">
        <v>39</v>
      </c>
      <c r="G673" t="s">
        <v>24</v>
      </c>
      <c r="H673" t="s">
        <v>26</v>
      </c>
      <c r="I673" t="s">
        <v>26</v>
      </c>
      <c r="J673" t="s">
        <v>25</v>
      </c>
      <c r="K673">
        <v>466</v>
      </c>
      <c r="L673">
        <v>2</v>
      </c>
      <c r="M673">
        <v>28</v>
      </c>
      <c r="N673">
        <v>30</v>
      </c>
      <c r="O673">
        <v>337</v>
      </c>
      <c r="P673">
        <v>294</v>
      </c>
      <c r="Q673">
        <v>281</v>
      </c>
      <c r="R673">
        <v>223</v>
      </c>
      <c r="S673">
        <v>163</v>
      </c>
      <c r="T673">
        <v>67</v>
      </c>
      <c r="U673">
        <v>18</v>
      </c>
      <c r="V673">
        <v>450</v>
      </c>
    </row>
    <row r="674" spans="1:22" x14ac:dyDescent="0.25">
      <c r="A674">
        <v>2025</v>
      </c>
      <c r="B674">
        <v>12</v>
      </c>
      <c r="C674" t="s">
        <v>37</v>
      </c>
      <c r="D674" t="s">
        <v>22</v>
      </c>
      <c r="E674" t="s">
        <v>123</v>
      </c>
      <c r="F674" t="s">
        <v>39</v>
      </c>
      <c r="G674" t="s">
        <v>24</v>
      </c>
      <c r="H674" t="s">
        <v>26</v>
      </c>
      <c r="I674" t="s">
        <v>26</v>
      </c>
      <c r="J674" t="s">
        <v>25</v>
      </c>
      <c r="K674">
        <v>542</v>
      </c>
      <c r="L674">
        <v>3</v>
      </c>
      <c r="M674">
        <v>10</v>
      </c>
      <c r="N674">
        <v>13</v>
      </c>
      <c r="O674">
        <v>356</v>
      </c>
      <c r="P674">
        <v>303</v>
      </c>
      <c r="Q674">
        <v>279</v>
      </c>
      <c r="R674">
        <v>221</v>
      </c>
      <c r="S674">
        <v>168</v>
      </c>
      <c r="T674">
        <v>71</v>
      </c>
      <c r="U674">
        <v>20</v>
      </c>
      <c r="V674">
        <v>534</v>
      </c>
    </row>
    <row r="675" spans="1:22" x14ac:dyDescent="0.25">
      <c r="A675">
        <v>2025</v>
      </c>
      <c r="B675">
        <v>12</v>
      </c>
      <c r="C675" t="s">
        <v>37</v>
      </c>
      <c r="D675" t="s">
        <v>22</v>
      </c>
      <c r="E675" t="s">
        <v>123</v>
      </c>
      <c r="F675" t="s">
        <v>42</v>
      </c>
      <c r="G675" t="s">
        <v>24</v>
      </c>
      <c r="H675" t="s">
        <v>26</v>
      </c>
      <c r="I675" t="s">
        <v>26</v>
      </c>
      <c r="J675" t="s">
        <v>25</v>
      </c>
      <c r="K675">
        <v>312</v>
      </c>
      <c r="L675">
        <v>4</v>
      </c>
      <c r="M675">
        <v>0</v>
      </c>
      <c r="N675">
        <v>4</v>
      </c>
      <c r="O675">
        <v>181</v>
      </c>
      <c r="P675">
        <v>126</v>
      </c>
      <c r="Q675">
        <v>113</v>
      </c>
      <c r="R675">
        <v>84</v>
      </c>
      <c r="S675">
        <v>58</v>
      </c>
      <c r="T675">
        <v>23</v>
      </c>
      <c r="U675">
        <v>9</v>
      </c>
      <c r="V675">
        <v>308</v>
      </c>
    </row>
    <row r="676" spans="1:22" x14ac:dyDescent="0.25">
      <c r="A676">
        <v>2025</v>
      </c>
      <c r="B676">
        <v>12</v>
      </c>
      <c r="C676" t="s">
        <v>37</v>
      </c>
      <c r="D676" t="s">
        <v>22</v>
      </c>
      <c r="E676" t="s">
        <v>123</v>
      </c>
      <c r="F676" t="s">
        <v>27</v>
      </c>
      <c r="G676" t="s">
        <v>24</v>
      </c>
      <c r="H676" t="s">
        <v>26</v>
      </c>
      <c r="I676" t="s">
        <v>26</v>
      </c>
      <c r="J676" t="s">
        <v>25</v>
      </c>
      <c r="K676">
        <v>12</v>
      </c>
      <c r="L676">
        <v>0</v>
      </c>
      <c r="M676">
        <v>0</v>
      </c>
      <c r="N676">
        <v>0</v>
      </c>
      <c r="O676">
        <v>4</v>
      </c>
      <c r="P676">
        <v>4</v>
      </c>
      <c r="Q676">
        <v>3</v>
      </c>
      <c r="R676">
        <v>1</v>
      </c>
      <c r="S676">
        <v>1</v>
      </c>
      <c r="T676">
        <v>0</v>
      </c>
      <c r="U676">
        <v>0</v>
      </c>
      <c r="V676">
        <v>12</v>
      </c>
    </row>
    <row r="677" spans="1:22" x14ac:dyDescent="0.25">
      <c r="A677">
        <v>2025</v>
      </c>
      <c r="B677">
        <v>12</v>
      </c>
      <c r="C677" t="s">
        <v>37</v>
      </c>
      <c r="D677" t="s">
        <v>22</v>
      </c>
      <c r="E677" t="s">
        <v>43</v>
      </c>
      <c r="F677" t="s">
        <v>23</v>
      </c>
      <c r="G677" t="s">
        <v>24</v>
      </c>
      <c r="H677" t="s">
        <v>25</v>
      </c>
      <c r="I677" t="s">
        <v>26</v>
      </c>
      <c r="J677" t="s">
        <v>25</v>
      </c>
      <c r="K677">
        <v>271</v>
      </c>
      <c r="L677">
        <v>3</v>
      </c>
      <c r="M677">
        <v>0</v>
      </c>
      <c r="N677">
        <v>3</v>
      </c>
      <c r="O677">
        <v>65</v>
      </c>
      <c r="P677">
        <v>41</v>
      </c>
      <c r="Q677">
        <v>34</v>
      </c>
      <c r="R677">
        <v>13</v>
      </c>
      <c r="S677">
        <v>6</v>
      </c>
      <c r="T677">
        <v>2</v>
      </c>
      <c r="U677">
        <v>0</v>
      </c>
      <c r="V677">
        <v>268</v>
      </c>
    </row>
    <row r="678" spans="1:22" x14ac:dyDescent="0.25">
      <c r="A678">
        <v>2025</v>
      </c>
      <c r="B678">
        <v>12</v>
      </c>
      <c r="C678" t="s">
        <v>37</v>
      </c>
      <c r="D678" t="s">
        <v>22</v>
      </c>
      <c r="E678" t="s">
        <v>52</v>
      </c>
      <c r="F678" t="s">
        <v>34</v>
      </c>
      <c r="G678" t="s">
        <v>24</v>
      </c>
      <c r="H678" t="s">
        <v>25</v>
      </c>
      <c r="I678" t="s">
        <v>26</v>
      </c>
      <c r="J678" t="s">
        <v>26</v>
      </c>
      <c r="K678">
        <v>1</v>
      </c>
      <c r="L678">
        <v>0</v>
      </c>
      <c r="M678">
        <v>0</v>
      </c>
      <c r="N678">
        <v>0</v>
      </c>
      <c r="O678">
        <v>1</v>
      </c>
      <c r="P678">
        <v>1</v>
      </c>
      <c r="Q678">
        <v>1</v>
      </c>
      <c r="R678">
        <v>0</v>
      </c>
      <c r="S678">
        <v>0</v>
      </c>
      <c r="T678">
        <v>0</v>
      </c>
      <c r="U678">
        <v>0</v>
      </c>
      <c r="V678">
        <v>1</v>
      </c>
    </row>
    <row r="679" spans="1:22" x14ac:dyDescent="0.25">
      <c r="A679">
        <v>2025</v>
      </c>
      <c r="B679">
        <v>12</v>
      </c>
      <c r="C679" t="s">
        <v>37</v>
      </c>
      <c r="D679" t="s">
        <v>22</v>
      </c>
      <c r="E679" t="s">
        <v>61</v>
      </c>
      <c r="F679" t="s">
        <v>34</v>
      </c>
      <c r="G679" t="s">
        <v>24</v>
      </c>
      <c r="H679" t="s">
        <v>25</v>
      </c>
      <c r="I679" t="s">
        <v>26</v>
      </c>
      <c r="J679" t="s">
        <v>26</v>
      </c>
      <c r="K679">
        <v>1</v>
      </c>
      <c r="L679">
        <v>0</v>
      </c>
      <c r="M679">
        <v>0</v>
      </c>
      <c r="N679">
        <v>0</v>
      </c>
      <c r="O679">
        <v>1</v>
      </c>
      <c r="P679">
        <v>1</v>
      </c>
      <c r="Q679">
        <v>1</v>
      </c>
      <c r="R679">
        <v>0</v>
      </c>
      <c r="S679">
        <v>0</v>
      </c>
      <c r="T679">
        <v>0</v>
      </c>
      <c r="U679">
        <v>0</v>
      </c>
      <c r="V679">
        <v>1</v>
      </c>
    </row>
    <row r="680" spans="1:22" x14ac:dyDescent="0.25">
      <c r="A680">
        <v>2025</v>
      </c>
      <c r="B680">
        <v>12</v>
      </c>
      <c r="C680" t="s">
        <v>37</v>
      </c>
      <c r="D680" t="s">
        <v>22</v>
      </c>
      <c r="E680" t="s">
        <v>61</v>
      </c>
      <c r="F680" t="s">
        <v>35</v>
      </c>
      <c r="G680" t="s">
        <v>28</v>
      </c>
      <c r="H680" t="s">
        <v>25</v>
      </c>
      <c r="I680" t="s">
        <v>26</v>
      </c>
      <c r="J680" t="s">
        <v>26</v>
      </c>
      <c r="K680">
        <v>13</v>
      </c>
      <c r="L680">
        <v>0</v>
      </c>
      <c r="M680">
        <v>2</v>
      </c>
      <c r="N680">
        <v>2</v>
      </c>
      <c r="O680">
        <v>8</v>
      </c>
      <c r="P680">
        <v>8</v>
      </c>
      <c r="Q680">
        <v>8</v>
      </c>
      <c r="R680">
        <v>7</v>
      </c>
      <c r="S680">
        <v>5</v>
      </c>
      <c r="T680">
        <v>4</v>
      </c>
      <c r="U680">
        <v>0</v>
      </c>
      <c r="V680">
        <v>11</v>
      </c>
    </row>
    <row r="681" spans="1:22" x14ac:dyDescent="0.25">
      <c r="A681">
        <v>2025</v>
      </c>
      <c r="B681">
        <v>12</v>
      </c>
      <c r="C681" t="s">
        <v>37</v>
      </c>
      <c r="D681" t="s">
        <v>22</v>
      </c>
      <c r="E681" t="s">
        <v>61</v>
      </c>
      <c r="F681" t="s">
        <v>35</v>
      </c>
      <c r="G681" t="s">
        <v>24</v>
      </c>
      <c r="H681" t="s">
        <v>25</v>
      </c>
      <c r="I681" t="s">
        <v>26</v>
      </c>
      <c r="J681" t="s">
        <v>26</v>
      </c>
      <c r="K681">
        <v>673</v>
      </c>
      <c r="L681">
        <v>9</v>
      </c>
      <c r="M681">
        <v>27</v>
      </c>
      <c r="N681">
        <v>36</v>
      </c>
      <c r="O681">
        <v>332</v>
      </c>
      <c r="P681">
        <v>291</v>
      </c>
      <c r="Q681">
        <v>281</v>
      </c>
      <c r="R681">
        <v>233</v>
      </c>
      <c r="S681">
        <v>189</v>
      </c>
      <c r="T681">
        <v>131</v>
      </c>
      <c r="U681">
        <v>60</v>
      </c>
      <c r="V681">
        <v>657</v>
      </c>
    </row>
    <row r="682" spans="1:22" x14ac:dyDescent="0.25">
      <c r="A682">
        <v>2025</v>
      </c>
      <c r="B682">
        <v>12</v>
      </c>
      <c r="C682" t="s">
        <v>37</v>
      </c>
      <c r="D682" t="s">
        <v>22</v>
      </c>
      <c r="E682" t="s">
        <v>61</v>
      </c>
      <c r="F682" t="s">
        <v>41</v>
      </c>
      <c r="G682" t="s">
        <v>24</v>
      </c>
      <c r="H682" t="s">
        <v>26</v>
      </c>
      <c r="I682" t="s">
        <v>26</v>
      </c>
      <c r="J682" t="s">
        <v>25</v>
      </c>
      <c r="K682">
        <v>333</v>
      </c>
      <c r="L682">
        <v>1</v>
      </c>
      <c r="M682">
        <v>4</v>
      </c>
      <c r="N682">
        <v>5</v>
      </c>
      <c r="O682">
        <v>205</v>
      </c>
      <c r="P682">
        <v>174</v>
      </c>
      <c r="Q682">
        <v>160</v>
      </c>
      <c r="R682">
        <v>123</v>
      </c>
      <c r="S682">
        <v>83</v>
      </c>
      <c r="T682">
        <v>30</v>
      </c>
      <c r="U682">
        <v>8</v>
      </c>
      <c r="V682">
        <v>330</v>
      </c>
    </row>
    <row r="683" spans="1:22" x14ac:dyDescent="0.25">
      <c r="A683">
        <v>2025</v>
      </c>
      <c r="B683">
        <v>12</v>
      </c>
      <c r="C683" t="s">
        <v>37</v>
      </c>
      <c r="D683" t="s">
        <v>22</v>
      </c>
      <c r="E683" t="s">
        <v>157</v>
      </c>
      <c r="F683" t="s">
        <v>35</v>
      </c>
      <c r="G683" t="s">
        <v>24</v>
      </c>
      <c r="H683" t="s">
        <v>25</v>
      </c>
      <c r="I683" t="s">
        <v>26</v>
      </c>
      <c r="J683" t="s">
        <v>26</v>
      </c>
      <c r="K683">
        <v>3</v>
      </c>
      <c r="L683">
        <v>0</v>
      </c>
      <c r="M683">
        <v>0</v>
      </c>
      <c r="N683">
        <v>0</v>
      </c>
      <c r="O683">
        <v>2</v>
      </c>
      <c r="P683">
        <v>1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3</v>
      </c>
    </row>
    <row r="684" spans="1:22" x14ac:dyDescent="0.25">
      <c r="A684">
        <v>2025</v>
      </c>
      <c r="B684">
        <v>12</v>
      </c>
      <c r="C684" t="s">
        <v>37</v>
      </c>
      <c r="D684" t="s">
        <v>22</v>
      </c>
      <c r="E684" t="s">
        <v>69</v>
      </c>
      <c r="F684" t="s">
        <v>23</v>
      </c>
      <c r="G684" t="s">
        <v>28</v>
      </c>
      <c r="H684" t="s">
        <v>25</v>
      </c>
      <c r="I684" t="s">
        <v>26</v>
      </c>
      <c r="J684" t="s">
        <v>25</v>
      </c>
      <c r="K684">
        <v>10</v>
      </c>
      <c r="L684">
        <v>0</v>
      </c>
      <c r="M684">
        <v>0</v>
      </c>
      <c r="N684">
        <v>0</v>
      </c>
      <c r="O684">
        <v>8</v>
      </c>
      <c r="P684">
        <v>6</v>
      </c>
      <c r="Q684">
        <v>5</v>
      </c>
      <c r="R684">
        <v>2</v>
      </c>
      <c r="S684">
        <v>1</v>
      </c>
      <c r="T684">
        <v>0</v>
      </c>
      <c r="U684">
        <v>0</v>
      </c>
      <c r="V684">
        <v>10</v>
      </c>
    </row>
    <row r="685" spans="1:22" x14ac:dyDescent="0.25">
      <c r="A685">
        <v>2025</v>
      </c>
      <c r="B685">
        <v>12</v>
      </c>
      <c r="C685" t="s">
        <v>37</v>
      </c>
      <c r="D685" t="s">
        <v>22</v>
      </c>
      <c r="E685" t="s">
        <v>69</v>
      </c>
      <c r="F685" t="s">
        <v>23</v>
      </c>
      <c r="G685" t="s">
        <v>24</v>
      </c>
      <c r="H685" t="s">
        <v>25</v>
      </c>
      <c r="I685" t="s">
        <v>26</v>
      </c>
      <c r="J685" t="s">
        <v>25</v>
      </c>
      <c r="K685">
        <v>718</v>
      </c>
      <c r="L685">
        <v>7</v>
      </c>
      <c r="M685">
        <v>21</v>
      </c>
      <c r="N685">
        <v>28</v>
      </c>
      <c r="O685">
        <v>384</v>
      </c>
      <c r="P685">
        <v>273</v>
      </c>
      <c r="Q685">
        <v>239</v>
      </c>
      <c r="R685">
        <v>157</v>
      </c>
      <c r="S685">
        <v>93</v>
      </c>
      <c r="T685">
        <v>27</v>
      </c>
      <c r="U685">
        <v>3</v>
      </c>
      <c r="V685">
        <v>696</v>
      </c>
    </row>
    <row r="686" spans="1:22" x14ac:dyDescent="0.25">
      <c r="A686">
        <v>2025</v>
      </c>
      <c r="B686">
        <v>12</v>
      </c>
      <c r="C686" t="s">
        <v>37</v>
      </c>
      <c r="D686" t="s">
        <v>22</v>
      </c>
      <c r="E686" t="s">
        <v>69</v>
      </c>
      <c r="F686" t="s">
        <v>40</v>
      </c>
      <c r="G686" t="s">
        <v>24</v>
      </c>
      <c r="H686" t="s">
        <v>25</v>
      </c>
      <c r="I686" t="s">
        <v>26</v>
      </c>
      <c r="J686" t="s">
        <v>25</v>
      </c>
      <c r="K686">
        <v>519</v>
      </c>
      <c r="L686">
        <v>19</v>
      </c>
      <c r="M686">
        <v>0</v>
      </c>
      <c r="N686">
        <v>19</v>
      </c>
      <c r="O686">
        <v>28</v>
      </c>
      <c r="P686">
        <v>12</v>
      </c>
      <c r="Q686">
        <v>9</v>
      </c>
      <c r="R686">
        <v>4</v>
      </c>
      <c r="S686">
        <v>0</v>
      </c>
      <c r="T686">
        <v>0</v>
      </c>
      <c r="U686">
        <v>0</v>
      </c>
      <c r="V686">
        <v>500</v>
      </c>
    </row>
    <row r="687" spans="1:22" x14ac:dyDescent="0.25">
      <c r="A687">
        <v>2025</v>
      </c>
      <c r="B687">
        <v>12</v>
      </c>
      <c r="C687" t="s">
        <v>37</v>
      </c>
      <c r="D687" t="s">
        <v>22</v>
      </c>
      <c r="E687" t="s">
        <v>75</v>
      </c>
      <c r="F687" t="s">
        <v>39</v>
      </c>
      <c r="G687" t="s">
        <v>29</v>
      </c>
      <c r="H687" t="s">
        <v>26</v>
      </c>
      <c r="I687" t="s">
        <v>26</v>
      </c>
      <c r="J687" t="s">
        <v>25</v>
      </c>
      <c r="K687">
        <v>1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</row>
    <row r="688" spans="1:22" x14ac:dyDescent="0.25">
      <c r="A688">
        <v>2025</v>
      </c>
      <c r="B688">
        <v>12</v>
      </c>
      <c r="C688" t="s">
        <v>37</v>
      </c>
      <c r="D688" t="s">
        <v>22</v>
      </c>
      <c r="E688" t="s">
        <v>75</v>
      </c>
      <c r="F688" t="s">
        <v>27</v>
      </c>
      <c r="G688" t="s">
        <v>24</v>
      </c>
      <c r="H688" t="s">
        <v>26</v>
      </c>
      <c r="I688" t="s">
        <v>26</v>
      </c>
      <c r="J688" t="s">
        <v>25</v>
      </c>
      <c r="K688">
        <v>3</v>
      </c>
      <c r="L688">
        <v>0</v>
      </c>
      <c r="M688">
        <v>0</v>
      </c>
      <c r="N688">
        <v>0</v>
      </c>
      <c r="O688">
        <v>2</v>
      </c>
      <c r="P688">
        <v>2</v>
      </c>
      <c r="Q688">
        <v>2</v>
      </c>
      <c r="R688">
        <v>2</v>
      </c>
      <c r="S688">
        <v>2</v>
      </c>
      <c r="T688">
        <v>0</v>
      </c>
      <c r="U688">
        <v>0</v>
      </c>
      <c r="V688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V164"/>
  <sheetViews>
    <sheetView workbookViewId="0">
      <selection activeCell="W6" sqref="W6"/>
    </sheetView>
  </sheetViews>
  <sheetFormatPr defaultRowHeight="15" x14ac:dyDescent="0.25"/>
  <sheetData>
    <row r="1" spans="1:2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122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</row>
    <row r="2" spans="1:22" x14ac:dyDescent="0.25">
      <c r="A2">
        <v>2025</v>
      </c>
      <c r="B2">
        <v>1</v>
      </c>
      <c r="C2" t="s">
        <v>53</v>
      </c>
      <c r="D2" t="s">
        <v>22</v>
      </c>
      <c r="E2" t="s">
        <v>37</v>
      </c>
      <c r="F2" t="s">
        <v>23</v>
      </c>
      <c r="G2" t="s">
        <v>24</v>
      </c>
      <c r="H2" t="s">
        <v>25</v>
      </c>
      <c r="I2" t="s">
        <v>26</v>
      </c>
      <c r="J2" t="s">
        <v>25</v>
      </c>
      <c r="K2">
        <v>390</v>
      </c>
      <c r="L2">
        <v>36</v>
      </c>
      <c r="M2">
        <v>5</v>
      </c>
      <c r="N2">
        <v>41</v>
      </c>
      <c r="O2">
        <v>159</v>
      </c>
      <c r="P2">
        <v>148</v>
      </c>
      <c r="Q2">
        <v>142</v>
      </c>
      <c r="R2">
        <v>132</v>
      </c>
      <c r="S2">
        <v>102</v>
      </c>
      <c r="T2">
        <v>53</v>
      </c>
      <c r="U2">
        <v>13</v>
      </c>
      <c r="V2">
        <v>349</v>
      </c>
    </row>
    <row r="3" spans="1:22" x14ac:dyDescent="0.25">
      <c r="A3">
        <v>2025</v>
      </c>
      <c r="B3">
        <v>1</v>
      </c>
      <c r="C3" t="s">
        <v>53</v>
      </c>
      <c r="D3" t="s">
        <v>22</v>
      </c>
      <c r="E3" t="s">
        <v>37</v>
      </c>
      <c r="F3" t="s">
        <v>39</v>
      </c>
      <c r="G3" t="s">
        <v>28</v>
      </c>
      <c r="H3" t="s">
        <v>26</v>
      </c>
      <c r="I3" t="s">
        <v>26</v>
      </c>
      <c r="J3" t="s">
        <v>25</v>
      </c>
      <c r="K3">
        <v>1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1</v>
      </c>
    </row>
    <row r="4" spans="1:22" x14ac:dyDescent="0.25">
      <c r="A4">
        <v>2025</v>
      </c>
      <c r="B4">
        <v>1</v>
      </c>
      <c r="C4" t="s">
        <v>53</v>
      </c>
      <c r="D4" t="s">
        <v>22</v>
      </c>
      <c r="E4" t="s">
        <v>143</v>
      </c>
      <c r="F4" t="s">
        <v>39</v>
      </c>
      <c r="G4" t="s">
        <v>24</v>
      </c>
      <c r="H4" t="s">
        <v>26</v>
      </c>
      <c r="I4" t="s">
        <v>26</v>
      </c>
      <c r="J4" t="s">
        <v>25</v>
      </c>
      <c r="K4">
        <v>447</v>
      </c>
      <c r="L4">
        <v>0</v>
      </c>
      <c r="M4">
        <v>7</v>
      </c>
      <c r="N4">
        <v>7</v>
      </c>
      <c r="O4">
        <v>169</v>
      </c>
      <c r="P4">
        <v>153</v>
      </c>
      <c r="Q4">
        <v>149</v>
      </c>
      <c r="R4">
        <v>138</v>
      </c>
      <c r="S4">
        <v>110</v>
      </c>
      <c r="T4">
        <v>46</v>
      </c>
      <c r="U4">
        <v>8</v>
      </c>
      <c r="V4">
        <v>444</v>
      </c>
    </row>
    <row r="5" spans="1:22" x14ac:dyDescent="0.25">
      <c r="A5">
        <v>2025</v>
      </c>
      <c r="B5">
        <v>1</v>
      </c>
      <c r="C5" t="s">
        <v>53</v>
      </c>
      <c r="D5" t="s">
        <v>22</v>
      </c>
      <c r="E5" t="s">
        <v>149</v>
      </c>
      <c r="F5" t="s">
        <v>23</v>
      </c>
      <c r="G5" t="s">
        <v>24</v>
      </c>
      <c r="H5" t="s">
        <v>25</v>
      </c>
      <c r="I5" t="s">
        <v>26</v>
      </c>
      <c r="J5" t="s">
        <v>25</v>
      </c>
      <c r="K5">
        <v>31</v>
      </c>
      <c r="L5">
        <v>0</v>
      </c>
      <c r="M5">
        <v>1</v>
      </c>
      <c r="N5">
        <v>1</v>
      </c>
      <c r="O5">
        <v>12</v>
      </c>
      <c r="P5">
        <v>11</v>
      </c>
      <c r="Q5">
        <v>11</v>
      </c>
      <c r="R5">
        <v>11</v>
      </c>
      <c r="S5">
        <v>8</v>
      </c>
      <c r="T5">
        <v>4</v>
      </c>
      <c r="U5">
        <v>0</v>
      </c>
      <c r="V5">
        <v>31</v>
      </c>
    </row>
    <row r="6" spans="1:22" x14ac:dyDescent="0.25">
      <c r="A6">
        <v>2025</v>
      </c>
      <c r="B6">
        <v>1</v>
      </c>
      <c r="C6" t="s">
        <v>53</v>
      </c>
      <c r="D6" t="s">
        <v>22</v>
      </c>
      <c r="E6" t="s">
        <v>53</v>
      </c>
      <c r="F6" t="s">
        <v>23</v>
      </c>
      <c r="G6" t="s">
        <v>28</v>
      </c>
      <c r="H6" t="s">
        <v>25</v>
      </c>
      <c r="I6" t="s">
        <v>26</v>
      </c>
      <c r="J6" t="s">
        <v>25</v>
      </c>
      <c r="K6">
        <v>36369</v>
      </c>
      <c r="L6">
        <v>0</v>
      </c>
      <c r="M6">
        <v>4032</v>
      </c>
      <c r="N6">
        <v>4032</v>
      </c>
      <c r="O6">
        <v>4646</v>
      </c>
      <c r="P6">
        <v>2464</v>
      </c>
      <c r="Q6">
        <v>1951</v>
      </c>
      <c r="R6">
        <v>953</v>
      </c>
      <c r="S6">
        <v>416</v>
      </c>
      <c r="T6">
        <v>42</v>
      </c>
      <c r="U6">
        <v>4</v>
      </c>
      <c r="V6">
        <v>33189</v>
      </c>
    </row>
    <row r="7" spans="1:22" x14ac:dyDescent="0.25">
      <c r="A7">
        <v>2025</v>
      </c>
      <c r="B7">
        <v>1</v>
      </c>
      <c r="C7" t="s">
        <v>53</v>
      </c>
      <c r="D7" t="s">
        <v>22</v>
      </c>
      <c r="E7" t="s">
        <v>53</v>
      </c>
      <c r="F7" t="s">
        <v>23</v>
      </c>
      <c r="G7" t="s">
        <v>29</v>
      </c>
      <c r="H7" t="s">
        <v>25</v>
      </c>
      <c r="I7" t="s">
        <v>26</v>
      </c>
      <c r="J7" t="s">
        <v>25</v>
      </c>
      <c r="K7">
        <v>1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 x14ac:dyDescent="0.25">
      <c r="A8">
        <v>2025</v>
      </c>
      <c r="B8">
        <v>1</v>
      </c>
      <c r="C8" t="s">
        <v>53</v>
      </c>
      <c r="D8" t="s">
        <v>22</v>
      </c>
      <c r="E8" t="s">
        <v>53</v>
      </c>
      <c r="F8" t="s">
        <v>56</v>
      </c>
      <c r="G8" t="s">
        <v>28</v>
      </c>
      <c r="H8" t="s">
        <v>25</v>
      </c>
      <c r="I8" t="s">
        <v>26</v>
      </c>
      <c r="J8" t="s">
        <v>25</v>
      </c>
      <c r="K8">
        <v>3640</v>
      </c>
      <c r="L8">
        <v>0</v>
      </c>
      <c r="M8">
        <v>931</v>
      </c>
      <c r="N8">
        <v>931</v>
      </c>
      <c r="O8">
        <v>508</v>
      </c>
      <c r="P8">
        <v>328</v>
      </c>
      <c r="Q8">
        <v>276</v>
      </c>
      <c r="R8">
        <v>169</v>
      </c>
      <c r="S8">
        <v>74</v>
      </c>
      <c r="T8">
        <v>9</v>
      </c>
      <c r="U8">
        <v>1</v>
      </c>
      <c r="V8">
        <v>2943</v>
      </c>
    </row>
    <row r="9" spans="1:22" x14ac:dyDescent="0.25">
      <c r="A9">
        <v>2025</v>
      </c>
      <c r="B9">
        <v>1</v>
      </c>
      <c r="C9" t="s">
        <v>53</v>
      </c>
      <c r="D9" t="s">
        <v>22</v>
      </c>
      <c r="E9" t="s">
        <v>53</v>
      </c>
      <c r="F9" t="s">
        <v>57</v>
      </c>
      <c r="G9" t="s">
        <v>28</v>
      </c>
      <c r="H9" t="s">
        <v>25</v>
      </c>
      <c r="I9" t="s">
        <v>26</v>
      </c>
      <c r="J9" t="s">
        <v>26</v>
      </c>
      <c r="K9">
        <v>8</v>
      </c>
      <c r="L9">
        <v>0</v>
      </c>
      <c r="M9">
        <v>0</v>
      </c>
      <c r="N9">
        <v>0</v>
      </c>
      <c r="O9">
        <v>6</v>
      </c>
      <c r="P9">
        <v>4</v>
      </c>
      <c r="Q9">
        <v>3</v>
      </c>
      <c r="R9">
        <v>3</v>
      </c>
      <c r="S9">
        <v>2</v>
      </c>
      <c r="T9">
        <v>0</v>
      </c>
      <c r="U9">
        <v>0</v>
      </c>
      <c r="V9">
        <v>8</v>
      </c>
    </row>
    <row r="10" spans="1:22" x14ac:dyDescent="0.25">
      <c r="A10">
        <v>2025</v>
      </c>
      <c r="B10">
        <v>1</v>
      </c>
      <c r="C10" t="s">
        <v>53</v>
      </c>
      <c r="D10" t="s">
        <v>22</v>
      </c>
      <c r="E10" t="s">
        <v>53</v>
      </c>
      <c r="F10" t="s">
        <v>58</v>
      </c>
      <c r="G10" t="s">
        <v>28</v>
      </c>
      <c r="H10" t="s">
        <v>25</v>
      </c>
      <c r="I10" t="s">
        <v>25</v>
      </c>
      <c r="J10" t="s">
        <v>25</v>
      </c>
      <c r="K10">
        <v>4191</v>
      </c>
      <c r="L10">
        <v>0</v>
      </c>
      <c r="M10">
        <v>50</v>
      </c>
      <c r="N10">
        <v>50</v>
      </c>
      <c r="O10">
        <v>338</v>
      </c>
      <c r="P10">
        <v>173</v>
      </c>
      <c r="Q10">
        <v>131</v>
      </c>
      <c r="R10">
        <v>57</v>
      </c>
      <c r="S10">
        <v>27</v>
      </c>
      <c r="T10">
        <v>1</v>
      </c>
      <c r="U10">
        <v>0</v>
      </c>
      <c r="V10">
        <v>4145</v>
      </c>
    </row>
    <row r="11" spans="1:22" x14ac:dyDescent="0.25">
      <c r="A11">
        <v>2025</v>
      </c>
      <c r="B11">
        <v>1</v>
      </c>
      <c r="C11" t="s">
        <v>53</v>
      </c>
      <c r="D11" t="s">
        <v>22</v>
      </c>
      <c r="E11" t="s">
        <v>53</v>
      </c>
      <c r="F11" t="s">
        <v>58</v>
      </c>
      <c r="G11" t="s">
        <v>24</v>
      </c>
      <c r="H11" t="s">
        <v>25</v>
      </c>
      <c r="I11" t="s">
        <v>25</v>
      </c>
      <c r="J11" t="s">
        <v>25</v>
      </c>
      <c r="K11">
        <v>6</v>
      </c>
      <c r="L11">
        <v>5</v>
      </c>
      <c r="M11">
        <v>1</v>
      </c>
      <c r="N11">
        <v>6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 x14ac:dyDescent="0.25">
      <c r="A12">
        <v>2025</v>
      </c>
      <c r="B12">
        <v>1</v>
      </c>
      <c r="C12" t="s">
        <v>53</v>
      </c>
      <c r="D12" t="s">
        <v>22</v>
      </c>
      <c r="E12" t="s">
        <v>53</v>
      </c>
      <c r="F12" t="s">
        <v>59</v>
      </c>
      <c r="G12" t="s">
        <v>28</v>
      </c>
      <c r="H12" t="s">
        <v>25</v>
      </c>
      <c r="I12" t="s">
        <v>25</v>
      </c>
      <c r="J12" t="s">
        <v>25</v>
      </c>
      <c r="K12">
        <v>77886</v>
      </c>
      <c r="L12">
        <v>0</v>
      </c>
      <c r="M12">
        <v>3998</v>
      </c>
      <c r="N12">
        <v>3998</v>
      </c>
      <c r="O12">
        <v>5630</v>
      </c>
      <c r="P12">
        <v>2665</v>
      </c>
      <c r="Q12">
        <v>1981</v>
      </c>
      <c r="R12">
        <v>817</v>
      </c>
      <c r="S12">
        <v>317</v>
      </c>
      <c r="T12">
        <v>23</v>
      </c>
      <c r="U12">
        <v>0</v>
      </c>
      <c r="V12">
        <v>74806</v>
      </c>
    </row>
    <row r="13" spans="1:22" x14ac:dyDescent="0.25">
      <c r="A13">
        <v>2025</v>
      </c>
      <c r="B13">
        <v>1</v>
      </c>
      <c r="C13" t="s">
        <v>53</v>
      </c>
      <c r="D13" t="s">
        <v>22</v>
      </c>
      <c r="E13" t="s">
        <v>53</v>
      </c>
      <c r="F13" t="s">
        <v>60</v>
      </c>
      <c r="G13" t="s">
        <v>28</v>
      </c>
      <c r="H13" t="s">
        <v>25</v>
      </c>
      <c r="I13" t="s">
        <v>25</v>
      </c>
      <c r="J13" t="s">
        <v>25</v>
      </c>
      <c r="K13">
        <v>40640</v>
      </c>
      <c r="L13">
        <v>0</v>
      </c>
      <c r="M13">
        <v>1124</v>
      </c>
      <c r="N13">
        <v>1124</v>
      </c>
      <c r="O13">
        <v>3027</v>
      </c>
      <c r="P13">
        <v>1109</v>
      </c>
      <c r="Q13">
        <v>757</v>
      </c>
      <c r="R13">
        <v>276</v>
      </c>
      <c r="S13">
        <v>118</v>
      </c>
      <c r="T13">
        <v>8</v>
      </c>
      <c r="U13">
        <v>0</v>
      </c>
      <c r="V13">
        <v>39793</v>
      </c>
    </row>
    <row r="14" spans="1:22" x14ac:dyDescent="0.25">
      <c r="A14">
        <v>2025</v>
      </c>
      <c r="B14">
        <v>1</v>
      </c>
      <c r="C14" t="s">
        <v>53</v>
      </c>
      <c r="D14" t="s">
        <v>22</v>
      </c>
      <c r="E14" t="s">
        <v>53</v>
      </c>
      <c r="F14" t="s">
        <v>60</v>
      </c>
      <c r="G14" t="s">
        <v>24</v>
      </c>
      <c r="H14" t="s">
        <v>25</v>
      </c>
      <c r="I14" t="s">
        <v>25</v>
      </c>
      <c r="J14" t="s">
        <v>25</v>
      </c>
      <c r="K14">
        <v>18</v>
      </c>
      <c r="L14">
        <v>18</v>
      </c>
      <c r="M14">
        <v>0</v>
      </c>
      <c r="N14">
        <v>18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 x14ac:dyDescent="0.25">
      <c r="A15">
        <v>2025</v>
      </c>
      <c r="B15">
        <v>1</v>
      </c>
      <c r="C15" t="s">
        <v>53</v>
      </c>
      <c r="D15" t="s">
        <v>22</v>
      </c>
      <c r="E15" t="s">
        <v>158</v>
      </c>
      <c r="F15" t="s">
        <v>54</v>
      </c>
      <c r="G15" t="s">
        <v>24</v>
      </c>
      <c r="H15" t="s">
        <v>25</v>
      </c>
      <c r="I15" t="s">
        <v>26</v>
      </c>
      <c r="J15" t="s">
        <v>25</v>
      </c>
      <c r="K15">
        <v>375</v>
      </c>
      <c r="L15">
        <v>2</v>
      </c>
      <c r="M15">
        <v>3</v>
      </c>
      <c r="N15">
        <v>5</v>
      </c>
      <c r="O15">
        <v>72</v>
      </c>
      <c r="P15">
        <v>41</v>
      </c>
      <c r="Q15">
        <v>34</v>
      </c>
      <c r="R15">
        <v>19</v>
      </c>
      <c r="S15">
        <v>9</v>
      </c>
      <c r="T15">
        <v>2</v>
      </c>
      <c r="U15">
        <v>0</v>
      </c>
      <c r="V15">
        <v>373</v>
      </c>
    </row>
    <row r="16" spans="1:22" x14ac:dyDescent="0.25">
      <c r="A16">
        <v>2025</v>
      </c>
      <c r="B16">
        <v>1</v>
      </c>
      <c r="C16" t="s">
        <v>53</v>
      </c>
      <c r="D16" t="s">
        <v>22</v>
      </c>
      <c r="E16" t="s">
        <v>158</v>
      </c>
      <c r="F16" t="s">
        <v>55</v>
      </c>
      <c r="G16" t="s">
        <v>24</v>
      </c>
      <c r="H16" t="s">
        <v>25</v>
      </c>
      <c r="I16" t="s">
        <v>26</v>
      </c>
      <c r="J16" t="s">
        <v>25</v>
      </c>
      <c r="K16">
        <v>332</v>
      </c>
      <c r="L16">
        <v>2</v>
      </c>
      <c r="M16">
        <v>2</v>
      </c>
      <c r="N16">
        <v>4</v>
      </c>
      <c r="O16">
        <v>42</v>
      </c>
      <c r="P16">
        <v>26</v>
      </c>
      <c r="Q16">
        <v>24</v>
      </c>
      <c r="R16">
        <v>16</v>
      </c>
      <c r="S16">
        <v>11</v>
      </c>
      <c r="T16">
        <v>4</v>
      </c>
      <c r="U16">
        <v>0</v>
      </c>
      <c r="V16">
        <v>330</v>
      </c>
    </row>
    <row r="17" spans="1:22" x14ac:dyDescent="0.25">
      <c r="A17">
        <v>2025</v>
      </c>
      <c r="B17">
        <v>1</v>
      </c>
      <c r="C17" t="s">
        <v>53</v>
      </c>
      <c r="D17" t="s">
        <v>22</v>
      </c>
      <c r="E17" t="s">
        <v>61</v>
      </c>
      <c r="F17" t="s">
        <v>35</v>
      </c>
      <c r="G17" t="s">
        <v>28</v>
      </c>
      <c r="H17" t="s">
        <v>25</v>
      </c>
      <c r="I17" t="s">
        <v>26</v>
      </c>
      <c r="J17" t="s">
        <v>26</v>
      </c>
      <c r="K17">
        <v>2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2</v>
      </c>
    </row>
    <row r="18" spans="1:22" x14ac:dyDescent="0.25">
      <c r="A18">
        <v>2025</v>
      </c>
      <c r="B18">
        <v>1</v>
      </c>
      <c r="C18" t="s">
        <v>53</v>
      </c>
      <c r="D18" t="s">
        <v>22</v>
      </c>
      <c r="E18" t="s">
        <v>61</v>
      </c>
      <c r="F18" t="s">
        <v>35</v>
      </c>
      <c r="G18" t="s">
        <v>24</v>
      </c>
      <c r="H18" t="s">
        <v>25</v>
      </c>
      <c r="I18" t="s">
        <v>26</v>
      </c>
      <c r="J18" t="s">
        <v>26</v>
      </c>
      <c r="K18">
        <v>179</v>
      </c>
      <c r="L18">
        <v>4</v>
      </c>
      <c r="M18">
        <v>1</v>
      </c>
      <c r="N18">
        <v>5</v>
      </c>
      <c r="O18">
        <v>88</v>
      </c>
      <c r="P18">
        <v>81</v>
      </c>
      <c r="Q18">
        <v>78</v>
      </c>
      <c r="R18">
        <v>70</v>
      </c>
      <c r="S18">
        <v>61</v>
      </c>
      <c r="T18">
        <v>46</v>
      </c>
      <c r="U18">
        <v>25</v>
      </c>
      <c r="V18">
        <v>175</v>
      </c>
    </row>
    <row r="19" spans="1:22" x14ac:dyDescent="0.25">
      <c r="A19">
        <v>2025</v>
      </c>
      <c r="B19">
        <v>2</v>
      </c>
      <c r="C19" t="s">
        <v>53</v>
      </c>
      <c r="D19" t="s">
        <v>22</v>
      </c>
      <c r="E19" t="s">
        <v>37</v>
      </c>
      <c r="F19" t="s">
        <v>23</v>
      </c>
      <c r="G19" t="s">
        <v>24</v>
      </c>
      <c r="H19" t="s">
        <v>25</v>
      </c>
      <c r="I19" t="s">
        <v>26</v>
      </c>
      <c r="J19" t="s">
        <v>25</v>
      </c>
      <c r="K19">
        <v>242</v>
      </c>
      <c r="L19">
        <v>14</v>
      </c>
      <c r="M19">
        <v>7</v>
      </c>
      <c r="N19">
        <v>21</v>
      </c>
      <c r="O19">
        <v>113</v>
      </c>
      <c r="P19">
        <v>97</v>
      </c>
      <c r="Q19">
        <v>95</v>
      </c>
      <c r="R19">
        <v>90</v>
      </c>
      <c r="S19">
        <v>70</v>
      </c>
      <c r="T19">
        <v>39</v>
      </c>
      <c r="U19">
        <v>11</v>
      </c>
      <c r="V19">
        <v>222</v>
      </c>
    </row>
    <row r="20" spans="1:22" x14ac:dyDescent="0.25">
      <c r="A20">
        <v>2025</v>
      </c>
      <c r="B20">
        <v>2</v>
      </c>
      <c r="C20" t="s">
        <v>53</v>
      </c>
      <c r="D20" t="s">
        <v>22</v>
      </c>
      <c r="E20" t="s">
        <v>143</v>
      </c>
      <c r="F20" t="s">
        <v>23</v>
      </c>
      <c r="G20" t="s">
        <v>24</v>
      </c>
      <c r="H20" t="s">
        <v>25</v>
      </c>
      <c r="I20" t="s">
        <v>26</v>
      </c>
      <c r="J20" t="s">
        <v>25</v>
      </c>
      <c r="K20">
        <v>1</v>
      </c>
      <c r="L20">
        <v>0</v>
      </c>
      <c r="M20">
        <v>1</v>
      </c>
      <c r="N20">
        <v>1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 x14ac:dyDescent="0.25">
      <c r="A21">
        <v>2025</v>
      </c>
      <c r="B21">
        <v>2</v>
      </c>
      <c r="C21" t="s">
        <v>53</v>
      </c>
      <c r="D21" t="s">
        <v>22</v>
      </c>
      <c r="E21" t="s">
        <v>143</v>
      </c>
      <c r="F21" t="s">
        <v>39</v>
      </c>
      <c r="G21" t="s">
        <v>24</v>
      </c>
      <c r="H21" t="s">
        <v>26</v>
      </c>
      <c r="I21" t="s">
        <v>26</v>
      </c>
      <c r="J21" t="s">
        <v>25</v>
      </c>
      <c r="K21">
        <v>417</v>
      </c>
      <c r="L21">
        <v>4</v>
      </c>
      <c r="M21">
        <v>12</v>
      </c>
      <c r="N21">
        <v>16</v>
      </c>
      <c r="O21">
        <v>159</v>
      </c>
      <c r="P21">
        <v>138</v>
      </c>
      <c r="Q21">
        <v>134</v>
      </c>
      <c r="R21">
        <v>111</v>
      </c>
      <c r="S21">
        <v>83</v>
      </c>
      <c r="T21">
        <v>33</v>
      </c>
      <c r="U21">
        <v>10</v>
      </c>
      <c r="V21">
        <v>408</v>
      </c>
    </row>
    <row r="22" spans="1:22" x14ac:dyDescent="0.25">
      <c r="A22">
        <v>2025</v>
      </c>
      <c r="B22">
        <v>2</v>
      </c>
      <c r="C22" t="s">
        <v>53</v>
      </c>
      <c r="D22" t="s">
        <v>22</v>
      </c>
      <c r="E22" t="s">
        <v>149</v>
      </c>
      <c r="F22" t="s">
        <v>23</v>
      </c>
      <c r="G22" t="s">
        <v>24</v>
      </c>
      <c r="H22" t="s">
        <v>25</v>
      </c>
      <c r="I22" t="s">
        <v>26</v>
      </c>
      <c r="J22" t="s">
        <v>25</v>
      </c>
      <c r="K22">
        <v>53</v>
      </c>
      <c r="L22">
        <v>0</v>
      </c>
      <c r="M22">
        <v>0</v>
      </c>
      <c r="N22">
        <v>0</v>
      </c>
      <c r="O22">
        <v>12</v>
      </c>
      <c r="P22">
        <v>11</v>
      </c>
      <c r="Q22">
        <v>10</v>
      </c>
      <c r="R22">
        <v>9</v>
      </c>
      <c r="S22">
        <v>5</v>
      </c>
      <c r="T22">
        <v>2</v>
      </c>
      <c r="U22">
        <v>1</v>
      </c>
      <c r="V22">
        <v>53</v>
      </c>
    </row>
    <row r="23" spans="1:22" x14ac:dyDescent="0.25">
      <c r="A23">
        <v>2025</v>
      </c>
      <c r="B23">
        <v>2</v>
      </c>
      <c r="C23" t="s">
        <v>53</v>
      </c>
      <c r="D23" t="s">
        <v>22</v>
      </c>
      <c r="E23" t="s">
        <v>53</v>
      </c>
      <c r="F23" t="s">
        <v>55</v>
      </c>
      <c r="G23" t="s">
        <v>29</v>
      </c>
      <c r="H23" t="s">
        <v>25</v>
      </c>
      <c r="I23" t="s">
        <v>26</v>
      </c>
      <c r="J23" t="s">
        <v>25</v>
      </c>
      <c r="K23">
        <v>1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 x14ac:dyDescent="0.25">
      <c r="A24">
        <v>2025</v>
      </c>
      <c r="B24">
        <v>2</v>
      </c>
      <c r="C24" t="s">
        <v>53</v>
      </c>
      <c r="D24" t="s">
        <v>22</v>
      </c>
      <c r="E24" t="s">
        <v>53</v>
      </c>
      <c r="F24" t="s">
        <v>23</v>
      </c>
      <c r="G24" t="s">
        <v>28</v>
      </c>
      <c r="H24" t="s">
        <v>25</v>
      </c>
      <c r="I24" t="s">
        <v>26</v>
      </c>
      <c r="J24" t="s">
        <v>25</v>
      </c>
      <c r="K24">
        <v>34117</v>
      </c>
      <c r="L24">
        <v>0</v>
      </c>
      <c r="M24">
        <v>5344</v>
      </c>
      <c r="N24">
        <v>5344</v>
      </c>
      <c r="O24">
        <v>3807</v>
      </c>
      <c r="P24">
        <v>2151</v>
      </c>
      <c r="Q24">
        <v>1678</v>
      </c>
      <c r="R24">
        <v>785</v>
      </c>
      <c r="S24">
        <v>355</v>
      </c>
      <c r="T24">
        <v>31</v>
      </c>
      <c r="U24">
        <v>1</v>
      </c>
      <c r="V24">
        <v>29372</v>
      </c>
    </row>
    <row r="25" spans="1:22" x14ac:dyDescent="0.25">
      <c r="A25">
        <v>2025</v>
      </c>
      <c r="B25">
        <v>2</v>
      </c>
      <c r="C25" t="s">
        <v>53</v>
      </c>
      <c r="D25" t="s">
        <v>22</v>
      </c>
      <c r="E25" t="s">
        <v>53</v>
      </c>
      <c r="F25" t="s">
        <v>56</v>
      </c>
      <c r="G25" t="s">
        <v>28</v>
      </c>
      <c r="H25" t="s">
        <v>25</v>
      </c>
      <c r="I25" t="s">
        <v>26</v>
      </c>
      <c r="J25" t="s">
        <v>25</v>
      </c>
      <c r="K25">
        <v>3198</v>
      </c>
      <c r="L25">
        <v>0</v>
      </c>
      <c r="M25">
        <v>807</v>
      </c>
      <c r="N25">
        <v>807</v>
      </c>
      <c r="O25">
        <v>437</v>
      </c>
      <c r="P25">
        <v>278</v>
      </c>
      <c r="Q25">
        <v>244</v>
      </c>
      <c r="R25">
        <v>142</v>
      </c>
      <c r="S25">
        <v>62</v>
      </c>
      <c r="T25">
        <v>8</v>
      </c>
      <c r="U25">
        <v>0</v>
      </c>
      <c r="V25">
        <v>2551</v>
      </c>
    </row>
    <row r="26" spans="1:22" x14ac:dyDescent="0.25">
      <c r="A26">
        <v>2025</v>
      </c>
      <c r="B26">
        <v>2</v>
      </c>
      <c r="C26" t="s">
        <v>53</v>
      </c>
      <c r="D26" t="s">
        <v>22</v>
      </c>
      <c r="E26" t="s">
        <v>53</v>
      </c>
      <c r="F26" t="s">
        <v>57</v>
      </c>
      <c r="G26" t="s">
        <v>28</v>
      </c>
      <c r="H26" t="s">
        <v>25</v>
      </c>
      <c r="I26" t="s">
        <v>26</v>
      </c>
      <c r="J26" t="s">
        <v>26</v>
      </c>
      <c r="K26">
        <v>10</v>
      </c>
      <c r="L26">
        <v>0</v>
      </c>
      <c r="M26">
        <v>0</v>
      </c>
      <c r="N26">
        <v>0</v>
      </c>
      <c r="O26">
        <v>6</v>
      </c>
      <c r="P26">
        <v>5</v>
      </c>
      <c r="Q26">
        <v>5</v>
      </c>
      <c r="R26">
        <v>4</v>
      </c>
      <c r="S26">
        <v>3</v>
      </c>
      <c r="T26">
        <v>0</v>
      </c>
      <c r="U26">
        <v>0</v>
      </c>
      <c r="V26">
        <v>10</v>
      </c>
    </row>
    <row r="27" spans="1:22" x14ac:dyDescent="0.25">
      <c r="A27">
        <v>2025</v>
      </c>
      <c r="B27">
        <v>2</v>
      </c>
      <c r="C27" t="s">
        <v>53</v>
      </c>
      <c r="D27" t="s">
        <v>22</v>
      </c>
      <c r="E27" t="s">
        <v>53</v>
      </c>
      <c r="F27" t="s">
        <v>58</v>
      </c>
      <c r="G27" t="s">
        <v>28</v>
      </c>
      <c r="H27" t="s">
        <v>25</v>
      </c>
      <c r="I27" t="s">
        <v>25</v>
      </c>
      <c r="J27" t="s">
        <v>25</v>
      </c>
      <c r="K27">
        <v>3606</v>
      </c>
      <c r="L27">
        <v>0</v>
      </c>
      <c r="M27">
        <v>451</v>
      </c>
      <c r="N27">
        <v>451</v>
      </c>
      <c r="O27">
        <v>244</v>
      </c>
      <c r="P27">
        <v>115</v>
      </c>
      <c r="Q27">
        <v>93</v>
      </c>
      <c r="R27">
        <v>48</v>
      </c>
      <c r="S27">
        <v>18</v>
      </c>
      <c r="T27">
        <v>1</v>
      </c>
      <c r="U27">
        <v>0</v>
      </c>
      <c r="V27">
        <v>3160</v>
      </c>
    </row>
    <row r="28" spans="1:22" x14ac:dyDescent="0.25">
      <c r="A28">
        <v>2025</v>
      </c>
      <c r="B28">
        <v>2</v>
      </c>
      <c r="C28" t="s">
        <v>53</v>
      </c>
      <c r="D28" t="s">
        <v>22</v>
      </c>
      <c r="E28" t="s">
        <v>53</v>
      </c>
      <c r="F28" t="s">
        <v>58</v>
      </c>
      <c r="G28" t="s">
        <v>24</v>
      </c>
      <c r="H28" t="s">
        <v>25</v>
      </c>
      <c r="I28" t="s">
        <v>25</v>
      </c>
      <c r="J28" t="s">
        <v>25</v>
      </c>
      <c r="K28">
        <v>523</v>
      </c>
      <c r="L28">
        <v>317</v>
      </c>
      <c r="M28">
        <v>198</v>
      </c>
      <c r="N28">
        <v>515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11</v>
      </c>
    </row>
    <row r="29" spans="1:22" x14ac:dyDescent="0.25">
      <c r="A29">
        <v>2025</v>
      </c>
      <c r="B29">
        <v>2</v>
      </c>
      <c r="C29" t="s">
        <v>53</v>
      </c>
      <c r="D29" t="s">
        <v>22</v>
      </c>
      <c r="E29" t="s">
        <v>53</v>
      </c>
      <c r="F29" t="s">
        <v>59</v>
      </c>
      <c r="G29" t="s">
        <v>28</v>
      </c>
      <c r="H29" t="s">
        <v>25</v>
      </c>
      <c r="I29" t="s">
        <v>25</v>
      </c>
      <c r="J29" t="s">
        <v>25</v>
      </c>
      <c r="K29">
        <v>71015</v>
      </c>
      <c r="L29">
        <v>0</v>
      </c>
      <c r="M29">
        <v>8948</v>
      </c>
      <c r="N29">
        <v>8948</v>
      </c>
      <c r="O29">
        <v>4575</v>
      </c>
      <c r="P29">
        <v>2108</v>
      </c>
      <c r="Q29">
        <v>1534</v>
      </c>
      <c r="R29">
        <v>608</v>
      </c>
      <c r="S29">
        <v>232</v>
      </c>
      <c r="T29">
        <v>27</v>
      </c>
      <c r="U29">
        <v>2</v>
      </c>
      <c r="V29">
        <v>62717</v>
      </c>
    </row>
    <row r="30" spans="1:22" x14ac:dyDescent="0.25">
      <c r="A30">
        <v>2025</v>
      </c>
      <c r="B30">
        <v>2</v>
      </c>
      <c r="C30" t="s">
        <v>53</v>
      </c>
      <c r="D30" t="s">
        <v>22</v>
      </c>
      <c r="E30" t="s">
        <v>53</v>
      </c>
      <c r="F30" t="s">
        <v>60</v>
      </c>
      <c r="G30" t="s">
        <v>28</v>
      </c>
      <c r="H30" t="s">
        <v>25</v>
      </c>
      <c r="I30" t="s">
        <v>25</v>
      </c>
      <c r="J30" t="s">
        <v>25</v>
      </c>
      <c r="K30">
        <v>36063</v>
      </c>
      <c r="L30">
        <v>0</v>
      </c>
      <c r="M30">
        <v>4839</v>
      </c>
      <c r="N30">
        <v>4839</v>
      </c>
      <c r="O30">
        <v>2081</v>
      </c>
      <c r="P30">
        <v>838</v>
      </c>
      <c r="Q30">
        <v>553</v>
      </c>
      <c r="R30">
        <v>202</v>
      </c>
      <c r="S30">
        <v>73</v>
      </c>
      <c r="T30">
        <v>6</v>
      </c>
      <c r="U30">
        <v>0</v>
      </c>
      <c r="V30">
        <v>31444</v>
      </c>
    </row>
    <row r="31" spans="1:22" x14ac:dyDescent="0.25">
      <c r="A31">
        <v>2025</v>
      </c>
      <c r="B31">
        <v>2</v>
      </c>
      <c r="C31" t="s">
        <v>53</v>
      </c>
      <c r="D31" t="s">
        <v>22</v>
      </c>
      <c r="E31" t="s">
        <v>53</v>
      </c>
      <c r="F31" t="s">
        <v>60</v>
      </c>
      <c r="G31" t="s">
        <v>24</v>
      </c>
      <c r="H31" t="s">
        <v>25</v>
      </c>
      <c r="I31" t="s">
        <v>25</v>
      </c>
      <c r="J31" t="s">
        <v>25</v>
      </c>
      <c r="K31">
        <v>570</v>
      </c>
      <c r="L31">
        <v>277</v>
      </c>
      <c r="M31">
        <v>279</v>
      </c>
      <c r="N31">
        <v>556</v>
      </c>
      <c r="O31">
        <v>2</v>
      </c>
      <c r="P31">
        <v>2</v>
      </c>
      <c r="Q31">
        <v>2</v>
      </c>
      <c r="R31">
        <v>2</v>
      </c>
      <c r="S31">
        <v>2</v>
      </c>
      <c r="T31">
        <v>0</v>
      </c>
      <c r="U31">
        <v>0</v>
      </c>
      <c r="V31">
        <v>16</v>
      </c>
    </row>
    <row r="32" spans="1:22" x14ac:dyDescent="0.25">
      <c r="A32">
        <v>2025</v>
      </c>
      <c r="B32">
        <v>2</v>
      </c>
      <c r="C32" t="s">
        <v>53</v>
      </c>
      <c r="D32" t="s">
        <v>22</v>
      </c>
      <c r="E32" t="s">
        <v>158</v>
      </c>
      <c r="F32" t="s">
        <v>54</v>
      </c>
      <c r="G32" t="s">
        <v>24</v>
      </c>
      <c r="H32" t="s">
        <v>25</v>
      </c>
      <c r="I32" t="s">
        <v>26</v>
      </c>
      <c r="J32" t="s">
        <v>25</v>
      </c>
      <c r="K32">
        <v>685</v>
      </c>
      <c r="L32">
        <v>7</v>
      </c>
      <c r="M32">
        <v>9</v>
      </c>
      <c r="N32">
        <v>16</v>
      </c>
      <c r="O32">
        <v>157</v>
      </c>
      <c r="P32">
        <v>101</v>
      </c>
      <c r="Q32">
        <v>90</v>
      </c>
      <c r="R32">
        <v>55</v>
      </c>
      <c r="S32">
        <v>33</v>
      </c>
      <c r="T32">
        <v>4</v>
      </c>
      <c r="U32">
        <v>1</v>
      </c>
      <c r="V32">
        <v>672</v>
      </c>
    </row>
    <row r="33" spans="1:22" x14ac:dyDescent="0.25">
      <c r="A33">
        <v>2025</v>
      </c>
      <c r="B33">
        <v>2</v>
      </c>
      <c r="C33" t="s">
        <v>53</v>
      </c>
      <c r="D33" t="s">
        <v>22</v>
      </c>
      <c r="E33" t="s">
        <v>158</v>
      </c>
      <c r="F33" t="s">
        <v>55</v>
      </c>
      <c r="G33" t="s">
        <v>24</v>
      </c>
      <c r="H33" t="s">
        <v>25</v>
      </c>
      <c r="I33" t="s">
        <v>26</v>
      </c>
      <c r="J33" t="s">
        <v>25</v>
      </c>
      <c r="K33">
        <v>573</v>
      </c>
      <c r="L33">
        <v>4</v>
      </c>
      <c r="M33">
        <v>9</v>
      </c>
      <c r="N33">
        <v>13</v>
      </c>
      <c r="O33">
        <v>97</v>
      </c>
      <c r="P33">
        <v>79</v>
      </c>
      <c r="Q33">
        <v>67</v>
      </c>
      <c r="R33">
        <v>48</v>
      </c>
      <c r="S33">
        <v>34</v>
      </c>
      <c r="T33">
        <v>11</v>
      </c>
      <c r="U33">
        <v>0</v>
      </c>
      <c r="V33">
        <v>565</v>
      </c>
    </row>
    <row r="34" spans="1:22" x14ac:dyDescent="0.25">
      <c r="A34">
        <v>2025</v>
      </c>
      <c r="B34">
        <v>2</v>
      </c>
      <c r="C34" t="s">
        <v>53</v>
      </c>
      <c r="D34" t="s">
        <v>22</v>
      </c>
      <c r="E34" t="s">
        <v>61</v>
      </c>
      <c r="F34" t="s">
        <v>35</v>
      </c>
      <c r="G34" t="s">
        <v>24</v>
      </c>
      <c r="H34" t="s">
        <v>25</v>
      </c>
      <c r="I34" t="s">
        <v>26</v>
      </c>
      <c r="J34" t="s">
        <v>26</v>
      </c>
      <c r="K34">
        <v>158</v>
      </c>
      <c r="L34">
        <v>0</v>
      </c>
      <c r="M34">
        <v>0</v>
      </c>
      <c r="N34">
        <v>0</v>
      </c>
      <c r="O34">
        <v>79</v>
      </c>
      <c r="P34">
        <v>67</v>
      </c>
      <c r="Q34">
        <v>64</v>
      </c>
      <c r="R34">
        <v>62</v>
      </c>
      <c r="S34">
        <v>56</v>
      </c>
      <c r="T34">
        <v>43</v>
      </c>
      <c r="U34">
        <v>28</v>
      </c>
      <c r="V34">
        <v>158</v>
      </c>
    </row>
    <row r="35" spans="1:22" x14ac:dyDescent="0.25">
      <c r="A35">
        <v>2025</v>
      </c>
      <c r="B35">
        <v>3</v>
      </c>
      <c r="C35" t="s">
        <v>53</v>
      </c>
      <c r="D35" t="s">
        <v>22</v>
      </c>
      <c r="E35" t="s">
        <v>37</v>
      </c>
      <c r="F35" t="s">
        <v>23</v>
      </c>
      <c r="G35" t="s">
        <v>24</v>
      </c>
      <c r="H35" t="s">
        <v>25</v>
      </c>
      <c r="I35" t="s">
        <v>26</v>
      </c>
      <c r="J35" t="s">
        <v>25</v>
      </c>
      <c r="K35">
        <v>402</v>
      </c>
      <c r="L35">
        <v>24</v>
      </c>
      <c r="M35">
        <v>3</v>
      </c>
      <c r="N35">
        <v>27</v>
      </c>
      <c r="O35">
        <v>152</v>
      </c>
      <c r="P35">
        <v>133</v>
      </c>
      <c r="Q35">
        <v>128</v>
      </c>
      <c r="R35">
        <v>119</v>
      </c>
      <c r="S35">
        <v>89</v>
      </c>
      <c r="T35">
        <v>40</v>
      </c>
      <c r="U35">
        <v>14</v>
      </c>
      <c r="V35">
        <v>377</v>
      </c>
    </row>
    <row r="36" spans="1:22" x14ac:dyDescent="0.25">
      <c r="A36">
        <v>2025</v>
      </c>
      <c r="B36">
        <v>3</v>
      </c>
      <c r="C36" t="s">
        <v>53</v>
      </c>
      <c r="D36" t="s">
        <v>22</v>
      </c>
      <c r="E36" t="s">
        <v>143</v>
      </c>
      <c r="F36" t="s">
        <v>39</v>
      </c>
      <c r="G36" t="s">
        <v>24</v>
      </c>
      <c r="H36" t="s">
        <v>26</v>
      </c>
      <c r="I36" t="s">
        <v>26</v>
      </c>
      <c r="J36" t="s">
        <v>25</v>
      </c>
      <c r="K36">
        <v>466</v>
      </c>
      <c r="L36">
        <v>3</v>
      </c>
      <c r="M36">
        <v>5</v>
      </c>
      <c r="N36">
        <v>8</v>
      </c>
      <c r="O36">
        <v>158</v>
      </c>
      <c r="P36">
        <v>138</v>
      </c>
      <c r="Q36">
        <v>133</v>
      </c>
      <c r="R36">
        <v>113</v>
      </c>
      <c r="S36">
        <v>80</v>
      </c>
      <c r="T36">
        <v>24</v>
      </c>
      <c r="U36">
        <v>7</v>
      </c>
      <c r="V36">
        <v>462</v>
      </c>
    </row>
    <row r="37" spans="1:22" x14ac:dyDescent="0.25">
      <c r="A37">
        <v>2025</v>
      </c>
      <c r="B37">
        <v>3</v>
      </c>
      <c r="C37" t="s">
        <v>53</v>
      </c>
      <c r="D37" t="s">
        <v>22</v>
      </c>
      <c r="E37" t="s">
        <v>149</v>
      </c>
      <c r="F37" t="s">
        <v>23</v>
      </c>
      <c r="G37" t="s">
        <v>24</v>
      </c>
      <c r="H37" t="s">
        <v>25</v>
      </c>
      <c r="I37" t="s">
        <v>26</v>
      </c>
      <c r="J37" t="s">
        <v>25</v>
      </c>
      <c r="K37">
        <v>62</v>
      </c>
      <c r="L37">
        <v>8</v>
      </c>
      <c r="M37">
        <v>0</v>
      </c>
      <c r="N37">
        <v>8</v>
      </c>
      <c r="O37">
        <v>23</v>
      </c>
      <c r="P37">
        <v>19</v>
      </c>
      <c r="Q37">
        <v>17</v>
      </c>
      <c r="R37">
        <v>14</v>
      </c>
      <c r="S37">
        <v>11</v>
      </c>
      <c r="T37">
        <v>8</v>
      </c>
      <c r="U37">
        <v>3</v>
      </c>
      <c r="V37">
        <v>54</v>
      </c>
    </row>
    <row r="38" spans="1:22" x14ac:dyDescent="0.25">
      <c r="A38">
        <v>2025</v>
      </c>
      <c r="B38">
        <v>3</v>
      </c>
      <c r="C38" t="s">
        <v>53</v>
      </c>
      <c r="D38" t="s">
        <v>22</v>
      </c>
      <c r="E38" t="s">
        <v>53</v>
      </c>
      <c r="F38" t="s">
        <v>55</v>
      </c>
      <c r="G38" t="s">
        <v>28</v>
      </c>
      <c r="H38" t="s">
        <v>25</v>
      </c>
      <c r="I38" t="s">
        <v>26</v>
      </c>
      <c r="J38" t="s">
        <v>25</v>
      </c>
      <c r="K38">
        <v>2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2</v>
      </c>
    </row>
    <row r="39" spans="1:22" x14ac:dyDescent="0.25">
      <c r="A39">
        <v>2025</v>
      </c>
      <c r="B39">
        <v>3</v>
      </c>
      <c r="C39" t="s">
        <v>53</v>
      </c>
      <c r="D39" t="s">
        <v>22</v>
      </c>
      <c r="E39" t="s">
        <v>53</v>
      </c>
      <c r="F39" t="s">
        <v>23</v>
      </c>
      <c r="G39" t="s">
        <v>28</v>
      </c>
      <c r="H39" t="s">
        <v>25</v>
      </c>
      <c r="I39" t="s">
        <v>26</v>
      </c>
      <c r="J39" t="s">
        <v>25</v>
      </c>
      <c r="K39">
        <v>35670</v>
      </c>
      <c r="L39">
        <v>0</v>
      </c>
      <c r="M39">
        <v>2916</v>
      </c>
      <c r="N39">
        <v>2916</v>
      </c>
      <c r="O39">
        <v>4181</v>
      </c>
      <c r="P39">
        <v>2331</v>
      </c>
      <c r="Q39">
        <v>1832</v>
      </c>
      <c r="R39">
        <v>834</v>
      </c>
      <c r="S39">
        <v>359</v>
      </c>
      <c r="T39">
        <v>32</v>
      </c>
      <c r="U39">
        <v>1</v>
      </c>
      <c r="V39">
        <v>33456</v>
      </c>
    </row>
    <row r="40" spans="1:22" x14ac:dyDescent="0.25">
      <c r="A40">
        <v>2025</v>
      </c>
      <c r="B40">
        <v>3</v>
      </c>
      <c r="C40" t="s">
        <v>53</v>
      </c>
      <c r="D40" t="s">
        <v>22</v>
      </c>
      <c r="E40" t="s">
        <v>53</v>
      </c>
      <c r="F40" t="s">
        <v>56</v>
      </c>
      <c r="G40" t="s">
        <v>28</v>
      </c>
      <c r="H40" t="s">
        <v>25</v>
      </c>
      <c r="I40" t="s">
        <v>26</v>
      </c>
      <c r="J40" t="s">
        <v>25</v>
      </c>
      <c r="K40">
        <v>3604</v>
      </c>
      <c r="L40">
        <v>0</v>
      </c>
      <c r="M40">
        <v>856</v>
      </c>
      <c r="N40">
        <v>856</v>
      </c>
      <c r="O40">
        <v>589</v>
      </c>
      <c r="P40">
        <v>389</v>
      </c>
      <c r="Q40">
        <v>318</v>
      </c>
      <c r="R40">
        <v>177</v>
      </c>
      <c r="S40">
        <v>87</v>
      </c>
      <c r="T40">
        <v>18</v>
      </c>
      <c r="U40">
        <v>0</v>
      </c>
      <c r="V40">
        <v>3008</v>
      </c>
    </row>
    <row r="41" spans="1:22" x14ac:dyDescent="0.25">
      <c r="A41">
        <v>2025</v>
      </c>
      <c r="B41">
        <v>3</v>
      </c>
      <c r="C41" t="s">
        <v>53</v>
      </c>
      <c r="D41" t="s">
        <v>22</v>
      </c>
      <c r="E41" t="s">
        <v>53</v>
      </c>
      <c r="F41" t="s">
        <v>57</v>
      </c>
      <c r="G41" t="s">
        <v>28</v>
      </c>
      <c r="H41" t="s">
        <v>25</v>
      </c>
      <c r="I41" t="s">
        <v>26</v>
      </c>
      <c r="J41" t="s">
        <v>26</v>
      </c>
      <c r="K41">
        <v>17</v>
      </c>
      <c r="L41">
        <v>0</v>
      </c>
      <c r="M41">
        <v>1</v>
      </c>
      <c r="N41">
        <v>1</v>
      </c>
      <c r="O41">
        <v>8</v>
      </c>
      <c r="P41">
        <v>5</v>
      </c>
      <c r="Q41">
        <v>4</v>
      </c>
      <c r="R41">
        <v>1</v>
      </c>
      <c r="S41">
        <v>0</v>
      </c>
      <c r="T41">
        <v>0</v>
      </c>
      <c r="U41">
        <v>0</v>
      </c>
      <c r="V41">
        <v>17</v>
      </c>
    </row>
    <row r="42" spans="1:22" x14ac:dyDescent="0.25">
      <c r="A42">
        <v>2025</v>
      </c>
      <c r="B42">
        <v>3</v>
      </c>
      <c r="C42" t="s">
        <v>53</v>
      </c>
      <c r="D42" t="s">
        <v>22</v>
      </c>
      <c r="E42" t="s">
        <v>53</v>
      </c>
      <c r="F42" t="s">
        <v>58</v>
      </c>
      <c r="G42" t="s">
        <v>28</v>
      </c>
      <c r="H42" t="s">
        <v>25</v>
      </c>
      <c r="I42" t="s">
        <v>25</v>
      </c>
      <c r="J42" t="s">
        <v>25</v>
      </c>
      <c r="K42">
        <v>4234</v>
      </c>
      <c r="L42">
        <v>0</v>
      </c>
      <c r="M42">
        <v>57</v>
      </c>
      <c r="N42">
        <v>57</v>
      </c>
      <c r="O42">
        <v>218</v>
      </c>
      <c r="P42">
        <v>85</v>
      </c>
      <c r="Q42">
        <v>56</v>
      </c>
      <c r="R42">
        <v>23</v>
      </c>
      <c r="S42">
        <v>3</v>
      </c>
      <c r="T42">
        <v>0</v>
      </c>
      <c r="U42">
        <v>0</v>
      </c>
      <c r="V42">
        <v>4184</v>
      </c>
    </row>
    <row r="43" spans="1:22" x14ac:dyDescent="0.25">
      <c r="A43">
        <v>2025</v>
      </c>
      <c r="B43">
        <v>3</v>
      </c>
      <c r="C43" t="s">
        <v>53</v>
      </c>
      <c r="D43" t="s">
        <v>22</v>
      </c>
      <c r="E43" t="s">
        <v>53</v>
      </c>
      <c r="F43" t="s">
        <v>59</v>
      </c>
      <c r="G43" t="s">
        <v>28</v>
      </c>
      <c r="H43" t="s">
        <v>25</v>
      </c>
      <c r="I43" t="s">
        <v>25</v>
      </c>
      <c r="J43" t="s">
        <v>25</v>
      </c>
      <c r="K43">
        <v>78668</v>
      </c>
      <c r="L43">
        <v>0</v>
      </c>
      <c r="M43">
        <v>3280</v>
      </c>
      <c r="N43">
        <v>3280</v>
      </c>
      <c r="O43">
        <v>5208</v>
      </c>
      <c r="P43">
        <v>2528</v>
      </c>
      <c r="Q43">
        <v>1852</v>
      </c>
      <c r="R43">
        <v>714</v>
      </c>
      <c r="S43">
        <v>248</v>
      </c>
      <c r="T43">
        <v>15</v>
      </c>
      <c r="U43">
        <v>0</v>
      </c>
      <c r="V43">
        <v>76111</v>
      </c>
    </row>
    <row r="44" spans="1:22" x14ac:dyDescent="0.25">
      <c r="A44">
        <v>2025</v>
      </c>
      <c r="B44">
        <v>3</v>
      </c>
      <c r="C44" t="s">
        <v>53</v>
      </c>
      <c r="D44" t="s">
        <v>22</v>
      </c>
      <c r="E44" t="s">
        <v>53</v>
      </c>
      <c r="F44" t="s">
        <v>60</v>
      </c>
      <c r="G44" t="s">
        <v>28</v>
      </c>
      <c r="H44" t="s">
        <v>25</v>
      </c>
      <c r="I44" t="s">
        <v>25</v>
      </c>
      <c r="J44" t="s">
        <v>25</v>
      </c>
      <c r="K44">
        <v>40583</v>
      </c>
      <c r="L44">
        <v>0</v>
      </c>
      <c r="M44">
        <v>860</v>
      </c>
      <c r="N44">
        <v>860</v>
      </c>
      <c r="O44">
        <v>2116</v>
      </c>
      <c r="P44">
        <v>785</v>
      </c>
      <c r="Q44">
        <v>521</v>
      </c>
      <c r="R44">
        <v>214</v>
      </c>
      <c r="S44">
        <v>72</v>
      </c>
      <c r="T44">
        <v>6</v>
      </c>
      <c r="U44">
        <v>1</v>
      </c>
      <c r="V44">
        <v>39934</v>
      </c>
    </row>
    <row r="45" spans="1:22" x14ac:dyDescent="0.25">
      <c r="A45">
        <v>2025</v>
      </c>
      <c r="B45">
        <v>3</v>
      </c>
      <c r="C45" t="s">
        <v>53</v>
      </c>
      <c r="D45" t="s">
        <v>22</v>
      </c>
      <c r="E45" t="s">
        <v>158</v>
      </c>
      <c r="F45" t="s">
        <v>54</v>
      </c>
      <c r="G45" t="s">
        <v>24</v>
      </c>
      <c r="H45" t="s">
        <v>25</v>
      </c>
      <c r="I45" t="s">
        <v>26</v>
      </c>
      <c r="J45" t="s">
        <v>25</v>
      </c>
      <c r="K45">
        <v>762</v>
      </c>
      <c r="L45">
        <v>5</v>
      </c>
      <c r="M45">
        <v>7</v>
      </c>
      <c r="N45">
        <v>12</v>
      </c>
      <c r="O45">
        <v>135</v>
      </c>
      <c r="P45">
        <v>86</v>
      </c>
      <c r="Q45">
        <v>77</v>
      </c>
      <c r="R45">
        <v>48</v>
      </c>
      <c r="S45">
        <v>27</v>
      </c>
      <c r="T45">
        <v>6</v>
      </c>
      <c r="U45">
        <v>0</v>
      </c>
      <c r="V45">
        <v>757</v>
      </c>
    </row>
    <row r="46" spans="1:22" x14ac:dyDescent="0.25">
      <c r="A46">
        <v>2025</v>
      </c>
      <c r="B46">
        <v>3</v>
      </c>
      <c r="C46" t="s">
        <v>53</v>
      </c>
      <c r="D46" t="s">
        <v>22</v>
      </c>
      <c r="E46" t="s">
        <v>158</v>
      </c>
      <c r="F46" t="s">
        <v>55</v>
      </c>
      <c r="G46" t="s">
        <v>24</v>
      </c>
      <c r="H46" t="s">
        <v>25</v>
      </c>
      <c r="I46" t="s">
        <v>26</v>
      </c>
      <c r="J46" t="s">
        <v>25</v>
      </c>
      <c r="K46">
        <v>542</v>
      </c>
      <c r="L46">
        <v>2</v>
      </c>
      <c r="M46">
        <v>1</v>
      </c>
      <c r="N46">
        <v>3</v>
      </c>
      <c r="O46">
        <v>92</v>
      </c>
      <c r="P46">
        <v>62</v>
      </c>
      <c r="Q46">
        <v>54</v>
      </c>
      <c r="R46">
        <v>38</v>
      </c>
      <c r="S46">
        <v>26</v>
      </c>
      <c r="T46">
        <v>4</v>
      </c>
      <c r="U46">
        <v>0</v>
      </c>
      <c r="V46">
        <v>540</v>
      </c>
    </row>
    <row r="47" spans="1:22" x14ac:dyDescent="0.25">
      <c r="A47">
        <v>2025</v>
      </c>
      <c r="B47">
        <v>3</v>
      </c>
      <c r="C47" t="s">
        <v>53</v>
      </c>
      <c r="D47" t="s">
        <v>22</v>
      </c>
      <c r="E47" t="s">
        <v>61</v>
      </c>
      <c r="F47" t="s">
        <v>35</v>
      </c>
      <c r="G47" t="s">
        <v>24</v>
      </c>
      <c r="H47" t="s">
        <v>25</v>
      </c>
      <c r="I47" t="s">
        <v>26</v>
      </c>
      <c r="J47" t="s">
        <v>26</v>
      </c>
      <c r="K47">
        <v>186</v>
      </c>
      <c r="L47">
        <v>8</v>
      </c>
      <c r="M47">
        <v>0</v>
      </c>
      <c r="N47">
        <v>8</v>
      </c>
      <c r="O47">
        <v>91</v>
      </c>
      <c r="P47">
        <v>77</v>
      </c>
      <c r="Q47">
        <v>75</v>
      </c>
      <c r="R47">
        <v>68</v>
      </c>
      <c r="S47">
        <v>57</v>
      </c>
      <c r="T47">
        <v>46</v>
      </c>
      <c r="U47">
        <v>22</v>
      </c>
      <c r="V47">
        <v>178</v>
      </c>
    </row>
    <row r="48" spans="1:22" x14ac:dyDescent="0.25">
      <c r="A48">
        <v>2025</v>
      </c>
      <c r="B48">
        <v>3</v>
      </c>
      <c r="C48" t="s">
        <v>53</v>
      </c>
      <c r="D48" t="s">
        <v>22</v>
      </c>
      <c r="E48" t="s">
        <v>72</v>
      </c>
      <c r="F48" t="s">
        <v>23</v>
      </c>
      <c r="G48" t="s">
        <v>24</v>
      </c>
      <c r="H48" t="s">
        <v>25</v>
      </c>
      <c r="I48" t="s">
        <v>26</v>
      </c>
      <c r="J48" t="s">
        <v>25</v>
      </c>
      <c r="K48">
        <v>1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1</v>
      </c>
    </row>
    <row r="49" spans="1:22" x14ac:dyDescent="0.25">
      <c r="A49">
        <v>2025</v>
      </c>
      <c r="B49">
        <v>4</v>
      </c>
      <c r="C49" t="s">
        <v>53</v>
      </c>
      <c r="D49" t="s">
        <v>22</v>
      </c>
      <c r="E49" t="s">
        <v>37</v>
      </c>
      <c r="F49" t="s">
        <v>23</v>
      </c>
      <c r="G49" t="s">
        <v>24</v>
      </c>
      <c r="H49" t="s">
        <v>25</v>
      </c>
      <c r="I49" t="s">
        <v>26</v>
      </c>
      <c r="J49" t="s">
        <v>25</v>
      </c>
      <c r="K49">
        <v>375</v>
      </c>
      <c r="L49">
        <v>5</v>
      </c>
      <c r="M49">
        <v>28</v>
      </c>
      <c r="N49">
        <v>33</v>
      </c>
      <c r="O49">
        <v>157</v>
      </c>
      <c r="P49">
        <v>137</v>
      </c>
      <c r="Q49">
        <v>129</v>
      </c>
      <c r="R49">
        <v>119</v>
      </c>
      <c r="S49">
        <v>89</v>
      </c>
      <c r="T49">
        <v>49</v>
      </c>
      <c r="U49">
        <v>21</v>
      </c>
      <c r="V49">
        <v>351</v>
      </c>
    </row>
    <row r="50" spans="1:22" x14ac:dyDescent="0.25">
      <c r="A50">
        <v>2025</v>
      </c>
      <c r="B50">
        <v>4</v>
      </c>
      <c r="C50" t="s">
        <v>53</v>
      </c>
      <c r="D50" t="s">
        <v>22</v>
      </c>
      <c r="E50" t="s">
        <v>143</v>
      </c>
      <c r="F50" t="s">
        <v>23</v>
      </c>
      <c r="G50" t="s">
        <v>24</v>
      </c>
      <c r="H50" t="s">
        <v>25</v>
      </c>
      <c r="I50" t="s">
        <v>26</v>
      </c>
      <c r="J50" t="s">
        <v>25</v>
      </c>
      <c r="K50">
        <v>2</v>
      </c>
      <c r="L50">
        <v>0</v>
      </c>
      <c r="M50">
        <v>2</v>
      </c>
      <c r="N50">
        <v>2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 x14ac:dyDescent="0.25">
      <c r="A51">
        <v>2025</v>
      </c>
      <c r="B51">
        <v>4</v>
      </c>
      <c r="C51" t="s">
        <v>53</v>
      </c>
      <c r="D51" t="s">
        <v>22</v>
      </c>
      <c r="E51" t="s">
        <v>143</v>
      </c>
      <c r="F51" t="s">
        <v>39</v>
      </c>
      <c r="G51" t="s">
        <v>24</v>
      </c>
      <c r="H51" t="s">
        <v>26</v>
      </c>
      <c r="I51" t="s">
        <v>26</v>
      </c>
      <c r="J51" t="s">
        <v>25</v>
      </c>
      <c r="K51">
        <v>416</v>
      </c>
      <c r="L51">
        <v>1</v>
      </c>
      <c r="M51">
        <v>29</v>
      </c>
      <c r="N51">
        <v>30</v>
      </c>
      <c r="O51">
        <v>154</v>
      </c>
      <c r="P51">
        <v>139</v>
      </c>
      <c r="Q51">
        <v>129</v>
      </c>
      <c r="R51">
        <v>115</v>
      </c>
      <c r="S51">
        <v>92</v>
      </c>
      <c r="T51">
        <v>31</v>
      </c>
      <c r="U51">
        <v>4</v>
      </c>
      <c r="V51">
        <v>409</v>
      </c>
    </row>
    <row r="52" spans="1:22" x14ac:dyDescent="0.25">
      <c r="A52">
        <v>2025</v>
      </c>
      <c r="B52">
        <v>4</v>
      </c>
      <c r="C52" t="s">
        <v>53</v>
      </c>
      <c r="D52" t="s">
        <v>22</v>
      </c>
      <c r="E52" t="s">
        <v>149</v>
      </c>
      <c r="F52" t="s">
        <v>23</v>
      </c>
      <c r="G52" t="s">
        <v>24</v>
      </c>
      <c r="H52" t="s">
        <v>25</v>
      </c>
      <c r="I52" t="s">
        <v>26</v>
      </c>
      <c r="J52" t="s">
        <v>25</v>
      </c>
      <c r="K52">
        <v>28</v>
      </c>
      <c r="L52">
        <v>0</v>
      </c>
      <c r="M52">
        <v>0</v>
      </c>
      <c r="N52">
        <v>0</v>
      </c>
      <c r="O52">
        <v>12</v>
      </c>
      <c r="P52">
        <v>10</v>
      </c>
      <c r="Q52">
        <v>9</v>
      </c>
      <c r="R52">
        <v>8</v>
      </c>
      <c r="S52">
        <v>8</v>
      </c>
      <c r="T52">
        <v>5</v>
      </c>
      <c r="U52">
        <v>3</v>
      </c>
      <c r="V52">
        <v>28</v>
      </c>
    </row>
    <row r="53" spans="1:22" x14ac:dyDescent="0.25">
      <c r="A53">
        <v>2025</v>
      </c>
      <c r="B53">
        <v>4</v>
      </c>
      <c r="C53" t="s">
        <v>53</v>
      </c>
      <c r="D53" t="s">
        <v>22</v>
      </c>
      <c r="E53" t="s">
        <v>53</v>
      </c>
      <c r="F53" t="s">
        <v>55</v>
      </c>
      <c r="G53" t="s">
        <v>28</v>
      </c>
      <c r="H53" t="s">
        <v>25</v>
      </c>
      <c r="I53" t="s">
        <v>26</v>
      </c>
      <c r="J53" t="s">
        <v>25</v>
      </c>
      <c r="K53">
        <v>6</v>
      </c>
      <c r="L53">
        <v>0</v>
      </c>
      <c r="M53">
        <v>0</v>
      </c>
      <c r="N53">
        <v>0</v>
      </c>
      <c r="O53">
        <v>1</v>
      </c>
      <c r="P53">
        <v>1</v>
      </c>
      <c r="Q53">
        <v>1</v>
      </c>
      <c r="R53">
        <v>1</v>
      </c>
      <c r="S53">
        <v>1</v>
      </c>
      <c r="T53">
        <v>0</v>
      </c>
      <c r="U53">
        <v>0</v>
      </c>
      <c r="V53">
        <v>6</v>
      </c>
    </row>
    <row r="54" spans="1:22" x14ac:dyDescent="0.25">
      <c r="A54">
        <v>2025</v>
      </c>
      <c r="B54">
        <v>4</v>
      </c>
      <c r="C54" t="s">
        <v>53</v>
      </c>
      <c r="D54" t="s">
        <v>22</v>
      </c>
      <c r="E54" t="s">
        <v>53</v>
      </c>
      <c r="F54" t="s">
        <v>23</v>
      </c>
      <c r="G54" t="s">
        <v>28</v>
      </c>
      <c r="H54" t="s">
        <v>25</v>
      </c>
      <c r="I54" t="s">
        <v>26</v>
      </c>
      <c r="J54" t="s">
        <v>25</v>
      </c>
      <c r="K54">
        <v>30985</v>
      </c>
      <c r="L54">
        <v>0</v>
      </c>
      <c r="M54">
        <v>4978</v>
      </c>
      <c r="N54">
        <v>4978</v>
      </c>
      <c r="O54">
        <v>2980</v>
      </c>
      <c r="P54">
        <v>1726</v>
      </c>
      <c r="Q54">
        <v>1341</v>
      </c>
      <c r="R54">
        <v>683</v>
      </c>
      <c r="S54">
        <v>305</v>
      </c>
      <c r="T54">
        <v>33</v>
      </c>
      <c r="U54">
        <v>0</v>
      </c>
      <c r="V54">
        <v>26404</v>
      </c>
    </row>
    <row r="55" spans="1:22" x14ac:dyDescent="0.25">
      <c r="A55">
        <v>2025</v>
      </c>
      <c r="B55">
        <v>4</v>
      </c>
      <c r="C55" t="s">
        <v>53</v>
      </c>
      <c r="D55" t="s">
        <v>22</v>
      </c>
      <c r="E55" t="s">
        <v>53</v>
      </c>
      <c r="F55" t="s">
        <v>23</v>
      </c>
      <c r="G55" t="s">
        <v>29</v>
      </c>
      <c r="H55" t="s">
        <v>25</v>
      </c>
      <c r="I55" t="s">
        <v>26</v>
      </c>
      <c r="J55" t="s">
        <v>25</v>
      </c>
      <c r="K55">
        <v>1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 x14ac:dyDescent="0.25">
      <c r="A56">
        <v>2025</v>
      </c>
      <c r="B56">
        <v>4</v>
      </c>
      <c r="C56" t="s">
        <v>53</v>
      </c>
      <c r="D56" t="s">
        <v>22</v>
      </c>
      <c r="E56" t="s">
        <v>53</v>
      </c>
      <c r="F56" t="s">
        <v>56</v>
      </c>
      <c r="G56" t="s">
        <v>28</v>
      </c>
      <c r="H56" t="s">
        <v>25</v>
      </c>
      <c r="I56" t="s">
        <v>26</v>
      </c>
      <c r="J56" t="s">
        <v>25</v>
      </c>
      <c r="K56">
        <v>2754</v>
      </c>
      <c r="L56">
        <v>0</v>
      </c>
      <c r="M56">
        <v>668</v>
      </c>
      <c r="N56">
        <v>668</v>
      </c>
      <c r="O56">
        <v>369</v>
      </c>
      <c r="P56">
        <v>241</v>
      </c>
      <c r="Q56">
        <v>210</v>
      </c>
      <c r="R56">
        <v>111</v>
      </c>
      <c r="S56">
        <v>44</v>
      </c>
      <c r="T56">
        <v>11</v>
      </c>
      <c r="U56">
        <v>2</v>
      </c>
      <c r="V56">
        <v>2211</v>
      </c>
    </row>
    <row r="57" spans="1:22" x14ac:dyDescent="0.25">
      <c r="A57">
        <v>2025</v>
      </c>
      <c r="B57">
        <v>4</v>
      </c>
      <c r="C57" t="s">
        <v>53</v>
      </c>
      <c r="D57" t="s">
        <v>22</v>
      </c>
      <c r="E57" t="s">
        <v>53</v>
      </c>
      <c r="F57" t="s">
        <v>57</v>
      </c>
      <c r="G57" t="s">
        <v>28</v>
      </c>
      <c r="H57" t="s">
        <v>25</v>
      </c>
      <c r="I57" t="s">
        <v>26</v>
      </c>
      <c r="J57" t="s">
        <v>26</v>
      </c>
      <c r="K57">
        <v>17</v>
      </c>
      <c r="L57">
        <v>0</v>
      </c>
      <c r="M57">
        <v>6</v>
      </c>
      <c r="N57">
        <v>6</v>
      </c>
      <c r="O57">
        <v>7</v>
      </c>
      <c r="P57">
        <v>5</v>
      </c>
      <c r="Q57">
        <v>5</v>
      </c>
      <c r="R57">
        <v>3</v>
      </c>
      <c r="S57">
        <v>2</v>
      </c>
      <c r="T57">
        <v>0</v>
      </c>
      <c r="U57">
        <v>0</v>
      </c>
      <c r="V57">
        <v>14</v>
      </c>
    </row>
    <row r="58" spans="1:22" x14ac:dyDescent="0.25">
      <c r="A58">
        <v>2025</v>
      </c>
      <c r="B58">
        <v>4</v>
      </c>
      <c r="C58" t="s">
        <v>53</v>
      </c>
      <c r="D58" t="s">
        <v>22</v>
      </c>
      <c r="E58" t="s">
        <v>53</v>
      </c>
      <c r="F58" t="s">
        <v>58</v>
      </c>
      <c r="G58" t="s">
        <v>28</v>
      </c>
      <c r="H58" t="s">
        <v>25</v>
      </c>
      <c r="I58" t="s">
        <v>25</v>
      </c>
      <c r="J58" t="s">
        <v>25</v>
      </c>
      <c r="K58">
        <v>3532</v>
      </c>
      <c r="L58">
        <v>0</v>
      </c>
      <c r="M58">
        <v>348</v>
      </c>
      <c r="N58">
        <v>348</v>
      </c>
      <c r="O58">
        <v>179</v>
      </c>
      <c r="P58">
        <v>76</v>
      </c>
      <c r="Q58">
        <v>61</v>
      </c>
      <c r="R58">
        <v>39</v>
      </c>
      <c r="S58">
        <v>19</v>
      </c>
      <c r="T58">
        <v>0</v>
      </c>
      <c r="U58">
        <v>0</v>
      </c>
      <c r="V58">
        <v>3186</v>
      </c>
    </row>
    <row r="59" spans="1:22" x14ac:dyDescent="0.25">
      <c r="A59">
        <v>2025</v>
      </c>
      <c r="B59">
        <v>4</v>
      </c>
      <c r="C59" t="s">
        <v>53</v>
      </c>
      <c r="D59" t="s">
        <v>22</v>
      </c>
      <c r="E59" t="s">
        <v>53</v>
      </c>
      <c r="F59" t="s">
        <v>58</v>
      </c>
      <c r="G59" t="s">
        <v>24</v>
      </c>
      <c r="H59" t="s">
        <v>25</v>
      </c>
      <c r="I59" t="s">
        <v>25</v>
      </c>
      <c r="J59" t="s">
        <v>25</v>
      </c>
      <c r="K59">
        <v>372</v>
      </c>
      <c r="L59">
        <v>212</v>
      </c>
      <c r="M59">
        <v>160</v>
      </c>
      <c r="N59">
        <v>372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 x14ac:dyDescent="0.25">
      <c r="A60">
        <v>2025</v>
      </c>
      <c r="B60">
        <v>4</v>
      </c>
      <c r="C60" t="s">
        <v>53</v>
      </c>
      <c r="D60" t="s">
        <v>22</v>
      </c>
      <c r="E60" t="s">
        <v>53</v>
      </c>
      <c r="F60" t="s">
        <v>59</v>
      </c>
      <c r="G60" t="s">
        <v>28</v>
      </c>
      <c r="H60" t="s">
        <v>25</v>
      </c>
      <c r="I60" t="s">
        <v>25</v>
      </c>
      <c r="J60" t="s">
        <v>25</v>
      </c>
      <c r="K60">
        <v>68525</v>
      </c>
      <c r="L60">
        <v>0</v>
      </c>
      <c r="M60">
        <v>8093</v>
      </c>
      <c r="N60">
        <v>8093</v>
      </c>
      <c r="O60">
        <v>3984</v>
      </c>
      <c r="P60">
        <v>1879</v>
      </c>
      <c r="Q60">
        <v>1394</v>
      </c>
      <c r="R60">
        <v>533</v>
      </c>
      <c r="S60">
        <v>217</v>
      </c>
      <c r="T60">
        <v>24</v>
      </c>
      <c r="U60">
        <v>0</v>
      </c>
      <c r="V60">
        <v>61040</v>
      </c>
    </row>
    <row r="61" spans="1:22" x14ac:dyDescent="0.25">
      <c r="A61">
        <v>2025</v>
      </c>
      <c r="B61">
        <v>4</v>
      </c>
      <c r="C61" t="s">
        <v>53</v>
      </c>
      <c r="D61" t="s">
        <v>22</v>
      </c>
      <c r="E61" t="s">
        <v>53</v>
      </c>
      <c r="F61" t="s">
        <v>60</v>
      </c>
      <c r="G61" t="s">
        <v>28</v>
      </c>
      <c r="H61" t="s">
        <v>25</v>
      </c>
      <c r="I61" t="s">
        <v>25</v>
      </c>
      <c r="J61" t="s">
        <v>25</v>
      </c>
      <c r="K61">
        <v>34913</v>
      </c>
      <c r="L61">
        <v>1</v>
      </c>
      <c r="M61">
        <v>3742</v>
      </c>
      <c r="N61">
        <v>3743</v>
      </c>
      <c r="O61">
        <v>1685</v>
      </c>
      <c r="P61">
        <v>658</v>
      </c>
      <c r="Q61">
        <v>448</v>
      </c>
      <c r="R61">
        <v>193</v>
      </c>
      <c r="S61">
        <v>89</v>
      </c>
      <c r="T61">
        <v>10</v>
      </c>
      <c r="U61">
        <v>2</v>
      </c>
      <c r="V61">
        <v>31343</v>
      </c>
    </row>
    <row r="62" spans="1:22" x14ac:dyDescent="0.25">
      <c r="A62">
        <v>2025</v>
      </c>
      <c r="B62">
        <v>4</v>
      </c>
      <c r="C62" t="s">
        <v>53</v>
      </c>
      <c r="D62" t="s">
        <v>22</v>
      </c>
      <c r="E62" t="s">
        <v>53</v>
      </c>
      <c r="F62" t="s">
        <v>60</v>
      </c>
      <c r="G62" t="s">
        <v>24</v>
      </c>
      <c r="H62" t="s">
        <v>25</v>
      </c>
      <c r="I62" t="s">
        <v>25</v>
      </c>
      <c r="J62" t="s">
        <v>25</v>
      </c>
      <c r="K62">
        <v>374</v>
      </c>
      <c r="L62">
        <v>197</v>
      </c>
      <c r="M62">
        <v>177</v>
      </c>
      <c r="N62">
        <v>374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</row>
    <row r="63" spans="1:22" x14ac:dyDescent="0.25">
      <c r="A63">
        <v>2025</v>
      </c>
      <c r="B63">
        <v>4</v>
      </c>
      <c r="C63" t="s">
        <v>53</v>
      </c>
      <c r="D63" t="s">
        <v>22</v>
      </c>
      <c r="E63" t="s">
        <v>158</v>
      </c>
      <c r="F63" t="s">
        <v>54</v>
      </c>
      <c r="G63" t="s">
        <v>24</v>
      </c>
      <c r="H63" t="s">
        <v>25</v>
      </c>
      <c r="I63" t="s">
        <v>26</v>
      </c>
      <c r="J63" t="s">
        <v>25</v>
      </c>
      <c r="K63">
        <v>679</v>
      </c>
      <c r="L63">
        <v>17</v>
      </c>
      <c r="M63">
        <v>28</v>
      </c>
      <c r="N63">
        <v>45</v>
      </c>
      <c r="O63">
        <v>127</v>
      </c>
      <c r="P63">
        <v>84</v>
      </c>
      <c r="Q63">
        <v>72</v>
      </c>
      <c r="R63">
        <v>43</v>
      </c>
      <c r="S63">
        <v>31</v>
      </c>
      <c r="T63">
        <v>14</v>
      </c>
      <c r="U63">
        <v>0</v>
      </c>
      <c r="V63">
        <v>645</v>
      </c>
    </row>
    <row r="64" spans="1:22" x14ac:dyDescent="0.25">
      <c r="A64">
        <v>2025</v>
      </c>
      <c r="B64">
        <v>4</v>
      </c>
      <c r="C64" t="s">
        <v>53</v>
      </c>
      <c r="D64" t="s">
        <v>22</v>
      </c>
      <c r="E64" t="s">
        <v>158</v>
      </c>
      <c r="F64" t="s">
        <v>55</v>
      </c>
      <c r="G64" t="s">
        <v>24</v>
      </c>
      <c r="H64" t="s">
        <v>25</v>
      </c>
      <c r="I64" t="s">
        <v>26</v>
      </c>
      <c r="J64" t="s">
        <v>25</v>
      </c>
      <c r="K64">
        <v>708</v>
      </c>
      <c r="L64">
        <v>11</v>
      </c>
      <c r="M64">
        <v>13</v>
      </c>
      <c r="N64">
        <v>24</v>
      </c>
      <c r="O64">
        <v>81</v>
      </c>
      <c r="P64">
        <v>60</v>
      </c>
      <c r="Q64">
        <v>56</v>
      </c>
      <c r="R64">
        <v>38</v>
      </c>
      <c r="S64">
        <v>24</v>
      </c>
      <c r="T64">
        <v>7</v>
      </c>
      <c r="U64">
        <v>0</v>
      </c>
      <c r="V64">
        <v>686</v>
      </c>
    </row>
    <row r="65" spans="1:22" x14ac:dyDescent="0.25">
      <c r="A65">
        <v>2025</v>
      </c>
      <c r="B65">
        <v>4</v>
      </c>
      <c r="C65" t="s">
        <v>53</v>
      </c>
      <c r="D65" t="s">
        <v>22</v>
      </c>
      <c r="E65" t="s">
        <v>61</v>
      </c>
      <c r="F65" t="s">
        <v>35</v>
      </c>
      <c r="G65" t="s">
        <v>24</v>
      </c>
      <c r="H65" t="s">
        <v>25</v>
      </c>
      <c r="I65" t="s">
        <v>26</v>
      </c>
      <c r="J65" t="s">
        <v>26</v>
      </c>
      <c r="K65">
        <v>141</v>
      </c>
      <c r="L65">
        <v>1</v>
      </c>
      <c r="M65">
        <v>3</v>
      </c>
      <c r="N65">
        <v>4</v>
      </c>
      <c r="O65">
        <v>69</v>
      </c>
      <c r="P65">
        <v>66</v>
      </c>
      <c r="Q65">
        <v>61</v>
      </c>
      <c r="R65">
        <v>54</v>
      </c>
      <c r="S65">
        <v>54</v>
      </c>
      <c r="T65">
        <v>41</v>
      </c>
      <c r="U65">
        <v>27</v>
      </c>
      <c r="V65">
        <v>139</v>
      </c>
    </row>
    <row r="66" spans="1:22" x14ac:dyDescent="0.25">
      <c r="A66">
        <v>2025</v>
      </c>
      <c r="B66">
        <v>5</v>
      </c>
      <c r="C66" t="s">
        <v>53</v>
      </c>
      <c r="D66" t="s">
        <v>22</v>
      </c>
      <c r="E66" t="s">
        <v>37</v>
      </c>
      <c r="F66" t="s">
        <v>23</v>
      </c>
      <c r="G66" t="s">
        <v>24</v>
      </c>
      <c r="H66" t="s">
        <v>25</v>
      </c>
      <c r="I66" t="s">
        <v>26</v>
      </c>
      <c r="J66" t="s">
        <v>25</v>
      </c>
      <c r="K66">
        <v>440</v>
      </c>
      <c r="L66">
        <v>18</v>
      </c>
      <c r="M66">
        <v>5</v>
      </c>
      <c r="N66">
        <v>23</v>
      </c>
      <c r="O66">
        <v>187</v>
      </c>
      <c r="P66">
        <v>161</v>
      </c>
      <c r="Q66">
        <v>156</v>
      </c>
      <c r="R66">
        <v>142</v>
      </c>
      <c r="S66">
        <v>110</v>
      </c>
      <c r="T66">
        <v>49</v>
      </c>
      <c r="U66">
        <v>15</v>
      </c>
      <c r="V66">
        <v>419</v>
      </c>
    </row>
    <row r="67" spans="1:22" x14ac:dyDescent="0.25">
      <c r="A67">
        <v>2025</v>
      </c>
      <c r="B67">
        <v>5</v>
      </c>
      <c r="C67" t="s">
        <v>53</v>
      </c>
      <c r="D67" t="s">
        <v>22</v>
      </c>
      <c r="E67" t="s">
        <v>143</v>
      </c>
      <c r="F67" t="s">
        <v>39</v>
      </c>
      <c r="G67" t="s">
        <v>24</v>
      </c>
      <c r="H67" t="s">
        <v>26</v>
      </c>
      <c r="I67" t="s">
        <v>26</v>
      </c>
      <c r="J67" t="s">
        <v>25</v>
      </c>
      <c r="K67">
        <v>464</v>
      </c>
      <c r="L67">
        <v>1</v>
      </c>
      <c r="M67">
        <v>9</v>
      </c>
      <c r="N67">
        <v>10</v>
      </c>
      <c r="O67">
        <v>149</v>
      </c>
      <c r="P67">
        <v>135</v>
      </c>
      <c r="Q67">
        <v>132</v>
      </c>
      <c r="R67">
        <v>123</v>
      </c>
      <c r="S67">
        <v>81</v>
      </c>
      <c r="T67">
        <v>32</v>
      </c>
      <c r="U67">
        <v>11</v>
      </c>
      <c r="V67">
        <v>461</v>
      </c>
    </row>
    <row r="68" spans="1:22" x14ac:dyDescent="0.25">
      <c r="A68">
        <v>2025</v>
      </c>
      <c r="B68">
        <v>5</v>
      </c>
      <c r="C68" t="s">
        <v>53</v>
      </c>
      <c r="D68" t="s">
        <v>22</v>
      </c>
      <c r="E68" t="s">
        <v>149</v>
      </c>
      <c r="F68" t="s">
        <v>23</v>
      </c>
      <c r="G68" t="s">
        <v>24</v>
      </c>
      <c r="H68" t="s">
        <v>25</v>
      </c>
      <c r="I68" t="s">
        <v>26</v>
      </c>
      <c r="J68" t="s">
        <v>25</v>
      </c>
      <c r="K68">
        <v>62</v>
      </c>
      <c r="L68">
        <v>0</v>
      </c>
      <c r="M68">
        <v>1</v>
      </c>
      <c r="N68">
        <v>1</v>
      </c>
      <c r="O68">
        <v>32</v>
      </c>
      <c r="P68">
        <v>31</v>
      </c>
      <c r="Q68">
        <v>28</v>
      </c>
      <c r="R68">
        <v>24</v>
      </c>
      <c r="S68">
        <v>20</v>
      </c>
      <c r="T68">
        <v>11</v>
      </c>
      <c r="U68">
        <v>7</v>
      </c>
      <c r="V68">
        <v>62</v>
      </c>
    </row>
    <row r="69" spans="1:22" x14ac:dyDescent="0.25">
      <c r="A69">
        <v>2025</v>
      </c>
      <c r="B69">
        <v>5</v>
      </c>
      <c r="C69" t="s">
        <v>53</v>
      </c>
      <c r="D69" t="s">
        <v>22</v>
      </c>
      <c r="E69" t="s">
        <v>53</v>
      </c>
      <c r="F69" t="s">
        <v>55</v>
      </c>
      <c r="G69" t="s">
        <v>28</v>
      </c>
      <c r="H69" t="s">
        <v>25</v>
      </c>
      <c r="I69" t="s">
        <v>26</v>
      </c>
      <c r="J69" t="s">
        <v>25</v>
      </c>
      <c r="K69">
        <v>2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2</v>
      </c>
    </row>
    <row r="70" spans="1:22" x14ac:dyDescent="0.25">
      <c r="A70">
        <v>2025</v>
      </c>
      <c r="B70">
        <v>5</v>
      </c>
      <c r="C70" t="s">
        <v>53</v>
      </c>
      <c r="D70" t="s">
        <v>22</v>
      </c>
      <c r="E70" t="s">
        <v>53</v>
      </c>
      <c r="F70" t="s">
        <v>23</v>
      </c>
      <c r="G70" t="s">
        <v>28</v>
      </c>
      <c r="H70" t="s">
        <v>25</v>
      </c>
      <c r="I70" t="s">
        <v>26</v>
      </c>
      <c r="J70" t="s">
        <v>25</v>
      </c>
      <c r="K70">
        <v>37039</v>
      </c>
      <c r="L70">
        <v>0</v>
      </c>
      <c r="M70">
        <v>2967</v>
      </c>
      <c r="N70">
        <v>2967</v>
      </c>
      <c r="O70">
        <v>4077</v>
      </c>
      <c r="P70">
        <v>2267</v>
      </c>
      <c r="Q70">
        <v>1786</v>
      </c>
      <c r="R70">
        <v>925</v>
      </c>
      <c r="S70">
        <v>436</v>
      </c>
      <c r="T70">
        <v>41</v>
      </c>
      <c r="U70">
        <v>2</v>
      </c>
      <c r="V70">
        <v>34759</v>
      </c>
    </row>
    <row r="71" spans="1:22" x14ac:dyDescent="0.25">
      <c r="A71">
        <v>2025</v>
      </c>
      <c r="B71">
        <v>5</v>
      </c>
      <c r="C71" t="s">
        <v>53</v>
      </c>
      <c r="D71" t="s">
        <v>22</v>
      </c>
      <c r="E71" t="s">
        <v>53</v>
      </c>
      <c r="F71" t="s">
        <v>56</v>
      </c>
      <c r="G71" t="s">
        <v>28</v>
      </c>
      <c r="H71" t="s">
        <v>25</v>
      </c>
      <c r="I71" t="s">
        <v>26</v>
      </c>
      <c r="J71" t="s">
        <v>25</v>
      </c>
      <c r="K71">
        <v>3202</v>
      </c>
      <c r="L71">
        <v>0</v>
      </c>
      <c r="M71">
        <v>609</v>
      </c>
      <c r="N71">
        <v>609</v>
      </c>
      <c r="O71">
        <v>465</v>
      </c>
      <c r="P71">
        <v>290</v>
      </c>
      <c r="Q71">
        <v>249</v>
      </c>
      <c r="R71">
        <v>149</v>
      </c>
      <c r="S71">
        <v>76</v>
      </c>
      <c r="T71">
        <v>19</v>
      </c>
      <c r="U71">
        <v>0</v>
      </c>
      <c r="V71">
        <v>2783</v>
      </c>
    </row>
    <row r="72" spans="1:22" x14ac:dyDescent="0.25">
      <c r="A72">
        <v>2025</v>
      </c>
      <c r="B72">
        <v>5</v>
      </c>
      <c r="C72" t="s">
        <v>53</v>
      </c>
      <c r="D72" t="s">
        <v>22</v>
      </c>
      <c r="E72" t="s">
        <v>53</v>
      </c>
      <c r="F72" t="s">
        <v>57</v>
      </c>
      <c r="G72" t="s">
        <v>28</v>
      </c>
      <c r="H72" t="s">
        <v>25</v>
      </c>
      <c r="I72" t="s">
        <v>26</v>
      </c>
      <c r="J72" t="s">
        <v>26</v>
      </c>
      <c r="K72">
        <v>15</v>
      </c>
      <c r="L72">
        <v>0</v>
      </c>
      <c r="M72">
        <v>0</v>
      </c>
      <c r="N72">
        <v>0</v>
      </c>
      <c r="O72">
        <v>6</v>
      </c>
      <c r="P72">
        <v>5</v>
      </c>
      <c r="Q72">
        <v>3</v>
      </c>
      <c r="R72">
        <v>1</v>
      </c>
      <c r="S72">
        <v>1</v>
      </c>
      <c r="T72">
        <v>0</v>
      </c>
      <c r="U72">
        <v>0</v>
      </c>
      <c r="V72">
        <v>15</v>
      </c>
    </row>
    <row r="73" spans="1:22" x14ac:dyDescent="0.25">
      <c r="A73">
        <v>2025</v>
      </c>
      <c r="B73">
        <v>5</v>
      </c>
      <c r="C73" t="s">
        <v>53</v>
      </c>
      <c r="D73" t="s">
        <v>22</v>
      </c>
      <c r="E73" t="s">
        <v>53</v>
      </c>
      <c r="F73" t="s">
        <v>58</v>
      </c>
      <c r="G73" t="s">
        <v>28</v>
      </c>
      <c r="H73" t="s">
        <v>25</v>
      </c>
      <c r="I73" t="s">
        <v>25</v>
      </c>
      <c r="J73" t="s">
        <v>25</v>
      </c>
      <c r="K73">
        <v>3754</v>
      </c>
      <c r="L73">
        <v>0</v>
      </c>
      <c r="M73">
        <v>97</v>
      </c>
      <c r="N73">
        <v>97</v>
      </c>
      <c r="O73">
        <v>244</v>
      </c>
      <c r="P73">
        <v>119</v>
      </c>
      <c r="Q73">
        <v>91</v>
      </c>
      <c r="R73">
        <v>52</v>
      </c>
      <c r="S73">
        <v>18</v>
      </c>
      <c r="T73">
        <v>4</v>
      </c>
      <c r="U73">
        <v>0</v>
      </c>
      <c r="V73">
        <v>3668</v>
      </c>
    </row>
    <row r="74" spans="1:22" x14ac:dyDescent="0.25">
      <c r="A74">
        <v>2025</v>
      </c>
      <c r="B74">
        <v>5</v>
      </c>
      <c r="C74" t="s">
        <v>53</v>
      </c>
      <c r="D74" t="s">
        <v>22</v>
      </c>
      <c r="E74" t="s">
        <v>53</v>
      </c>
      <c r="F74" t="s">
        <v>59</v>
      </c>
      <c r="G74" t="s">
        <v>28</v>
      </c>
      <c r="H74" t="s">
        <v>25</v>
      </c>
      <c r="I74" t="s">
        <v>25</v>
      </c>
      <c r="J74" t="s">
        <v>25</v>
      </c>
      <c r="K74">
        <v>78428</v>
      </c>
      <c r="L74">
        <v>1</v>
      </c>
      <c r="M74">
        <v>2910</v>
      </c>
      <c r="N74">
        <v>2911</v>
      </c>
      <c r="O74">
        <v>4932</v>
      </c>
      <c r="P74">
        <v>2345</v>
      </c>
      <c r="Q74">
        <v>1727</v>
      </c>
      <c r="R74">
        <v>685</v>
      </c>
      <c r="S74">
        <v>262</v>
      </c>
      <c r="T74">
        <v>28</v>
      </c>
      <c r="U74">
        <v>0</v>
      </c>
      <c r="V74">
        <v>76175</v>
      </c>
    </row>
    <row r="75" spans="1:22" x14ac:dyDescent="0.25">
      <c r="A75">
        <v>2025</v>
      </c>
      <c r="B75">
        <v>5</v>
      </c>
      <c r="C75" t="s">
        <v>53</v>
      </c>
      <c r="D75" t="s">
        <v>22</v>
      </c>
      <c r="E75" t="s">
        <v>53</v>
      </c>
      <c r="F75" t="s">
        <v>60</v>
      </c>
      <c r="G75" t="s">
        <v>28</v>
      </c>
      <c r="H75" t="s">
        <v>25</v>
      </c>
      <c r="I75" t="s">
        <v>25</v>
      </c>
      <c r="J75" t="s">
        <v>25</v>
      </c>
      <c r="K75">
        <v>40096</v>
      </c>
      <c r="L75">
        <v>0</v>
      </c>
      <c r="M75">
        <v>1064</v>
      </c>
      <c r="N75">
        <v>1064</v>
      </c>
      <c r="O75">
        <v>2320</v>
      </c>
      <c r="P75">
        <v>896</v>
      </c>
      <c r="Q75">
        <v>606</v>
      </c>
      <c r="R75">
        <v>220</v>
      </c>
      <c r="S75">
        <v>88</v>
      </c>
      <c r="T75">
        <v>8</v>
      </c>
      <c r="U75">
        <v>1</v>
      </c>
      <c r="V75">
        <v>39233</v>
      </c>
    </row>
    <row r="76" spans="1:22" x14ac:dyDescent="0.25">
      <c r="A76">
        <v>2025</v>
      </c>
      <c r="B76">
        <v>5</v>
      </c>
      <c r="C76" t="s">
        <v>53</v>
      </c>
      <c r="D76" t="s">
        <v>22</v>
      </c>
      <c r="E76" t="s">
        <v>158</v>
      </c>
      <c r="F76" t="s">
        <v>54</v>
      </c>
      <c r="G76" t="s">
        <v>24</v>
      </c>
      <c r="H76" t="s">
        <v>25</v>
      </c>
      <c r="I76" t="s">
        <v>26</v>
      </c>
      <c r="J76" t="s">
        <v>25</v>
      </c>
      <c r="K76">
        <v>852</v>
      </c>
      <c r="L76">
        <v>8</v>
      </c>
      <c r="M76">
        <v>12</v>
      </c>
      <c r="N76">
        <v>20</v>
      </c>
      <c r="O76">
        <v>123</v>
      </c>
      <c r="P76">
        <v>82</v>
      </c>
      <c r="Q76">
        <v>70</v>
      </c>
      <c r="R76">
        <v>41</v>
      </c>
      <c r="S76">
        <v>18</v>
      </c>
      <c r="T76">
        <v>3</v>
      </c>
      <c r="U76">
        <v>1</v>
      </c>
      <c r="V76">
        <v>844</v>
      </c>
    </row>
    <row r="77" spans="1:22" x14ac:dyDescent="0.25">
      <c r="A77">
        <v>2025</v>
      </c>
      <c r="B77">
        <v>5</v>
      </c>
      <c r="C77" t="s">
        <v>53</v>
      </c>
      <c r="D77" t="s">
        <v>22</v>
      </c>
      <c r="E77" t="s">
        <v>158</v>
      </c>
      <c r="F77" t="s">
        <v>55</v>
      </c>
      <c r="G77" t="s">
        <v>24</v>
      </c>
      <c r="H77" t="s">
        <v>25</v>
      </c>
      <c r="I77" t="s">
        <v>26</v>
      </c>
      <c r="J77" t="s">
        <v>25</v>
      </c>
      <c r="K77">
        <v>768</v>
      </c>
      <c r="L77">
        <v>7</v>
      </c>
      <c r="M77">
        <v>7</v>
      </c>
      <c r="N77">
        <v>14</v>
      </c>
      <c r="O77">
        <v>60</v>
      </c>
      <c r="P77">
        <v>44</v>
      </c>
      <c r="Q77">
        <v>38</v>
      </c>
      <c r="R77">
        <v>25</v>
      </c>
      <c r="S77">
        <v>16</v>
      </c>
      <c r="T77">
        <v>5</v>
      </c>
      <c r="U77">
        <v>0</v>
      </c>
      <c r="V77">
        <v>761</v>
      </c>
    </row>
    <row r="78" spans="1:22" x14ac:dyDescent="0.25">
      <c r="A78">
        <v>2025</v>
      </c>
      <c r="B78">
        <v>5</v>
      </c>
      <c r="C78" t="s">
        <v>53</v>
      </c>
      <c r="D78" t="s">
        <v>22</v>
      </c>
      <c r="E78" t="s">
        <v>61</v>
      </c>
      <c r="F78" t="s">
        <v>35</v>
      </c>
      <c r="G78" t="s">
        <v>24</v>
      </c>
      <c r="H78" t="s">
        <v>25</v>
      </c>
      <c r="I78" t="s">
        <v>26</v>
      </c>
      <c r="J78" t="s">
        <v>26</v>
      </c>
      <c r="K78">
        <v>186</v>
      </c>
      <c r="L78">
        <v>5</v>
      </c>
      <c r="M78">
        <v>2</v>
      </c>
      <c r="N78">
        <v>7</v>
      </c>
      <c r="O78">
        <v>106</v>
      </c>
      <c r="P78">
        <v>95</v>
      </c>
      <c r="Q78">
        <v>90</v>
      </c>
      <c r="R78">
        <v>81</v>
      </c>
      <c r="S78">
        <v>69</v>
      </c>
      <c r="T78">
        <v>41</v>
      </c>
      <c r="U78">
        <v>21</v>
      </c>
      <c r="V78">
        <v>180</v>
      </c>
    </row>
    <row r="79" spans="1:22" x14ac:dyDescent="0.25">
      <c r="A79">
        <v>2025</v>
      </c>
      <c r="B79">
        <v>6</v>
      </c>
      <c r="C79" t="s">
        <v>53</v>
      </c>
      <c r="D79" t="s">
        <v>22</v>
      </c>
      <c r="E79" t="s">
        <v>37</v>
      </c>
      <c r="F79" t="s">
        <v>23</v>
      </c>
      <c r="G79" t="s">
        <v>24</v>
      </c>
      <c r="H79" t="s">
        <v>25</v>
      </c>
      <c r="I79" t="s">
        <v>26</v>
      </c>
      <c r="J79" t="s">
        <v>25</v>
      </c>
      <c r="K79">
        <v>379</v>
      </c>
      <c r="L79">
        <v>53</v>
      </c>
      <c r="M79">
        <v>3</v>
      </c>
      <c r="N79">
        <v>56</v>
      </c>
      <c r="O79">
        <v>172</v>
      </c>
      <c r="P79">
        <v>162</v>
      </c>
      <c r="Q79">
        <v>158</v>
      </c>
      <c r="R79">
        <v>145</v>
      </c>
      <c r="S79">
        <v>116</v>
      </c>
      <c r="T79">
        <v>60</v>
      </c>
      <c r="U79">
        <v>16</v>
      </c>
      <c r="V79">
        <v>324</v>
      </c>
    </row>
    <row r="80" spans="1:22" x14ac:dyDescent="0.25">
      <c r="A80">
        <v>2025</v>
      </c>
      <c r="B80">
        <v>6</v>
      </c>
      <c r="C80" t="s">
        <v>53</v>
      </c>
      <c r="D80" t="s">
        <v>22</v>
      </c>
      <c r="E80" t="s">
        <v>143</v>
      </c>
      <c r="F80" t="s">
        <v>39</v>
      </c>
      <c r="G80" t="s">
        <v>24</v>
      </c>
      <c r="H80" t="s">
        <v>26</v>
      </c>
      <c r="I80" t="s">
        <v>26</v>
      </c>
      <c r="J80" t="s">
        <v>25</v>
      </c>
      <c r="K80">
        <v>450</v>
      </c>
      <c r="L80">
        <v>18</v>
      </c>
      <c r="M80">
        <v>14</v>
      </c>
      <c r="N80">
        <v>32</v>
      </c>
      <c r="O80">
        <v>176</v>
      </c>
      <c r="P80">
        <v>156</v>
      </c>
      <c r="Q80">
        <v>148</v>
      </c>
      <c r="R80">
        <v>132</v>
      </c>
      <c r="S80">
        <v>104</v>
      </c>
      <c r="T80">
        <v>40</v>
      </c>
      <c r="U80">
        <v>10</v>
      </c>
      <c r="V80">
        <v>427</v>
      </c>
    </row>
    <row r="81" spans="1:22" x14ac:dyDescent="0.25">
      <c r="A81">
        <v>2025</v>
      </c>
      <c r="B81">
        <v>6</v>
      </c>
      <c r="C81" t="s">
        <v>53</v>
      </c>
      <c r="D81" t="s">
        <v>22</v>
      </c>
      <c r="E81" t="s">
        <v>149</v>
      </c>
      <c r="F81" t="s">
        <v>23</v>
      </c>
      <c r="G81" t="s">
        <v>24</v>
      </c>
      <c r="H81" t="s">
        <v>25</v>
      </c>
      <c r="I81" t="s">
        <v>26</v>
      </c>
      <c r="J81" t="s">
        <v>25</v>
      </c>
      <c r="K81">
        <v>60</v>
      </c>
      <c r="L81">
        <v>8</v>
      </c>
      <c r="M81">
        <v>2</v>
      </c>
      <c r="N81">
        <v>10</v>
      </c>
      <c r="O81">
        <v>19</v>
      </c>
      <c r="P81">
        <v>16</v>
      </c>
      <c r="Q81">
        <v>15</v>
      </c>
      <c r="R81">
        <v>12</v>
      </c>
      <c r="S81">
        <v>5</v>
      </c>
      <c r="T81">
        <v>4</v>
      </c>
      <c r="U81">
        <v>1</v>
      </c>
      <c r="V81">
        <v>51</v>
      </c>
    </row>
    <row r="82" spans="1:22" x14ac:dyDescent="0.25">
      <c r="A82">
        <v>2025</v>
      </c>
      <c r="B82">
        <v>6</v>
      </c>
      <c r="C82" t="s">
        <v>53</v>
      </c>
      <c r="D82" t="s">
        <v>22</v>
      </c>
      <c r="E82" t="s">
        <v>53</v>
      </c>
      <c r="F82" t="s">
        <v>55</v>
      </c>
      <c r="G82" t="s">
        <v>28</v>
      </c>
      <c r="H82" t="s">
        <v>25</v>
      </c>
      <c r="I82" t="s">
        <v>26</v>
      </c>
      <c r="J82" t="s">
        <v>25</v>
      </c>
      <c r="K82">
        <v>2</v>
      </c>
      <c r="L82">
        <v>0</v>
      </c>
      <c r="M82">
        <v>1</v>
      </c>
      <c r="N82">
        <v>1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1</v>
      </c>
    </row>
    <row r="83" spans="1:22" x14ac:dyDescent="0.25">
      <c r="A83">
        <v>2025</v>
      </c>
      <c r="B83">
        <v>6</v>
      </c>
      <c r="C83" t="s">
        <v>53</v>
      </c>
      <c r="D83" t="s">
        <v>22</v>
      </c>
      <c r="E83" t="s">
        <v>53</v>
      </c>
      <c r="F83" t="s">
        <v>23</v>
      </c>
      <c r="G83" t="s">
        <v>28</v>
      </c>
      <c r="H83" t="s">
        <v>25</v>
      </c>
      <c r="I83" t="s">
        <v>26</v>
      </c>
      <c r="J83" t="s">
        <v>25</v>
      </c>
      <c r="K83">
        <v>35035</v>
      </c>
      <c r="L83">
        <v>0</v>
      </c>
      <c r="M83">
        <v>8081</v>
      </c>
      <c r="N83">
        <v>8081</v>
      </c>
      <c r="O83">
        <v>3179</v>
      </c>
      <c r="P83">
        <v>1762</v>
      </c>
      <c r="Q83">
        <v>1385</v>
      </c>
      <c r="R83">
        <v>681</v>
      </c>
      <c r="S83">
        <v>284</v>
      </c>
      <c r="T83">
        <v>21</v>
      </c>
      <c r="U83">
        <v>0</v>
      </c>
      <c r="V83">
        <v>28280</v>
      </c>
    </row>
    <row r="84" spans="1:22" x14ac:dyDescent="0.25">
      <c r="A84">
        <v>2025</v>
      </c>
      <c r="B84">
        <v>6</v>
      </c>
      <c r="C84" t="s">
        <v>53</v>
      </c>
      <c r="D84" t="s">
        <v>22</v>
      </c>
      <c r="E84" t="s">
        <v>53</v>
      </c>
      <c r="F84" t="s">
        <v>56</v>
      </c>
      <c r="G84" t="s">
        <v>28</v>
      </c>
      <c r="H84" t="s">
        <v>25</v>
      </c>
      <c r="I84" t="s">
        <v>26</v>
      </c>
      <c r="J84" t="s">
        <v>25</v>
      </c>
      <c r="K84">
        <v>2962</v>
      </c>
      <c r="L84">
        <v>0</v>
      </c>
      <c r="M84">
        <v>1022</v>
      </c>
      <c r="N84">
        <v>1022</v>
      </c>
      <c r="O84">
        <v>332</v>
      </c>
      <c r="P84">
        <v>207</v>
      </c>
      <c r="Q84">
        <v>189</v>
      </c>
      <c r="R84">
        <v>97</v>
      </c>
      <c r="S84">
        <v>46</v>
      </c>
      <c r="T84">
        <v>5</v>
      </c>
      <c r="U84">
        <v>0</v>
      </c>
      <c r="V84">
        <v>2114</v>
      </c>
    </row>
    <row r="85" spans="1:22" x14ac:dyDescent="0.25">
      <c r="A85">
        <v>2025</v>
      </c>
      <c r="B85">
        <v>6</v>
      </c>
      <c r="C85" t="s">
        <v>53</v>
      </c>
      <c r="D85" t="s">
        <v>22</v>
      </c>
      <c r="E85" t="s">
        <v>53</v>
      </c>
      <c r="F85" t="s">
        <v>57</v>
      </c>
      <c r="G85" t="s">
        <v>28</v>
      </c>
      <c r="H85" t="s">
        <v>25</v>
      </c>
      <c r="I85" t="s">
        <v>26</v>
      </c>
      <c r="J85" t="s">
        <v>26</v>
      </c>
      <c r="K85">
        <v>15</v>
      </c>
      <c r="L85">
        <v>0</v>
      </c>
      <c r="M85">
        <v>0</v>
      </c>
      <c r="N85">
        <v>0</v>
      </c>
      <c r="O85">
        <v>6</v>
      </c>
      <c r="P85">
        <v>4</v>
      </c>
      <c r="Q85">
        <v>4</v>
      </c>
      <c r="R85">
        <v>2</v>
      </c>
      <c r="S85">
        <v>1</v>
      </c>
      <c r="T85">
        <v>0</v>
      </c>
      <c r="U85">
        <v>0</v>
      </c>
      <c r="V85">
        <v>15</v>
      </c>
    </row>
    <row r="86" spans="1:22" x14ac:dyDescent="0.25">
      <c r="A86">
        <v>2025</v>
      </c>
      <c r="B86">
        <v>6</v>
      </c>
      <c r="C86" t="s">
        <v>53</v>
      </c>
      <c r="D86" t="s">
        <v>22</v>
      </c>
      <c r="E86" t="s">
        <v>53</v>
      </c>
      <c r="F86" t="s">
        <v>58</v>
      </c>
      <c r="G86" t="s">
        <v>28</v>
      </c>
      <c r="H86" t="s">
        <v>25</v>
      </c>
      <c r="I86" t="s">
        <v>25</v>
      </c>
      <c r="J86" t="s">
        <v>25</v>
      </c>
      <c r="K86">
        <v>3432</v>
      </c>
      <c r="L86">
        <v>0</v>
      </c>
      <c r="M86">
        <v>49</v>
      </c>
      <c r="N86">
        <v>49</v>
      </c>
      <c r="O86">
        <v>232</v>
      </c>
      <c r="P86">
        <v>109</v>
      </c>
      <c r="Q86">
        <v>83</v>
      </c>
      <c r="R86">
        <v>36</v>
      </c>
      <c r="S86">
        <v>16</v>
      </c>
      <c r="T86">
        <v>0</v>
      </c>
      <c r="U86">
        <v>0</v>
      </c>
      <c r="V86">
        <v>3389</v>
      </c>
    </row>
    <row r="87" spans="1:22" x14ac:dyDescent="0.25">
      <c r="A87">
        <v>2025</v>
      </c>
      <c r="B87">
        <v>6</v>
      </c>
      <c r="C87" t="s">
        <v>53</v>
      </c>
      <c r="D87" t="s">
        <v>22</v>
      </c>
      <c r="E87" t="s">
        <v>53</v>
      </c>
      <c r="F87" t="s">
        <v>59</v>
      </c>
      <c r="G87" t="s">
        <v>28</v>
      </c>
      <c r="H87" t="s">
        <v>25</v>
      </c>
      <c r="I87" t="s">
        <v>25</v>
      </c>
      <c r="J87" t="s">
        <v>25</v>
      </c>
      <c r="K87">
        <v>73819</v>
      </c>
      <c r="L87">
        <v>0</v>
      </c>
      <c r="M87">
        <v>10469</v>
      </c>
      <c r="N87">
        <v>10469</v>
      </c>
      <c r="O87">
        <v>4345</v>
      </c>
      <c r="P87">
        <v>2128</v>
      </c>
      <c r="Q87">
        <v>1614</v>
      </c>
      <c r="R87">
        <v>636</v>
      </c>
      <c r="S87">
        <v>261</v>
      </c>
      <c r="T87">
        <v>33</v>
      </c>
      <c r="U87">
        <v>0</v>
      </c>
      <c r="V87">
        <v>64632</v>
      </c>
    </row>
    <row r="88" spans="1:22" x14ac:dyDescent="0.25">
      <c r="A88">
        <v>2025</v>
      </c>
      <c r="B88">
        <v>6</v>
      </c>
      <c r="C88" t="s">
        <v>53</v>
      </c>
      <c r="D88" t="s">
        <v>22</v>
      </c>
      <c r="E88" t="s">
        <v>53</v>
      </c>
      <c r="F88" t="s">
        <v>60</v>
      </c>
      <c r="G88" t="s">
        <v>28</v>
      </c>
      <c r="H88" t="s">
        <v>25</v>
      </c>
      <c r="I88" t="s">
        <v>25</v>
      </c>
      <c r="J88" t="s">
        <v>25</v>
      </c>
      <c r="K88">
        <v>36440</v>
      </c>
      <c r="L88">
        <v>1</v>
      </c>
      <c r="M88">
        <v>1049</v>
      </c>
      <c r="N88">
        <v>1050</v>
      </c>
      <c r="O88">
        <v>2085</v>
      </c>
      <c r="P88">
        <v>798</v>
      </c>
      <c r="Q88">
        <v>535</v>
      </c>
      <c r="R88">
        <v>202</v>
      </c>
      <c r="S88">
        <v>87</v>
      </c>
      <c r="T88">
        <v>10</v>
      </c>
      <c r="U88">
        <v>0</v>
      </c>
      <c r="V88">
        <v>35648</v>
      </c>
    </row>
    <row r="89" spans="1:22" x14ac:dyDescent="0.25">
      <c r="A89">
        <v>2025</v>
      </c>
      <c r="B89">
        <v>6</v>
      </c>
      <c r="C89" t="s">
        <v>53</v>
      </c>
      <c r="D89" t="s">
        <v>22</v>
      </c>
      <c r="E89" t="s">
        <v>158</v>
      </c>
      <c r="F89" t="s">
        <v>54</v>
      </c>
      <c r="G89" t="s">
        <v>24</v>
      </c>
      <c r="H89" t="s">
        <v>25</v>
      </c>
      <c r="I89" t="s">
        <v>26</v>
      </c>
      <c r="J89" t="s">
        <v>25</v>
      </c>
      <c r="K89">
        <v>703</v>
      </c>
      <c r="L89">
        <v>13</v>
      </c>
      <c r="M89">
        <v>2</v>
      </c>
      <c r="N89">
        <v>15</v>
      </c>
      <c r="O89">
        <v>68</v>
      </c>
      <c r="P89">
        <v>42</v>
      </c>
      <c r="Q89">
        <v>36</v>
      </c>
      <c r="R89">
        <v>22</v>
      </c>
      <c r="S89">
        <v>13</v>
      </c>
      <c r="T89">
        <v>4</v>
      </c>
      <c r="U89">
        <v>1</v>
      </c>
      <c r="V89">
        <v>690</v>
      </c>
    </row>
    <row r="90" spans="1:22" x14ac:dyDescent="0.25">
      <c r="A90">
        <v>2025</v>
      </c>
      <c r="B90">
        <v>6</v>
      </c>
      <c r="C90" t="s">
        <v>53</v>
      </c>
      <c r="D90" t="s">
        <v>22</v>
      </c>
      <c r="E90" t="s">
        <v>158</v>
      </c>
      <c r="F90" t="s">
        <v>55</v>
      </c>
      <c r="G90" t="s">
        <v>24</v>
      </c>
      <c r="H90" t="s">
        <v>25</v>
      </c>
      <c r="I90" t="s">
        <v>26</v>
      </c>
      <c r="J90" t="s">
        <v>25</v>
      </c>
      <c r="K90">
        <v>148</v>
      </c>
      <c r="L90">
        <v>0</v>
      </c>
      <c r="M90">
        <v>0</v>
      </c>
      <c r="N90">
        <v>0</v>
      </c>
      <c r="O90">
        <v>9</v>
      </c>
      <c r="P90">
        <v>7</v>
      </c>
      <c r="Q90">
        <v>7</v>
      </c>
      <c r="R90">
        <v>3</v>
      </c>
      <c r="S90">
        <v>2</v>
      </c>
      <c r="T90">
        <v>0</v>
      </c>
      <c r="U90">
        <v>0</v>
      </c>
      <c r="V90">
        <v>148</v>
      </c>
    </row>
    <row r="91" spans="1:22" x14ac:dyDescent="0.25">
      <c r="A91">
        <v>2025</v>
      </c>
      <c r="B91">
        <v>6</v>
      </c>
      <c r="C91" t="s">
        <v>53</v>
      </c>
      <c r="D91" t="s">
        <v>22</v>
      </c>
      <c r="E91" t="s">
        <v>61</v>
      </c>
      <c r="F91" t="s">
        <v>35</v>
      </c>
      <c r="G91" t="s">
        <v>24</v>
      </c>
      <c r="H91" t="s">
        <v>25</v>
      </c>
      <c r="I91" t="s">
        <v>26</v>
      </c>
      <c r="J91" t="s">
        <v>26</v>
      </c>
      <c r="K91">
        <v>180</v>
      </c>
      <c r="L91">
        <v>17</v>
      </c>
      <c r="M91">
        <v>2</v>
      </c>
      <c r="N91">
        <v>19</v>
      </c>
      <c r="O91">
        <v>115</v>
      </c>
      <c r="P91">
        <v>100</v>
      </c>
      <c r="Q91">
        <v>95</v>
      </c>
      <c r="R91">
        <v>86</v>
      </c>
      <c r="S91">
        <v>69</v>
      </c>
      <c r="T91">
        <v>57</v>
      </c>
      <c r="U91">
        <v>38</v>
      </c>
      <c r="V91">
        <v>162</v>
      </c>
    </row>
    <row r="92" spans="1:22" x14ac:dyDescent="0.25">
      <c r="A92">
        <v>2025</v>
      </c>
      <c r="B92">
        <v>7</v>
      </c>
      <c r="C92" t="s">
        <v>53</v>
      </c>
      <c r="D92" t="s">
        <v>22</v>
      </c>
      <c r="E92" t="s">
        <v>37</v>
      </c>
      <c r="F92" t="s">
        <v>23</v>
      </c>
      <c r="G92" t="s">
        <v>24</v>
      </c>
      <c r="H92" t="s">
        <v>25</v>
      </c>
      <c r="I92" t="s">
        <v>26</v>
      </c>
      <c r="J92" t="s">
        <v>25</v>
      </c>
      <c r="K92">
        <v>437</v>
      </c>
      <c r="L92">
        <v>19</v>
      </c>
      <c r="M92">
        <v>5</v>
      </c>
      <c r="N92">
        <v>24</v>
      </c>
      <c r="O92">
        <v>183</v>
      </c>
      <c r="P92">
        <v>163</v>
      </c>
      <c r="Q92">
        <v>158</v>
      </c>
      <c r="R92">
        <v>149</v>
      </c>
      <c r="S92">
        <v>116</v>
      </c>
      <c r="T92">
        <v>49</v>
      </c>
      <c r="U92">
        <v>10</v>
      </c>
      <c r="V92">
        <v>414</v>
      </c>
    </row>
    <row r="93" spans="1:22" x14ac:dyDescent="0.25">
      <c r="A93">
        <v>2025</v>
      </c>
      <c r="B93">
        <v>7</v>
      </c>
      <c r="C93" t="s">
        <v>53</v>
      </c>
      <c r="D93" t="s">
        <v>22</v>
      </c>
      <c r="E93" t="s">
        <v>143</v>
      </c>
      <c r="F93" t="s">
        <v>39</v>
      </c>
      <c r="G93" t="s">
        <v>24</v>
      </c>
      <c r="H93" t="s">
        <v>26</v>
      </c>
      <c r="I93" t="s">
        <v>26</v>
      </c>
      <c r="J93" t="s">
        <v>25</v>
      </c>
      <c r="K93">
        <v>466</v>
      </c>
      <c r="L93">
        <v>5</v>
      </c>
      <c r="M93">
        <v>4</v>
      </c>
      <c r="N93">
        <v>9</v>
      </c>
      <c r="O93">
        <v>184</v>
      </c>
      <c r="P93">
        <v>166</v>
      </c>
      <c r="Q93">
        <v>159</v>
      </c>
      <c r="R93">
        <v>131</v>
      </c>
      <c r="S93">
        <v>103</v>
      </c>
      <c r="T93">
        <v>55</v>
      </c>
      <c r="U93">
        <v>14</v>
      </c>
      <c r="V93">
        <v>459</v>
      </c>
    </row>
    <row r="94" spans="1:22" x14ac:dyDescent="0.25">
      <c r="A94">
        <v>2025</v>
      </c>
      <c r="B94">
        <v>7</v>
      </c>
      <c r="C94" t="s">
        <v>53</v>
      </c>
      <c r="D94" t="s">
        <v>22</v>
      </c>
      <c r="E94" t="s">
        <v>149</v>
      </c>
      <c r="F94" t="s">
        <v>23</v>
      </c>
      <c r="G94" t="s">
        <v>24</v>
      </c>
      <c r="H94" t="s">
        <v>25</v>
      </c>
      <c r="I94" t="s">
        <v>26</v>
      </c>
      <c r="J94" t="s">
        <v>25</v>
      </c>
      <c r="K94">
        <v>62</v>
      </c>
      <c r="L94">
        <v>0</v>
      </c>
      <c r="M94">
        <v>0</v>
      </c>
      <c r="N94">
        <v>0</v>
      </c>
      <c r="O94">
        <v>24</v>
      </c>
      <c r="P94">
        <v>20</v>
      </c>
      <c r="Q94">
        <v>20</v>
      </c>
      <c r="R94">
        <v>20</v>
      </c>
      <c r="S94">
        <v>16</v>
      </c>
      <c r="T94">
        <v>11</v>
      </c>
      <c r="U94">
        <v>6</v>
      </c>
      <c r="V94">
        <v>62</v>
      </c>
    </row>
    <row r="95" spans="1:22" x14ac:dyDescent="0.25">
      <c r="A95">
        <v>2025</v>
      </c>
      <c r="B95">
        <v>7</v>
      </c>
      <c r="C95" t="s">
        <v>53</v>
      </c>
      <c r="D95" t="s">
        <v>22</v>
      </c>
      <c r="E95" t="s">
        <v>53</v>
      </c>
      <c r="F95" t="s">
        <v>55</v>
      </c>
      <c r="G95" t="s">
        <v>28</v>
      </c>
      <c r="H95" t="s">
        <v>25</v>
      </c>
      <c r="I95" t="s">
        <v>26</v>
      </c>
      <c r="J95" t="s">
        <v>25</v>
      </c>
      <c r="K95">
        <v>13</v>
      </c>
      <c r="L95">
        <v>0</v>
      </c>
      <c r="M95">
        <v>2</v>
      </c>
      <c r="N95">
        <v>2</v>
      </c>
      <c r="O95">
        <v>1</v>
      </c>
      <c r="P95">
        <v>1</v>
      </c>
      <c r="Q95">
        <v>0</v>
      </c>
      <c r="R95">
        <v>0</v>
      </c>
      <c r="S95">
        <v>0</v>
      </c>
      <c r="T95">
        <v>0</v>
      </c>
      <c r="U95">
        <v>0</v>
      </c>
      <c r="V95">
        <v>11</v>
      </c>
    </row>
    <row r="96" spans="1:22" x14ac:dyDescent="0.25">
      <c r="A96">
        <v>2025</v>
      </c>
      <c r="B96">
        <v>7</v>
      </c>
      <c r="C96" t="s">
        <v>53</v>
      </c>
      <c r="D96" t="s">
        <v>22</v>
      </c>
      <c r="E96" t="s">
        <v>53</v>
      </c>
      <c r="F96" t="s">
        <v>23</v>
      </c>
      <c r="G96" t="s">
        <v>28</v>
      </c>
      <c r="H96" t="s">
        <v>25</v>
      </c>
      <c r="I96" t="s">
        <v>26</v>
      </c>
      <c r="J96" t="s">
        <v>25</v>
      </c>
      <c r="K96">
        <v>36144</v>
      </c>
      <c r="L96">
        <v>0</v>
      </c>
      <c r="M96">
        <v>3385</v>
      </c>
      <c r="N96">
        <v>3385</v>
      </c>
      <c r="O96">
        <v>3792</v>
      </c>
      <c r="P96">
        <v>2245</v>
      </c>
      <c r="Q96">
        <v>1773</v>
      </c>
      <c r="R96">
        <v>916</v>
      </c>
      <c r="S96">
        <v>435</v>
      </c>
      <c r="T96">
        <v>67</v>
      </c>
      <c r="U96">
        <v>2</v>
      </c>
      <c r="V96">
        <v>33540</v>
      </c>
    </row>
    <row r="97" spans="1:22" x14ac:dyDescent="0.25">
      <c r="A97">
        <v>2025</v>
      </c>
      <c r="B97">
        <v>7</v>
      </c>
      <c r="C97" t="s">
        <v>53</v>
      </c>
      <c r="D97" t="s">
        <v>22</v>
      </c>
      <c r="E97" t="s">
        <v>53</v>
      </c>
      <c r="F97" t="s">
        <v>56</v>
      </c>
      <c r="G97" t="s">
        <v>28</v>
      </c>
      <c r="H97" t="s">
        <v>25</v>
      </c>
      <c r="I97" t="s">
        <v>26</v>
      </c>
      <c r="J97" t="s">
        <v>25</v>
      </c>
      <c r="K97">
        <v>3601</v>
      </c>
      <c r="L97">
        <v>0</v>
      </c>
      <c r="M97">
        <v>716</v>
      </c>
      <c r="N97">
        <v>716</v>
      </c>
      <c r="O97">
        <v>451</v>
      </c>
      <c r="P97">
        <v>289</v>
      </c>
      <c r="Q97">
        <v>251</v>
      </c>
      <c r="R97">
        <v>160</v>
      </c>
      <c r="S97">
        <v>86</v>
      </c>
      <c r="T97">
        <v>8</v>
      </c>
      <c r="U97">
        <v>0</v>
      </c>
      <c r="V97">
        <v>3132</v>
      </c>
    </row>
    <row r="98" spans="1:22" x14ac:dyDescent="0.25">
      <c r="A98">
        <v>2025</v>
      </c>
      <c r="B98">
        <v>7</v>
      </c>
      <c r="C98" t="s">
        <v>53</v>
      </c>
      <c r="D98" t="s">
        <v>22</v>
      </c>
      <c r="E98" t="s">
        <v>53</v>
      </c>
      <c r="F98" t="s">
        <v>57</v>
      </c>
      <c r="G98" t="s">
        <v>28</v>
      </c>
      <c r="H98" t="s">
        <v>25</v>
      </c>
      <c r="I98" t="s">
        <v>26</v>
      </c>
      <c r="J98" t="s">
        <v>26</v>
      </c>
      <c r="K98">
        <v>15</v>
      </c>
      <c r="L98">
        <v>0</v>
      </c>
      <c r="M98">
        <v>2</v>
      </c>
      <c r="N98">
        <v>2</v>
      </c>
      <c r="O98">
        <v>6</v>
      </c>
      <c r="P98">
        <v>2</v>
      </c>
      <c r="Q98">
        <v>1</v>
      </c>
      <c r="R98">
        <v>0</v>
      </c>
      <c r="S98">
        <v>0</v>
      </c>
      <c r="T98">
        <v>0</v>
      </c>
      <c r="U98">
        <v>0</v>
      </c>
      <c r="V98">
        <v>14</v>
      </c>
    </row>
    <row r="99" spans="1:22" x14ac:dyDescent="0.25">
      <c r="A99">
        <v>2025</v>
      </c>
      <c r="B99">
        <v>7</v>
      </c>
      <c r="C99" t="s">
        <v>53</v>
      </c>
      <c r="D99" t="s">
        <v>22</v>
      </c>
      <c r="E99" t="s">
        <v>53</v>
      </c>
      <c r="F99" t="s">
        <v>58</v>
      </c>
      <c r="G99" t="s">
        <v>28</v>
      </c>
      <c r="H99" t="s">
        <v>25</v>
      </c>
      <c r="I99" t="s">
        <v>25</v>
      </c>
      <c r="J99" t="s">
        <v>25</v>
      </c>
      <c r="K99">
        <v>3732</v>
      </c>
      <c r="L99">
        <v>0</v>
      </c>
      <c r="M99">
        <v>94</v>
      </c>
      <c r="N99">
        <v>94</v>
      </c>
      <c r="O99">
        <v>269</v>
      </c>
      <c r="P99">
        <v>114</v>
      </c>
      <c r="Q99">
        <v>84</v>
      </c>
      <c r="R99">
        <v>30</v>
      </c>
      <c r="S99">
        <v>13</v>
      </c>
      <c r="T99">
        <v>1</v>
      </c>
      <c r="U99">
        <v>0</v>
      </c>
      <c r="V99">
        <v>3660</v>
      </c>
    </row>
    <row r="100" spans="1:22" x14ac:dyDescent="0.25">
      <c r="A100">
        <v>2025</v>
      </c>
      <c r="B100">
        <v>7</v>
      </c>
      <c r="C100" t="s">
        <v>53</v>
      </c>
      <c r="D100" t="s">
        <v>22</v>
      </c>
      <c r="E100" t="s">
        <v>53</v>
      </c>
      <c r="F100" t="s">
        <v>59</v>
      </c>
      <c r="G100" t="s">
        <v>28</v>
      </c>
      <c r="H100" t="s">
        <v>25</v>
      </c>
      <c r="I100" t="s">
        <v>25</v>
      </c>
      <c r="J100" t="s">
        <v>25</v>
      </c>
      <c r="K100">
        <v>78112</v>
      </c>
      <c r="L100">
        <v>0</v>
      </c>
      <c r="M100">
        <v>3262</v>
      </c>
      <c r="N100">
        <v>3262</v>
      </c>
      <c r="O100">
        <v>4510</v>
      </c>
      <c r="P100">
        <v>2075</v>
      </c>
      <c r="Q100">
        <v>1501</v>
      </c>
      <c r="R100">
        <v>584</v>
      </c>
      <c r="S100">
        <v>228</v>
      </c>
      <c r="T100">
        <v>36</v>
      </c>
      <c r="U100">
        <v>2</v>
      </c>
      <c r="V100">
        <v>75593</v>
      </c>
    </row>
    <row r="101" spans="1:22" x14ac:dyDescent="0.25">
      <c r="A101">
        <v>2025</v>
      </c>
      <c r="B101">
        <v>7</v>
      </c>
      <c r="C101" t="s">
        <v>53</v>
      </c>
      <c r="D101" t="s">
        <v>22</v>
      </c>
      <c r="E101" t="s">
        <v>53</v>
      </c>
      <c r="F101" t="s">
        <v>60</v>
      </c>
      <c r="G101" t="s">
        <v>28</v>
      </c>
      <c r="H101" t="s">
        <v>25</v>
      </c>
      <c r="I101" t="s">
        <v>25</v>
      </c>
      <c r="J101" t="s">
        <v>25</v>
      </c>
      <c r="K101">
        <v>36189</v>
      </c>
      <c r="L101">
        <v>0</v>
      </c>
      <c r="M101">
        <v>1186</v>
      </c>
      <c r="N101">
        <v>1186</v>
      </c>
      <c r="O101">
        <v>1788</v>
      </c>
      <c r="P101">
        <v>739</v>
      </c>
      <c r="Q101">
        <v>524</v>
      </c>
      <c r="R101">
        <v>184</v>
      </c>
      <c r="S101">
        <v>74</v>
      </c>
      <c r="T101">
        <v>10</v>
      </c>
      <c r="U101">
        <v>0</v>
      </c>
      <c r="V101">
        <v>35245</v>
      </c>
    </row>
    <row r="102" spans="1:22" x14ac:dyDescent="0.25">
      <c r="A102">
        <v>2025</v>
      </c>
      <c r="B102">
        <v>7</v>
      </c>
      <c r="C102" t="s">
        <v>53</v>
      </c>
      <c r="D102" t="s">
        <v>22</v>
      </c>
      <c r="E102" t="s">
        <v>158</v>
      </c>
      <c r="F102" t="s">
        <v>54</v>
      </c>
      <c r="G102" t="s">
        <v>24</v>
      </c>
      <c r="H102" t="s">
        <v>25</v>
      </c>
      <c r="I102" t="s">
        <v>26</v>
      </c>
      <c r="J102" t="s">
        <v>25</v>
      </c>
      <c r="K102">
        <v>846</v>
      </c>
      <c r="L102">
        <v>13</v>
      </c>
      <c r="M102">
        <v>2</v>
      </c>
      <c r="N102">
        <v>15</v>
      </c>
      <c r="O102">
        <v>45</v>
      </c>
      <c r="P102">
        <v>30</v>
      </c>
      <c r="Q102">
        <v>25</v>
      </c>
      <c r="R102">
        <v>16</v>
      </c>
      <c r="S102">
        <v>12</v>
      </c>
      <c r="T102">
        <v>3</v>
      </c>
      <c r="U102">
        <v>0</v>
      </c>
      <c r="V102">
        <v>833</v>
      </c>
    </row>
    <row r="103" spans="1:22" x14ac:dyDescent="0.25">
      <c r="A103">
        <v>2025</v>
      </c>
      <c r="B103">
        <v>7</v>
      </c>
      <c r="C103" t="s">
        <v>53</v>
      </c>
      <c r="D103" t="s">
        <v>22</v>
      </c>
      <c r="E103" t="s">
        <v>61</v>
      </c>
      <c r="F103" t="s">
        <v>35</v>
      </c>
      <c r="G103" t="s">
        <v>24</v>
      </c>
      <c r="H103" t="s">
        <v>25</v>
      </c>
      <c r="I103" t="s">
        <v>26</v>
      </c>
      <c r="J103" t="s">
        <v>26</v>
      </c>
      <c r="K103">
        <v>186</v>
      </c>
      <c r="L103">
        <v>6</v>
      </c>
      <c r="M103">
        <v>0</v>
      </c>
      <c r="N103">
        <v>6</v>
      </c>
      <c r="O103">
        <v>116</v>
      </c>
      <c r="P103">
        <v>102</v>
      </c>
      <c r="Q103">
        <v>93</v>
      </c>
      <c r="R103">
        <v>85</v>
      </c>
      <c r="S103">
        <v>73</v>
      </c>
      <c r="T103">
        <v>60</v>
      </c>
      <c r="U103">
        <v>29</v>
      </c>
      <c r="V103">
        <v>180</v>
      </c>
    </row>
    <row r="104" spans="1:22" x14ac:dyDescent="0.25">
      <c r="A104">
        <v>2025</v>
      </c>
      <c r="B104">
        <v>8</v>
      </c>
      <c r="C104" t="s">
        <v>53</v>
      </c>
      <c r="D104" t="s">
        <v>22</v>
      </c>
      <c r="E104" t="s">
        <v>37</v>
      </c>
      <c r="F104" t="s">
        <v>23</v>
      </c>
      <c r="G104" t="s">
        <v>24</v>
      </c>
      <c r="H104" t="s">
        <v>25</v>
      </c>
      <c r="I104" t="s">
        <v>26</v>
      </c>
      <c r="J104" t="s">
        <v>25</v>
      </c>
      <c r="K104">
        <v>427</v>
      </c>
      <c r="L104">
        <v>11</v>
      </c>
      <c r="M104">
        <v>5</v>
      </c>
      <c r="N104">
        <v>16</v>
      </c>
      <c r="O104">
        <v>165</v>
      </c>
      <c r="P104">
        <v>146</v>
      </c>
      <c r="Q104">
        <v>144</v>
      </c>
      <c r="R104">
        <v>134</v>
      </c>
      <c r="S104">
        <v>97</v>
      </c>
      <c r="T104">
        <v>41</v>
      </c>
      <c r="U104">
        <v>13</v>
      </c>
      <c r="V104">
        <v>412</v>
      </c>
    </row>
    <row r="105" spans="1:22" x14ac:dyDescent="0.25">
      <c r="A105">
        <v>2025</v>
      </c>
      <c r="B105">
        <v>8</v>
      </c>
      <c r="C105" t="s">
        <v>53</v>
      </c>
      <c r="D105" t="s">
        <v>22</v>
      </c>
      <c r="E105" t="s">
        <v>143</v>
      </c>
      <c r="F105" t="s">
        <v>39</v>
      </c>
      <c r="G105" t="s">
        <v>24</v>
      </c>
      <c r="H105" t="s">
        <v>26</v>
      </c>
      <c r="I105" t="s">
        <v>26</v>
      </c>
      <c r="J105" t="s">
        <v>25</v>
      </c>
      <c r="K105">
        <v>464</v>
      </c>
      <c r="L105">
        <v>1</v>
      </c>
      <c r="M105">
        <v>3</v>
      </c>
      <c r="N105">
        <v>4</v>
      </c>
      <c r="O105">
        <v>179</v>
      </c>
      <c r="P105">
        <v>155</v>
      </c>
      <c r="Q105">
        <v>150</v>
      </c>
      <c r="R105">
        <v>114</v>
      </c>
      <c r="S105">
        <v>88</v>
      </c>
      <c r="T105">
        <v>28</v>
      </c>
      <c r="U105">
        <v>10</v>
      </c>
      <c r="V105">
        <v>462</v>
      </c>
    </row>
    <row r="106" spans="1:22" x14ac:dyDescent="0.25">
      <c r="A106">
        <v>2025</v>
      </c>
      <c r="B106">
        <v>8</v>
      </c>
      <c r="C106" t="s">
        <v>53</v>
      </c>
      <c r="D106" t="s">
        <v>22</v>
      </c>
      <c r="E106" t="s">
        <v>149</v>
      </c>
      <c r="F106" t="s">
        <v>23</v>
      </c>
      <c r="G106" t="s">
        <v>24</v>
      </c>
      <c r="H106" t="s">
        <v>25</v>
      </c>
      <c r="I106" t="s">
        <v>26</v>
      </c>
      <c r="J106" t="s">
        <v>25</v>
      </c>
      <c r="K106">
        <v>62</v>
      </c>
      <c r="L106">
        <v>3</v>
      </c>
      <c r="M106">
        <v>2</v>
      </c>
      <c r="N106">
        <v>5</v>
      </c>
      <c r="O106">
        <v>19</v>
      </c>
      <c r="P106">
        <v>18</v>
      </c>
      <c r="Q106">
        <v>17</v>
      </c>
      <c r="R106">
        <v>14</v>
      </c>
      <c r="S106">
        <v>9</v>
      </c>
      <c r="T106">
        <v>8</v>
      </c>
      <c r="U106">
        <v>4</v>
      </c>
      <c r="V106">
        <v>59</v>
      </c>
    </row>
    <row r="107" spans="1:22" x14ac:dyDescent="0.25">
      <c r="A107">
        <v>2025</v>
      </c>
      <c r="B107">
        <v>8</v>
      </c>
      <c r="C107" t="s">
        <v>53</v>
      </c>
      <c r="D107" t="s">
        <v>22</v>
      </c>
      <c r="E107" t="s">
        <v>53</v>
      </c>
      <c r="F107" t="s">
        <v>23</v>
      </c>
      <c r="G107" t="s">
        <v>28</v>
      </c>
      <c r="H107" t="s">
        <v>25</v>
      </c>
      <c r="I107" t="s">
        <v>26</v>
      </c>
      <c r="J107" t="s">
        <v>25</v>
      </c>
      <c r="K107">
        <v>37280</v>
      </c>
      <c r="L107">
        <v>0</v>
      </c>
      <c r="M107">
        <v>3360</v>
      </c>
      <c r="N107">
        <v>3360</v>
      </c>
      <c r="O107">
        <v>3845</v>
      </c>
      <c r="P107">
        <v>2234</v>
      </c>
      <c r="Q107">
        <v>1805</v>
      </c>
      <c r="R107">
        <v>892</v>
      </c>
      <c r="S107">
        <v>371</v>
      </c>
      <c r="T107">
        <v>39</v>
      </c>
      <c r="U107">
        <v>2</v>
      </c>
      <c r="V107">
        <v>34632</v>
      </c>
    </row>
    <row r="108" spans="1:22" x14ac:dyDescent="0.25">
      <c r="A108">
        <v>2025</v>
      </c>
      <c r="B108">
        <v>8</v>
      </c>
      <c r="C108" t="s">
        <v>53</v>
      </c>
      <c r="D108" t="s">
        <v>22</v>
      </c>
      <c r="E108" t="s">
        <v>53</v>
      </c>
      <c r="F108" t="s">
        <v>56</v>
      </c>
      <c r="G108" t="s">
        <v>28</v>
      </c>
      <c r="H108" t="s">
        <v>25</v>
      </c>
      <c r="I108" t="s">
        <v>26</v>
      </c>
      <c r="J108" t="s">
        <v>25</v>
      </c>
      <c r="K108">
        <v>3373</v>
      </c>
      <c r="L108">
        <v>0</v>
      </c>
      <c r="M108">
        <v>375</v>
      </c>
      <c r="N108">
        <v>375</v>
      </c>
      <c r="O108">
        <v>425</v>
      </c>
      <c r="P108">
        <v>255</v>
      </c>
      <c r="Q108">
        <v>219</v>
      </c>
      <c r="R108">
        <v>113</v>
      </c>
      <c r="S108">
        <v>42</v>
      </c>
      <c r="T108">
        <v>7</v>
      </c>
      <c r="U108">
        <v>0</v>
      </c>
      <c r="V108">
        <v>3109</v>
      </c>
    </row>
    <row r="109" spans="1:22" x14ac:dyDescent="0.25">
      <c r="A109">
        <v>2025</v>
      </c>
      <c r="B109">
        <v>8</v>
      </c>
      <c r="C109" t="s">
        <v>53</v>
      </c>
      <c r="D109" t="s">
        <v>22</v>
      </c>
      <c r="E109" t="s">
        <v>53</v>
      </c>
      <c r="F109" t="s">
        <v>57</v>
      </c>
      <c r="G109" t="s">
        <v>28</v>
      </c>
      <c r="H109" t="s">
        <v>25</v>
      </c>
      <c r="I109" t="s">
        <v>26</v>
      </c>
      <c r="J109" t="s">
        <v>26</v>
      </c>
      <c r="K109">
        <v>18</v>
      </c>
      <c r="L109">
        <v>0</v>
      </c>
      <c r="M109">
        <v>1</v>
      </c>
      <c r="N109">
        <v>1</v>
      </c>
      <c r="O109">
        <v>5</v>
      </c>
      <c r="P109">
        <v>5</v>
      </c>
      <c r="Q109">
        <v>5</v>
      </c>
      <c r="R109">
        <v>3</v>
      </c>
      <c r="S109">
        <v>2</v>
      </c>
      <c r="T109">
        <v>0</v>
      </c>
      <c r="U109">
        <v>0</v>
      </c>
      <c r="V109">
        <v>17</v>
      </c>
    </row>
    <row r="110" spans="1:22" x14ac:dyDescent="0.25">
      <c r="A110">
        <v>2025</v>
      </c>
      <c r="B110">
        <v>8</v>
      </c>
      <c r="C110" t="s">
        <v>53</v>
      </c>
      <c r="D110" t="s">
        <v>22</v>
      </c>
      <c r="E110" t="s">
        <v>53</v>
      </c>
      <c r="F110" t="s">
        <v>58</v>
      </c>
      <c r="G110" t="s">
        <v>28</v>
      </c>
      <c r="H110" t="s">
        <v>25</v>
      </c>
      <c r="I110" t="s">
        <v>25</v>
      </c>
      <c r="J110" t="s">
        <v>25</v>
      </c>
      <c r="K110">
        <v>3628</v>
      </c>
      <c r="L110">
        <v>0</v>
      </c>
      <c r="M110">
        <v>211</v>
      </c>
      <c r="N110">
        <v>211</v>
      </c>
      <c r="O110">
        <v>224</v>
      </c>
      <c r="P110">
        <v>101</v>
      </c>
      <c r="Q110">
        <v>78</v>
      </c>
      <c r="R110">
        <v>31</v>
      </c>
      <c r="S110">
        <v>10</v>
      </c>
      <c r="T110">
        <v>0</v>
      </c>
      <c r="U110">
        <v>0</v>
      </c>
      <c r="V110">
        <v>3475</v>
      </c>
    </row>
    <row r="111" spans="1:22" x14ac:dyDescent="0.25">
      <c r="A111">
        <v>2025</v>
      </c>
      <c r="B111">
        <v>8</v>
      </c>
      <c r="C111" t="s">
        <v>53</v>
      </c>
      <c r="D111" t="s">
        <v>22</v>
      </c>
      <c r="E111" t="s">
        <v>53</v>
      </c>
      <c r="F111" t="s">
        <v>59</v>
      </c>
      <c r="G111" t="s">
        <v>28</v>
      </c>
      <c r="H111" t="s">
        <v>25</v>
      </c>
      <c r="I111" t="s">
        <v>25</v>
      </c>
      <c r="J111" t="s">
        <v>25</v>
      </c>
      <c r="K111">
        <v>77195</v>
      </c>
      <c r="L111">
        <v>12</v>
      </c>
      <c r="M111">
        <v>4050</v>
      </c>
      <c r="N111">
        <v>4062</v>
      </c>
      <c r="O111">
        <v>4913</v>
      </c>
      <c r="P111">
        <v>2302</v>
      </c>
      <c r="Q111">
        <v>1705</v>
      </c>
      <c r="R111">
        <v>672</v>
      </c>
      <c r="S111">
        <v>242</v>
      </c>
      <c r="T111">
        <v>24</v>
      </c>
      <c r="U111">
        <v>2</v>
      </c>
      <c r="V111">
        <v>74169</v>
      </c>
    </row>
    <row r="112" spans="1:22" x14ac:dyDescent="0.25">
      <c r="A112">
        <v>2025</v>
      </c>
      <c r="B112">
        <v>8</v>
      </c>
      <c r="C112" t="s">
        <v>53</v>
      </c>
      <c r="D112" t="s">
        <v>22</v>
      </c>
      <c r="E112" t="s">
        <v>53</v>
      </c>
      <c r="F112" t="s">
        <v>59</v>
      </c>
      <c r="G112" t="s">
        <v>29</v>
      </c>
      <c r="H112" t="s">
        <v>25</v>
      </c>
      <c r="I112" t="s">
        <v>25</v>
      </c>
      <c r="J112" t="s">
        <v>25</v>
      </c>
      <c r="K112">
        <v>1</v>
      </c>
      <c r="L112">
        <v>1</v>
      </c>
      <c r="M112">
        <v>0</v>
      </c>
      <c r="N112">
        <v>1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</row>
    <row r="113" spans="1:22" x14ac:dyDescent="0.25">
      <c r="A113">
        <v>2025</v>
      </c>
      <c r="B113">
        <v>8</v>
      </c>
      <c r="C113" t="s">
        <v>53</v>
      </c>
      <c r="D113" t="s">
        <v>22</v>
      </c>
      <c r="E113" t="s">
        <v>53</v>
      </c>
      <c r="F113" t="s">
        <v>60</v>
      </c>
      <c r="G113" t="s">
        <v>28</v>
      </c>
      <c r="H113" t="s">
        <v>25</v>
      </c>
      <c r="I113" t="s">
        <v>25</v>
      </c>
      <c r="J113" t="s">
        <v>25</v>
      </c>
      <c r="K113">
        <v>35589</v>
      </c>
      <c r="L113">
        <v>0</v>
      </c>
      <c r="M113">
        <v>899</v>
      </c>
      <c r="N113">
        <v>899</v>
      </c>
      <c r="O113">
        <v>1374</v>
      </c>
      <c r="P113">
        <v>550</v>
      </c>
      <c r="Q113">
        <v>375</v>
      </c>
      <c r="R113">
        <v>163</v>
      </c>
      <c r="S113">
        <v>57</v>
      </c>
      <c r="T113">
        <v>8</v>
      </c>
      <c r="U113">
        <v>0</v>
      </c>
      <c r="V113">
        <v>34896</v>
      </c>
    </row>
    <row r="114" spans="1:22" x14ac:dyDescent="0.25">
      <c r="A114">
        <v>2025</v>
      </c>
      <c r="B114">
        <v>8</v>
      </c>
      <c r="C114" t="s">
        <v>53</v>
      </c>
      <c r="D114" t="s">
        <v>22</v>
      </c>
      <c r="E114" t="s">
        <v>158</v>
      </c>
      <c r="F114" t="s">
        <v>54</v>
      </c>
      <c r="G114" t="s">
        <v>24</v>
      </c>
      <c r="H114" t="s">
        <v>25</v>
      </c>
      <c r="I114" t="s">
        <v>26</v>
      </c>
      <c r="J114" t="s">
        <v>25</v>
      </c>
      <c r="K114">
        <v>852</v>
      </c>
      <c r="L114">
        <v>16</v>
      </c>
      <c r="M114">
        <v>0</v>
      </c>
      <c r="N114">
        <v>16</v>
      </c>
      <c r="O114">
        <v>2</v>
      </c>
      <c r="P114">
        <v>2</v>
      </c>
      <c r="Q114">
        <v>2</v>
      </c>
      <c r="R114">
        <v>2</v>
      </c>
      <c r="S114">
        <v>2</v>
      </c>
      <c r="T114">
        <v>1</v>
      </c>
      <c r="U114">
        <v>1</v>
      </c>
      <c r="V114">
        <v>836</v>
      </c>
    </row>
    <row r="115" spans="1:22" x14ac:dyDescent="0.25">
      <c r="A115">
        <v>2025</v>
      </c>
      <c r="B115">
        <v>8</v>
      </c>
      <c r="C115" t="s">
        <v>53</v>
      </c>
      <c r="D115" t="s">
        <v>22</v>
      </c>
      <c r="E115" t="s">
        <v>61</v>
      </c>
      <c r="F115" t="s">
        <v>35</v>
      </c>
      <c r="G115" t="s">
        <v>24</v>
      </c>
      <c r="H115" t="s">
        <v>25</v>
      </c>
      <c r="I115" t="s">
        <v>26</v>
      </c>
      <c r="J115" t="s">
        <v>26</v>
      </c>
      <c r="K115">
        <v>186</v>
      </c>
      <c r="L115">
        <v>3</v>
      </c>
      <c r="M115">
        <v>3</v>
      </c>
      <c r="N115">
        <v>6</v>
      </c>
      <c r="O115">
        <v>115</v>
      </c>
      <c r="P115">
        <v>98</v>
      </c>
      <c r="Q115">
        <v>93</v>
      </c>
      <c r="R115">
        <v>77</v>
      </c>
      <c r="S115">
        <v>68</v>
      </c>
      <c r="T115">
        <v>48</v>
      </c>
      <c r="U115">
        <v>19</v>
      </c>
      <c r="V115">
        <v>182</v>
      </c>
    </row>
    <row r="116" spans="1:22" x14ac:dyDescent="0.25">
      <c r="A116">
        <v>2025</v>
      </c>
      <c r="B116">
        <v>9</v>
      </c>
      <c r="C116" t="s">
        <v>53</v>
      </c>
      <c r="D116" t="s">
        <v>22</v>
      </c>
      <c r="E116" t="s">
        <v>37</v>
      </c>
      <c r="F116" t="s">
        <v>23</v>
      </c>
      <c r="G116" t="s">
        <v>24</v>
      </c>
      <c r="H116" t="s">
        <v>25</v>
      </c>
      <c r="I116" t="s">
        <v>26</v>
      </c>
      <c r="J116" t="s">
        <v>25</v>
      </c>
      <c r="K116">
        <v>392</v>
      </c>
      <c r="L116">
        <v>39</v>
      </c>
      <c r="M116">
        <v>10</v>
      </c>
      <c r="N116">
        <v>49</v>
      </c>
      <c r="O116">
        <v>197</v>
      </c>
      <c r="P116">
        <v>182</v>
      </c>
      <c r="Q116">
        <v>180</v>
      </c>
      <c r="R116">
        <v>168</v>
      </c>
      <c r="S116">
        <v>143</v>
      </c>
      <c r="T116">
        <v>75</v>
      </c>
      <c r="U116">
        <v>23</v>
      </c>
      <c r="V116">
        <v>348</v>
      </c>
    </row>
    <row r="117" spans="1:22" x14ac:dyDescent="0.25">
      <c r="A117">
        <v>2025</v>
      </c>
      <c r="B117">
        <v>9</v>
      </c>
      <c r="C117" t="s">
        <v>53</v>
      </c>
      <c r="D117" t="s">
        <v>22</v>
      </c>
      <c r="E117" t="s">
        <v>143</v>
      </c>
      <c r="F117" t="s">
        <v>39</v>
      </c>
      <c r="G117" t="s">
        <v>24</v>
      </c>
      <c r="H117" t="s">
        <v>26</v>
      </c>
      <c r="I117" t="s">
        <v>26</v>
      </c>
      <c r="J117" t="s">
        <v>25</v>
      </c>
      <c r="K117">
        <v>447</v>
      </c>
      <c r="L117">
        <v>4</v>
      </c>
      <c r="M117">
        <v>108</v>
      </c>
      <c r="N117">
        <v>112</v>
      </c>
      <c r="O117">
        <v>216</v>
      </c>
      <c r="P117">
        <v>199</v>
      </c>
      <c r="Q117">
        <v>196</v>
      </c>
      <c r="R117">
        <v>178</v>
      </c>
      <c r="S117">
        <v>150</v>
      </c>
      <c r="T117">
        <v>56</v>
      </c>
      <c r="U117">
        <v>19</v>
      </c>
      <c r="V117">
        <v>411</v>
      </c>
    </row>
    <row r="118" spans="1:22" x14ac:dyDescent="0.25">
      <c r="A118">
        <v>2025</v>
      </c>
      <c r="B118">
        <v>9</v>
      </c>
      <c r="C118" t="s">
        <v>53</v>
      </c>
      <c r="D118" t="s">
        <v>22</v>
      </c>
      <c r="E118" t="s">
        <v>149</v>
      </c>
      <c r="F118" t="s">
        <v>23</v>
      </c>
      <c r="G118" t="s">
        <v>24</v>
      </c>
      <c r="H118" t="s">
        <v>25</v>
      </c>
      <c r="I118" t="s">
        <v>26</v>
      </c>
      <c r="J118" t="s">
        <v>25</v>
      </c>
      <c r="K118">
        <v>61</v>
      </c>
      <c r="L118">
        <v>1</v>
      </c>
      <c r="M118">
        <v>3</v>
      </c>
      <c r="N118">
        <v>4</v>
      </c>
      <c r="O118">
        <v>30</v>
      </c>
      <c r="P118">
        <v>27</v>
      </c>
      <c r="Q118">
        <v>26</v>
      </c>
      <c r="R118">
        <v>22</v>
      </c>
      <c r="S118">
        <v>21</v>
      </c>
      <c r="T118">
        <v>10</v>
      </c>
      <c r="U118">
        <v>7</v>
      </c>
      <c r="V118">
        <v>58</v>
      </c>
    </row>
    <row r="119" spans="1:22" x14ac:dyDescent="0.25">
      <c r="A119">
        <v>2025</v>
      </c>
      <c r="B119">
        <v>9</v>
      </c>
      <c r="C119" t="s">
        <v>53</v>
      </c>
      <c r="D119" t="s">
        <v>22</v>
      </c>
      <c r="E119" t="s">
        <v>53</v>
      </c>
      <c r="F119" t="s">
        <v>23</v>
      </c>
      <c r="G119" t="s">
        <v>28</v>
      </c>
      <c r="H119" t="s">
        <v>25</v>
      </c>
      <c r="I119" t="s">
        <v>26</v>
      </c>
      <c r="J119" t="s">
        <v>25</v>
      </c>
      <c r="K119">
        <v>36068</v>
      </c>
      <c r="L119">
        <v>0</v>
      </c>
      <c r="M119">
        <v>3274</v>
      </c>
      <c r="N119">
        <v>3274</v>
      </c>
      <c r="O119">
        <v>4301</v>
      </c>
      <c r="P119">
        <v>2407</v>
      </c>
      <c r="Q119">
        <v>1893</v>
      </c>
      <c r="R119">
        <v>911</v>
      </c>
      <c r="S119">
        <v>419</v>
      </c>
      <c r="T119">
        <v>49</v>
      </c>
      <c r="U119">
        <v>1</v>
      </c>
      <c r="V119">
        <v>33480</v>
      </c>
    </row>
    <row r="120" spans="1:22" x14ac:dyDescent="0.25">
      <c r="A120">
        <v>2025</v>
      </c>
      <c r="B120">
        <v>9</v>
      </c>
      <c r="C120" t="s">
        <v>53</v>
      </c>
      <c r="D120" t="s">
        <v>22</v>
      </c>
      <c r="E120" t="s">
        <v>53</v>
      </c>
      <c r="F120" t="s">
        <v>56</v>
      </c>
      <c r="G120" t="s">
        <v>28</v>
      </c>
      <c r="H120" t="s">
        <v>25</v>
      </c>
      <c r="I120" t="s">
        <v>26</v>
      </c>
      <c r="J120" t="s">
        <v>25</v>
      </c>
      <c r="K120">
        <v>3095</v>
      </c>
      <c r="L120">
        <v>0</v>
      </c>
      <c r="M120">
        <v>532</v>
      </c>
      <c r="N120">
        <v>532</v>
      </c>
      <c r="O120">
        <v>450</v>
      </c>
      <c r="P120">
        <v>281</v>
      </c>
      <c r="Q120">
        <v>249</v>
      </c>
      <c r="R120">
        <v>140</v>
      </c>
      <c r="S120">
        <v>58</v>
      </c>
      <c r="T120">
        <v>10</v>
      </c>
      <c r="U120">
        <v>3</v>
      </c>
      <c r="V120">
        <v>2742</v>
      </c>
    </row>
    <row r="121" spans="1:22" x14ac:dyDescent="0.25">
      <c r="A121">
        <v>2025</v>
      </c>
      <c r="B121">
        <v>9</v>
      </c>
      <c r="C121" t="s">
        <v>53</v>
      </c>
      <c r="D121" t="s">
        <v>22</v>
      </c>
      <c r="E121" t="s">
        <v>53</v>
      </c>
      <c r="F121" t="s">
        <v>57</v>
      </c>
      <c r="G121" t="s">
        <v>28</v>
      </c>
      <c r="H121" t="s">
        <v>25</v>
      </c>
      <c r="I121" t="s">
        <v>26</v>
      </c>
      <c r="J121" t="s">
        <v>26</v>
      </c>
      <c r="K121">
        <v>13</v>
      </c>
      <c r="L121">
        <v>0</v>
      </c>
      <c r="M121">
        <v>0</v>
      </c>
      <c r="N121">
        <v>0</v>
      </c>
      <c r="O121">
        <v>5</v>
      </c>
      <c r="P121">
        <v>4</v>
      </c>
      <c r="Q121">
        <v>4</v>
      </c>
      <c r="R121">
        <v>3</v>
      </c>
      <c r="S121">
        <v>2</v>
      </c>
      <c r="T121">
        <v>0</v>
      </c>
      <c r="U121">
        <v>0</v>
      </c>
      <c r="V121">
        <v>13</v>
      </c>
    </row>
    <row r="122" spans="1:22" x14ac:dyDescent="0.25">
      <c r="A122">
        <v>2025</v>
      </c>
      <c r="B122">
        <v>9</v>
      </c>
      <c r="C122" t="s">
        <v>53</v>
      </c>
      <c r="D122" t="s">
        <v>22</v>
      </c>
      <c r="E122" t="s">
        <v>53</v>
      </c>
      <c r="F122" t="s">
        <v>58</v>
      </c>
      <c r="G122" t="s">
        <v>28</v>
      </c>
      <c r="H122" t="s">
        <v>25</v>
      </c>
      <c r="I122" t="s">
        <v>25</v>
      </c>
      <c r="J122" t="s">
        <v>25</v>
      </c>
      <c r="K122">
        <v>4137</v>
      </c>
      <c r="L122">
        <v>0</v>
      </c>
      <c r="M122">
        <v>141</v>
      </c>
      <c r="N122">
        <v>141</v>
      </c>
      <c r="O122">
        <v>349</v>
      </c>
      <c r="P122">
        <v>139</v>
      </c>
      <c r="Q122">
        <v>97</v>
      </c>
      <c r="R122">
        <v>37</v>
      </c>
      <c r="S122">
        <v>8</v>
      </c>
      <c r="T122">
        <v>1</v>
      </c>
      <c r="U122">
        <v>0</v>
      </c>
      <c r="V122">
        <v>4039</v>
      </c>
    </row>
    <row r="123" spans="1:22" x14ac:dyDescent="0.25">
      <c r="A123">
        <v>2025</v>
      </c>
      <c r="B123">
        <v>9</v>
      </c>
      <c r="C123" t="s">
        <v>53</v>
      </c>
      <c r="D123" t="s">
        <v>22</v>
      </c>
      <c r="E123" t="s">
        <v>53</v>
      </c>
      <c r="F123" t="s">
        <v>59</v>
      </c>
      <c r="G123" t="s">
        <v>28</v>
      </c>
      <c r="H123" t="s">
        <v>25</v>
      </c>
      <c r="I123" t="s">
        <v>25</v>
      </c>
      <c r="J123" t="s">
        <v>25</v>
      </c>
      <c r="K123">
        <v>78163</v>
      </c>
      <c r="L123">
        <v>0</v>
      </c>
      <c r="M123">
        <v>3177</v>
      </c>
      <c r="N123">
        <v>3177</v>
      </c>
      <c r="O123">
        <v>5833</v>
      </c>
      <c r="P123">
        <v>2654</v>
      </c>
      <c r="Q123">
        <v>1951</v>
      </c>
      <c r="R123">
        <v>745</v>
      </c>
      <c r="S123">
        <v>289</v>
      </c>
      <c r="T123">
        <v>27</v>
      </c>
      <c r="U123">
        <v>1</v>
      </c>
      <c r="V123">
        <v>75830</v>
      </c>
    </row>
    <row r="124" spans="1:22" x14ac:dyDescent="0.25">
      <c r="A124">
        <v>2025</v>
      </c>
      <c r="B124">
        <v>9</v>
      </c>
      <c r="C124" t="s">
        <v>53</v>
      </c>
      <c r="D124" t="s">
        <v>22</v>
      </c>
      <c r="E124" t="s">
        <v>53</v>
      </c>
      <c r="F124" t="s">
        <v>59</v>
      </c>
      <c r="G124" t="s">
        <v>29</v>
      </c>
      <c r="H124" t="s">
        <v>25</v>
      </c>
      <c r="I124" t="s">
        <v>25</v>
      </c>
      <c r="J124" t="s">
        <v>25</v>
      </c>
      <c r="K124">
        <v>1</v>
      </c>
      <c r="L124">
        <v>1</v>
      </c>
      <c r="M124">
        <v>0</v>
      </c>
      <c r="N124">
        <v>1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</row>
    <row r="125" spans="1:22" x14ac:dyDescent="0.25">
      <c r="A125">
        <v>2025</v>
      </c>
      <c r="B125">
        <v>9</v>
      </c>
      <c r="C125" t="s">
        <v>53</v>
      </c>
      <c r="D125" t="s">
        <v>22</v>
      </c>
      <c r="E125" t="s">
        <v>53</v>
      </c>
      <c r="F125" t="s">
        <v>60</v>
      </c>
      <c r="G125" t="s">
        <v>28</v>
      </c>
      <c r="H125" t="s">
        <v>25</v>
      </c>
      <c r="I125" t="s">
        <v>25</v>
      </c>
      <c r="J125" t="s">
        <v>25</v>
      </c>
      <c r="K125">
        <v>37213</v>
      </c>
      <c r="L125">
        <v>0</v>
      </c>
      <c r="M125">
        <v>1218</v>
      </c>
      <c r="N125">
        <v>1218</v>
      </c>
      <c r="O125">
        <v>2900</v>
      </c>
      <c r="P125">
        <v>971</v>
      </c>
      <c r="Q125">
        <v>619</v>
      </c>
      <c r="R125">
        <v>213</v>
      </c>
      <c r="S125">
        <v>85</v>
      </c>
      <c r="T125">
        <v>8</v>
      </c>
      <c r="U125">
        <v>1</v>
      </c>
      <c r="V125">
        <v>36286</v>
      </c>
    </row>
    <row r="126" spans="1:22" x14ac:dyDescent="0.25">
      <c r="A126">
        <v>2025</v>
      </c>
      <c r="B126">
        <v>9</v>
      </c>
      <c r="C126" t="s">
        <v>53</v>
      </c>
      <c r="D126" t="s">
        <v>22</v>
      </c>
      <c r="E126" t="s">
        <v>158</v>
      </c>
      <c r="F126" t="s">
        <v>54</v>
      </c>
      <c r="G126" t="s">
        <v>24</v>
      </c>
      <c r="H126" t="s">
        <v>25</v>
      </c>
      <c r="I126" t="s">
        <v>26</v>
      </c>
      <c r="J126" t="s">
        <v>25</v>
      </c>
      <c r="K126">
        <v>804</v>
      </c>
      <c r="L126">
        <v>18</v>
      </c>
      <c r="M126">
        <v>1</v>
      </c>
      <c r="N126">
        <v>19</v>
      </c>
      <c r="O126">
        <v>52</v>
      </c>
      <c r="P126">
        <v>33</v>
      </c>
      <c r="Q126">
        <v>30</v>
      </c>
      <c r="R126">
        <v>16</v>
      </c>
      <c r="S126">
        <v>7</v>
      </c>
      <c r="T126">
        <v>3</v>
      </c>
      <c r="U126">
        <v>0</v>
      </c>
      <c r="V126">
        <v>786</v>
      </c>
    </row>
    <row r="127" spans="1:22" x14ac:dyDescent="0.25">
      <c r="A127">
        <v>2025</v>
      </c>
      <c r="B127">
        <v>9</v>
      </c>
      <c r="C127" t="s">
        <v>53</v>
      </c>
      <c r="D127" t="s">
        <v>22</v>
      </c>
      <c r="E127" t="s">
        <v>61</v>
      </c>
      <c r="F127" t="s">
        <v>35</v>
      </c>
      <c r="G127" t="s">
        <v>24</v>
      </c>
      <c r="H127" t="s">
        <v>25</v>
      </c>
      <c r="I127" t="s">
        <v>26</v>
      </c>
      <c r="J127" t="s">
        <v>26</v>
      </c>
      <c r="K127">
        <v>185</v>
      </c>
      <c r="L127">
        <v>2</v>
      </c>
      <c r="M127">
        <v>13</v>
      </c>
      <c r="N127">
        <v>15</v>
      </c>
      <c r="O127">
        <v>131</v>
      </c>
      <c r="P127">
        <v>109</v>
      </c>
      <c r="Q127">
        <v>104</v>
      </c>
      <c r="R127">
        <v>91</v>
      </c>
      <c r="S127">
        <v>86</v>
      </c>
      <c r="T127">
        <v>65</v>
      </c>
      <c r="U127">
        <v>51</v>
      </c>
      <c r="V127">
        <v>178</v>
      </c>
    </row>
    <row r="128" spans="1:22" x14ac:dyDescent="0.25">
      <c r="A128">
        <v>2025</v>
      </c>
      <c r="B128">
        <v>10</v>
      </c>
      <c r="C128" t="s">
        <v>53</v>
      </c>
      <c r="D128" t="s">
        <v>22</v>
      </c>
      <c r="E128" t="s">
        <v>37</v>
      </c>
      <c r="F128" t="s">
        <v>23</v>
      </c>
      <c r="G128" t="s">
        <v>24</v>
      </c>
      <c r="H128" t="s">
        <v>25</v>
      </c>
      <c r="I128" t="s">
        <v>26</v>
      </c>
      <c r="J128" t="s">
        <v>25</v>
      </c>
      <c r="K128">
        <v>450</v>
      </c>
      <c r="L128">
        <v>28</v>
      </c>
      <c r="M128">
        <v>7</v>
      </c>
      <c r="N128">
        <v>35</v>
      </c>
      <c r="O128">
        <v>213</v>
      </c>
      <c r="P128">
        <v>193</v>
      </c>
      <c r="Q128">
        <v>189</v>
      </c>
      <c r="R128">
        <v>181</v>
      </c>
      <c r="S128">
        <v>143</v>
      </c>
      <c r="T128">
        <v>72</v>
      </c>
      <c r="U128">
        <v>21</v>
      </c>
      <c r="V128">
        <v>420</v>
      </c>
    </row>
    <row r="129" spans="1:22" x14ac:dyDescent="0.25">
      <c r="A129">
        <v>2025</v>
      </c>
      <c r="B129">
        <v>10</v>
      </c>
      <c r="C129" t="s">
        <v>53</v>
      </c>
      <c r="D129" t="s">
        <v>22</v>
      </c>
      <c r="E129" t="s">
        <v>143</v>
      </c>
      <c r="F129" t="s">
        <v>39</v>
      </c>
      <c r="G129" t="s">
        <v>24</v>
      </c>
      <c r="H129" t="s">
        <v>26</v>
      </c>
      <c r="I129" t="s">
        <v>26</v>
      </c>
      <c r="J129" t="s">
        <v>25</v>
      </c>
      <c r="K129">
        <v>465</v>
      </c>
      <c r="L129">
        <v>1</v>
      </c>
      <c r="M129">
        <v>4</v>
      </c>
      <c r="N129">
        <v>5</v>
      </c>
      <c r="O129">
        <v>210</v>
      </c>
      <c r="P129">
        <v>191</v>
      </c>
      <c r="Q129">
        <v>182</v>
      </c>
      <c r="R129">
        <v>149</v>
      </c>
      <c r="S129">
        <v>113</v>
      </c>
      <c r="T129">
        <v>54</v>
      </c>
      <c r="U129">
        <v>23</v>
      </c>
      <c r="V129">
        <v>462</v>
      </c>
    </row>
    <row r="130" spans="1:22" x14ac:dyDescent="0.25">
      <c r="A130">
        <v>2025</v>
      </c>
      <c r="B130">
        <v>10</v>
      </c>
      <c r="C130" t="s">
        <v>53</v>
      </c>
      <c r="D130" t="s">
        <v>22</v>
      </c>
      <c r="E130" t="s">
        <v>149</v>
      </c>
      <c r="F130" t="s">
        <v>23</v>
      </c>
      <c r="G130" t="s">
        <v>24</v>
      </c>
      <c r="H130" t="s">
        <v>25</v>
      </c>
      <c r="I130" t="s">
        <v>26</v>
      </c>
      <c r="J130" t="s">
        <v>25</v>
      </c>
      <c r="K130">
        <v>39</v>
      </c>
      <c r="L130">
        <v>1</v>
      </c>
      <c r="M130">
        <v>0</v>
      </c>
      <c r="N130">
        <v>1</v>
      </c>
      <c r="O130">
        <v>12</v>
      </c>
      <c r="P130">
        <v>9</v>
      </c>
      <c r="Q130">
        <v>8</v>
      </c>
      <c r="R130">
        <v>7</v>
      </c>
      <c r="S130">
        <v>5</v>
      </c>
      <c r="T130">
        <v>5</v>
      </c>
      <c r="U130">
        <v>3</v>
      </c>
      <c r="V130">
        <v>38</v>
      </c>
    </row>
    <row r="131" spans="1:22" x14ac:dyDescent="0.25">
      <c r="A131">
        <v>2025</v>
      </c>
      <c r="B131">
        <v>10</v>
      </c>
      <c r="C131" t="s">
        <v>53</v>
      </c>
      <c r="D131" t="s">
        <v>22</v>
      </c>
      <c r="E131" t="s">
        <v>53</v>
      </c>
      <c r="F131" t="s">
        <v>23</v>
      </c>
      <c r="G131" t="s">
        <v>28</v>
      </c>
      <c r="H131" t="s">
        <v>25</v>
      </c>
      <c r="I131" t="s">
        <v>26</v>
      </c>
      <c r="J131" t="s">
        <v>25</v>
      </c>
      <c r="K131">
        <v>37890</v>
      </c>
      <c r="L131">
        <v>0</v>
      </c>
      <c r="M131">
        <v>4483</v>
      </c>
      <c r="N131">
        <v>4483</v>
      </c>
      <c r="O131">
        <v>5958</v>
      </c>
      <c r="P131">
        <v>3582</v>
      </c>
      <c r="Q131">
        <v>2832</v>
      </c>
      <c r="R131">
        <v>1506</v>
      </c>
      <c r="S131">
        <v>724</v>
      </c>
      <c r="T131">
        <v>110</v>
      </c>
      <c r="U131">
        <v>6</v>
      </c>
      <c r="V131">
        <v>34612</v>
      </c>
    </row>
    <row r="132" spans="1:22" x14ac:dyDescent="0.25">
      <c r="A132">
        <v>2025</v>
      </c>
      <c r="B132">
        <v>10</v>
      </c>
      <c r="C132" t="s">
        <v>53</v>
      </c>
      <c r="D132" t="s">
        <v>22</v>
      </c>
      <c r="E132" t="s">
        <v>53</v>
      </c>
      <c r="F132" t="s">
        <v>56</v>
      </c>
      <c r="G132" t="s">
        <v>28</v>
      </c>
      <c r="H132" t="s">
        <v>25</v>
      </c>
      <c r="I132" t="s">
        <v>26</v>
      </c>
      <c r="J132" t="s">
        <v>25</v>
      </c>
      <c r="K132">
        <v>3392</v>
      </c>
      <c r="L132">
        <v>0</v>
      </c>
      <c r="M132">
        <v>881</v>
      </c>
      <c r="N132">
        <v>881</v>
      </c>
      <c r="O132">
        <v>623</v>
      </c>
      <c r="P132">
        <v>396</v>
      </c>
      <c r="Q132">
        <v>327</v>
      </c>
      <c r="R132">
        <v>182</v>
      </c>
      <c r="S132">
        <v>70</v>
      </c>
      <c r="T132">
        <v>12</v>
      </c>
      <c r="U132">
        <v>0</v>
      </c>
      <c r="V132">
        <v>2760</v>
      </c>
    </row>
    <row r="133" spans="1:22" x14ac:dyDescent="0.25">
      <c r="A133">
        <v>2025</v>
      </c>
      <c r="B133">
        <v>10</v>
      </c>
      <c r="C133" t="s">
        <v>53</v>
      </c>
      <c r="D133" t="s">
        <v>22</v>
      </c>
      <c r="E133" t="s">
        <v>53</v>
      </c>
      <c r="F133" t="s">
        <v>57</v>
      </c>
      <c r="G133" t="s">
        <v>28</v>
      </c>
      <c r="H133" t="s">
        <v>25</v>
      </c>
      <c r="I133" t="s">
        <v>26</v>
      </c>
      <c r="J133" t="s">
        <v>26</v>
      </c>
      <c r="K133">
        <v>8</v>
      </c>
      <c r="L133">
        <v>0</v>
      </c>
      <c r="M133">
        <v>1</v>
      </c>
      <c r="N133">
        <v>1</v>
      </c>
      <c r="O133">
        <v>4</v>
      </c>
      <c r="P133">
        <v>2</v>
      </c>
      <c r="Q133">
        <v>2</v>
      </c>
      <c r="R133">
        <v>2</v>
      </c>
      <c r="S133">
        <v>2</v>
      </c>
      <c r="T133">
        <v>0</v>
      </c>
      <c r="U133">
        <v>0</v>
      </c>
      <c r="V133">
        <v>7</v>
      </c>
    </row>
    <row r="134" spans="1:22" x14ac:dyDescent="0.25">
      <c r="A134">
        <v>2025</v>
      </c>
      <c r="B134">
        <v>10</v>
      </c>
      <c r="C134" t="s">
        <v>53</v>
      </c>
      <c r="D134" t="s">
        <v>22</v>
      </c>
      <c r="E134" t="s">
        <v>53</v>
      </c>
      <c r="F134" t="s">
        <v>58</v>
      </c>
      <c r="G134" t="s">
        <v>28</v>
      </c>
      <c r="H134" t="s">
        <v>25</v>
      </c>
      <c r="I134" t="s">
        <v>25</v>
      </c>
      <c r="J134" t="s">
        <v>25</v>
      </c>
      <c r="K134">
        <v>3700</v>
      </c>
      <c r="L134">
        <v>0</v>
      </c>
      <c r="M134">
        <v>216</v>
      </c>
      <c r="N134">
        <v>216</v>
      </c>
      <c r="O134">
        <v>360</v>
      </c>
      <c r="P134">
        <v>135</v>
      </c>
      <c r="Q134">
        <v>107</v>
      </c>
      <c r="R134">
        <v>51</v>
      </c>
      <c r="S134">
        <v>20</v>
      </c>
      <c r="T134">
        <v>2</v>
      </c>
      <c r="U134">
        <v>0</v>
      </c>
      <c r="V134">
        <v>3544</v>
      </c>
    </row>
    <row r="135" spans="1:22" x14ac:dyDescent="0.25">
      <c r="A135">
        <v>2025</v>
      </c>
      <c r="B135">
        <v>10</v>
      </c>
      <c r="C135" t="s">
        <v>53</v>
      </c>
      <c r="D135" t="s">
        <v>22</v>
      </c>
      <c r="E135" t="s">
        <v>53</v>
      </c>
      <c r="F135" t="s">
        <v>59</v>
      </c>
      <c r="G135" t="s">
        <v>28</v>
      </c>
      <c r="H135" t="s">
        <v>25</v>
      </c>
      <c r="I135" t="s">
        <v>25</v>
      </c>
      <c r="J135" t="s">
        <v>25</v>
      </c>
      <c r="K135">
        <v>79895</v>
      </c>
      <c r="L135">
        <v>0</v>
      </c>
      <c r="M135">
        <v>4425</v>
      </c>
      <c r="N135">
        <v>4425</v>
      </c>
      <c r="O135">
        <v>7690</v>
      </c>
      <c r="P135">
        <v>3724</v>
      </c>
      <c r="Q135">
        <v>2767</v>
      </c>
      <c r="R135">
        <v>1085</v>
      </c>
      <c r="S135">
        <v>428</v>
      </c>
      <c r="T135">
        <v>61</v>
      </c>
      <c r="U135">
        <v>6</v>
      </c>
      <c r="V135">
        <v>76550</v>
      </c>
    </row>
    <row r="136" spans="1:22" x14ac:dyDescent="0.25">
      <c r="A136">
        <v>2025</v>
      </c>
      <c r="B136">
        <v>10</v>
      </c>
      <c r="C136" t="s">
        <v>53</v>
      </c>
      <c r="D136" t="s">
        <v>22</v>
      </c>
      <c r="E136" t="s">
        <v>53</v>
      </c>
      <c r="F136" t="s">
        <v>60</v>
      </c>
      <c r="G136" t="s">
        <v>28</v>
      </c>
      <c r="H136" t="s">
        <v>25</v>
      </c>
      <c r="I136" t="s">
        <v>25</v>
      </c>
      <c r="J136" t="s">
        <v>25</v>
      </c>
      <c r="K136">
        <v>38345</v>
      </c>
      <c r="L136">
        <v>0</v>
      </c>
      <c r="M136">
        <v>1199</v>
      </c>
      <c r="N136">
        <v>1199</v>
      </c>
      <c r="O136">
        <v>3607</v>
      </c>
      <c r="P136">
        <v>1320</v>
      </c>
      <c r="Q136">
        <v>814</v>
      </c>
      <c r="R136">
        <v>257</v>
      </c>
      <c r="S136">
        <v>93</v>
      </c>
      <c r="T136">
        <v>12</v>
      </c>
      <c r="U136">
        <v>1</v>
      </c>
      <c r="V136">
        <v>37451</v>
      </c>
    </row>
    <row r="137" spans="1:22" x14ac:dyDescent="0.25">
      <c r="A137">
        <v>2025</v>
      </c>
      <c r="B137">
        <v>10</v>
      </c>
      <c r="C137" t="s">
        <v>53</v>
      </c>
      <c r="D137" t="s">
        <v>22</v>
      </c>
      <c r="E137" t="s">
        <v>158</v>
      </c>
      <c r="F137" t="s">
        <v>54</v>
      </c>
      <c r="G137" t="s">
        <v>24</v>
      </c>
      <c r="H137" t="s">
        <v>25</v>
      </c>
      <c r="I137" t="s">
        <v>26</v>
      </c>
      <c r="J137" t="s">
        <v>25</v>
      </c>
      <c r="K137">
        <v>827</v>
      </c>
      <c r="L137">
        <v>10</v>
      </c>
      <c r="M137">
        <v>1</v>
      </c>
      <c r="N137">
        <v>11</v>
      </c>
      <c r="O137">
        <v>82</v>
      </c>
      <c r="P137">
        <v>45</v>
      </c>
      <c r="Q137">
        <v>37</v>
      </c>
      <c r="R137">
        <v>20</v>
      </c>
      <c r="S137">
        <v>10</v>
      </c>
      <c r="T137">
        <v>0</v>
      </c>
      <c r="U137">
        <v>0</v>
      </c>
      <c r="V137">
        <v>817</v>
      </c>
    </row>
    <row r="138" spans="1:22" x14ac:dyDescent="0.25">
      <c r="A138">
        <v>2025</v>
      </c>
      <c r="B138">
        <v>10</v>
      </c>
      <c r="C138" t="s">
        <v>53</v>
      </c>
      <c r="D138" t="s">
        <v>22</v>
      </c>
      <c r="E138" t="s">
        <v>61</v>
      </c>
      <c r="F138" t="s">
        <v>35</v>
      </c>
      <c r="G138" t="s">
        <v>24</v>
      </c>
      <c r="H138" t="s">
        <v>25</v>
      </c>
      <c r="I138" t="s">
        <v>26</v>
      </c>
      <c r="J138" t="s">
        <v>26</v>
      </c>
      <c r="K138">
        <v>185</v>
      </c>
      <c r="L138">
        <v>2</v>
      </c>
      <c r="M138">
        <v>0</v>
      </c>
      <c r="N138">
        <v>2</v>
      </c>
      <c r="O138">
        <v>136</v>
      </c>
      <c r="P138">
        <v>123</v>
      </c>
      <c r="Q138">
        <v>113</v>
      </c>
      <c r="R138">
        <v>96</v>
      </c>
      <c r="S138">
        <v>85</v>
      </c>
      <c r="T138">
        <v>67</v>
      </c>
      <c r="U138">
        <v>49</v>
      </c>
      <c r="V138">
        <v>183</v>
      </c>
    </row>
    <row r="139" spans="1:22" x14ac:dyDescent="0.25">
      <c r="A139">
        <v>2025</v>
      </c>
      <c r="B139">
        <v>11</v>
      </c>
      <c r="C139" t="s">
        <v>53</v>
      </c>
      <c r="D139" t="s">
        <v>22</v>
      </c>
      <c r="E139" t="s">
        <v>37</v>
      </c>
      <c r="F139" t="s">
        <v>23</v>
      </c>
      <c r="G139" t="s">
        <v>24</v>
      </c>
      <c r="H139" t="s">
        <v>25</v>
      </c>
      <c r="I139" t="s">
        <v>26</v>
      </c>
      <c r="J139" t="s">
        <v>25</v>
      </c>
      <c r="K139">
        <v>8</v>
      </c>
      <c r="L139">
        <v>0</v>
      </c>
      <c r="M139">
        <v>0</v>
      </c>
      <c r="N139">
        <v>0</v>
      </c>
      <c r="O139">
        <v>3</v>
      </c>
      <c r="P139">
        <v>3</v>
      </c>
      <c r="Q139">
        <v>3</v>
      </c>
      <c r="R139">
        <v>3</v>
      </c>
      <c r="S139">
        <v>2</v>
      </c>
      <c r="T139">
        <v>1</v>
      </c>
      <c r="U139">
        <v>1</v>
      </c>
      <c r="V139">
        <v>8</v>
      </c>
    </row>
    <row r="140" spans="1:22" x14ac:dyDescent="0.25">
      <c r="A140">
        <v>2025</v>
      </c>
      <c r="B140">
        <v>11</v>
      </c>
      <c r="C140" t="s">
        <v>53</v>
      </c>
      <c r="D140" t="s">
        <v>22</v>
      </c>
      <c r="E140" t="s">
        <v>143</v>
      </c>
      <c r="F140" t="s">
        <v>39</v>
      </c>
      <c r="G140" t="s">
        <v>24</v>
      </c>
      <c r="H140" t="s">
        <v>26</v>
      </c>
      <c r="I140" t="s">
        <v>26</v>
      </c>
      <c r="J140" t="s">
        <v>25</v>
      </c>
      <c r="K140">
        <v>843</v>
      </c>
      <c r="L140">
        <v>4</v>
      </c>
      <c r="M140">
        <v>9</v>
      </c>
      <c r="N140">
        <v>13</v>
      </c>
      <c r="O140">
        <v>351</v>
      </c>
      <c r="P140">
        <v>299</v>
      </c>
      <c r="Q140">
        <v>287</v>
      </c>
      <c r="R140">
        <v>258</v>
      </c>
      <c r="S140">
        <v>201</v>
      </c>
      <c r="T140">
        <v>80</v>
      </c>
      <c r="U140">
        <v>35</v>
      </c>
      <c r="V140">
        <v>836</v>
      </c>
    </row>
    <row r="141" spans="1:22" x14ac:dyDescent="0.25">
      <c r="A141">
        <v>2025</v>
      </c>
      <c r="B141">
        <v>11</v>
      </c>
      <c r="C141" t="s">
        <v>53</v>
      </c>
      <c r="D141" t="s">
        <v>22</v>
      </c>
      <c r="E141" t="s">
        <v>149</v>
      </c>
      <c r="F141" t="s">
        <v>23</v>
      </c>
      <c r="G141" t="s">
        <v>24</v>
      </c>
      <c r="H141" t="s">
        <v>25</v>
      </c>
      <c r="I141" t="s">
        <v>26</v>
      </c>
      <c r="J141" t="s">
        <v>25</v>
      </c>
      <c r="K141">
        <v>52</v>
      </c>
      <c r="L141">
        <v>0</v>
      </c>
      <c r="M141">
        <v>3</v>
      </c>
      <c r="N141">
        <v>3</v>
      </c>
      <c r="O141">
        <v>28</v>
      </c>
      <c r="P141">
        <v>22</v>
      </c>
      <c r="Q141">
        <v>20</v>
      </c>
      <c r="R141">
        <v>18</v>
      </c>
      <c r="S141">
        <v>14</v>
      </c>
      <c r="T141">
        <v>9</v>
      </c>
      <c r="U141">
        <v>5</v>
      </c>
      <c r="V141">
        <v>50</v>
      </c>
    </row>
    <row r="142" spans="1:22" x14ac:dyDescent="0.25">
      <c r="A142">
        <v>2025</v>
      </c>
      <c r="B142">
        <v>11</v>
      </c>
      <c r="C142" t="s">
        <v>53</v>
      </c>
      <c r="D142" t="s">
        <v>22</v>
      </c>
      <c r="E142" t="s">
        <v>53</v>
      </c>
      <c r="F142" t="s">
        <v>55</v>
      </c>
      <c r="G142" t="s">
        <v>28</v>
      </c>
      <c r="H142" t="s">
        <v>25</v>
      </c>
      <c r="I142" t="s">
        <v>26</v>
      </c>
      <c r="J142" t="s">
        <v>25</v>
      </c>
      <c r="K142">
        <v>6</v>
      </c>
      <c r="L142">
        <v>0</v>
      </c>
      <c r="M142">
        <v>6</v>
      </c>
      <c r="N142">
        <v>6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</row>
    <row r="143" spans="1:22" x14ac:dyDescent="0.25">
      <c r="A143">
        <v>2025</v>
      </c>
      <c r="B143">
        <v>11</v>
      </c>
      <c r="C143" t="s">
        <v>53</v>
      </c>
      <c r="D143" t="s">
        <v>22</v>
      </c>
      <c r="E143" t="s">
        <v>53</v>
      </c>
      <c r="F143" t="s">
        <v>23</v>
      </c>
      <c r="G143" t="s">
        <v>28</v>
      </c>
      <c r="H143" t="s">
        <v>25</v>
      </c>
      <c r="I143" t="s">
        <v>26</v>
      </c>
      <c r="J143" t="s">
        <v>25</v>
      </c>
      <c r="K143">
        <v>35437</v>
      </c>
      <c r="L143">
        <v>0</v>
      </c>
      <c r="M143">
        <v>4323</v>
      </c>
      <c r="N143">
        <v>4323</v>
      </c>
      <c r="O143">
        <v>6132</v>
      </c>
      <c r="P143">
        <v>3568</v>
      </c>
      <c r="Q143">
        <v>2819</v>
      </c>
      <c r="R143">
        <v>1353</v>
      </c>
      <c r="S143">
        <v>632</v>
      </c>
      <c r="T143">
        <v>70</v>
      </c>
      <c r="U143">
        <v>2</v>
      </c>
      <c r="V143">
        <v>31964</v>
      </c>
    </row>
    <row r="144" spans="1:22" x14ac:dyDescent="0.25">
      <c r="A144">
        <v>2025</v>
      </c>
      <c r="B144">
        <v>11</v>
      </c>
      <c r="C144" t="s">
        <v>53</v>
      </c>
      <c r="D144" t="s">
        <v>22</v>
      </c>
      <c r="E144" t="s">
        <v>53</v>
      </c>
      <c r="F144" t="s">
        <v>23</v>
      </c>
      <c r="G144" t="s">
        <v>29</v>
      </c>
      <c r="H144" t="s">
        <v>25</v>
      </c>
      <c r="I144" t="s">
        <v>26</v>
      </c>
      <c r="J144" t="s">
        <v>25</v>
      </c>
      <c r="K144">
        <v>1</v>
      </c>
      <c r="L144">
        <v>1</v>
      </c>
      <c r="M144">
        <v>0</v>
      </c>
      <c r="N144">
        <v>1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</row>
    <row r="145" spans="1:22" x14ac:dyDescent="0.25">
      <c r="A145">
        <v>2025</v>
      </c>
      <c r="B145">
        <v>11</v>
      </c>
      <c r="C145" t="s">
        <v>53</v>
      </c>
      <c r="D145" t="s">
        <v>22</v>
      </c>
      <c r="E145" t="s">
        <v>53</v>
      </c>
      <c r="F145" t="s">
        <v>56</v>
      </c>
      <c r="G145" t="s">
        <v>28</v>
      </c>
      <c r="H145" t="s">
        <v>25</v>
      </c>
      <c r="I145" t="s">
        <v>26</v>
      </c>
      <c r="J145" t="s">
        <v>25</v>
      </c>
      <c r="K145">
        <v>2832</v>
      </c>
      <c r="L145">
        <v>0</v>
      </c>
      <c r="M145">
        <v>625</v>
      </c>
      <c r="N145">
        <v>625</v>
      </c>
      <c r="O145">
        <v>680</v>
      </c>
      <c r="P145">
        <v>461</v>
      </c>
      <c r="Q145">
        <v>396</v>
      </c>
      <c r="R145">
        <v>219</v>
      </c>
      <c r="S145">
        <v>98</v>
      </c>
      <c r="T145">
        <v>10</v>
      </c>
      <c r="U145">
        <v>0</v>
      </c>
      <c r="V145">
        <v>2435</v>
      </c>
    </row>
    <row r="146" spans="1:22" x14ac:dyDescent="0.25">
      <c r="A146">
        <v>2025</v>
      </c>
      <c r="B146">
        <v>11</v>
      </c>
      <c r="C146" t="s">
        <v>53</v>
      </c>
      <c r="D146" t="s">
        <v>22</v>
      </c>
      <c r="E146" t="s">
        <v>53</v>
      </c>
      <c r="F146" t="s">
        <v>57</v>
      </c>
      <c r="G146" t="s">
        <v>28</v>
      </c>
      <c r="H146" t="s">
        <v>25</v>
      </c>
      <c r="I146" t="s">
        <v>26</v>
      </c>
      <c r="J146" t="s">
        <v>26</v>
      </c>
      <c r="K146">
        <v>17</v>
      </c>
      <c r="L146">
        <v>0</v>
      </c>
      <c r="M146">
        <v>0</v>
      </c>
      <c r="N146">
        <v>0</v>
      </c>
      <c r="O146">
        <v>4</v>
      </c>
      <c r="P146">
        <v>2</v>
      </c>
      <c r="Q146">
        <v>1</v>
      </c>
      <c r="R146">
        <v>1</v>
      </c>
      <c r="S146">
        <v>1</v>
      </c>
      <c r="T146">
        <v>1</v>
      </c>
      <c r="U146">
        <v>0</v>
      </c>
      <c r="V146">
        <v>17</v>
      </c>
    </row>
    <row r="147" spans="1:22" x14ac:dyDescent="0.25">
      <c r="A147">
        <v>2025</v>
      </c>
      <c r="B147">
        <v>11</v>
      </c>
      <c r="C147" t="s">
        <v>53</v>
      </c>
      <c r="D147" t="s">
        <v>22</v>
      </c>
      <c r="E147" t="s">
        <v>53</v>
      </c>
      <c r="F147" t="s">
        <v>58</v>
      </c>
      <c r="G147" t="s">
        <v>28</v>
      </c>
      <c r="H147" t="s">
        <v>25</v>
      </c>
      <c r="I147" t="s">
        <v>25</v>
      </c>
      <c r="J147" t="s">
        <v>25</v>
      </c>
      <c r="K147">
        <v>3980</v>
      </c>
      <c r="L147">
        <v>0</v>
      </c>
      <c r="M147">
        <v>312</v>
      </c>
      <c r="N147">
        <v>312</v>
      </c>
      <c r="O147">
        <v>620</v>
      </c>
      <c r="P147">
        <v>261</v>
      </c>
      <c r="Q147">
        <v>187</v>
      </c>
      <c r="R147">
        <v>81</v>
      </c>
      <c r="S147">
        <v>33</v>
      </c>
      <c r="T147">
        <v>5</v>
      </c>
      <c r="U147">
        <v>0</v>
      </c>
      <c r="V147">
        <v>3765</v>
      </c>
    </row>
    <row r="148" spans="1:22" x14ac:dyDescent="0.25">
      <c r="A148">
        <v>2025</v>
      </c>
      <c r="B148">
        <v>11</v>
      </c>
      <c r="C148" t="s">
        <v>53</v>
      </c>
      <c r="D148" t="s">
        <v>22</v>
      </c>
      <c r="E148" t="s">
        <v>53</v>
      </c>
      <c r="F148" t="s">
        <v>58</v>
      </c>
      <c r="G148" t="s">
        <v>24</v>
      </c>
      <c r="H148" t="s">
        <v>25</v>
      </c>
      <c r="I148" t="s">
        <v>25</v>
      </c>
      <c r="J148" t="s">
        <v>25</v>
      </c>
      <c r="K148">
        <v>3</v>
      </c>
      <c r="L148">
        <v>0</v>
      </c>
      <c r="M148">
        <v>0</v>
      </c>
      <c r="N148">
        <v>0</v>
      </c>
      <c r="O148">
        <v>2</v>
      </c>
      <c r="P148">
        <v>2</v>
      </c>
      <c r="Q148">
        <v>2</v>
      </c>
      <c r="R148">
        <v>2</v>
      </c>
      <c r="S148">
        <v>2</v>
      </c>
      <c r="T148">
        <v>2</v>
      </c>
      <c r="U148">
        <v>2</v>
      </c>
      <c r="V148">
        <v>3</v>
      </c>
    </row>
    <row r="149" spans="1:22" x14ac:dyDescent="0.25">
      <c r="A149">
        <v>2025</v>
      </c>
      <c r="B149">
        <v>11</v>
      </c>
      <c r="C149" t="s">
        <v>53</v>
      </c>
      <c r="D149" t="s">
        <v>22</v>
      </c>
      <c r="E149" t="s">
        <v>53</v>
      </c>
      <c r="F149" t="s">
        <v>59</v>
      </c>
      <c r="G149" t="s">
        <v>28</v>
      </c>
      <c r="H149" t="s">
        <v>25</v>
      </c>
      <c r="I149" t="s">
        <v>25</v>
      </c>
      <c r="J149" t="s">
        <v>25</v>
      </c>
      <c r="K149">
        <v>74652</v>
      </c>
      <c r="L149">
        <v>0</v>
      </c>
      <c r="M149">
        <v>4452</v>
      </c>
      <c r="N149">
        <v>4452</v>
      </c>
      <c r="O149">
        <v>8193</v>
      </c>
      <c r="P149">
        <v>3888</v>
      </c>
      <c r="Q149">
        <v>2871</v>
      </c>
      <c r="R149">
        <v>1109</v>
      </c>
      <c r="S149">
        <v>417</v>
      </c>
      <c r="T149">
        <v>52</v>
      </c>
      <c r="U149">
        <v>5</v>
      </c>
      <c r="V149">
        <v>71486</v>
      </c>
    </row>
    <row r="150" spans="1:22" x14ac:dyDescent="0.25">
      <c r="A150">
        <v>2025</v>
      </c>
      <c r="B150">
        <v>11</v>
      </c>
      <c r="C150" t="s">
        <v>53</v>
      </c>
      <c r="D150" t="s">
        <v>22</v>
      </c>
      <c r="E150" t="s">
        <v>53</v>
      </c>
      <c r="F150" t="s">
        <v>60</v>
      </c>
      <c r="G150" t="s">
        <v>28</v>
      </c>
      <c r="H150" t="s">
        <v>25</v>
      </c>
      <c r="I150" t="s">
        <v>25</v>
      </c>
      <c r="J150" t="s">
        <v>25</v>
      </c>
      <c r="K150">
        <v>36335</v>
      </c>
      <c r="L150">
        <v>0</v>
      </c>
      <c r="M150">
        <v>1206</v>
      </c>
      <c r="N150">
        <v>1206</v>
      </c>
      <c r="O150">
        <v>4363</v>
      </c>
      <c r="P150">
        <v>1769</v>
      </c>
      <c r="Q150">
        <v>1163</v>
      </c>
      <c r="R150">
        <v>343</v>
      </c>
      <c r="S150">
        <v>124</v>
      </c>
      <c r="T150">
        <v>9</v>
      </c>
      <c r="U150">
        <v>0</v>
      </c>
      <c r="V150">
        <v>35452</v>
      </c>
    </row>
    <row r="151" spans="1:22" x14ac:dyDescent="0.25">
      <c r="A151">
        <v>2025</v>
      </c>
      <c r="B151">
        <v>11</v>
      </c>
      <c r="C151" t="s">
        <v>53</v>
      </c>
      <c r="D151" t="s">
        <v>22</v>
      </c>
      <c r="E151" t="s">
        <v>158</v>
      </c>
      <c r="F151" t="s">
        <v>54</v>
      </c>
      <c r="G151" t="s">
        <v>24</v>
      </c>
      <c r="H151" t="s">
        <v>25</v>
      </c>
      <c r="I151" t="s">
        <v>26</v>
      </c>
      <c r="J151" t="s">
        <v>25</v>
      </c>
      <c r="K151">
        <v>726</v>
      </c>
      <c r="L151">
        <v>5</v>
      </c>
      <c r="M151">
        <v>0</v>
      </c>
      <c r="N151">
        <v>5</v>
      </c>
      <c r="O151">
        <v>59</v>
      </c>
      <c r="P151">
        <v>43</v>
      </c>
      <c r="Q151">
        <v>31</v>
      </c>
      <c r="R151">
        <v>22</v>
      </c>
      <c r="S151">
        <v>11</v>
      </c>
      <c r="T151">
        <v>0</v>
      </c>
      <c r="U151">
        <v>0</v>
      </c>
      <c r="V151">
        <v>721</v>
      </c>
    </row>
    <row r="152" spans="1:22" x14ac:dyDescent="0.25">
      <c r="A152">
        <v>2025</v>
      </c>
      <c r="B152">
        <v>11</v>
      </c>
      <c r="C152" t="s">
        <v>53</v>
      </c>
      <c r="D152" t="s">
        <v>22</v>
      </c>
      <c r="E152" t="s">
        <v>158</v>
      </c>
      <c r="F152" t="s">
        <v>55</v>
      </c>
      <c r="G152" t="s">
        <v>24</v>
      </c>
      <c r="H152" t="s">
        <v>25</v>
      </c>
      <c r="I152" t="s">
        <v>26</v>
      </c>
      <c r="J152" t="s">
        <v>25</v>
      </c>
      <c r="K152">
        <v>2</v>
      </c>
      <c r="L152">
        <v>0</v>
      </c>
      <c r="M152">
        <v>0</v>
      </c>
      <c r="N152">
        <v>0</v>
      </c>
      <c r="O152">
        <v>1</v>
      </c>
      <c r="P152">
        <v>1</v>
      </c>
      <c r="Q152">
        <v>1</v>
      </c>
      <c r="R152">
        <v>0</v>
      </c>
      <c r="S152">
        <v>0</v>
      </c>
      <c r="T152">
        <v>0</v>
      </c>
      <c r="U152">
        <v>0</v>
      </c>
      <c r="V152">
        <v>2</v>
      </c>
    </row>
    <row r="153" spans="1:22" x14ac:dyDescent="0.25">
      <c r="A153">
        <v>2025</v>
      </c>
      <c r="B153">
        <v>11</v>
      </c>
      <c r="C153" t="s">
        <v>53</v>
      </c>
      <c r="D153" t="s">
        <v>22</v>
      </c>
      <c r="E153" t="s">
        <v>61</v>
      </c>
      <c r="F153" t="s">
        <v>35</v>
      </c>
      <c r="G153" t="s">
        <v>24</v>
      </c>
      <c r="H153" t="s">
        <v>25</v>
      </c>
      <c r="I153" t="s">
        <v>26</v>
      </c>
      <c r="J153" t="s">
        <v>26</v>
      </c>
      <c r="K153">
        <v>179</v>
      </c>
      <c r="L153">
        <v>2</v>
      </c>
      <c r="M153">
        <v>5</v>
      </c>
      <c r="N153">
        <v>7</v>
      </c>
      <c r="O153">
        <v>132</v>
      </c>
      <c r="P153">
        <v>119</v>
      </c>
      <c r="Q153">
        <v>114</v>
      </c>
      <c r="R153">
        <v>104</v>
      </c>
      <c r="S153">
        <v>90</v>
      </c>
      <c r="T153">
        <v>60</v>
      </c>
      <c r="U153">
        <v>40</v>
      </c>
      <c r="V153">
        <v>173</v>
      </c>
    </row>
    <row r="154" spans="1:22" x14ac:dyDescent="0.25">
      <c r="A154">
        <v>2025</v>
      </c>
      <c r="B154">
        <v>12</v>
      </c>
      <c r="C154" t="s">
        <v>53</v>
      </c>
      <c r="D154" t="s">
        <v>22</v>
      </c>
      <c r="E154" t="s">
        <v>37</v>
      </c>
      <c r="F154" t="s">
        <v>23</v>
      </c>
      <c r="G154" t="s">
        <v>24</v>
      </c>
      <c r="H154" t="s">
        <v>25</v>
      </c>
      <c r="I154" t="s">
        <v>26</v>
      </c>
      <c r="J154" t="s">
        <v>25</v>
      </c>
      <c r="K154">
        <v>1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1</v>
      </c>
    </row>
    <row r="155" spans="1:22" x14ac:dyDescent="0.25">
      <c r="A155">
        <v>2025</v>
      </c>
      <c r="B155">
        <v>12</v>
      </c>
      <c r="C155" t="s">
        <v>53</v>
      </c>
      <c r="D155" t="s">
        <v>22</v>
      </c>
      <c r="E155" t="s">
        <v>143</v>
      </c>
      <c r="F155" t="s">
        <v>39</v>
      </c>
      <c r="G155" t="s">
        <v>24</v>
      </c>
      <c r="H155" t="s">
        <v>26</v>
      </c>
      <c r="I155" t="s">
        <v>26</v>
      </c>
      <c r="J155" t="s">
        <v>25</v>
      </c>
      <c r="K155">
        <v>905</v>
      </c>
      <c r="L155">
        <v>5</v>
      </c>
      <c r="M155">
        <v>36</v>
      </c>
      <c r="N155">
        <v>41</v>
      </c>
      <c r="O155">
        <v>379</v>
      </c>
      <c r="P155">
        <v>343</v>
      </c>
      <c r="Q155">
        <v>332</v>
      </c>
      <c r="R155">
        <v>295</v>
      </c>
      <c r="S155">
        <v>219</v>
      </c>
      <c r="T155">
        <v>95</v>
      </c>
      <c r="U155">
        <v>26</v>
      </c>
      <c r="V155">
        <v>890</v>
      </c>
    </row>
    <row r="156" spans="1:22" x14ac:dyDescent="0.25">
      <c r="A156">
        <v>2025</v>
      </c>
      <c r="B156">
        <v>12</v>
      </c>
      <c r="C156" t="s">
        <v>53</v>
      </c>
      <c r="D156" t="s">
        <v>22</v>
      </c>
      <c r="E156" t="s">
        <v>149</v>
      </c>
      <c r="F156" t="s">
        <v>23</v>
      </c>
      <c r="G156" t="s">
        <v>24</v>
      </c>
      <c r="H156" t="s">
        <v>25</v>
      </c>
      <c r="I156" t="s">
        <v>26</v>
      </c>
      <c r="J156" t="s">
        <v>25</v>
      </c>
      <c r="K156">
        <v>61</v>
      </c>
      <c r="L156">
        <v>4</v>
      </c>
      <c r="M156">
        <v>0</v>
      </c>
      <c r="N156">
        <v>4</v>
      </c>
      <c r="O156">
        <v>18</v>
      </c>
      <c r="P156">
        <v>13</v>
      </c>
      <c r="Q156">
        <v>13</v>
      </c>
      <c r="R156">
        <v>9</v>
      </c>
      <c r="S156">
        <v>8</v>
      </c>
      <c r="T156">
        <v>3</v>
      </c>
      <c r="U156">
        <v>0</v>
      </c>
      <c r="V156">
        <v>57</v>
      </c>
    </row>
    <row r="157" spans="1:22" x14ac:dyDescent="0.25">
      <c r="A157">
        <v>2025</v>
      </c>
      <c r="B157">
        <v>12</v>
      </c>
      <c r="C157" t="s">
        <v>53</v>
      </c>
      <c r="D157" t="s">
        <v>22</v>
      </c>
      <c r="E157" t="s">
        <v>53</v>
      </c>
      <c r="F157" t="s">
        <v>23</v>
      </c>
      <c r="G157" t="s">
        <v>28</v>
      </c>
      <c r="H157" t="s">
        <v>25</v>
      </c>
      <c r="I157" t="s">
        <v>26</v>
      </c>
      <c r="J157" t="s">
        <v>25</v>
      </c>
      <c r="K157">
        <v>35915</v>
      </c>
      <c r="L157">
        <v>0</v>
      </c>
      <c r="M157">
        <v>2527</v>
      </c>
      <c r="N157">
        <v>2527</v>
      </c>
      <c r="O157">
        <v>4175</v>
      </c>
      <c r="P157">
        <v>2318</v>
      </c>
      <c r="Q157">
        <v>1805</v>
      </c>
      <c r="R157">
        <v>872</v>
      </c>
      <c r="S157">
        <v>398</v>
      </c>
      <c r="T157">
        <v>35</v>
      </c>
      <c r="U157">
        <v>1</v>
      </c>
      <c r="V157">
        <v>33962</v>
      </c>
    </row>
    <row r="158" spans="1:22" x14ac:dyDescent="0.25">
      <c r="A158">
        <v>2025</v>
      </c>
      <c r="B158">
        <v>12</v>
      </c>
      <c r="C158" t="s">
        <v>53</v>
      </c>
      <c r="D158" t="s">
        <v>22</v>
      </c>
      <c r="E158" t="s">
        <v>53</v>
      </c>
      <c r="F158" t="s">
        <v>56</v>
      </c>
      <c r="G158" t="s">
        <v>28</v>
      </c>
      <c r="H158" t="s">
        <v>25</v>
      </c>
      <c r="I158" t="s">
        <v>26</v>
      </c>
      <c r="J158" t="s">
        <v>25</v>
      </c>
      <c r="K158">
        <v>3549</v>
      </c>
      <c r="L158">
        <v>0</v>
      </c>
      <c r="M158">
        <v>684</v>
      </c>
      <c r="N158">
        <v>684</v>
      </c>
      <c r="O158">
        <v>511</v>
      </c>
      <c r="P158">
        <v>330</v>
      </c>
      <c r="Q158">
        <v>287</v>
      </c>
      <c r="R158">
        <v>163</v>
      </c>
      <c r="S158">
        <v>78</v>
      </c>
      <c r="T158">
        <v>13</v>
      </c>
      <c r="U158">
        <v>0</v>
      </c>
      <c r="V158">
        <v>3071</v>
      </c>
    </row>
    <row r="159" spans="1:22" x14ac:dyDescent="0.25">
      <c r="A159">
        <v>2025</v>
      </c>
      <c r="B159">
        <v>12</v>
      </c>
      <c r="C159" t="s">
        <v>53</v>
      </c>
      <c r="D159" t="s">
        <v>22</v>
      </c>
      <c r="E159" t="s">
        <v>53</v>
      </c>
      <c r="F159" t="s">
        <v>57</v>
      </c>
      <c r="G159" t="s">
        <v>28</v>
      </c>
      <c r="H159" t="s">
        <v>25</v>
      </c>
      <c r="I159" t="s">
        <v>26</v>
      </c>
      <c r="J159" t="s">
        <v>26</v>
      </c>
      <c r="K159">
        <v>16</v>
      </c>
      <c r="L159">
        <v>0</v>
      </c>
      <c r="M159">
        <v>0</v>
      </c>
      <c r="N159">
        <v>0</v>
      </c>
      <c r="O159">
        <v>4</v>
      </c>
      <c r="P159">
        <v>4</v>
      </c>
      <c r="Q159">
        <v>3</v>
      </c>
      <c r="R159">
        <v>1</v>
      </c>
      <c r="S159">
        <v>1</v>
      </c>
      <c r="T159">
        <v>0</v>
      </c>
      <c r="U159">
        <v>0</v>
      </c>
      <c r="V159">
        <v>16</v>
      </c>
    </row>
    <row r="160" spans="1:22" x14ac:dyDescent="0.25">
      <c r="A160">
        <v>2025</v>
      </c>
      <c r="B160">
        <v>12</v>
      </c>
      <c r="C160" t="s">
        <v>53</v>
      </c>
      <c r="D160" t="s">
        <v>22</v>
      </c>
      <c r="E160" t="s">
        <v>53</v>
      </c>
      <c r="F160" t="s">
        <v>58</v>
      </c>
      <c r="G160" t="s">
        <v>28</v>
      </c>
      <c r="H160" t="s">
        <v>25</v>
      </c>
      <c r="I160" t="s">
        <v>25</v>
      </c>
      <c r="J160" t="s">
        <v>25</v>
      </c>
      <c r="K160">
        <v>4424</v>
      </c>
      <c r="L160">
        <v>0</v>
      </c>
      <c r="M160">
        <v>161</v>
      </c>
      <c r="N160">
        <v>161</v>
      </c>
      <c r="O160">
        <v>365</v>
      </c>
      <c r="P160">
        <v>139</v>
      </c>
      <c r="Q160">
        <v>96</v>
      </c>
      <c r="R160">
        <v>38</v>
      </c>
      <c r="S160">
        <v>16</v>
      </c>
      <c r="T160">
        <v>0</v>
      </c>
      <c r="U160">
        <v>0</v>
      </c>
      <c r="V160">
        <v>4319</v>
      </c>
    </row>
    <row r="161" spans="1:22" x14ac:dyDescent="0.25">
      <c r="A161">
        <v>2025</v>
      </c>
      <c r="B161">
        <v>12</v>
      </c>
      <c r="C161" t="s">
        <v>53</v>
      </c>
      <c r="D161" t="s">
        <v>22</v>
      </c>
      <c r="E161" t="s">
        <v>53</v>
      </c>
      <c r="F161" t="s">
        <v>59</v>
      </c>
      <c r="G161" t="s">
        <v>28</v>
      </c>
      <c r="H161" t="s">
        <v>25</v>
      </c>
      <c r="I161" t="s">
        <v>25</v>
      </c>
      <c r="J161" t="s">
        <v>25</v>
      </c>
      <c r="K161">
        <v>77966</v>
      </c>
      <c r="L161">
        <v>0</v>
      </c>
      <c r="M161">
        <v>2403</v>
      </c>
      <c r="N161">
        <v>2403</v>
      </c>
      <c r="O161">
        <v>5381</v>
      </c>
      <c r="P161">
        <v>2417</v>
      </c>
      <c r="Q161">
        <v>1753</v>
      </c>
      <c r="R161">
        <v>641</v>
      </c>
      <c r="S161">
        <v>231</v>
      </c>
      <c r="T161">
        <v>16</v>
      </c>
      <c r="U161">
        <v>0</v>
      </c>
      <c r="V161">
        <v>76138</v>
      </c>
    </row>
    <row r="162" spans="1:22" x14ac:dyDescent="0.25">
      <c r="A162">
        <v>2025</v>
      </c>
      <c r="B162">
        <v>12</v>
      </c>
      <c r="C162" t="s">
        <v>53</v>
      </c>
      <c r="D162" t="s">
        <v>22</v>
      </c>
      <c r="E162" t="s">
        <v>53</v>
      </c>
      <c r="F162" t="s">
        <v>60</v>
      </c>
      <c r="G162" t="s">
        <v>28</v>
      </c>
      <c r="H162" t="s">
        <v>25</v>
      </c>
      <c r="I162" t="s">
        <v>25</v>
      </c>
      <c r="J162" t="s">
        <v>25</v>
      </c>
      <c r="K162">
        <v>36317</v>
      </c>
      <c r="L162">
        <v>0</v>
      </c>
      <c r="M162">
        <v>952</v>
      </c>
      <c r="N162">
        <v>952</v>
      </c>
      <c r="O162">
        <v>2444</v>
      </c>
      <c r="P162">
        <v>949</v>
      </c>
      <c r="Q162">
        <v>597</v>
      </c>
      <c r="R162">
        <v>198</v>
      </c>
      <c r="S162">
        <v>82</v>
      </c>
      <c r="T162">
        <v>9</v>
      </c>
      <c r="U162">
        <v>0</v>
      </c>
      <c r="V162">
        <v>35620</v>
      </c>
    </row>
    <row r="163" spans="1:22" x14ac:dyDescent="0.25">
      <c r="A163">
        <v>2025</v>
      </c>
      <c r="B163">
        <v>12</v>
      </c>
      <c r="C163" t="s">
        <v>53</v>
      </c>
      <c r="D163" t="s">
        <v>22</v>
      </c>
      <c r="E163" t="s">
        <v>158</v>
      </c>
      <c r="F163" t="s">
        <v>54</v>
      </c>
      <c r="G163" t="s">
        <v>24</v>
      </c>
      <c r="H163" t="s">
        <v>25</v>
      </c>
      <c r="I163" t="s">
        <v>26</v>
      </c>
      <c r="J163" t="s">
        <v>25</v>
      </c>
      <c r="K163">
        <v>869</v>
      </c>
      <c r="L163">
        <v>3</v>
      </c>
      <c r="M163">
        <v>2</v>
      </c>
      <c r="N163">
        <v>5</v>
      </c>
      <c r="O163">
        <v>72</v>
      </c>
      <c r="P163">
        <v>47</v>
      </c>
      <c r="Q163">
        <v>42</v>
      </c>
      <c r="R163">
        <v>22</v>
      </c>
      <c r="S163">
        <v>15</v>
      </c>
      <c r="T163">
        <v>3</v>
      </c>
      <c r="U163">
        <v>0</v>
      </c>
      <c r="V163">
        <v>866</v>
      </c>
    </row>
    <row r="164" spans="1:22" x14ac:dyDescent="0.25">
      <c r="A164">
        <v>2025</v>
      </c>
      <c r="B164">
        <v>12</v>
      </c>
      <c r="C164" t="s">
        <v>53</v>
      </c>
      <c r="D164" t="s">
        <v>22</v>
      </c>
      <c r="E164" t="s">
        <v>61</v>
      </c>
      <c r="F164" t="s">
        <v>35</v>
      </c>
      <c r="G164" t="s">
        <v>24</v>
      </c>
      <c r="H164" t="s">
        <v>25</v>
      </c>
      <c r="I164" t="s">
        <v>26</v>
      </c>
      <c r="J164" t="s">
        <v>26</v>
      </c>
      <c r="K164">
        <v>186</v>
      </c>
      <c r="L164">
        <v>5</v>
      </c>
      <c r="M164">
        <v>0</v>
      </c>
      <c r="N164">
        <v>5</v>
      </c>
      <c r="O164">
        <v>104</v>
      </c>
      <c r="P164">
        <v>87</v>
      </c>
      <c r="Q164">
        <v>82</v>
      </c>
      <c r="R164">
        <v>68</v>
      </c>
      <c r="S164">
        <v>57</v>
      </c>
      <c r="T164">
        <v>43</v>
      </c>
      <c r="U164">
        <v>20</v>
      </c>
      <c r="V164">
        <v>181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V648"/>
  <sheetViews>
    <sheetView workbookViewId="0"/>
  </sheetViews>
  <sheetFormatPr defaultRowHeight="15" x14ac:dyDescent="0.25"/>
  <sheetData>
    <row r="1" spans="1:2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122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</row>
    <row r="2" spans="1:22" x14ac:dyDescent="0.25">
      <c r="A2">
        <v>2025</v>
      </c>
      <c r="B2">
        <v>1</v>
      </c>
      <c r="C2" t="s">
        <v>61</v>
      </c>
      <c r="D2" t="s">
        <v>22</v>
      </c>
      <c r="E2" t="s">
        <v>159</v>
      </c>
      <c r="F2" t="s">
        <v>31</v>
      </c>
      <c r="G2" t="s">
        <v>24</v>
      </c>
      <c r="H2" t="s">
        <v>25</v>
      </c>
      <c r="I2" t="s">
        <v>26</v>
      </c>
      <c r="J2" t="s">
        <v>25</v>
      </c>
      <c r="K2">
        <v>5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5</v>
      </c>
    </row>
    <row r="3" spans="1:22" x14ac:dyDescent="0.25">
      <c r="A3">
        <v>2025</v>
      </c>
      <c r="B3">
        <v>1</v>
      </c>
      <c r="C3" t="s">
        <v>61</v>
      </c>
      <c r="D3" t="s">
        <v>22</v>
      </c>
      <c r="E3" t="s">
        <v>159</v>
      </c>
      <c r="F3" t="s">
        <v>32</v>
      </c>
      <c r="G3" t="s">
        <v>24</v>
      </c>
      <c r="H3" t="s">
        <v>25</v>
      </c>
      <c r="I3" t="s">
        <v>26</v>
      </c>
      <c r="J3" t="s">
        <v>25</v>
      </c>
      <c r="K3">
        <v>15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 x14ac:dyDescent="0.25">
      <c r="A4">
        <v>2025</v>
      </c>
      <c r="B4">
        <v>1</v>
      </c>
      <c r="C4" t="s">
        <v>61</v>
      </c>
      <c r="D4" t="s">
        <v>22</v>
      </c>
      <c r="E4" t="s">
        <v>129</v>
      </c>
      <c r="F4" t="s">
        <v>36</v>
      </c>
      <c r="G4" t="s">
        <v>24</v>
      </c>
      <c r="H4" t="s">
        <v>25</v>
      </c>
      <c r="I4" t="s">
        <v>26</v>
      </c>
      <c r="J4" t="s">
        <v>25</v>
      </c>
      <c r="K4">
        <v>60</v>
      </c>
      <c r="L4">
        <v>2</v>
      </c>
      <c r="M4">
        <v>0</v>
      </c>
      <c r="N4">
        <v>2</v>
      </c>
      <c r="O4">
        <v>2</v>
      </c>
      <c r="P4">
        <v>2</v>
      </c>
      <c r="Q4">
        <v>2</v>
      </c>
      <c r="R4">
        <v>1</v>
      </c>
      <c r="S4">
        <v>1</v>
      </c>
      <c r="T4">
        <v>1</v>
      </c>
      <c r="U4">
        <v>0</v>
      </c>
      <c r="V4">
        <v>58</v>
      </c>
    </row>
    <row r="5" spans="1:22" x14ac:dyDescent="0.25">
      <c r="A5">
        <v>2025</v>
      </c>
      <c r="B5">
        <v>1</v>
      </c>
      <c r="C5" t="s">
        <v>61</v>
      </c>
      <c r="D5" t="s">
        <v>22</v>
      </c>
      <c r="E5" t="s">
        <v>130</v>
      </c>
      <c r="F5" t="s">
        <v>34</v>
      </c>
      <c r="G5" t="s">
        <v>28</v>
      </c>
      <c r="H5" t="s">
        <v>25</v>
      </c>
      <c r="I5" t="s">
        <v>26</v>
      </c>
      <c r="J5" t="s">
        <v>26</v>
      </c>
      <c r="K5">
        <v>5</v>
      </c>
      <c r="L5">
        <v>0</v>
      </c>
      <c r="M5">
        <v>0</v>
      </c>
      <c r="N5">
        <v>0</v>
      </c>
      <c r="O5">
        <v>1</v>
      </c>
      <c r="P5">
        <v>1</v>
      </c>
      <c r="Q5">
        <v>1</v>
      </c>
      <c r="R5">
        <v>1</v>
      </c>
      <c r="S5">
        <v>1</v>
      </c>
      <c r="T5">
        <v>0</v>
      </c>
      <c r="U5">
        <v>0</v>
      </c>
      <c r="V5">
        <v>5</v>
      </c>
    </row>
    <row r="6" spans="1:22" x14ac:dyDescent="0.25">
      <c r="A6">
        <v>2025</v>
      </c>
      <c r="B6">
        <v>1</v>
      </c>
      <c r="C6" t="s">
        <v>61</v>
      </c>
      <c r="D6" t="s">
        <v>22</v>
      </c>
      <c r="E6" t="s">
        <v>130</v>
      </c>
      <c r="F6" t="s">
        <v>34</v>
      </c>
      <c r="G6" t="s">
        <v>24</v>
      </c>
      <c r="H6" t="s">
        <v>25</v>
      </c>
      <c r="I6" t="s">
        <v>26</v>
      </c>
      <c r="J6" t="s">
        <v>26</v>
      </c>
      <c r="K6">
        <v>7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7</v>
      </c>
    </row>
    <row r="7" spans="1:22" x14ac:dyDescent="0.25">
      <c r="A7">
        <v>2025</v>
      </c>
      <c r="B7">
        <v>1</v>
      </c>
      <c r="C7" t="s">
        <v>61</v>
      </c>
      <c r="D7" t="s">
        <v>22</v>
      </c>
      <c r="E7" t="s">
        <v>130</v>
      </c>
      <c r="F7" t="s">
        <v>23</v>
      </c>
      <c r="G7" t="s">
        <v>24</v>
      </c>
      <c r="H7" t="s">
        <v>25</v>
      </c>
      <c r="I7" t="s">
        <v>26</v>
      </c>
      <c r="J7" t="s">
        <v>25</v>
      </c>
      <c r="K7">
        <v>14</v>
      </c>
      <c r="L7">
        <v>0</v>
      </c>
      <c r="M7">
        <v>0</v>
      </c>
      <c r="N7">
        <v>0</v>
      </c>
      <c r="O7">
        <v>2</v>
      </c>
      <c r="P7">
        <v>2</v>
      </c>
      <c r="Q7">
        <v>2</v>
      </c>
      <c r="R7">
        <v>2</v>
      </c>
      <c r="S7">
        <v>2</v>
      </c>
      <c r="T7">
        <v>1</v>
      </c>
      <c r="U7">
        <v>1</v>
      </c>
      <c r="V7">
        <v>14</v>
      </c>
    </row>
    <row r="8" spans="1:22" x14ac:dyDescent="0.25">
      <c r="A8">
        <v>2025</v>
      </c>
      <c r="B8">
        <v>1</v>
      </c>
      <c r="C8" t="s">
        <v>61</v>
      </c>
      <c r="D8" t="s">
        <v>22</v>
      </c>
      <c r="E8" t="s">
        <v>131</v>
      </c>
      <c r="F8" t="s">
        <v>34</v>
      </c>
      <c r="G8" t="s">
        <v>24</v>
      </c>
      <c r="H8" t="s">
        <v>25</v>
      </c>
      <c r="I8" t="s">
        <v>26</v>
      </c>
      <c r="J8" t="s">
        <v>26</v>
      </c>
      <c r="K8">
        <v>30</v>
      </c>
      <c r="L8">
        <v>0</v>
      </c>
      <c r="M8">
        <v>0</v>
      </c>
      <c r="N8">
        <v>0</v>
      </c>
      <c r="O8">
        <v>6</v>
      </c>
      <c r="P8">
        <v>5</v>
      </c>
      <c r="Q8">
        <v>5</v>
      </c>
      <c r="R8">
        <v>5</v>
      </c>
      <c r="S8">
        <v>3</v>
      </c>
      <c r="T8">
        <v>2</v>
      </c>
      <c r="U8">
        <v>1</v>
      </c>
      <c r="V8">
        <v>29</v>
      </c>
    </row>
    <row r="9" spans="1:22" x14ac:dyDescent="0.25">
      <c r="A9">
        <v>2025</v>
      </c>
      <c r="B9">
        <v>1</v>
      </c>
      <c r="C9" t="s">
        <v>61</v>
      </c>
      <c r="D9" t="s">
        <v>22</v>
      </c>
      <c r="E9" t="s">
        <v>160</v>
      </c>
      <c r="F9" t="s">
        <v>23</v>
      </c>
      <c r="G9" t="s">
        <v>24</v>
      </c>
      <c r="H9" t="s">
        <v>25</v>
      </c>
      <c r="I9" t="s">
        <v>26</v>
      </c>
      <c r="J9" t="s">
        <v>25</v>
      </c>
      <c r="K9">
        <v>96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96</v>
      </c>
    </row>
    <row r="10" spans="1:22" x14ac:dyDescent="0.25">
      <c r="A10">
        <v>2025</v>
      </c>
      <c r="B10">
        <v>1</v>
      </c>
      <c r="C10" t="s">
        <v>61</v>
      </c>
      <c r="D10" t="s">
        <v>22</v>
      </c>
      <c r="E10" t="s">
        <v>161</v>
      </c>
      <c r="F10" t="s">
        <v>32</v>
      </c>
      <c r="G10" t="s">
        <v>24</v>
      </c>
      <c r="H10" t="s">
        <v>25</v>
      </c>
      <c r="I10" t="s">
        <v>26</v>
      </c>
      <c r="J10" t="s">
        <v>25</v>
      </c>
      <c r="K10">
        <v>190</v>
      </c>
      <c r="L10">
        <v>0</v>
      </c>
      <c r="M10">
        <v>0</v>
      </c>
      <c r="N10">
        <v>0</v>
      </c>
      <c r="O10">
        <v>28</v>
      </c>
      <c r="P10">
        <v>15</v>
      </c>
      <c r="Q10">
        <v>12</v>
      </c>
      <c r="R10">
        <v>8</v>
      </c>
      <c r="S10">
        <v>4</v>
      </c>
      <c r="T10">
        <v>1</v>
      </c>
      <c r="U10">
        <v>0</v>
      </c>
      <c r="V10">
        <v>190</v>
      </c>
    </row>
    <row r="11" spans="1:22" x14ac:dyDescent="0.25">
      <c r="A11">
        <v>2025</v>
      </c>
      <c r="B11">
        <v>1</v>
      </c>
      <c r="C11" t="s">
        <v>61</v>
      </c>
      <c r="D11" t="s">
        <v>22</v>
      </c>
      <c r="E11" t="s">
        <v>161</v>
      </c>
      <c r="F11" t="s">
        <v>23</v>
      </c>
      <c r="G11" t="s">
        <v>24</v>
      </c>
      <c r="H11" t="s">
        <v>25</v>
      </c>
      <c r="I11" t="s">
        <v>26</v>
      </c>
      <c r="J11" t="s">
        <v>25</v>
      </c>
      <c r="K11">
        <v>4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4</v>
      </c>
    </row>
    <row r="12" spans="1:22" x14ac:dyDescent="0.25">
      <c r="A12">
        <v>2025</v>
      </c>
      <c r="B12">
        <v>1</v>
      </c>
      <c r="C12" t="s">
        <v>61</v>
      </c>
      <c r="D12" t="s">
        <v>22</v>
      </c>
      <c r="E12" t="s">
        <v>161</v>
      </c>
      <c r="F12" t="s">
        <v>36</v>
      </c>
      <c r="G12" t="s">
        <v>24</v>
      </c>
      <c r="H12" t="s">
        <v>25</v>
      </c>
      <c r="I12" t="s">
        <v>26</v>
      </c>
      <c r="J12" t="s">
        <v>25</v>
      </c>
      <c r="K12">
        <v>382</v>
      </c>
      <c r="L12">
        <v>1</v>
      </c>
      <c r="M12">
        <v>2</v>
      </c>
      <c r="N12">
        <v>3</v>
      </c>
      <c r="O12">
        <v>108</v>
      </c>
      <c r="P12">
        <v>87</v>
      </c>
      <c r="Q12">
        <v>83</v>
      </c>
      <c r="R12">
        <v>51</v>
      </c>
      <c r="S12">
        <v>36</v>
      </c>
      <c r="T12">
        <v>11</v>
      </c>
      <c r="U12">
        <v>2</v>
      </c>
      <c r="V12">
        <v>381</v>
      </c>
    </row>
    <row r="13" spans="1:22" x14ac:dyDescent="0.25">
      <c r="A13">
        <v>2025</v>
      </c>
      <c r="B13">
        <v>1</v>
      </c>
      <c r="C13" t="s">
        <v>61</v>
      </c>
      <c r="D13" t="s">
        <v>22</v>
      </c>
      <c r="E13" t="s">
        <v>162</v>
      </c>
      <c r="F13" t="s">
        <v>32</v>
      </c>
      <c r="G13" t="s">
        <v>24</v>
      </c>
      <c r="H13" t="s">
        <v>25</v>
      </c>
      <c r="I13" t="s">
        <v>26</v>
      </c>
      <c r="J13" t="s">
        <v>25</v>
      </c>
      <c r="K13">
        <v>79</v>
      </c>
      <c r="L13">
        <v>0</v>
      </c>
      <c r="M13">
        <v>0</v>
      </c>
      <c r="N13">
        <v>0</v>
      </c>
      <c r="O13">
        <v>44</v>
      </c>
      <c r="P13">
        <v>36</v>
      </c>
      <c r="Q13">
        <v>29</v>
      </c>
      <c r="R13">
        <v>22</v>
      </c>
      <c r="S13">
        <v>21</v>
      </c>
      <c r="T13">
        <v>7</v>
      </c>
      <c r="U13">
        <v>3</v>
      </c>
      <c r="V13">
        <v>79</v>
      </c>
    </row>
    <row r="14" spans="1:22" x14ac:dyDescent="0.25">
      <c r="A14">
        <v>2025</v>
      </c>
      <c r="B14">
        <v>1</v>
      </c>
      <c r="C14" t="s">
        <v>61</v>
      </c>
      <c r="D14" t="s">
        <v>22</v>
      </c>
      <c r="E14" t="s">
        <v>162</v>
      </c>
      <c r="F14" t="s">
        <v>23</v>
      </c>
      <c r="G14" t="s">
        <v>24</v>
      </c>
      <c r="H14" t="s">
        <v>25</v>
      </c>
      <c r="I14" t="s">
        <v>26</v>
      </c>
      <c r="J14" t="s">
        <v>25</v>
      </c>
      <c r="K14">
        <v>68</v>
      </c>
      <c r="L14">
        <v>0</v>
      </c>
      <c r="M14">
        <v>0</v>
      </c>
      <c r="N14">
        <v>0</v>
      </c>
      <c r="O14">
        <v>41</v>
      </c>
      <c r="P14">
        <v>30</v>
      </c>
      <c r="Q14">
        <v>27</v>
      </c>
      <c r="R14">
        <v>21</v>
      </c>
      <c r="S14">
        <v>20</v>
      </c>
      <c r="T14">
        <v>9</v>
      </c>
      <c r="U14">
        <v>5</v>
      </c>
      <c r="V14">
        <v>61</v>
      </c>
    </row>
    <row r="15" spans="1:22" x14ac:dyDescent="0.25">
      <c r="A15">
        <v>2025</v>
      </c>
      <c r="B15">
        <v>1</v>
      </c>
      <c r="C15" t="s">
        <v>61</v>
      </c>
      <c r="D15" t="s">
        <v>22</v>
      </c>
      <c r="E15" t="s">
        <v>37</v>
      </c>
      <c r="F15" t="s">
        <v>38</v>
      </c>
      <c r="G15" t="s">
        <v>24</v>
      </c>
      <c r="H15" t="s">
        <v>25</v>
      </c>
      <c r="I15" t="s">
        <v>26</v>
      </c>
      <c r="J15" t="s">
        <v>25</v>
      </c>
      <c r="K15">
        <v>5</v>
      </c>
      <c r="L15">
        <v>0</v>
      </c>
      <c r="M15">
        <v>0</v>
      </c>
      <c r="N15">
        <v>0</v>
      </c>
      <c r="O15">
        <v>2</v>
      </c>
      <c r="P15">
        <v>2</v>
      </c>
      <c r="Q15">
        <v>2</v>
      </c>
      <c r="R15">
        <v>0</v>
      </c>
      <c r="S15">
        <v>0</v>
      </c>
      <c r="T15">
        <v>0</v>
      </c>
      <c r="U15">
        <v>0</v>
      </c>
      <c r="V15">
        <v>5</v>
      </c>
    </row>
    <row r="16" spans="1:22" x14ac:dyDescent="0.25">
      <c r="A16">
        <v>2025</v>
      </c>
      <c r="B16">
        <v>1</v>
      </c>
      <c r="C16" t="s">
        <v>61</v>
      </c>
      <c r="D16" t="s">
        <v>22</v>
      </c>
      <c r="E16" t="s">
        <v>37</v>
      </c>
      <c r="F16" t="s">
        <v>23</v>
      </c>
      <c r="G16" t="s">
        <v>24</v>
      </c>
      <c r="H16" t="s">
        <v>25</v>
      </c>
      <c r="I16" t="s">
        <v>26</v>
      </c>
      <c r="J16" t="s">
        <v>25</v>
      </c>
      <c r="K16">
        <v>38</v>
      </c>
      <c r="L16">
        <v>0</v>
      </c>
      <c r="M16">
        <v>0</v>
      </c>
      <c r="N16">
        <v>0</v>
      </c>
      <c r="O16">
        <v>15</v>
      </c>
      <c r="P16">
        <v>15</v>
      </c>
      <c r="Q16">
        <v>15</v>
      </c>
      <c r="R16">
        <v>14</v>
      </c>
      <c r="S16">
        <v>11</v>
      </c>
      <c r="T16">
        <v>5</v>
      </c>
      <c r="U16">
        <v>4</v>
      </c>
      <c r="V16">
        <v>38</v>
      </c>
    </row>
    <row r="17" spans="1:22" x14ac:dyDescent="0.25">
      <c r="A17">
        <v>2025</v>
      </c>
      <c r="B17">
        <v>1</v>
      </c>
      <c r="C17" t="s">
        <v>61</v>
      </c>
      <c r="D17" t="s">
        <v>22</v>
      </c>
      <c r="E17" t="s">
        <v>37</v>
      </c>
      <c r="F17" t="s">
        <v>39</v>
      </c>
      <c r="G17" t="s">
        <v>28</v>
      </c>
      <c r="H17" t="s">
        <v>26</v>
      </c>
      <c r="I17" t="s">
        <v>26</v>
      </c>
      <c r="J17" t="s">
        <v>25</v>
      </c>
      <c r="K17">
        <v>1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1</v>
      </c>
    </row>
    <row r="18" spans="1:22" x14ac:dyDescent="0.25">
      <c r="A18">
        <v>2025</v>
      </c>
      <c r="B18">
        <v>1</v>
      </c>
      <c r="C18" t="s">
        <v>61</v>
      </c>
      <c r="D18" t="s">
        <v>22</v>
      </c>
      <c r="E18" t="s">
        <v>138</v>
      </c>
      <c r="F18" t="s">
        <v>34</v>
      </c>
      <c r="G18" t="s">
        <v>24</v>
      </c>
      <c r="H18" t="s">
        <v>25</v>
      </c>
      <c r="I18" t="s">
        <v>26</v>
      </c>
      <c r="J18" t="s">
        <v>26</v>
      </c>
      <c r="K18">
        <v>4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4</v>
      </c>
    </row>
    <row r="19" spans="1:22" x14ac:dyDescent="0.25">
      <c r="A19">
        <v>2025</v>
      </c>
      <c r="B19">
        <v>1</v>
      </c>
      <c r="C19" t="s">
        <v>61</v>
      </c>
      <c r="D19" t="s">
        <v>22</v>
      </c>
      <c r="E19" t="s">
        <v>139</v>
      </c>
      <c r="F19" t="s">
        <v>34</v>
      </c>
      <c r="G19" t="s">
        <v>24</v>
      </c>
      <c r="H19" t="s">
        <v>25</v>
      </c>
      <c r="I19" t="s">
        <v>26</v>
      </c>
      <c r="J19" t="s">
        <v>26</v>
      </c>
      <c r="K19">
        <v>21</v>
      </c>
      <c r="L19">
        <v>1</v>
      </c>
      <c r="M19">
        <v>0</v>
      </c>
      <c r="N19">
        <v>1</v>
      </c>
      <c r="O19">
        <v>3</v>
      </c>
      <c r="P19">
        <v>3</v>
      </c>
      <c r="Q19">
        <v>3</v>
      </c>
      <c r="R19">
        <v>3</v>
      </c>
      <c r="S19">
        <v>3</v>
      </c>
      <c r="T19">
        <v>2</v>
      </c>
      <c r="U19">
        <v>2</v>
      </c>
      <c r="V19">
        <v>20</v>
      </c>
    </row>
    <row r="20" spans="1:22" x14ac:dyDescent="0.25">
      <c r="A20">
        <v>2025</v>
      </c>
      <c r="B20">
        <v>1</v>
      </c>
      <c r="C20" t="s">
        <v>61</v>
      </c>
      <c r="D20" t="s">
        <v>22</v>
      </c>
      <c r="E20" t="s">
        <v>140</v>
      </c>
      <c r="F20" t="s">
        <v>34</v>
      </c>
      <c r="G20" t="s">
        <v>24</v>
      </c>
      <c r="H20" t="s">
        <v>25</v>
      </c>
      <c r="I20" t="s">
        <v>26</v>
      </c>
      <c r="J20" t="s">
        <v>26</v>
      </c>
      <c r="K20">
        <v>1</v>
      </c>
      <c r="L20">
        <v>0</v>
      </c>
      <c r="M20">
        <v>0</v>
      </c>
      <c r="N20">
        <v>0</v>
      </c>
      <c r="O20">
        <v>1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1</v>
      </c>
    </row>
    <row r="21" spans="1:22" x14ac:dyDescent="0.25">
      <c r="A21">
        <v>2025</v>
      </c>
      <c r="B21">
        <v>1</v>
      </c>
      <c r="C21" t="s">
        <v>61</v>
      </c>
      <c r="D21" t="s">
        <v>22</v>
      </c>
      <c r="E21" t="s">
        <v>141</v>
      </c>
      <c r="F21" t="s">
        <v>34</v>
      </c>
      <c r="G21" t="s">
        <v>24</v>
      </c>
      <c r="H21" t="s">
        <v>25</v>
      </c>
      <c r="I21" t="s">
        <v>26</v>
      </c>
      <c r="J21" t="s">
        <v>26</v>
      </c>
      <c r="K21">
        <v>12</v>
      </c>
      <c r="L21">
        <v>0</v>
      </c>
      <c r="M21">
        <v>0</v>
      </c>
      <c r="N21">
        <v>0</v>
      </c>
      <c r="O21">
        <v>7</v>
      </c>
      <c r="P21">
        <v>5</v>
      </c>
      <c r="Q21">
        <v>5</v>
      </c>
      <c r="R21">
        <v>4</v>
      </c>
      <c r="S21">
        <v>3</v>
      </c>
      <c r="T21">
        <v>0</v>
      </c>
      <c r="U21">
        <v>0</v>
      </c>
      <c r="V21">
        <v>12</v>
      </c>
    </row>
    <row r="22" spans="1:22" x14ac:dyDescent="0.25">
      <c r="A22">
        <v>2025</v>
      </c>
      <c r="B22">
        <v>1</v>
      </c>
      <c r="C22" t="s">
        <v>61</v>
      </c>
      <c r="D22" t="s">
        <v>22</v>
      </c>
      <c r="E22" t="s">
        <v>142</v>
      </c>
      <c r="F22" t="s">
        <v>34</v>
      </c>
      <c r="G22" t="s">
        <v>24</v>
      </c>
      <c r="H22" t="s">
        <v>25</v>
      </c>
      <c r="I22" t="s">
        <v>26</v>
      </c>
      <c r="J22" t="s">
        <v>26</v>
      </c>
      <c r="K22">
        <v>24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24</v>
      </c>
    </row>
    <row r="23" spans="1:22" x14ac:dyDescent="0.25">
      <c r="A23">
        <v>2025</v>
      </c>
      <c r="B23">
        <v>1</v>
      </c>
      <c r="C23" t="s">
        <v>61</v>
      </c>
      <c r="D23" t="s">
        <v>22</v>
      </c>
      <c r="E23" t="s">
        <v>144</v>
      </c>
      <c r="F23" t="s">
        <v>32</v>
      </c>
      <c r="G23" t="s">
        <v>24</v>
      </c>
      <c r="H23" t="s">
        <v>25</v>
      </c>
      <c r="I23" t="s">
        <v>26</v>
      </c>
      <c r="J23" t="s">
        <v>25</v>
      </c>
      <c r="K23">
        <v>211</v>
      </c>
      <c r="L23">
        <v>1</v>
      </c>
      <c r="M23">
        <v>7</v>
      </c>
      <c r="N23">
        <v>8</v>
      </c>
      <c r="O23">
        <v>64</v>
      </c>
      <c r="P23">
        <v>48</v>
      </c>
      <c r="Q23">
        <v>45</v>
      </c>
      <c r="R23">
        <v>31</v>
      </c>
      <c r="S23">
        <v>22</v>
      </c>
      <c r="T23">
        <v>10</v>
      </c>
      <c r="U23">
        <v>2</v>
      </c>
      <c r="V23">
        <v>206</v>
      </c>
    </row>
    <row r="24" spans="1:22" x14ac:dyDescent="0.25">
      <c r="A24">
        <v>2025</v>
      </c>
      <c r="B24">
        <v>1</v>
      </c>
      <c r="C24" t="s">
        <v>61</v>
      </c>
      <c r="D24" t="s">
        <v>22</v>
      </c>
      <c r="E24" t="s">
        <v>144</v>
      </c>
      <c r="F24" t="s">
        <v>38</v>
      </c>
      <c r="G24" t="s">
        <v>24</v>
      </c>
      <c r="H24" t="s">
        <v>25</v>
      </c>
      <c r="I24" t="s">
        <v>26</v>
      </c>
      <c r="J24" t="s">
        <v>25</v>
      </c>
      <c r="K24">
        <v>7</v>
      </c>
      <c r="L24">
        <v>0</v>
      </c>
      <c r="M24">
        <v>0</v>
      </c>
      <c r="N24">
        <v>0</v>
      </c>
      <c r="O24">
        <v>4</v>
      </c>
      <c r="P24">
        <v>3</v>
      </c>
      <c r="Q24">
        <v>3</v>
      </c>
      <c r="R24">
        <v>1</v>
      </c>
      <c r="S24">
        <v>1</v>
      </c>
      <c r="T24">
        <v>0</v>
      </c>
      <c r="U24">
        <v>0</v>
      </c>
      <c r="V24">
        <v>7</v>
      </c>
    </row>
    <row r="25" spans="1:22" x14ac:dyDescent="0.25">
      <c r="A25">
        <v>2025</v>
      </c>
      <c r="B25">
        <v>1</v>
      </c>
      <c r="C25" t="s">
        <v>61</v>
      </c>
      <c r="D25" t="s">
        <v>22</v>
      </c>
      <c r="E25" t="s">
        <v>144</v>
      </c>
      <c r="F25" t="s">
        <v>23</v>
      </c>
      <c r="G25" t="s">
        <v>28</v>
      </c>
      <c r="H25" t="s">
        <v>25</v>
      </c>
      <c r="I25" t="s">
        <v>26</v>
      </c>
      <c r="J25" t="s">
        <v>25</v>
      </c>
      <c r="K25">
        <v>14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14</v>
      </c>
    </row>
    <row r="26" spans="1:22" x14ac:dyDescent="0.25">
      <c r="A26">
        <v>2025</v>
      </c>
      <c r="B26">
        <v>1</v>
      </c>
      <c r="C26" t="s">
        <v>61</v>
      </c>
      <c r="D26" t="s">
        <v>22</v>
      </c>
      <c r="E26" t="s">
        <v>144</v>
      </c>
      <c r="F26" t="s">
        <v>23</v>
      </c>
      <c r="G26" t="s">
        <v>24</v>
      </c>
      <c r="H26" t="s">
        <v>25</v>
      </c>
      <c r="I26" t="s">
        <v>26</v>
      </c>
      <c r="J26" t="s">
        <v>25</v>
      </c>
      <c r="K26">
        <v>140</v>
      </c>
      <c r="L26">
        <v>3</v>
      </c>
      <c r="M26">
        <v>0</v>
      </c>
      <c r="N26">
        <v>3</v>
      </c>
      <c r="O26">
        <v>22</v>
      </c>
      <c r="P26">
        <v>17</v>
      </c>
      <c r="Q26">
        <v>15</v>
      </c>
      <c r="R26">
        <v>13</v>
      </c>
      <c r="S26">
        <v>11</v>
      </c>
      <c r="T26">
        <v>6</v>
      </c>
      <c r="U26">
        <v>1</v>
      </c>
      <c r="V26">
        <v>137</v>
      </c>
    </row>
    <row r="27" spans="1:22" x14ac:dyDescent="0.25">
      <c r="A27">
        <v>2025</v>
      </c>
      <c r="B27">
        <v>1</v>
      </c>
      <c r="C27" t="s">
        <v>61</v>
      </c>
      <c r="D27" t="s">
        <v>22</v>
      </c>
      <c r="E27" t="s">
        <v>144</v>
      </c>
      <c r="F27" t="s">
        <v>39</v>
      </c>
      <c r="G27" t="s">
        <v>24</v>
      </c>
      <c r="H27" t="s">
        <v>26</v>
      </c>
      <c r="I27" t="s">
        <v>26</v>
      </c>
      <c r="J27" t="s">
        <v>25</v>
      </c>
      <c r="K27">
        <v>757</v>
      </c>
      <c r="L27">
        <v>13</v>
      </c>
      <c r="M27">
        <v>21</v>
      </c>
      <c r="N27">
        <v>34</v>
      </c>
      <c r="O27">
        <v>242</v>
      </c>
      <c r="P27">
        <v>191</v>
      </c>
      <c r="Q27">
        <v>178</v>
      </c>
      <c r="R27">
        <v>134</v>
      </c>
      <c r="S27">
        <v>106</v>
      </c>
      <c r="T27">
        <v>56</v>
      </c>
      <c r="U27">
        <v>14</v>
      </c>
      <c r="V27">
        <v>723</v>
      </c>
    </row>
    <row r="28" spans="1:22" x14ac:dyDescent="0.25">
      <c r="A28">
        <v>2025</v>
      </c>
      <c r="B28">
        <v>1</v>
      </c>
      <c r="C28" t="s">
        <v>61</v>
      </c>
      <c r="D28" t="s">
        <v>22</v>
      </c>
      <c r="E28" t="s">
        <v>144</v>
      </c>
      <c r="F28" t="s">
        <v>36</v>
      </c>
      <c r="G28" t="s">
        <v>24</v>
      </c>
      <c r="H28" t="s">
        <v>25</v>
      </c>
      <c r="I28" t="s">
        <v>26</v>
      </c>
      <c r="J28" t="s">
        <v>25</v>
      </c>
      <c r="K28">
        <v>290</v>
      </c>
      <c r="L28">
        <v>3</v>
      </c>
      <c r="M28">
        <v>5</v>
      </c>
      <c r="N28">
        <v>8</v>
      </c>
      <c r="O28">
        <v>62</v>
      </c>
      <c r="P28">
        <v>45</v>
      </c>
      <c r="Q28">
        <v>42</v>
      </c>
      <c r="R28">
        <v>34</v>
      </c>
      <c r="S28">
        <v>27</v>
      </c>
      <c r="T28">
        <v>9</v>
      </c>
      <c r="U28">
        <v>2</v>
      </c>
      <c r="V28">
        <v>287</v>
      </c>
    </row>
    <row r="29" spans="1:22" x14ac:dyDescent="0.25">
      <c r="A29">
        <v>2025</v>
      </c>
      <c r="B29">
        <v>1</v>
      </c>
      <c r="C29" t="s">
        <v>61</v>
      </c>
      <c r="D29" t="s">
        <v>22</v>
      </c>
      <c r="E29" t="s">
        <v>145</v>
      </c>
      <c r="F29" t="s">
        <v>32</v>
      </c>
      <c r="G29" t="s">
        <v>28</v>
      </c>
      <c r="H29" t="s">
        <v>25</v>
      </c>
      <c r="I29" t="s">
        <v>26</v>
      </c>
      <c r="J29" t="s">
        <v>25</v>
      </c>
      <c r="K29">
        <v>1</v>
      </c>
      <c r="L29">
        <v>0</v>
      </c>
      <c r="M29">
        <v>0</v>
      </c>
      <c r="N29">
        <v>0</v>
      </c>
      <c r="O29">
        <v>1</v>
      </c>
      <c r="P29">
        <v>1</v>
      </c>
      <c r="Q29">
        <v>0</v>
      </c>
      <c r="R29">
        <v>0</v>
      </c>
      <c r="S29">
        <v>0</v>
      </c>
      <c r="T29">
        <v>0</v>
      </c>
      <c r="U29">
        <v>0</v>
      </c>
      <c r="V29">
        <v>1</v>
      </c>
    </row>
    <row r="30" spans="1:22" x14ac:dyDescent="0.25">
      <c r="A30">
        <v>2025</v>
      </c>
      <c r="B30">
        <v>1</v>
      </c>
      <c r="C30" t="s">
        <v>61</v>
      </c>
      <c r="D30" t="s">
        <v>22</v>
      </c>
      <c r="E30" t="s">
        <v>145</v>
      </c>
      <c r="F30" t="s">
        <v>32</v>
      </c>
      <c r="G30" t="s">
        <v>24</v>
      </c>
      <c r="H30" t="s">
        <v>25</v>
      </c>
      <c r="I30" t="s">
        <v>26</v>
      </c>
      <c r="J30" t="s">
        <v>25</v>
      </c>
      <c r="K30">
        <v>256</v>
      </c>
      <c r="L30">
        <v>1</v>
      </c>
      <c r="M30">
        <v>0</v>
      </c>
      <c r="N30">
        <v>1</v>
      </c>
      <c r="O30">
        <v>50</v>
      </c>
      <c r="P30">
        <v>34</v>
      </c>
      <c r="Q30">
        <v>29</v>
      </c>
      <c r="R30">
        <v>14</v>
      </c>
      <c r="S30">
        <v>12</v>
      </c>
      <c r="T30">
        <v>3</v>
      </c>
      <c r="U30">
        <v>0</v>
      </c>
      <c r="V30">
        <v>255</v>
      </c>
    </row>
    <row r="31" spans="1:22" x14ac:dyDescent="0.25">
      <c r="A31">
        <v>2025</v>
      </c>
      <c r="B31">
        <v>1</v>
      </c>
      <c r="C31" t="s">
        <v>61</v>
      </c>
      <c r="D31" t="s">
        <v>22</v>
      </c>
      <c r="E31" t="s">
        <v>145</v>
      </c>
      <c r="F31" t="s">
        <v>38</v>
      </c>
      <c r="G31" t="s">
        <v>24</v>
      </c>
      <c r="H31" t="s">
        <v>25</v>
      </c>
      <c r="I31" t="s">
        <v>26</v>
      </c>
      <c r="J31" t="s">
        <v>25</v>
      </c>
      <c r="K31">
        <v>21</v>
      </c>
      <c r="L31">
        <v>0</v>
      </c>
      <c r="M31">
        <v>0</v>
      </c>
      <c r="N31">
        <v>0</v>
      </c>
      <c r="O31">
        <v>3</v>
      </c>
      <c r="P31">
        <v>1</v>
      </c>
      <c r="Q31">
        <v>1</v>
      </c>
      <c r="R31">
        <v>0</v>
      </c>
      <c r="S31">
        <v>0</v>
      </c>
      <c r="T31">
        <v>0</v>
      </c>
      <c r="U31">
        <v>0</v>
      </c>
      <c r="V31">
        <v>21</v>
      </c>
    </row>
    <row r="32" spans="1:22" x14ac:dyDescent="0.25">
      <c r="A32">
        <v>2025</v>
      </c>
      <c r="B32">
        <v>1</v>
      </c>
      <c r="C32" t="s">
        <v>61</v>
      </c>
      <c r="D32" t="s">
        <v>22</v>
      </c>
      <c r="E32" t="s">
        <v>146</v>
      </c>
      <c r="F32" t="s">
        <v>34</v>
      </c>
      <c r="G32" t="s">
        <v>24</v>
      </c>
      <c r="H32" t="s">
        <v>25</v>
      </c>
      <c r="I32" t="s">
        <v>26</v>
      </c>
      <c r="J32" t="s">
        <v>26</v>
      </c>
      <c r="K32">
        <v>2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2</v>
      </c>
    </row>
    <row r="33" spans="1:22" x14ac:dyDescent="0.25">
      <c r="A33">
        <v>2025</v>
      </c>
      <c r="B33">
        <v>1</v>
      </c>
      <c r="C33" t="s">
        <v>61</v>
      </c>
      <c r="D33" t="s">
        <v>22</v>
      </c>
      <c r="E33" t="s">
        <v>147</v>
      </c>
      <c r="F33" t="s">
        <v>32</v>
      </c>
      <c r="G33" t="s">
        <v>24</v>
      </c>
      <c r="H33" t="s">
        <v>25</v>
      </c>
      <c r="I33" t="s">
        <v>26</v>
      </c>
      <c r="J33" t="s">
        <v>25</v>
      </c>
      <c r="K33">
        <v>60</v>
      </c>
      <c r="L33">
        <v>0</v>
      </c>
      <c r="M33">
        <v>0</v>
      </c>
      <c r="N33">
        <v>0</v>
      </c>
      <c r="O33">
        <v>23</v>
      </c>
      <c r="P33">
        <v>16</v>
      </c>
      <c r="Q33">
        <v>12</v>
      </c>
      <c r="R33">
        <v>9</v>
      </c>
      <c r="S33">
        <v>8</v>
      </c>
      <c r="T33">
        <v>4</v>
      </c>
      <c r="U33">
        <v>1</v>
      </c>
      <c r="V33">
        <v>60</v>
      </c>
    </row>
    <row r="34" spans="1:22" x14ac:dyDescent="0.25">
      <c r="A34">
        <v>2025</v>
      </c>
      <c r="B34">
        <v>1</v>
      </c>
      <c r="C34" t="s">
        <v>61</v>
      </c>
      <c r="D34" t="s">
        <v>22</v>
      </c>
      <c r="E34" t="s">
        <v>147</v>
      </c>
      <c r="F34" t="s">
        <v>36</v>
      </c>
      <c r="G34" t="s">
        <v>24</v>
      </c>
      <c r="H34" t="s">
        <v>25</v>
      </c>
      <c r="I34" t="s">
        <v>26</v>
      </c>
      <c r="J34" t="s">
        <v>25</v>
      </c>
      <c r="K34">
        <v>228</v>
      </c>
      <c r="L34">
        <v>0</v>
      </c>
      <c r="M34">
        <v>2</v>
      </c>
      <c r="N34">
        <v>2</v>
      </c>
      <c r="O34">
        <v>99</v>
      </c>
      <c r="P34">
        <v>92</v>
      </c>
      <c r="Q34">
        <v>88</v>
      </c>
      <c r="R34">
        <v>75</v>
      </c>
      <c r="S34">
        <v>53</v>
      </c>
      <c r="T34">
        <v>30</v>
      </c>
      <c r="U34">
        <v>8</v>
      </c>
      <c r="V34">
        <v>228</v>
      </c>
    </row>
    <row r="35" spans="1:22" x14ac:dyDescent="0.25">
      <c r="A35">
        <v>2025</v>
      </c>
      <c r="B35">
        <v>1</v>
      </c>
      <c r="C35" t="s">
        <v>61</v>
      </c>
      <c r="D35" t="s">
        <v>22</v>
      </c>
      <c r="E35" t="s">
        <v>148</v>
      </c>
      <c r="F35" t="s">
        <v>34</v>
      </c>
      <c r="G35" t="s">
        <v>24</v>
      </c>
      <c r="H35" t="s">
        <v>25</v>
      </c>
      <c r="I35" t="s">
        <v>26</v>
      </c>
      <c r="J35" t="s">
        <v>26</v>
      </c>
      <c r="K35">
        <v>4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4</v>
      </c>
    </row>
    <row r="36" spans="1:22" x14ac:dyDescent="0.25">
      <c r="A36">
        <v>2025</v>
      </c>
      <c r="B36">
        <v>1</v>
      </c>
      <c r="C36" t="s">
        <v>61</v>
      </c>
      <c r="D36" t="s">
        <v>22</v>
      </c>
      <c r="E36" t="s">
        <v>51</v>
      </c>
      <c r="F36" t="s">
        <v>34</v>
      </c>
      <c r="G36" t="s">
        <v>24</v>
      </c>
      <c r="H36" t="s">
        <v>25</v>
      </c>
      <c r="I36" t="s">
        <v>26</v>
      </c>
      <c r="J36" t="s">
        <v>26</v>
      </c>
      <c r="K36">
        <v>5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5</v>
      </c>
    </row>
    <row r="37" spans="1:22" x14ac:dyDescent="0.25">
      <c r="A37">
        <v>2025</v>
      </c>
      <c r="B37">
        <v>1</v>
      </c>
      <c r="C37" t="s">
        <v>61</v>
      </c>
      <c r="D37" t="s">
        <v>22</v>
      </c>
      <c r="E37" t="s">
        <v>155</v>
      </c>
      <c r="F37" t="s">
        <v>34</v>
      </c>
      <c r="G37" t="s">
        <v>24</v>
      </c>
      <c r="H37" t="s">
        <v>25</v>
      </c>
      <c r="I37" t="s">
        <v>26</v>
      </c>
      <c r="J37" t="s">
        <v>26</v>
      </c>
      <c r="K37">
        <v>20</v>
      </c>
      <c r="L37">
        <v>0</v>
      </c>
      <c r="M37">
        <v>0</v>
      </c>
      <c r="N37">
        <v>0</v>
      </c>
      <c r="O37">
        <v>5</v>
      </c>
      <c r="P37">
        <v>4</v>
      </c>
      <c r="Q37">
        <v>4</v>
      </c>
      <c r="R37">
        <v>2</v>
      </c>
      <c r="S37">
        <v>2</v>
      </c>
      <c r="T37">
        <v>1</v>
      </c>
      <c r="U37">
        <v>1</v>
      </c>
      <c r="V37">
        <v>20</v>
      </c>
    </row>
    <row r="38" spans="1:22" x14ac:dyDescent="0.25">
      <c r="A38">
        <v>2025</v>
      </c>
      <c r="B38">
        <v>1</v>
      </c>
      <c r="C38" t="s">
        <v>61</v>
      </c>
      <c r="D38" t="s">
        <v>22</v>
      </c>
      <c r="E38" t="s">
        <v>152</v>
      </c>
      <c r="F38" t="s">
        <v>31</v>
      </c>
      <c r="G38" t="s">
        <v>24</v>
      </c>
      <c r="H38" t="s">
        <v>25</v>
      </c>
      <c r="I38" t="s">
        <v>26</v>
      </c>
      <c r="J38" t="s">
        <v>25</v>
      </c>
      <c r="K38">
        <v>81</v>
      </c>
      <c r="L38">
        <v>0</v>
      </c>
      <c r="M38">
        <v>0</v>
      </c>
      <c r="N38">
        <v>0</v>
      </c>
      <c r="O38">
        <v>25</v>
      </c>
      <c r="P38">
        <v>16</v>
      </c>
      <c r="Q38">
        <v>12</v>
      </c>
      <c r="R38">
        <v>8</v>
      </c>
      <c r="S38">
        <v>6</v>
      </c>
      <c r="T38">
        <v>3</v>
      </c>
      <c r="U38">
        <v>1</v>
      </c>
      <c r="V38">
        <v>81</v>
      </c>
    </row>
    <row r="39" spans="1:22" x14ac:dyDescent="0.25">
      <c r="A39">
        <v>2025</v>
      </c>
      <c r="B39">
        <v>1</v>
      </c>
      <c r="C39" t="s">
        <v>61</v>
      </c>
      <c r="D39" t="s">
        <v>22</v>
      </c>
      <c r="E39" t="s">
        <v>152</v>
      </c>
      <c r="F39" t="s">
        <v>32</v>
      </c>
      <c r="G39" t="s">
        <v>24</v>
      </c>
      <c r="H39" t="s">
        <v>25</v>
      </c>
      <c r="I39" t="s">
        <v>26</v>
      </c>
      <c r="J39" t="s">
        <v>25</v>
      </c>
      <c r="K39">
        <v>56</v>
      </c>
      <c r="L39">
        <v>0</v>
      </c>
      <c r="M39">
        <v>0</v>
      </c>
      <c r="N39">
        <v>0</v>
      </c>
      <c r="O39">
        <v>14</v>
      </c>
      <c r="P39">
        <v>13</v>
      </c>
      <c r="Q39">
        <v>13</v>
      </c>
      <c r="R39">
        <v>9</v>
      </c>
      <c r="S39">
        <v>7</v>
      </c>
      <c r="T39">
        <v>2</v>
      </c>
      <c r="U39">
        <v>1</v>
      </c>
      <c r="V39">
        <v>38</v>
      </c>
    </row>
    <row r="40" spans="1:22" x14ac:dyDescent="0.25">
      <c r="A40">
        <v>2025</v>
      </c>
      <c r="B40">
        <v>1</v>
      </c>
      <c r="C40" t="s">
        <v>61</v>
      </c>
      <c r="D40" t="s">
        <v>22</v>
      </c>
      <c r="E40" t="s">
        <v>152</v>
      </c>
      <c r="F40" t="s">
        <v>34</v>
      </c>
      <c r="G40" t="s">
        <v>24</v>
      </c>
      <c r="H40" t="s">
        <v>25</v>
      </c>
      <c r="I40" t="s">
        <v>26</v>
      </c>
      <c r="J40" t="s">
        <v>26</v>
      </c>
      <c r="K40">
        <v>38</v>
      </c>
      <c r="L40">
        <v>0</v>
      </c>
      <c r="M40">
        <v>0</v>
      </c>
      <c r="N40">
        <v>0</v>
      </c>
      <c r="O40">
        <v>9</v>
      </c>
      <c r="P40">
        <v>6</v>
      </c>
      <c r="Q40">
        <v>6</v>
      </c>
      <c r="R40">
        <v>5</v>
      </c>
      <c r="S40">
        <v>3</v>
      </c>
      <c r="T40">
        <v>3</v>
      </c>
      <c r="U40">
        <v>3</v>
      </c>
      <c r="V40">
        <v>29</v>
      </c>
    </row>
    <row r="41" spans="1:22" x14ac:dyDescent="0.25">
      <c r="A41">
        <v>2025</v>
      </c>
      <c r="B41">
        <v>1</v>
      </c>
      <c r="C41" t="s">
        <v>61</v>
      </c>
      <c r="D41" t="s">
        <v>22</v>
      </c>
      <c r="E41" t="s">
        <v>52</v>
      </c>
      <c r="F41" t="s">
        <v>34</v>
      </c>
      <c r="G41" t="s">
        <v>24</v>
      </c>
      <c r="H41" t="s">
        <v>25</v>
      </c>
      <c r="I41" t="s">
        <v>26</v>
      </c>
      <c r="J41" t="s">
        <v>26</v>
      </c>
      <c r="K41">
        <v>31</v>
      </c>
      <c r="L41">
        <v>0</v>
      </c>
      <c r="M41">
        <v>0</v>
      </c>
      <c r="N41">
        <v>0</v>
      </c>
      <c r="O41">
        <v>8</v>
      </c>
      <c r="P41">
        <v>8</v>
      </c>
      <c r="Q41">
        <v>8</v>
      </c>
      <c r="R41">
        <v>4</v>
      </c>
      <c r="S41">
        <v>3</v>
      </c>
      <c r="T41">
        <v>3</v>
      </c>
      <c r="U41">
        <v>1</v>
      </c>
      <c r="V41">
        <v>31</v>
      </c>
    </row>
    <row r="42" spans="1:22" x14ac:dyDescent="0.25">
      <c r="A42">
        <v>2025</v>
      </c>
      <c r="B42">
        <v>1</v>
      </c>
      <c r="C42" t="s">
        <v>61</v>
      </c>
      <c r="D42" t="s">
        <v>22</v>
      </c>
      <c r="E42" t="s">
        <v>163</v>
      </c>
      <c r="F42" t="s">
        <v>32</v>
      </c>
      <c r="G42" t="s">
        <v>24</v>
      </c>
      <c r="H42" t="s">
        <v>25</v>
      </c>
      <c r="I42" t="s">
        <v>26</v>
      </c>
      <c r="J42" t="s">
        <v>25</v>
      </c>
      <c r="K42">
        <v>175</v>
      </c>
      <c r="L42">
        <v>0</v>
      </c>
      <c r="M42">
        <v>0</v>
      </c>
      <c r="N42">
        <v>0</v>
      </c>
      <c r="O42">
        <v>81</v>
      </c>
      <c r="P42">
        <v>68</v>
      </c>
      <c r="Q42">
        <v>63</v>
      </c>
      <c r="R42">
        <v>52</v>
      </c>
      <c r="S42">
        <v>40</v>
      </c>
      <c r="T42">
        <v>13</v>
      </c>
      <c r="U42">
        <v>3</v>
      </c>
      <c r="V42">
        <v>160</v>
      </c>
    </row>
    <row r="43" spans="1:22" x14ac:dyDescent="0.25">
      <c r="A43">
        <v>2025</v>
      </c>
      <c r="B43">
        <v>1</v>
      </c>
      <c r="C43" t="s">
        <v>61</v>
      </c>
      <c r="D43" t="s">
        <v>22</v>
      </c>
      <c r="E43" t="s">
        <v>163</v>
      </c>
      <c r="F43" t="s">
        <v>34</v>
      </c>
      <c r="G43" t="s">
        <v>24</v>
      </c>
      <c r="H43" t="s">
        <v>25</v>
      </c>
      <c r="I43" t="s">
        <v>26</v>
      </c>
      <c r="J43" t="s">
        <v>26</v>
      </c>
      <c r="K43">
        <v>36</v>
      </c>
      <c r="L43">
        <v>0</v>
      </c>
      <c r="M43">
        <v>0</v>
      </c>
      <c r="N43">
        <v>0</v>
      </c>
      <c r="O43">
        <v>9</v>
      </c>
      <c r="P43">
        <v>8</v>
      </c>
      <c r="Q43">
        <v>7</v>
      </c>
      <c r="R43">
        <v>7</v>
      </c>
      <c r="S43">
        <v>7</v>
      </c>
      <c r="T43">
        <v>4</v>
      </c>
      <c r="U43">
        <v>2</v>
      </c>
      <c r="V43">
        <v>29</v>
      </c>
    </row>
    <row r="44" spans="1:22" x14ac:dyDescent="0.25">
      <c r="A44">
        <v>2025</v>
      </c>
      <c r="B44">
        <v>1</v>
      </c>
      <c r="C44" t="s">
        <v>61</v>
      </c>
      <c r="D44" t="s">
        <v>22</v>
      </c>
      <c r="E44" t="s">
        <v>163</v>
      </c>
      <c r="F44" t="s">
        <v>23</v>
      </c>
      <c r="G44" t="s">
        <v>24</v>
      </c>
      <c r="H44" t="s">
        <v>25</v>
      </c>
      <c r="I44" t="s">
        <v>26</v>
      </c>
      <c r="J44" t="s">
        <v>25</v>
      </c>
      <c r="K44">
        <v>53</v>
      </c>
      <c r="L44">
        <v>0</v>
      </c>
      <c r="M44">
        <v>0</v>
      </c>
      <c r="N44">
        <v>0</v>
      </c>
      <c r="O44">
        <v>5</v>
      </c>
      <c r="P44">
        <v>4</v>
      </c>
      <c r="Q44">
        <v>4</v>
      </c>
      <c r="R44">
        <v>4</v>
      </c>
      <c r="S44">
        <v>3</v>
      </c>
      <c r="T44">
        <v>1</v>
      </c>
      <c r="U44">
        <v>0</v>
      </c>
      <c r="V44">
        <v>48</v>
      </c>
    </row>
    <row r="45" spans="1:22" x14ac:dyDescent="0.25">
      <c r="A45">
        <v>2025</v>
      </c>
      <c r="B45">
        <v>1</v>
      </c>
      <c r="C45" t="s">
        <v>61</v>
      </c>
      <c r="D45" t="s">
        <v>22</v>
      </c>
      <c r="E45" t="s">
        <v>164</v>
      </c>
      <c r="F45" t="s">
        <v>23</v>
      </c>
      <c r="G45" t="s">
        <v>24</v>
      </c>
      <c r="H45" t="s">
        <v>25</v>
      </c>
      <c r="I45" t="s">
        <v>26</v>
      </c>
      <c r="J45" t="s">
        <v>25</v>
      </c>
      <c r="K45">
        <v>47</v>
      </c>
      <c r="L45">
        <v>0</v>
      </c>
      <c r="M45">
        <v>0</v>
      </c>
      <c r="N45">
        <v>0</v>
      </c>
      <c r="O45">
        <v>13</v>
      </c>
      <c r="P45">
        <v>9</v>
      </c>
      <c r="Q45">
        <v>6</v>
      </c>
      <c r="R45">
        <v>5</v>
      </c>
      <c r="S45">
        <v>4</v>
      </c>
      <c r="T45">
        <v>1</v>
      </c>
      <c r="U45">
        <v>1</v>
      </c>
      <c r="V45">
        <v>41</v>
      </c>
    </row>
    <row r="46" spans="1:22" x14ac:dyDescent="0.25">
      <c r="A46">
        <v>2025</v>
      </c>
      <c r="B46">
        <v>1</v>
      </c>
      <c r="C46" t="s">
        <v>61</v>
      </c>
      <c r="D46" t="s">
        <v>22</v>
      </c>
      <c r="E46" t="s">
        <v>165</v>
      </c>
      <c r="F46" t="s">
        <v>31</v>
      </c>
      <c r="G46" t="s">
        <v>24</v>
      </c>
      <c r="H46" t="s">
        <v>25</v>
      </c>
      <c r="I46" t="s">
        <v>26</v>
      </c>
      <c r="J46" t="s">
        <v>25</v>
      </c>
      <c r="K46">
        <v>5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5</v>
      </c>
    </row>
    <row r="47" spans="1:22" x14ac:dyDescent="0.25">
      <c r="A47">
        <v>2025</v>
      </c>
      <c r="B47">
        <v>1</v>
      </c>
      <c r="C47" t="s">
        <v>61</v>
      </c>
      <c r="D47" t="s">
        <v>22</v>
      </c>
      <c r="E47" t="s">
        <v>61</v>
      </c>
      <c r="F47" t="s">
        <v>31</v>
      </c>
      <c r="G47" t="s">
        <v>28</v>
      </c>
      <c r="H47" t="s">
        <v>25</v>
      </c>
      <c r="I47" t="s">
        <v>26</v>
      </c>
      <c r="J47" t="s">
        <v>25</v>
      </c>
      <c r="K47">
        <v>475</v>
      </c>
      <c r="L47">
        <v>0</v>
      </c>
      <c r="M47">
        <v>2</v>
      </c>
      <c r="N47">
        <v>2</v>
      </c>
      <c r="O47">
        <v>89</v>
      </c>
      <c r="P47">
        <v>53</v>
      </c>
      <c r="Q47">
        <v>47</v>
      </c>
      <c r="R47">
        <v>23</v>
      </c>
      <c r="S47">
        <v>21</v>
      </c>
      <c r="T47">
        <v>5</v>
      </c>
      <c r="U47">
        <v>3</v>
      </c>
      <c r="V47">
        <v>473</v>
      </c>
    </row>
    <row r="48" spans="1:22" x14ac:dyDescent="0.25">
      <c r="A48">
        <v>2025</v>
      </c>
      <c r="B48">
        <v>1</v>
      </c>
      <c r="C48" t="s">
        <v>61</v>
      </c>
      <c r="D48" t="s">
        <v>22</v>
      </c>
      <c r="E48" t="s">
        <v>61</v>
      </c>
      <c r="F48" t="s">
        <v>32</v>
      </c>
      <c r="G48" t="s">
        <v>28</v>
      </c>
      <c r="H48" t="s">
        <v>25</v>
      </c>
      <c r="I48" t="s">
        <v>26</v>
      </c>
      <c r="J48" t="s">
        <v>25</v>
      </c>
      <c r="K48">
        <v>4</v>
      </c>
      <c r="L48">
        <v>0</v>
      </c>
      <c r="M48">
        <v>0</v>
      </c>
      <c r="N48">
        <v>0</v>
      </c>
      <c r="O48">
        <v>2</v>
      </c>
      <c r="P48">
        <v>2</v>
      </c>
      <c r="Q48">
        <v>2</v>
      </c>
      <c r="R48">
        <v>2</v>
      </c>
      <c r="S48">
        <v>1</v>
      </c>
      <c r="T48">
        <v>0</v>
      </c>
      <c r="U48">
        <v>0</v>
      </c>
      <c r="V48">
        <v>4</v>
      </c>
    </row>
    <row r="49" spans="1:22" x14ac:dyDescent="0.25">
      <c r="A49">
        <v>2025</v>
      </c>
      <c r="B49">
        <v>1</v>
      </c>
      <c r="C49" t="s">
        <v>61</v>
      </c>
      <c r="D49" t="s">
        <v>22</v>
      </c>
      <c r="E49" t="s">
        <v>61</v>
      </c>
      <c r="F49" t="s">
        <v>34</v>
      </c>
      <c r="G49" t="s">
        <v>28</v>
      </c>
      <c r="H49" t="s">
        <v>25</v>
      </c>
      <c r="I49" t="s">
        <v>26</v>
      </c>
      <c r="J49" t="s">
        <v>26</v>
      </c>
      <c r="K49">
        <v>12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12</v>
      </c>
    </row>
    <row r="50" spans="1:22" x14ac:dyDescent="0.25">
      <c r="A50">
        <v>2025</v>
      </c>
      <c r="B50">
        <v>1</v>
      </c>
      <c r="C50" t="s">
        <v>61</v>
      </c>
      <c r="D50" t="s">
        <v>22</v>
      </c>
      <c r="E50" t="s">
        <v>61</v>
      </c>
      <c r="F50" t="s">
        <v>34</v>
      </c>
      <c r="G50" t="s">
        <v>24</v>
      </c>
      <c r="H50" t="s">
        <v>25</v>
      </c>
      <c r="I50" t="s">
        <v>26</v>
      </c>
      <c r="J50" t="s">
        <v>26</v>
      </c>
      <c r="K50">
        <v>29</v>
      </c>
      <c r="L50">
        <v>1</v>
      </c>
      <c r="M50">
        <v>0</v>
      </c>
      <c r="N50">
        <v>1</v>
      </c>
      <c r="O50">
        <v>10</v>
      </c>
      <c r="P50">
        <v>7</v>
      </c>
      <c r="Q50">
        <v>6</v>
      </c>
      <c r="R50">
        <v>6</v>
      </c>
      <c r="S50">
        <v>2</v>
      </c>
      <c r="T50">
        <v>2</v>
      </c>
      <c r="U50">
        <v>0</v>
      </c>
      <c r="V50">
        <v>28</v>
      </c>
    </row>
    <row r="51" spans="1:22" x14ac:dyDescent="0.25">
      <c r="A51">
        <v>2025</v>
      </c>
      <c r="B51">
        <v>1</v>
      </c>
      <c r="C51" t="s">
        <v>61</v>
      </c>
      <c r="D51" t="s">
        <v>22</v>
      </c>
      <c r="E51" t="s">
        <v>61</v>
      </c>
      <c r="F51" t="s">
        <v>23</v>
      </c>
      <c r="G51" t="s">
        <v>28</v>
      </c>
      <c r="H51" t="s">
        <v>25</v>
      </c>
      <c r="I51" t="s">
        <v>26</v>
      </c>
      <c r="J51" t="s">
        <v>25</v>
      </c>
      <c r="K51">
        <v>1688</v>
      </c>
      <c r="L51">
        <v>1</v>
      </c>
      <c r="M51">
        <v>3</v>
      </c>
      <c r="N51">
        <v>4</v>
      </c>
      <c r="O51">
        <v>246</v>
      </c>
      <c r="P51">
        <v>162</v>
      </c>
      <c r="Q51">
        <v>133</v>
      </c>
      <c r="R51">
        <v>82</v>
      </c>
      <c r="S51">
        <v>61</v>
      </c>
      <c r="T51">
        <v>33</v>
      </c>
      <c r="U51">
        <v>14</v>
      </c>
      <c r="V51">
        <v>1685</v>
      </c>
    </row>
    <row r="52" spans="1:22" x14ac:dyDescent="0.25">
      <c r="A52">
        <v>2025</v>
      </c>
      <c r="B52">
        <v>1</v>
      </c>
      <c r="C52" t="s">
        <v>61</v>
      </c>
      <c r="D52" t="s">
        <v>22</v>
      </c>
      <c r="E52" t="s">
        <v>61</v>
      </c>
      <c r="F52" t="s">
        <v>23</v>
      </c>
      <c r="G52" t="s">
        <v>29</v>
      </c>
      <c r="H52" t="s">
        <v>25</v>
      </c>
      <c r="I52" t="s">
        <v>26</v>
      </c>
      <c r="J52" t="s">
        <v>25</v>
      </c>
      <c r="K52">
        <v>1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 x14ac:dyDescent="0.25">
      <c r="A53">
        <v>2025</v>
      </c>
      <c r="B53">
        <v>1</v>
      </c>
      <c r="C53" t="s">
        <v>61</v>
      </c>
      <c r="D53" t="s">
        <v>22</v>
      </c>
      <c r="E53" t="s">
        <v>61</v>
      </c>
      <c r="F53" t="s">
        <v>39</v>
      </c>
      <c r="G53" t="s">
        <v>28</v>
      </c>
      <c r="H53" t="s">
        <v>26</v>
      </c>
      <c r="I53" t="s">
        <v>26</v>
      </c>
      <c r="J53" t="s">
        <v>25</v>
      </c>
      <c r="K53">
        <v>27</v>
      </c>
      <c r="L53">
        <v>0</v>
      </c>
      <c r="M53">
        <v>0</v>
      </c>
      <c r="N53">
        <v>0</v>
      </c>
      <c r="O53">
        <v>4</v>
      </c>
      <c r="P53">
        <v>3</v>
      </c>
      <c r="Q53">
        <v>3</v>
      </c>
      <c r="R53">
        <v>3</v>
      </c>
      <c r="S53">
        <v>3</v>
      </c>
      <c r="T53">
        <v>1</v>
      </c>
      <c r="U53">
        <v>0</v>
      </c>
      <c r="V53">
        <v>27</v>
      </c>
    </row>
    <row r="54" spans="1:22" x14ac:dyDescent="0.25">
      <c r="A54">
        <v>2025</v>
      </c>
      <c r="B54">
        <v>1</v>
      </c>
      <c r="C54" t="s">
        <v>61</v>
      </c>
      <c r="D54" t="s">
        <v>22</v>
      </c>
      <c r="E54" t="s">
        <v>61</v>
      </c>
      <c r="F54" t="s">
        <v>35</v>
      </c>
      <c r="G54" t="s">
        <v>28</v>
      </c>
      <c r="H54" t="s">
        <v>25</v>
      </c>
      <c r="I54" t="s">
        <v>26</v>
      </c>
      <c r="J54" t="s">
        <v>26</v>
      </c>
      <c r="K54">
        <v>96</v>
      </c>
      <c r="L54">
        <v>0</v>
      </c>
      <c r="M54">
        <v>0</v>
      </c>
      <c r="N54">
        <v>0</v>
      </c>
      <c r="O54">
        <v>8</v>
      </c>
      <c r="P54">
        <v>5</v>
      </c>
      <c r="Q54">
        <v>5</v>
      </c>
      <c r="R54">
        <v>5</v>
      </c>
      <c r="S54">
        <v>3</v>
      </c>
      <c r="T54">
        <v>0</v>
      </c>
      <c r="U54">
        <v>0</v>
      </c>
      <c r="V54">
        <v>96</v>
      </c>
    </row>
    <row r="55" spans="1:22" x14ac:dyDescent="0.25">
      <c r="A55">
        <v>2025</v>
      </c>
      <c r="B55">
        <v>1</v>
      </c>
      <c r="C55" t="s">
        <v>61</v>
      </c>
      <c r="D55" t="s">
        <v>22</v>
      </c>
      <c r="E55" t="s">
        <v>61</v>
      </c>
      <c r="F55" t="s">
        <v>35</v>
      </c>
      <c r="G55" t="s">
        <v>24</v>
      </c>
      <c r="H55" t="s">
        <v>25</v>
      </c>
      <c r="I55" t="s">
        <v>26</v>
      </c>
      <c r="J55" t="s">
        <v>26</v>
      </c>
      <c r="K55">
        <v>622</v>
      </c>
      <c r="L55">
        <v>6</v>
      </c>
      <c r="M55">
        <v>0</v>
      </c>
      <c r="N55">
        <v>6</v>
      </c>
      <c r="O55">
        <v>196</v>
      </c>
      <c r="P55">
        <v>157</v>
      </c>
      <c r="Q55">
        <v>151</v>
      </c>
      <c r="R55">
        <v>132</v>
      </c>
      <c r="S55">
        <v>119</v>
      </c>
      <c r="T55">
        <v>77</v>
      </c>
      <c r="U55">
        <v>36</v>
      </c>
      <c r="V55">
        <v>613</v>
      </c>
    </row>
    <row r="56" spans="1:22" x14ac:dyDescent="0.25">
      <c r="A56">
        <v>2025</v>
      </c>
      <c r="B56">
        <v>1</v>
      </c>
      <c r="C56" t="s">
        <v>61</v>
      </c>
      <c r="D56" t="s">
        <v>22</v>
      </c>
      <c r="E56" t="s">
        <v>61</v>
      </c>
      <c r="F56" t="s">
        <v>36</v>
      </c>
      <c r="G56" t="s">
        <v>28</v>
      </c>
      <c r="H56" t="s">
        <v>25</v>
      </c>
      <c r="I56" t="s">
        <v>26</v>
      </c>
      <c r="J56" t="s">
        <v>25</v>
      </c>
      <c r="K56">
        <v>2083</v>
      </c>
      <c r="L56">
        <v>6</v>
      </c>
      <c r="M56">
        <v>53</v>
      </c>
      <c r="N56">
        <v>59</v>
      </c>
      <c r="O56">
        <v>297</v>
      </c>
      <c r="P56">
        <v>187</v>
      </c>
      <c r="Q56">
        <v>157</v>
      </c>
      <c r="R56">
        <v>94</v>
      </c>
      <c r="S56">
        <v>63</v>
      </c>
      <c r="T56">
        <v>26</v>
      </c>
      <c r="U56">
        <v>5</v>
      </c>
      <c r="V56">
        <v>2047</v>
      </c>
    </row>
    <row r="57" spans="1:22" x14ac:dyDescent="0.25">
      <c r="A57">
        <v>2025</v>
      </c>
      <c r="B57">
        <v>1</v>
      </c>
      <c r="C57" t="s">
        <v>61</v>
      </c>
      <c r="D57" t="s">
        <v>22</v>
      </c>
      <c r="E57" t="s">
        <v>61</v>
      </c>
      <c r="F57" t="s">
        <v>36</v>
      </c>
      <c r="G57" t="s">
        <v>24</v>
      </c>
      <c r="H57" t="s">
        <v>25</v>
      </c>
      <c r="I57" t="s">
        <v>26</v>
      </c>
      <c r="J57" t="s">
        <v>25</v>
      </c>
      <c r="K57">
        <v>121</v>
      </c>
      <c r="L57">
        <v>0</v>
      </c>
      <c r="M57">
        <v>0</v>
      </c>
      <c r="N57">
        <v>0</v>
      </c>
      <c r="O57">
        <v>44</v>
      </c>
      <c r="P57">
        <v>37</v>
      </c>
      <c r="Q57">
        <v>30</v>
      </c>
      <c r="R57">
        <v>17</v>
      </c>
      <c r="S57">
        <v>13</v>
      </c>
      <c r="T57">
        <v>6</v>
      </c>
      <c r="U57">
        <v>1</v>
      </c>
      <c r="V57">
        <v>121</v>
      </c>
    </row>
    <row r="58" spans="1:22" x14ac:dyDescent="0.25">
      <c r="A58">
        <v>2025</v>
      </c>
      <c r="B58">
        <v>1</v>
      </c>
      <c r="C58" t="s">
        <v>61</v>
      </c>
      <c r="D58" t="s">
        <v>22</v>
      </c>
      <c r="E58" t="s">
        <v>61</v>
      </c>
      <c r="F58" t="s">
        <v>36</v>
      </c>
      <c r="G58" t="s">
        <v>29</v>
      </c>
      <c r="H58" t="s">
        <v>25</v>
      </c>
      <c r="I58" t="s">
        <v>26</v>
      </c>
      <c r="J58" t="s">
        <v>25</v>
      </c>
      <c r="K58">
        <v>1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 x14ac:dyDescent="0.25">
      <c r="A59">
        <v>2025</v>
      </c>
      <c r="B59">
        <v>1</v>
      </c>
      <c r="C59" t="s">
        <v>61</v>
      </c>
      <c r="D59" t="s">
        <v>22</v>
      </c>
      <c r="E59" t="s">
        <v>61</v>
      </c>
      <c r="F59" t="s">
        <v>41</v>
      </c>
      <c r="G59" t="s">
        <v>28</v>
      </c>
      <c r="H59" t="s">
        <v>26</v>
      </c>
      <c r="I59" t="s">
        <v>26</v>
      </c>
      <c r="J59" t="s">
        <v>25</v>
      </c>
      <c r="K59">
        <v>906</v>
      </c>
      <c r="L59">
        <v>3</v>
      </c>
      <c r="M59">
        <v>52</v>
      </c>
      <c r="N59">
        <v>55</v>
      </c>
      <c r="O59">
        <v>249</v>
      </c>
      <c r="P59">
        <v>209</v>
      </c>
      <c r="Q59">
        <v>191</v>
      </c>
      <c r="R59">
        <v>142</v>
      </c>
      <c r="S59">
        <v>120</v>
      </c>
      <c r="T59">
        <v>47</v>
      </c>
      <c r="U59">
        <v>16</v>
      </c>
      <c r="V59">
        <v>875</v>
      </c>
    </row>
    <row r="60" spans="1:22" x14ac:dyDescent="0.25">
      <c r="A60">
        <v>2025</v>
      </c>
      <c r="B60">
        <v>1</v>
      </c>
      <c r="C60" t="s">
        <v>61</v>
      </c>
      <c r="D60" t="s">
        <v>22</v>
      </c>
      <c r="E60" t="s">
        <v>61</v>
      </c>
      <c r="F60" t="s">
        <v>41</v>
      </c>
      <c r="G60" t="s">
        <v>24</v>
      </c>
      <c r="H60" t="s">
        <v>26</v>
      </c>
      <c r="I60" t="s">
        <v>26</v>
      </c>
      <c r="J60" t="s">
        <v>25</v>
      </c>
      <c r="K60">
        <v>918</v>
      </c>
      <c r="L60">
        <v>3</v>
      </c>
      <c r="M60">
        <v>9</v>
      </c>
      <c r="N60">
        <v>12</v>
      </c>
      <c r="O60">
        <v>241</v>
      </c>
      <c r="P60">
        <v>181</v>
      </c>
      <c r="Q60">
        <v>168</v>
      </c>
      <c r="R60">
        <v>129</v>
      </c>
      <c r="S60">
        <v>96</v>
      </c>
      <c r="T60">
        <v>43</v>
      </c>
      <c r="U60">
        <v>14</v>
      </c>
      <c r="V60">
        <v>911</v>
      </c>
    </row>
    <row r="61" spans="1:22" x14ac:dyDescent="0.25">
      <c r="A61">
        <v>2025</v>
      </c>
      <c r="B61">
        <v>1</v>
      </c>
      <c r="C61" t="s">
        <v>61</v>
      </c>
      <c r="D61" t="s">
        <v>22</v>
      </c>
      <c r="E61" t="s">
        <v>166</v>
      </c>
      <c r="F61" t="s">
        <v>32</v>
      </c>
      <c r="G61" t="s">
        <v>24</v>
      </c>
      <c r="H61" t="s">
        <v>25</v>
      </c>
      <c r="I61" t="s">
        <v>26</v>
      </c>
      <c r="J61" t="s">
        <v>25</v>
      </c>
      <c r="K61">
        <v>177</v>
      </c>
      <c r="L61">
        <v>0</v>
      </c>
      <c r="M61">
        <v>1</v>
      </c>
      <c r="N61">
        <v>1</v>
      </c>
      <c r="O61">
        <v>95</v>
      </c>
      <c r="P61">
        <v>81</v>
      </c>
      <c r="Q61">
        <v>74</v>
      </c>
      <c r="R61">
        <v>55</v>
      </c>
      <c r="S61">
        <v>28</v>
      </c>
      <c r="T61">
        <v>9</v>
      </c>
      <c r="U61">
        <v>3</v>
      </c>
      <c r="V61">
        <v>176</v>
      </c>
    </row>
    <row r="62" spans="1:22" x14ac:dyDescent="0.25">
      <c r="A62">
        <v>2025</v>
      </c>
      <c r="B62">
        <v>1</v>
      </c>
      <c r="C62" t="s">
        <v>61</v>
      </c>
      <c r="D62" t="s">
        <v>22</v>
      </c>
      <c r="E62" t="s">
        <v>166</v>
      </c>
      <c r="F62" t="s">
        <v>38</v>
      </c>
      <c r="G62" t="s">
        <v>24</v>
      </c>
      <c r="H62" t="s">
        <v>25</v>
      </c>
      <c r="I62" t="s">
        <v>26</v>
      </c>
      <c r="J62" t="s">
        <v>25</v>
      </c>
      <c r="K62">
        <v>14</v>
      </c>
      <c r="L62">
        <v>0</v>
      </c>
      <c r="M62">
        <v>0</v>
      </c>
      <c r="N62">
        <v>0</v>
      </c>
      <c r="O62">
        <v>6</v>
      </c>
      <c r="P62">
        <v>3</v>
      </c>
      <c r="Q62">
        <v>3</v>
      </c>
      <c r="R62">
        <v>1</v>
      </c>
      <c r="S62">
        <v>0</v>
      </c>
      <c r="T62">
        <v>0</v>
      </c>
      <c r="U62">
        <v>0</v>
      </c>
      <c r="V62">
        <v>14</v>
      </c>
    </row>
    <row r="63" spans="1:22" x14ac:dyDescent="0.25">
      <c r="A63">
        <v>2025</v>
      </c>
      <c r="B63">
        <v>1</v>
      </c>
      <c r="C63" t="s">
        <v>61</v>
      </c>
      <c r="D63" t="s">
        <v>22</v>
      </c>
      <c r="E63" t="s">
        <v>167</v>
      </c>
      <c r="F63" t="s">
        <v>32</v>
      </c>
      <c r="G63" t="s">
        <v>24</v>
      </c>
      <c r="H63" t="s">
        <v>25</v>
      </c>
      <c r="I63" t="s">
        <v>26</v>
      </c>
      <c r="J63" t="s">
        <v>25</v>
      </c>
      <c r="K63">
        <v>6</v>
      </c>
      <c r="L63">
        <v>0</v>
      </c>
      <c r="M63">
        <v>0</v>
      </c>
      <c r="N63">
        <v>0</v>
      </c>
      <c r="O63">
        <v>4</v>
      </c>
      <c r="P63">
        <v>4</v>
      </c>
      <c r="Q63">
        <v>4</v>
      </c>
      <c r="R63">
        <v>4</v>
      </c>
      <c r="S63">
        <v>4</v>
      </c>
      <c r="T63">
        <v>0</v>
      </c>
      <c r="U63">
        <v>0</v>
      </c>
      <c r="V63">
        <v>6</v>
      </c>
    </row>
    <row r="64" spans="1:22" x14ac:dyDescent="0.25">
      <c r="A64">
        <v>2025</v>
      </c>
      <c r="B64">
        <v>1</v>
      </c>
      <c r="C64" t="s">
        <v>61</v>
      </c>
      <c r="D64" t="s">
        <v>22</v>
      </c>
      <c r="E64" t="s">
        <v>167</v>
      </c>
      <c r="F64" t="s">
        <v>41</v>
      </c>
      <c r="G64" t="s">
        <v>24</v>
      </c>
      <c r="H64" t="s">
        <v>26</v>
      </c>
      <c r="I64" t="s">
        <v>26</v>
      </c>
      <c r="J64" t="s">
        <v>25</v>
      </c>
      <c r="K64">
        <v>1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1</v>
      </c>
    </row>
    <row r="65" spans="1:22" x14ac:dyDescent="0.25">
      <c r="A65">
        <v>2025</v>
      </c>
      <c r="B65">
        <v>1</v>
      </c>
      <c r="C65" t="s">
        <v>61</v>
      </c>
      <c r="D65" t="s">
        <v>22</v>
      </c>
      <c r="E65" t="s">
        <v>168</v>
      </c>
      <c r="F65" t="s">
        <v>31</v>
      </c>
      <c r="G65" t="s">
        <v>24</v>
      </c>
      <c r="H65" t="s">
        <v>25</v>
      </c>
      <c r="I65" t="s">
        <v>26</v>
      </c>
      <c r="J65" t="s">
        <v>25</v>
      </c>
      <c r="K65">
        <v>251</v>
      </c>
      <c r="L65">
        <v>0</v>
      </c>
      <c r="M65">
        <v>0</v>
      </c>
      <c r="N65">
        <v>0</v>
      </c>
      <c r="O65">
        <v>30</v>
      </c>
      <c r="P65">
        <v>17</v>
      </c>
      <c r="Q65">
        <v>9</v>
      </c>
      <c r="R65">
        <v>4</v>
      </c>
      <c r="S65">
        <v>2</v>
      </c>
      <c r="T65">
        <v>2</v>
      </c>
      <c r="U65">
        <v>0</v>
      </c>
      <c r="V65">
        <v>251</v>
      </c>
    </row>
    <row r="66" spans="1:22" x14ac:dyDescent="0.25">
      <c r="A66">
        <v>2025</v>
      </c>
      <c r="B66">
        <v>1</v>
      </c>
      <c r="C66" t="s">
        <v>61</v>
      </c>
      <c r="D66" t="s">
        <v>22</v>
      </c>
      <c r="E66" t="s">
        <v>168</v>
      </c>
      <c r="F66" t="s">
        <v>32</v>
      </c>
      <c r="G66" t="s">
        <v>24</v>
      </c>
      <c r="H66" t="s">
        <v>25</v>
      </c>
      <c r="I66" t="s">
        <v>26</v>
      </c>
      <c r="J66" t="s">
        <v>25</v>
      </c>
      <c r="K66">
        <v>7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</row>
    <row r="67" spans="1:22" x14ac:dyDescent="0.25">
      <c r="A67">
        <v>2025</v>
      </c>
      <c r="B67">
        <v>1</v>
      </c>
      <c r="C67" t="s">
        <v>61</v>
      </c>
      <c r="D67" t="s">
        <v>22</v>
      </c>
      <c r="E67" t="s">
        <v>168</v>
      </c>
      <c r="F67" t="s">
        <v>34</v>
      </c>
      <c r="G67" t="s">
        <v>24</v>
      </c>
      <c r="H67" t="s">
        <v>25</v>
      </c>
      <c r="I67" t="s">
        <v>26</v>
      </c>
      <c r="J67" t="s">
        <v>26</v>
      </c>
      <c r="K67">
        <v>6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6</v>
      </c>
    </row>
    <row r="68" spans="1:22" x14ac:dyDescent="0.25">
      <c r="A68">
        <v>2025</v>
      </c>
      <c r="B68">
        <v>1</v>
      </c>
      <c r="C68" t="s">
        <v>61</v>
      </c>
      <c r="D68" t="s">
        <v>22</v>
      </c>
      <c r="E68" t="s">
        <v>168</v>
      </c>
      <c r="F68" t="s">
        <v>23</v>
      </c>
      <c r="G68" t="s">
        <v>24</v>
      </c>
      <c r="H68" t="s">
        <v>25</v>
      </c>
      <c r="I68" t="s">
        <v>26</v>
      </c>
      <c r="J68" t="s">
        <v>25</v>
      </c>
      <c r="K68">
        <v>12</v>
      </c>
      <c r="L68">
        <v>0</v>
      </c>
      <c r="M68">
        <v>0</v>
      </c>
      <c r="N68">
        <v>0</v>
      </c>
      <c r="O68">
        <v>3</v>
      </c>
      <c r="P68">
        <v>1</v>
      </c>
      <c r="Q68">
        <v>0</v>
      </c>
      <c r="R68">
        <v>0</v>
      </c>
      <c r="S68">
        <v>0</v>
      </c>
      <c r="T68">
        <v>0</v>
      </c>
      <c r="U68">
        <v>0</v>
      </c>
      <c r="V68">
        <v>12</v>
      </c>
    </row>
    <row r="69" spans="1:22" x14ac:dyDescent="0.25">
      <c r="A69">
        <v>2025</v>
      </c>
      <c r="B69">
        <v>1</v>
      </c>
      <c r="C69" t="s">
        <v>61</v>
      </c>
      <c r="D69" t="s">
        <v>22</v>
      </c>
      <c r="E69" t="s">
        <v>169</v>
      </c>
      <c r="F69" t="s">
        <v>32</v>
      </c>
      <c r="G69" t="s">
        <v>24</v>
      </c>
      <c r="H69" t="s">
        <v>25</v>
      </c>
      <c r="I69" t="s">
        <v>26</v>
      </c>
      <c r="J69" t="s">
        <v>25</v>
      </c>
      <c r="K69">
        <v>61</v>
      </c>
      <c r="L69">
        <v>0</v>
      </c>
      <c r="M69">
        <v>0</v>
      </c>
      <c r="N69">
        <v>0</v>
      </c>
      <c r="O69">
        <v>22</v>
      </c>
      <c r="P69">
        <v>14</v>
      </c>
      <c r="Q69">
        <v>12</v>
      </c>
      <c r="R69">
        <v>10</v>
      </c>
      <c r="S69">
        <v>6</v>
      </c>
      <c r="T69">
        <v>4</v>
      </c>
      <c r="U69">
        <v>4</v>
      </c>
      <c r="V69">
        <v>61</v>
      </c>
    </row>
    <row r="70" spans="1:22" x14ac:dyDescent="0.25">
      <c r="A70">
        <v>2025</v>
      </c>
      <c r="B70">
        <v>1</v>
      </c>
      <c r="C70" t="s">
        <v>61</v>
      </c>
      <c r="D70" t="s">
        <v>22</v>
      </c>
      <c r="E70" t="s">
        <v>157</v>
      </c>
      <c r="F70" t="s">
        <v>31</v>
      </c>
      <c r="G70" t="s">
        <v>24</v>
      </c>
      <c r="H70" t="s">
        <v>25</v>
      </c>
      <c r="I70" t="s">
        <v>26</v>
      </c>
      <c r="J70" t="s">
        <v>25</v>
      </c>
      <c r="K70">
        <v>54</v>
      </c>
      <c r="L70">
        <v>0</v>
      </c>
      <c r="M70">
        <v>0</v>
      </c>
      <c r="N70">
        <v>0</v>
      </c>
      <c r="O70">
        <v>13</v>
      </c>
      <c r="P70">
        <v>11</v>
      </c>
      <c r="Q70">
        <v>9</v>
      </c>
      <c r="R70">
        <v>4</v>
      </c>
      <c r="S70">
        <v>4</v>
      </c>
      <c r="T70">
        <v>2</v>
      </c>
      <c r="U70">
        <v>0</v>
      </c>
      <c r="V70">
        <v>54</v>
      </c>
    </row>
    <row r="71" spans="1:22" x14ac:dyDescent="0.25">
      <c r="A71">
        <v>2025</v>
      </c>
      <c r="B71">
        <v>1</v>
      </c>
      <c r="C71" t="s">
        <v>61</v>
      </c>
      <c r="D71" t="s">
        <v>22</v>
      </c>
      <c r="E71" t="s">
        <v>157</v>
      </c>
      <c r="F71" t="s">
        <v>35</v>
      </c>
      <c r="G71" t="s">
        <v>24</v>
      </c>
      <c r="H71" t="s">
        <v>25</v>
      </c>
      <c r="I71" t="s">
        <v>26</v>
      </c>
      <c r="J71" t="s">
        <v>26</v>
      </c>
      <c r="K71">
        <v>27</v>
      </c>
      <c r="L71">
        <v>0</v>
      </c>
      <c r="M71">
        <v>0</v>
      </c>
      <c r="N71">
        <v>0</v>
      </c>
      <c r="O71">
        <v>10</v>
      </c>
      <c r="P71">
        <v>8</v>
      </c>
      <c r="Q71">
        <v>8</v>
      </c>
      <c r="R71">
        <v>6</v>
      </c>
      <c r="S71">
        <v>6</v>
      </c>
      <c r="T71">
        <v>5</v>
      </c>
      <c r="U71">
        <v>2</v>
      </c>
      <c r="V71">
        <v>27</v>
      </c>
    </row>
    <row r="72" spans="1:22" x14ac:dyDescent="0.25">
      <c r="A72">
        <v>2025</v>
      </c>
      <c r="B72">
        <v>1</v>
      </c>
      <c r="C72" t="s">
        <v>61</v>
      </c>
      <c r="D72" t="s">
        <v>22</v>
      </c>
      <c r="E72" t="s">
        <v>157</v>
      </c>
      <c r="F72" t="s">
        <v>41</v>
      </c>
      <c r="G72" t="s">
        <v>24</v>
      </c>
      <c r="H72" t="s">
        <v>26</v>
      </c>
      <c r="I72" t="s">
        <v>26</v>
      </c>
      <c r="J72" t="s">
        <v>25</v>
      </c>
      <c r="K72">
        <v>53</v>
      </c>
      <c r="L72">
        <v>0</v>
      </c>
      <c r="M72">
        <v>1</v>
      </c>
      <c r="N72">
        <v>1</v>
      </c>
      <c r="O72">
        <v>21</v>
      </c>
      <c r="P72">
        <v>19</v>
      </c>
      <c r="Q72">
        <v>18</v>
      </c>
      <c r="R72">
        <v>13</v>
      </c>
      <c r="S72">
        <v>8</v>
      </c>
      <c r="T72">
        <v>3</v>
      </c>
      <c r="U72">
        <v>2</v>
      </c>
      <c r="V72">
        <v>53</v>
      </c>
    </row>
    <row r="73" spans="1:22" x14ac:dyDescent="0.25">
      <c r="A73">
        <v>2025</v>
      </c>
      <c r="B73">
        <v>1</v>
      </c>
      <c r="C73" t="s">
        <v>61</v>
      </c>
      <c r="D73" t="s">
        <v>22</v>
      </c>
      <c r="E73" t="s">
        <v>170</v>
      </c>
      <c r="F73" t="s">
        <v>32</v>
      </c>
      <c r="G73" t="s">
        <v>24</v>
      </c>
      <c r="H73" t="s">
        <v>25</v>
      </c>
      <c r="I73" t="s">
        <v>26</v>
      </c>
      <c r="J73" t="s">
        <v>25</v>
      </c>
      <c r="K73">
        <v>10</v>
      </c>
      <c r="L73">
        <v>0</v>
      </c>
      <c r="M73">
        <v>0</v>
      </c>
      <c r="N73">
        <v>0</v>
      </c>
      <c r="O73">
        <v>4</v>
      </c>
      <c r="P73">
        <v>4</v>
      </c>
      <c r="Q73">
        <v>3</v>
      </c>
      <c r="R73">
        <v>3</v>
      </c>
      <c r="S73">
        <v>3</v>
      </c>
      <c r="T73">
        <v>1</v>
      </c>
      <c r="U73">
        <v>0</v>
      </c>
      <c r="V73">
        <v>10</v>
      </c>
    </row>
    <row r="74" spans="1:22" x14ac:dyDescent="0.25">
      <c r="A74">
        <v>2025</v>
      </c>
      <c r="B74">
        <v>1</v>
      </c>
      <c r="C74" t="s">
        <v>61</v>
      </c>
      <c r="D74" t="s">
        <v>22</v>
      </c>
      <c r="E74" t="s">
        <v>170</v>
      </c>
      <c r="F74" t="s">
        <v>41</v>
      </c>
      <c r="G74" t="s">
        <v>24</v>
      </c>
      <c r="H74" t="s">
        <v>26</v>
      </c>
      <c r="I74" t="s">
        <v>26</v>
      </c>
      <c r="J74" t="s">
        <v>25</v>
      </c>
      <c r="K74">
        <v>4</v>
      </c>
      <c r="L74">
        <v>0</v>
      </c>
      <c r="M74">
        <v>0</v>
      </c>
      <c r="N74">
        <v>0</v>
      </c>
      <c r="O74">
        <v>2</v>
      </c>
      <c r="P74">
        <v>2</v>
      </c>
      <c r="Q74">
        <v>2</v>
      </c>
      <c r="R74">
        <v>2</v>
      </c>
      <c r="S74">
        <v>0</v>
      </c>
      <c r="T74">
        <v>0</v>
      </c>
      <c r="U74">
        <v>0</v>
      </c>
      <c r="V74">
        <v>4</v>
      </c>
    </row>
    <row r="75" spans="1:22" x14ac:dyDescent="0.25">
      <c r="A75">
        <v>2025</v>
      </c>
      <c r="B75">
        <v>1</v>
      </c>
      <c r="C75" t="s">
        <v>61</v>
      </c>
      <c r="D75" t="s">
        <v>22</v>
      </c>
      <c r="E75" t="s">
        <v>66</v>
      </c>
      <c r="F75" t="s">
        <v>34</v>
      </c>
      <c r="G75" t="s">
        <v>24</v>
      </c>
      <c r="H75" t="s">
        <v>25</v>
      </c>
      <c r="I75" t="s">
        <v>26</v>
      </c>
      <c r="J75" t="s">
        <v>26</v>
      </c>
      <c r="K75">
        <v>11</v>
      </c>
      <c r="L75">
        <v>0</v>
      </c>
      <c r="M75">
        <v>0</v>
      </c>
      <c r="N75">
        <v>0</v>
      </c>
      <c r="O75">
        <v>2</v>
      </c>
      <c r="P75">
        <v>2</v>
      </c>
      <c r="Q75">
        <v>2</v>
      </c>
      <c r="R75">
        <v>2</v>
      </c>
      <c r="S75">
        <v>2</v>
      </c>
      <c r="T75">
        <v>1</v>
      </c>
      <c r="U75">
        <v>1</v>
      </c>
      <c r="V75">
        <v>11</v>
      </c>
    </row>
    <row r="76" spans="1:22" x14ac:dyDescent="0.25">
      <c r="A76">
        <v>2025</v>
      </c>
      <c r="B76">
        <v>2</v>
      </c>
      <c r="C76" t="s">
        <v>61</v>
      </c>
      <c r="D76" t="s">
        <v>22</v>
      </c>
      <c r="E76" t="s">
        <v>159</v>
      </c>
      <c r="F76" t="s">
        <v>31</v>
      </c>
      <c r="G76" t="s">
        <v>24</v>
      </c>
      <c r="H76" t="s">
        <v>25</v>
      </c>
      <c r="I76" t="s">
        <v>26</v>
      </c>
      <c r="J76" t="s">
        <v>25</v>
      </c>
      <c r="K76">
        <v>28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28</v>
      </c>
    </row>
    <row r="77" spans="1:22" x14ac:dyDescent="0.25">
      <c r="A77">
        <v>2025</v>
      </c>
      <c r="B77">
        <v>2</v>
      </c>
      <c r="C77" t="s">
        <v>61</v>
      </c>
      <c r="D77" t="s">
        <v>22</v>
      </c>
      <c r="E77" t="s">
        <v>129</v>
      </c>
      <c r="F77" t="s">
        <v>36</v>
      </c>
      <c r="G77" t="s">
        <v>24</v>
      </c>
      <c r="H77" t="s">
        <v>25</v>
      </c>
      <c r="I77" t="s">
        <v>26</v>
      </c>
      <c r="J77" t="s">
        <v>25</v>
      </c>
      <c r="K77">
        <v>52</v>
      </c>
      <c r="L77">
        <v>1</v>
      </c>
      <c r="M77">
        <v>0</v>
      </c>
      <c r="N77">
        <v>1</v>
      </c>
      <c r="O77">
        <v>4</v>
      </c>
      <c r="P77">
        <v>2</v>
      </c>
      <c r="Q77">
        <v>1</v>
      </c>
      <c r="R77">
        <v>1</v>
      </c>
      <c r="S77">
        <v>1</v>
      </c>
      <c r="T77">
        <v>1</v>
      </c>
      <c r="U77">
        <v>1</v>
      </c>
      <c r="V77">
        <v>51</v>
      </c>
    </row>
    <row r="78" spans="1:22" x14ac:dyDescent="0.25">
      <c r="A78">
        <v>2025</v>
      </c>
      <c r="B78">
        <v>2</v>
      </c>
      <c r="C78" t="s">
        <v>61</v>
      </c>
      <c r="D78" t="s">
        <v>22</v>
      </c>
      <c r="E78" t="s">
        <v>130</v>
      </c>
      <c r="F78" t="s">
        <v>34</v>
      </c>
      <c r="G78" t="s">
        <v>24</v>
      </c>
      <c r="H78" t="s">
        <v>25</v>
      </c>
      <c r="I78" t="s">
        <v>26</v>
      </c>
      <c r="J78" t="s">
        <v>26</v>
      </c>
      <c r="K78">
        <v>1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1</v>
      </c>
    </row>
    <row r="79" spans="1:22" x14ac:dyDescent="0.25">
      <c r="A79">
        <v>2025</v>
      </c>
      <c r="B79">
        <v>2</v>
      </c>
      <c r="C79" t="s">
        <v>61</v>
      </c>
      <c r="D79" t="s">
        <v>22</v>
      </c>
      <c r="E79" t="s">
        <v>130</v>
      </c>
      <c r="F79" t="s">
        <v>23</v>
      </c>
      <c r="G79" t="s">
        <v>24</v>
      </c>
      <c r="H79" t="s">
        <v>25</v>
      </c>
      <c r="I79" t="s">
        <v>26</v>
      </c>
      <c r="J79" t="s">
        <v>25</v>
      </c>
      <c r="K79">
        <v>1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1</v>
      </c>
    </row>
    <row r="80" spans="1:22" x14ac:dyDescent="0.25">
      <c r="A80">
        <v>2025</v>
      </c>
      <c r="B80">
        <v>2</v>
      </c>
      <c r="C80" t="s">
        <v>61</v>
      </c>
      <c r="D80" t="s">
        <v>22</v>
      </c>
      <c r="E80" t="s">
        <v>131</v>
      </c>
      <c r="F80" t="s">
        <v>34</v>
      </c>
      <c r="G80" t="s">
        <v>24</v>
      </c>
      <c r="H80" t="s">
        <v>25</v>
      </c>
      <c r="I80" t="s">
        <v>26</v>
      </c>
      <c r="J80" t="s">
        <v>26</v>
      </c>
      <c r="K80">
        <v>53</v>
      </c>
      <c r="L80">
        <v>0</v>
      </c>
      <c r="M80">
        <v>0</v>
      </c>
      <c r="N80">
        <v>0</v>
      </c>
      <c r="O80">
        <v>7</v>
      </c>
      <c r="P80">
        <v>6</v>
      </c>
      <c r="Q80">
        <v>6</v>
      </c>
      <c r="R80">
        <v>6</v>
      </c>
      <c r="S80">
        <v>5</v>
      </c>
      <c r="T80">
        <v>3</v>
      </c>
      <c r="U80">
        <v>0</v>
      </c>
      <c r="V80">
        <v>53</v>
      </c>
    </row>
    <row r="81" spans="1:22" x14ac:dyDescent="0.25">
      <c r="A81">
        <v>2025</v>
      </c>
      <c r="B81">
        <v>2</v>
      </c>
      <c r="C81" t="s">
        <v>61</v>
      </c>
      <c r="D81" t="s">
        <v>22</v>
      </c>
      <c r="E81" t="s">
        <v>160</v>
      </c>
      <c r="F81" t="s">
        <v>23</v>
      </c>
      <c r="G81" t="s">
        <v>24</v>
      </c>
      <c r="H81" t="s">
        <v>25</v>
      </c>
      <c r="I81" t="s">
        <v>26</v>
      </c>
      <c r="J81" t="s">
        <v>25</v>
      </c>
      <c r="K81">
        <v>168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168</v>
      </c>
    </row>
    <row r="82" spans="1:22" x14ac:dyDescent="0.25">
      <c r="A82">
        <v>2025</v>
      </c>
      <c r="B82">
        <v>2</v>
      </c>
      <c r="C82" t="s">
        <v>61</v>
      </c>
      <c r="D82" t="s">
        <v>22</v>
      </c>
      <c r="E82" t="s">
        <v>161</v>
      </c>
      <c r="F82" t="s">
        <v>32</v>
      </c>
      <c r="G82" t="s">
        <v>24</v>
      </c>
      <c r="H82" t="s">
        <v>25</v>
      </c>
      <c r="I82" t="s">
        <v>26</v>
      </c>
      <c r="J82" t="s">
        <v>25</v>
      </c>
      <c r="K82">
        <v>221</v>
      </c>
      <c r="L82">
        <v>0</v>
      </c>
      <c r="M82">
        <v>0</v>
      </c>
      <c r="N82">
        <v>0</v>
      </c>
      <c r="O82">
        <v>26</v>
      </c>
      <c r="P82">
        <v>16</v>
      </c>
      <c r="Q82">
        <v>12</v>
      </c>
      <c r="R82">
        <v>8</v>
      </c>
      <c r="S82">
        <v>7</v>
      </c>
      <c r="T82">
        <v>1</v>
      </c>
      <c r="U82">
        <v>1</v>
      </c>
      <c r="V82">
        <v>221</v>
      </c>
    </row>
    <row r="83" spans="1:22" x14ac:dyDescent="0.25">
      <c r="A83">
        <v>2025</v>
      </c>
      <c r="B83">
        <v>2</v>
      </c>
      <c r="C83" t="s">
        <v>61</v>
      </c>
      <c r="D83" t="s">
        <v>22</v>
      </c>
      <c r="E83" t="s">
        <v>161</v>
      </c>
      <c r="F83" t="s">
        <v>23</v>
      </c>
      <c r="G83" t="s">
        <v>24</v>
      </c>
      <c r="H83" t="s">
        <v>25</v>
      </c>
      <c r="I83" t="s">
        <v>26</v>
      </c>
      <c r="J83" t="s">
        <v>25</v>
      </c>
      <c r="K83">
        <v>28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28</v>
      </c>
    </row>
    <row r="84" spans="1:22" x14ac:dyDescent="0.25">
      <c r="A84">
        <v>2025</v>
      </c>
      <c r="B84">
        <v>2</v>
      </c>
      <c r="C84" t="s">
        <v>61</v>
      </c>
      <c r="D84" t="s">
        <v>22</v>
      </c>
      <c r="E84" t="s">
        <v>161</v>
      </c>
      <c r="F84" t="s">
        <v>36</v>
      </c>
      <c r="G84" t="s">
        <v>24</v>
      </c>
      <c r="H84" t="s">
        <v>25</v>
      </c>
      <c r="I84" t="s">
        <v>26</v>
      </c>
      <c r="J84" t="s">
        <v>25</v>
      </c>
      <c r="K84">
        <v>368</v>
      </c>
      <c r="L84">
        <v>0</v>
      </c>
      <c r="M84">
        <v>1</v>
      </c>
      <c r="N84">
        <v>1</v>
      </c>
      <c r="O84">
        <v>66</v>
      </c>
      <c r="P84">
        <v>49</v>
      </c>
      <c r="Q84">
        <v>46</v>
      </c>
      <c r="R84">
        <v>29</v>
      </c>
      <c r="S84">
        <v>23</v>
      </c>
      <c r="T84">
        <v>11</v>
      </c>
      <c r="U84">
        <v>2</v>
      </c>
      <c r="V84">
        <v>367</v>
      </c>
    </row>
    <row r="85" spans="1:22" x14ac:dyDescent="0.25">
      <c r="A85">
        <v>2025</v>
      </c>
      <c r="B85">
        <v>2</v>
      </c>
      <c r="C85" t="s">
        <v>61</v>
      </c>
      <c r="D85" t="s">
        <v>22</v>
      </c>
      <c r="E85" t="s">
        <v>162</v>
      </c>
      <c r="F85" t="s">
        <v>32</v>
      </c>
      <c r="G85" t="s">
        <v>24</v>
      </c>
      <c r="H85" t="s">
        <v>25</v>
      </c>
      <c r="I85" t="s">
        <v>26</v>
      </c>
      <c r="J85" t="s">
        <v>25</v>
      </c>
      <c r="K85">
        <v>167</v>
      </c>
      <c r="L85">
        <v>0</v>
      </c>
      <c r="M85">
        <v>0</v>
      </c>
      <c r="N85">
        <v>0</v>
      </c>
      <c r="O85">
        <v>108</v>
      </c>
      <c r="P85">
        <v>81</v>
      </c>
      <c r="Q85">
        <v>75</v>
      </c>
      <c r="R85">
        <v>47</v>
      </c>
      <c r="S85">
        <v>31</v>
      </c>
      <c r="T85">
        <v>11</v>
      </c>
      <c r="U85">
        <v>4</v>
      </c>
      <c r="V85">
        <v>167</v>
      </c>
    </row>
    <row r="86" spans="1:22" x14ac:dyDescent="0.25">
      <c r="A86">
        <v>2025</v>
      </c>
      <c r="B86">
        <v>2</v>
      </c>
      <c r="C86" t="s">
        <v>61</v>
      </c>
      <c r="D86" t="s">
        <v>22</v>
      </c>
      <c r="E86" t="s">
        <v>37</v>
      </c>
      <c r="F86" t="s">
        <v>23</v>
      </c>
      <c r="G86" t="s">
        <v>24</v>
      </c>
      <c r="H86" t="s">
        <v>25</v>
      </c>
      <c r="I86" t="s">
        <v>26</v>
      </c>
      <c r="J86" t="s">
        <v>25</v>
      </c>
      <c r="K86">
        <v>1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1</v>
      </c>
    </row>
    <row r="87" spans="1:22" x14ac:dyDescent="0.25">
      <c r="A87">
        <v>2025</v>
      </c>
      <c r="B87">
        <v>2</v>
      </c>
      <c r="C87" t="s">
        <v>61</v>
      </c>
      <c r="D87" t="s">
        <v>22</v>
      </c>
      <c r="E87" t="s">
        <v>138</v>
      </c>
      <c r="F87" t="s">
        <v>34</v>
      </c>
      <c r="G87" t="s">
        <v>24</v>
      </c>
      <c r="H87" t="s">
        <v>25</v>
      </c>
      <c r="I87" t="s">
        <v>26</v>
      </c>
      <c r="J87" t="s">
        <v>26</v>
      </c>
      <c r="K87">
        <v>25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25</v>
      </c>
    </row>
    <row r="88" spans="1:22" x14ac:dyDescent="0.25">
      <c r="A88">
        <v>2025</v>
      </c>
      <c r="B88">
        <v>2</v>
      </c>
      <c r="C88" t="s">
        <v>61</v>
      </c>
      <c r="D88" t="s">
        <v>22</v>
      </c>
      <c r="E88" t="s">
        <v>139</v>
      </c>
      <c r="F88" t="s">
        <v>34</v>
      </c>
      <c r="G88" t="s">
        <v>24</v>
      </c>
      <c r="H88" t="s">
        <v>25</v>
      </c>
      <c r="I88" t="s">
        <v>26</v>
      </c>
      <c r="J88" t="s">
        <v>26</v>
      </c>
      <c r="K88">
        <v>26</v>
      </c>
      <c r="L88">
        <v>0</v>
      </c>
      <c r="M88">
        <v>0</v>
      </c>
      <c r="N88">
        <v>0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1</v>
      </c>
      <c r="V88">
        <v>26</v>
      </c>
    </row>
    <row r="89" spans="1:22" x14ac:dyDescent="0.25">
      <c r="A89">
        <v>2025</v>
      </c>
      <c r="B89">
        <v>2</v>
      </c>
      <c r="C89" t="s">
        <v>61</v>
      </c>
      <c r="D89" t="s">
        <v>22</v>
      </c>
      <c r="E89" t="s">
        <v>153</v>
      </c>
      <c r="F89" t="s">
        <v>34</v>
      </c>
      <c r="G89" t="s">
        <v>24</v>
      </c>
      <c r="H89" t="s">
        <v>25</v>
      </c>
      <c r="I89" t="s">
        <v>26</v>
      </c>
      <c r="J89" t="s">
        <v>26</v>
      </c>
      <c r="K89">
        <v>2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2</v>
      </c>
    </row>
    <row r="90" spans="1:22" x14ac:dyDescent="0.25">
      <c r="A90">
        <v>2025</v>
      </c>
      <c r="B90">
        <v>2</v>
      </c>
      <c r="C90" t="s">
        <v>61</v>
      </c>
      <c r="D90" t="s">
        <v>22</v>
      </c>
      <c r="E90" t="s">
        <v>140</v>
      </c>
      <c r="F90" t="s">
        <v>34</v>
      </c>
      <c r="G90" t="s">
        <v>24</v>
      </c>
      <c r="H90" t="s">
        <v>25</v>
      </c>
      <c r="I90" t="s">
        <v>26</v>
      </c>
      <c r="J90" t="s">
        <v>26</v>
      </c>
      <c r="K90">
        <v>1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1</v>
      </c>
    </row>
    <row r="91" spans="1:22" x14ac:dyDescent="0.25">
      <c r="A91">
        <v>2025</v>
      </c>
      <c r="B91">
        <v>2</v>
      </c>
      <c r="C91" t="s">
        <v>61</v>
      </c>
      <c r="D91" t="s">
        <v>22</v>
      </c>
      <c r="E91" t="s">
        <v>141</v>
      </c>
      <c r="F91" t="s">
        <v>34</v>
      </c>
      <c r="G91" t="s">
        <v>24</v>
      </c>
      <c r="H91" t="s">
        <v>25</v>
      </c>
      <c r="I91" t="s">
        <v>26</v>
      </c>
      <c r="J91" t="s">
        <v>26</v>
      </c>
      <c r="K91">
        <v>26</v>
      </c>
      <c r="L91">
        <v>0</v>
      </c>
      <c r="M91">
        <v>0</v>
      </c>
      <c r="N91">
        <v>0</v>
      </c>
      <c r="O91">
        <v>4</v>
      </c>
      <c r="P91">
        <v>4</v>
      </c>
      <c r="Q91">
        <v>4</v>
      </c>
      <c r="R91">
        <v>2</v>
      </c>
      <c r="S91">
        <v>2</v>
      </c>
      <c r="T91">
        <v>0</v>
      </c>
      <c r="U91">
        <v>0</v>
      </c>
      <c r="V91">
        <v>26</v>
      </c>
    </row>
    <row r="92" spans="1:22" x14ac:dyDescent="0.25">
      <c r="A92">
        <v>2025</v>
      </c>
      <c r="B92">
        <v>2</v>
      </c>
      <c r="C92" t="s">
        <v>61</v>
      </c>
      <c r="D92" t="s">
        <v>22</v>
      </c>
      <c r="E92" t="s">
        <v>142</v>
      </c>
      <c r="F92" t="s">
        <v>34</v>
      </c>
      <c r="G92" t="s">
        <v>24</v>
      </c>
      <c r="H92" t="s">
        <v>25</v>
      </c>
      <c r="I92" t="s">
        <v>26</v>
      </c>
      <c r="J92" t="s">
        <v>26</v>
      </c>
      <c r="K92">
        <v>28</v>
      </c>
      <c r="L92">
        <v>0</v>
      </c>
      <c r="M92">
        <v>0</v>
      </c>
      <c r="N92">
        <v>0</v>
      </c>
      <c r="O92">
        <v>1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28</v>
      </c>
    </row>
    <row r="93" spans="1:22" x14ac:dyDescent="0.25">
      <c r="A93">
        <v>2025</v>
      </c>
      <c r="B93">
        <v>2</v>
      </c>
      <c r="C93" t="s">
        <v>61</v>
      </c>
      <c r="D93" t="s">
        <v>22</v>
      </c>
      <c r="E93" t="s">
        <v>144</v>
      </c>
      <c r="F93" t="s">
        <v>32</v>
      </c>
      <c r="G93" t="s">
        <v>24</v>
      </c>
      <c r="H93" t="s">
        <v>25</v>
      </c>
      <c r="I93" t="s">
        <v>26</v>
      </c>
      <c r="J93" t="s">
        <v>25</v>
      </c>
      <c r="K93">
        <v>168</v>
      </c>
      <c r="L93">
        <v>2</v>
      </c>
      <c r="M93">
        <v>2</v>
      </c>
      <c r="N93">
        <v>4</v>
      </c>
      <c r="O93">
        <v>42</v>
      </c>
      <c r="P93">
        <v>25</v>
      </c>
      <c r="Q93">
        <v>20</v>
      </c>
      <c r="R93">
        <v>15</v>
      </c>
      <c r="S93">
        <v>9</v>
      </c>
      <c r="T93">
        <v>2</v>
      </c>
      <c r="U93">
        <v>1</v>
      </c>
      <c r="V93">
        <v>164</v>
      </c>
    </row>
    <row r="94" spans="1:22" x14ac:dyDescent="0.25">
      <c r="A94">
        <v>2025</v>
      </c>
      <c r="B94">
        <v>2</v>
      </c>
      <c r="C94" t="s">
        <v>61</v>
      </c>
      <c r="D94" t="s">
        <v>22</v>
      </c>
      <c r="E94" t="s">
        <v>144</v>
      </c>
      <c r="F94" t="s">
        <v>34</v>
      </c>
      <c r="G94" t="s">
        <v>24</v>
      </c>
      <c r="H94" t="s">
        <v>25</v>
      </c>
      <c r="I94" t="s">
        <v>26</v>
      </c>
      <c r="J94" t="s">
        <v>26</v>
      </c>
      <c r="K94">
        <v>2</v>
      </c>
      <c r="L94">
        <v>0</v>
      </c>
      <c r="M94">
        <v>0</v>
      </c>
      <c r="N94">
        <v>0</v>
      </c>
      <c r="O94">
        <v>1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2</v>
      </c>
    </row>
    <row r="95" spans="1:22" x14ac:dyDescent="0.25">
      <c r="A95">
        <v>2025</v>
      </c>
      <c r="B95">
        <v>2</v>
      </c>
      <c r="C95" t="s">
        <v>61</v>
      </c>
      <c r="D95" t="s">
        <v>22</v>
      </c>
      <c r="E95" t="s">
        <v>144</v>
      </c>
      <c r="F95" t="s">
        <v>23</v>
      </c>
      <c r="G95" t="s">
        <v>24</v>
      </c>
      <c r="H95" t="s">
        <v>25</v>
      </c>
      <c r="I95" t="s">
        <v>26</v>
      </c>
      <c r="J95" t="s">
        <v>25</v>
      </c>
      <c r="K95">
        <v>204</v>
      </c>
      <c r="L95">
        <v>2</v>
      </c>
      <c r="M95">
        <v>0</v>
      </c>
      <c r="N95">
        <v>2</v>
      </c>
      <c r="O95">
        <v>41</v>
      </c>
      <c r="P95">
        <v>33</v>
      </c>
      <c r="Q95">
        <v>29</v>
      </c>
      <c r="R95">
        <v>25</v>
      </c>
      <c r="S95">
        <v>23</v>
      </c>
      <c r="T95">
        <v>12</v>
      </c>
      <c r="U95">
        <v>4</v>
      </c>
      <c r="V95">
        <v>202</v>
      </c>
    </row>
    <row r="96" spans="1:22" x14ac:dyDescent="0.25">
      <c r="A96">
        <v>2025</v>
      </c>
      <c r="B96">
        <v>2</v>
      </c>
      <c r="C96" t="s">
        <v>61</v>
      </c>
      <c r="D96" t="s">
        <v>22</v>
      </c>
      <c r="E96" t="s">
        <v>144</v>
      </c>
      <c r="F96" t="s">
        <v>39</v>
      </c>
      <c r="G96" t="s">
        <v>24</v>
      </c>
      <c r="H96" t="s">
        <v>26</v>
      </c>
      <c r="I96" t="s">
        <v>26</v>
      </c>
      <c r="J96" t="s">
        <v>25</v>
      </c>
      <c r="K96">
        <v>693</v>
      </c>
      <c r="L96">
        <v>13</v>
      </c>
      <c r="M96">
        <v>2</v>
      </c>
      <c r="N96">
        <v>15</v>
      </c>
      <c r="O96">
        <v>221</v>
      </c>
      <c r="P96">
        <v>180</v>
      </c>
      <c r="Q96">
        <v>172</v>
      </c>
      <c r="R96">
        <v>139</v>
      </c>
      <c r="S96">
        <v>111</v>
      </c>
      <c r="T96">
        <v>49</v>
      </c>
      <c r="U96">
        <v>17</v>
      </c>
      <c r="V96">
        <v>678</v>
      </c>
    </row>
    <row r="97" spans="1:22" x14ac:dyDescent="0.25">
      <c r="A97">
        <v>2025</v>
      </c>
      <c r="B97">
        <v>2</v>
      </c>
      <c r="C97" t="s">
        <v>61</v>
      </c>
      <c r="D97" t="s">
        <v>22</v>
      </c>
      <c r="E97" t="s">
        <v>144</v>
      </c>
      <c r="F97" t="s">
        <v>36</v>
      </c>
      <c r="G97" t="s">
        <v>24</v>
      </c>
      <c r="H97" t="s">
        <v>25</v>
      </c>
      <c r="I97" t="s">
        <v>26</v>
      </c>
      <c r="J97" t="s">
        <v>25</v>
      </c>
      <c r="K97">
        <v>275</v>
      </c>
      <c r="L97">
        <v>0</v>
      </c>
      <c r="M97">
        <v>0</v>
      </c>
      <c r="N97">
        <v>0</v>
      </c>
      <c r="O97">
        <v>72</v>
      </c>
      <c r="P97">
        <v>59</v>
      </c>
      <c r="Q97">
        <v>54</v>
      </c>
      <c r="R97">
        <v>37</v>
      </c>
      <c r="S97">
        <v>24</v>
      </c>
      <c r="T97">
        <v>9</v>
      </c>
      <c r="U97">
        <v>4</v>
      </c>
      <c r="V97">
        <v>275</v>
      </c>
    </row>
    <row r="98" spans="1:22" x14ac:dyDescent="0.25">
      <c r="A98">
        <v>2025</v>
      </c>
      <c r="B98">
        <v>2</v>
      </c>
      <c r="C98" t="s">
        <v>61</v>
      </c>
      <c r="D98" t="s">
        <v>22</v>
      </c>
      <c r="E98" t="s">
        <v>145</v>
      </c>
      <c r="F98" t="s">
        <v>32</v>
      </c>
      <c r="G98" t="s">
        <v>24</v>
      </c>
      <c r="H98" t="s">
        <v>25</v>
      </c>
      <c r="I98" t="s">
        <v>26</v>
      </c>
      <c r="J98" t="s">
        <v>25</v>
      </c>
      <c r="K98">
        <v>266</v>
      </c>
      <c r="L98">
        <v>1</v>
      </c>
      <c r="M98">
        <v>0</v>
      </c>
      <c r="N98">
        <v>1</v>
      </c>
      <c r="O98">
        <v>52</v>
      </c>
      <c r="P98">
        <v>38</v>
      </c>
      <c r="Q98">
        <v>30</v>
      </c>
      <c r="R98">
        <v>17</v>
      </c>
      <c r="S98">
        <v>11</v>
      </c>
      <c r="T98">
        <v>3</v>
      </c>
      <c r="U98">
        <v>0</v>
      </c>
      <c r="V98">
        <v>265</v>
      </c>
    </row>
    <row r="99" spans="1:22" x14ac:dyDescent="0.25">
      <c r="A99">
        <v>2025</v>
      </c>
      <c r="B99">
        <v>2</v>
      </c>
      <c r="C99" t="s">
        <v>61</v>
      </c>
      <c r="D99" t="s">
        <v>22</v>
      </c>
      <c r="E99" t="s">
        <v>147</v>
      </c>
      <c r="F99" t="s">
        <v>32</v>
      </c>
      <c r="G99" t="s">
        <v>24</v>
      </c>
      <c r="H99" t="s">
        <v>25</v>
      </c>
      <c r="I99" t="s">
        <v>26</v>
      </c>
      <c r="J99" t="s">
        <v>25</v>
      </c>
      <c r="K99">
        <v>56</v>
      </c>
      <c r="L99">
        <v>0</v>
      </c>
      <c r="M99">
        <v>0</v>
      </c>
      <c r="N99">
        <v>0</v>
      </c>
      <c r="O99">
        <v>23</v>
      </c>
      <c r="P99">
        <v>18</v>
      </c>
      <c r="Q99">
        <v>16</v>
      </c>
      <c r="R99">
        <v>13</v>
      </c>
      <c r="S99">
        <v>9</v>
      </c>
      <c r="T99">
        <v>3</v>
      </c>
      <c r="U99">
        <v>2</v>
      </c>
      <c r="V99">
        <v>56</v>
      </c>
    </row>
    <row r="100" spans="1:22" x14ac:dyDescent="0.25">
      <c r="A100">
        <v>2025</v>
      </c>
      <c r="B100">
        <v>2</v>
      </c>
      <c r="C100" t="s">
        <v>61</v>
      </c>
      <c r="D100" t="s">
        <v>22</v>
      </c>
      <c r="E100" t="s">
        <v>147</v>
      </c>
      <c r="F100" t="s">
        <v>36</v>
      </c>
      <c r="G100" t="s">
        <v>24</v>
      </c>
      <c r="H100" t="s">
        <v>25</v>
      </c>
      <c r="I100" t="s">
        <v>26</v>
      </c>
      <c r="J100" t="s">
        <v>25</v>
      </c>
      <c r="K100">
        <v>205</v>
      </c>
      <c r="L100">
        <v>0</v>
      </c>
      <c r="M100">
        <v>1</v>
      </c>
      <c r="N100">
        <v>1</v>
      </c>
      <c r="O100">
        <v>99</v>
      </c>
      <c r="P100">
        <v>81</v>
      </c>
      <c r="Q100">
        <v>76</v>
      </c>
      <c r="R100">
        <v>55</v>
      </c>
      <c r="S100">
        <v>43</v>
      </c>
      <c r="T100">
        <v>17</v>
      </c>
      <c r="U100">
        <v>6</v>
      </c>
      <c r="V100">
        <v>204</v>
      </c>
    </row>
    <row r="101" spans="1:22" x14ac:dyDescent="0.25">
      <c r="A101">
        <v>2025</v>
      </c>
      <c r="B101">
        <v>2</v>
      </c>
      <c r="C101" t="s">
        <v>61</v>
      </c>
      <c r="D101" t="s">
        <v>22</v>
      </c>
      <c r="E101" t="s">
        <v>149</v>
      </c>
      <c r="F101" t="s">
        <v>38</v>
      </c>
      <c r="G101" t="s">
        <v>24</v>
      </c>
      <c r="H101" t="s">
        <v>25</v>
      </c>
      <c r="I101" t="s">
        <v>26</v>
      </c>
      <c r="J101" t="s">
        <v>25</v>
      </c>
      <c r="K101">
        <v>2</v>
      </c>
      <c r="L101">
        <v>0</v>
      </c>
      <c r="M101">
        <v>0</v>
      </c>
      <c r="N101">
        <v>0</v>
      </c>
      <c r="O101">
        <v>1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2</v>
      </c>
    </row>
    <row r="102" spans="1:22" x14ac:dyDescent="0.25">
      <c r="A102">
        <v>2025</v>
      </c>
      <c r="B102">
        <v>2</v>
      </c>
      <c r="C102" t="s">
        <v>61</v>
      </c>
      <c r="D102" t="s">
        <v>22</v>
      </c>
      <c r="E102" t="s">
        <v>155</v>
      </c>
      <c r="F102" t="s">
        <v>34</v>
      </c>
      <c r="G102" t="s">
        <v>24</v>
      </c>
      <c r="H102" t="s">
        <v>25</v>
      </c>
      <c r="I102" t="s">
        <v>26</v>
      </c>
      <c r="J102" t="s">
        <v>26</v>
      </c>
      <c r="K102">
        <v>54</v>
      </c>
      <c r="L102">
        <v>0</v>
      </c>
      <c r="M102">
        <v>0</v>
      </c>
      <c r="N102">
        <v>0</v>
      </c>
      <c r="O102">
        <v>6</v>
      </c>
      <c r="P102">
        <v>4</v>
      </c>
      <c r="Q102">
        <v>4</v>
      </c>
      <c r="R102">
        <v>2</v>
      </c>
      <c r="S102">
        <v>2</v>
      </c>
      <c r="T102">
        <v>1</v>
      </c>
      <c r="U102">
        <v>0</v>
      </c>
      <c r="V102">
        <v>54</v>
      </c>
    </row>
    <row r="103" spans="1:22" x14ac:dyDescent="0.25">
      <c r="A103">
        <v>2025</v>
      </c>
      <c r="B103">
        <v>2</v>
      </c>
      <c r="C103" t="s">
        <v>61</v>
      </c>
      <c r="D103" t="s">
        <v>22</v>
      </c>
      <c r="E103" t="s">
        <v>152</v>
      </c>
      <c r="F103" t="s">
        <v>31</v>
      </c>
      <c r="G103" t="s">
        <v>24</v>
      </c>
      <c r="H103" t="s">
        <v>25</v>
      </c>
      <c r="I103" t="s">
        <v>26</v>
      </c>
      <c r="J103" t="s">
        <v>25</v>
      </c>
      <c r="K103">
        <v>167</v>
      </c>
      <c r="L103">
        <v>0</v>
      </c>
      <c r="M103">
        <v>0</v>
      </c>
      <c r="N103">
        <v>0</v>
      </c>
      <c r="O103">
        <v>68</v>
      </c>
      <c r="P103">
        <v>49</v>
      </c>
      <c r="Q103">
        <v>40</v>
      </c>
      <c r="R103">
        <v>28</v>
      </c>
      <c r="S103">
        <v>25</v>
      </c>
      <c r="T103">
        <v>10</v>
      </c>
      <c r="U103">
        <v>2</v>
      </c>
      <c r="V103">
        <v>167</v>
      </c>
    </row>
    <row r="104" spans="1:22" x14ac:dyDescent="0.25">
      <c r="A104">
        <v>2025</v>
      </c>
      <c r="B104">
        <v>2</v>
      </c>
      <c r="C104" t="s">
        <v>61</v>
      </c>
      <c r="D104" t="s">
        <v>22</v>
      </c>
      <c r="E104" t="s">
        <v>152</v>
      </c>
      <c r="F104" t="s">
        <v>34</v>
      </c>
      <c r="G104" t="s">
        <v>24</v>
      </c>
      <c r="H104" t="s">
        <v>25</v>
      </c>
      <c r="I104" t="s">
        <v>26</v>
      </c>
      <c r="J104" t="s">
        <v>26</v>
      </c>
      <c r="K104">
        <v>28</v>
      </c>
      <c r="L104">
        <v>0</v>
      </c>
      <c r="M104">
        <v>0</v>
      </c>
      <c r="N104">
        <v>0</v>
      </c>
      <c r="O104">
        <v>7</v>
      </c>
      <c r="P104">
        <v>6</v>
      </c>
      <c r="Q104">
        <v>6</v>
      </c>
      <c r="R104">
        <v>6</v>
      </c>
      <c r="S104">
        <v>5</v>
      </c>
      <c r="T104">
        <v>3</v>
      </c>
      <c r="U104">
        <v>1</v>
      </c>
      <c r="V104">
        <v>28</v>
      </c>
    </row>
    <row r="105" spans="1:22" x14ac:dyDescent="0.25">
      <c r="A105">
        <v>2025</v>
      </c>
      <c r="B105">
        <v>2</v>
      </c>
      <c r="C105" t="s">
        <v>61</v>
      </c>
      <c r="D105" t="s">
        <v>22</v>
      </c>
      <c r="E105" t="s">
        <v>52</v>
      </c>
      <c r="F105" t="s">
        <v>34</v>
      </c>
      <c r="G105" t="s">
        <v>24</v>
      </c>
      <c r="H105" t="s">
        <v>25</v>
      </c>
      <c r="I105" t="s">
        <v>26</v>
      </c>
      <c r="J105" t="s">
        <v>26</v>
      </c>
      <c r="K105">
        <v>1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1</v>
      </c>
    </row>
    <row r="106" spans="1:22" x14ac:dyDescent="0.25">
      <c r="A106">
        <v>2025</v>
      </c>
      <c r="B106">
        <v>2</v>
      </c>
      <c r="C106" t="s">
        <v>61</v>
      </c>
      <c r="D106" t="s">
        <v>22</v>
      </c>
      <c r="E106" t="s">
        <v>163</v>
      </c>
      <c r="F106" t="s">
        <v>32</v>
      </c>
      <c r="G106" t="s">
        <v>24</v>
      </c>
      <c r="H106" t="s">
        <v>25</v>
      </c>
      <c r="I106" t="s">
        <v>26</v>
      </c>
      <c r="J106" t="s">
        <v>25</v>
      </c>
      <c r="K106">
        <v>251</v>
      </c>
      <c r="L106">
        <v>0</v>
      </c>
      <c r="M106">
        <v>0</v>
      </c>
      <c r="N106">
        <v>0</v>
      </c>
      <c r="O106">
        <v>87</v>
      </c>
      <c r="P106">
        <v>78</v>
      </c>
      <c r="Q106">
        <v>72</v>
      </c>
      <c r="R106">
        <v>59</v>
      </c>
      <c r="S106">
        <v>44</v>
      </c>
      <c r="T106">
        <v>19</v>
      </c>
      <c r="U106">
        <v>7</v>
      </c>
      <c r="V106">
        <v>251</v>
      </c>
    </row>
    <row r="107" spans="1:22" x14ac:dyDescent="0.25">
      <c r="A107">
        <v>2025</v>
      </c>
      <c r="B107">
        <v>2</v>
      </c>
      <c r="C107" t="s">
        <v>61</v>
      </c>
      <c r="D107" t="s">
        <v>22</v>
      </c>
      <c r="E107" t="s">
        <v>163</v>
      </c>
      <c r="F107" t="s">
        <v>34</v>
      </c>
      <c r="G107" t="s">
        <v>24</v>
      </c>
      <c r="H107" t="s">
        <v>25</v>
      </c>
      <c r="I107" t="s">
        <v>26</v>
      </c>
      <c r="J107" t="s">
        <v>26</v>
      </c>
      <c r="K107">
        <v>51</v>
      </c>
      <c r="L107">
        <v>0</v>
      </c>
      <c r="M107">
        <v>0</v>
      </c>
      <c r="N107">
        <v>0</v>
      </c>
      <c r="O107">
        <v>7</v>
      </c>
      <c r="P107">
        <v>3</v>
      </c>
      <c r="Q107">
        <v>3</v>
      </c>
      <c r="R107">
        <v>3</v>
      </c>
      <c r="S107">
        <v>3</v>
      </c>
      <c r="T107">
        <v>1</v>
      </c>
      <c r="U107">
        <v>0</v>
      </c>
      <c r="V107">
        <v>51</v>
      </c>
    </row>
    <row r="108" spans="1:22" x14ac:dyDescent="0.25">
      <c r="A108">
        <v>2025</v>
      </c>
      <c r="B108">
        <v>2</v>
      </c>
      <c r="C108" t="s">
        <v>61</v>
      </c>
      <c r="D108" t="s">
        <v>22</v>
      </c>
      <c r="E108" t="s">
        <v>163</v>
      </c>
      <c r="F108" t="s">
        <v>23</v>
      </c>
      <c r="G108" t="s">
        <v>24</v>
      </c>
      <c r="H108" t="s">
        <v>25</v>
      </c>
      <c r="I108" t="s">
        <v>26</v>
      </c>
      <c r="J108" t="s">
        <v>25</v>
      </c>
      <c r="K108">
        <v>84</v>
      </c>
      <c r="L108">
        <v>0</v>
      </c>
      <c r="M108">
        <v>0</v>
      </c>
      <c r="N108">
        <v>0</v>
      </c>
      <c r="O108">
        <v>6</v>
      </c>
      <c r="P108">
        <v>3</v>
      </c>
      <c r="Q108">
        <v>3</v>
      </c>
      <c r="R108">
        <v>2</v>
      </c>
      <c r="S108">
        <v>0</v>
      </c>
      <c r="T108">
        <v>0</v>
      </c>
      <c r="U108">
        <v>0</v>
      </c>
      <c r="V108">
        <v>84</v>
      </c>
    </row>
    <row r="109" spans="1:22" x14ac:dyDescent="0.25">
      <c r="A109">
        <v>2025</v>
      </c>
      <c r="B109">
        <v>2</v>
      </c>
      <c r="C109" t="s">
        <v>61</v>
      </c>
      <c r="D109" t="s">
        <v>22</v>
      </c>
      <c r="E109" t="s">
        <v>164</v>
      </c>
      <c r="F109" t="s">
        <v>23</v>
      </c>
      <c r="G109" t="s">
        <v>24</v>
      </c>
      <c r="H109" t="s">
        <v>25</v>
      </c>
      <c r="I109" t="s">
        <v>26</v>
      </c>
      <c r="J109" t="s">
        <v>25</v>
      </c>
      <c r="K109">
        <v>56</v>
      </c>
      <c r="L109">
        <v>0</v>
      </c>
      <c r="M109">
        <v>0</v>
      </c>
      <c r="N109">
        <v>0</v>
      </c>
      <c r="O109">
        <v>14</v>
      </c>
      <c r="P109">
        <v>10</v>
      </c>
      <c r="Q109">
        <v>8</v>
      </c>
      <c r="R109">
        <v>6</v>
      </c>
      <c r="S109">
        <v>5</v>
      </c>
      <c r="T109">
        <v>2</v>
      </c>
      <c r="U109">
        <v>0</v>
      </c>
      <c r="V109">
        <v>56</v>
      </c>
    </row>
    <row r="110" spans="1:22" x14ac:dyDescent="0.25">
      <c r="A110">
        <v>2025</v>
      </c>
      <c r="B110">
        <v>2</v>
      </c>
      <c r="C110" t="s">
        <v>61</v>
      </c>
      <c r="D110" t="s">
        <v>22</v>
      </c>
      <c r="E110" t="s">
        <v>165</v>
      </c>
      <c r="F110" t="s">
        <v>31</v>
      </c>
      <c r="G110" t="s">
        <v>24</v>
      </c>
      <c r="H110" t="s">
        <v>25</v>
      </c>
      <c r="I110" t="s">
        <v>26</v>
      </c>
      <c r="J110" t="s">
        <v>25</v>
      </c>
      <c r="K110">
        <v>28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28</v>
      </c>
    </row>
    <row r="111" spans="1:22" x14ac:dyDescent="0.25">
      <c r="A111">
        <v>2025</v>
      </c>
      <c r="B111">
        <v>2</v>
      </c>
      <c r="C111" t="s">
        <v>61</v>
      </c>
      <c r="D111" t="s">
        <v>22</v>
      </c>
      <c r="E111" t="s">
        <v>61</v>
      </c>
      <c r="F111" t="s">
        <v>31</v>
      </c>
      <c r="G111" t="s">
        <v>28</v>
      </c>
      <c r="H111" t="s">
        <v>25</v>
      </c>
      <c r="I111" t="s">
        <v>26</v>
      </c>
      <c r="J111" t="s">
        <v>25</v>
      </c>
      <c r="K111">
        <v>712</v>
      </c>
      <c r="L111">
        <v>2</v>
      </c>
      <c r="M111">
        <v>4</v>
      </c>
      <c r="N111">
        <v>6</v>
      </c>
      <c r="O111">
        <v>111</v>
      </c>
      <c r="P111">
        <v>78</v>
      </c>
      <c r="Q111">
        <v>66</v>
      </c>
      <c r="R111">
        <v>43</v>
      </c>
      <c r="S111">
        <v>28</v>
      </c>
      <c r="T111">
        <v>12</v>
      </c>
      <c r="U111">
        <v>5</v>
      </c>
      <c r="V111">
        <v>707</v>
      </c>
    </row>
    <row r="112" spans="1:22" x14ac:dyDescent="0.25">
      <c r="A112">
        <v>2025</v>
      </c>
      <c r="B112">
        <v>2</v>
      </c>
      <c r="C112" t="s">
        <v>61</v>
      </c>
      <c r="D112" t="s">
        <v>22</v>
      </c>
      <c r="E112" t="s">
        <v>61</v>
      </c>
      <c r="F112" t="s">
        <v>34</v>
      </c>
      <c r="G112" t="s">
        <v>24</v>
      </c>
      <c r="H112" t="s">
        <v>25</v>
      </c>
      <c r="I112" t="s">
        <v>26</v>
      </c>
      <c r="J112" t="s">
        <v>26</v>
      </c>
      <c r="K112">
        <v>6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6</v>
      </c>
    </row>
    <row r="113" spans="1:22" x14ac:dyDescent="0.25">
      <c r="A113">
        <v>2025</v>
      </c>
      <c r="B113">
        <v>2</v>
      </c>
      <c r="C113" t="s">
        <v>61</v>
      </c>
      <c r="D113" t="s">
        <v>22</v>
      </c>
      <c r="E113" t="s">
        <v>61</v>
      </c>
      <c r="F113" t="s">
        <v>23</v>
      </c>
      <c r="G113" t="s">
        <v>28</v>
      </c>
      <c r="H113" t="s">
        <v>25</v>
      </c>
      <c r="I113" t="s">
        <v>26</v>
      </c>
      <c r="J113" t="s">
        <v>25</v>
      </c>
      <c r="K113">
        <v>1613</v>
      </c>
      <c r="L113">
        <v>1</v>
      </c>
      <c r="M113">
        <v>5</v>
      </c>
      <c r="N113">
        <v>6</v>
      </c>
      <c r="O113">
        <v>185</v>
      </c>
      <c r="P113">
        <v>123</v>
      </c>
      <c r="Q113">
        <v>107</v>
      </c>
      <c r="R113">
        <v>73</v>
      </c>
      <c r="S113">
        <v>51</v>
      </c>
      <c r="T113">
        <v>22</v>
      </c>
      <c r="U113">
        <v>5</v>
      </c>
      <c r="V113">
        <v>1610</v>
      </c>
    </row>
    <row r="114" spans="1:22" x14ac:dyDescent="0.25">
      <c r="A114">
        <v>2025</v>
      </c>
      <c r="B114">
        <v>2</v>
      </c>
      <c r="C114" t="s">
        <v>61</v>
      </c>
      <c r="D114" t="s">
        <v>22</v>
      </c>
      <c r="E114" t="s">
        <v>61</v>
      </c>
      <c r="F114" t="s">
        <v>39</v>
      </c>
      <c r="G114" t="s">
        <v>28</v>
      </c>
      <c r="H114" t="s">
        <v>26</v>
      </c>
      <c r="I114" t="s">
        <v>26</v>
      </c>
      <c r="J114" t="s">
        <v>25</v>
      </c>
      <c r="K114">
        <v>30</v>
      </c>
      <c r="L114">
        <v>0</v>
      </c>
      <c r="M114">
        <v>0</v>
      </c>
      <c r="N114">
        <v>0</v>
      </c>
      <c r="O114">
        <v>4</v>
      </c>
      <c r="P114">
        <v>2</v>
      </c>
      <c r="Q114">
        <v>2</v>
      </c>
      <c r="R114">
        <v>1</v>
      </c>
      <c r="S114">
        <v>0</v>
      </c>
      <c r="T114">
        <v>0</v>
      </c>
      <c r="U114">
        <v>0</v>
      </c>
      <c r="V114">
        <v>30</v>
      </c>
    </row>
    <row r="115" spans="1:22" x14ac:dyDescent="0.25">
      <c r="A115">
        <v>2025</v>
      </c>
      <c r="B115">
        <v>2</v>
      </c>
      <c r="C115" t="s">
        <v>61</v>
      </c>
      <c r="D115" t="s">
        <v>22</v>
      </c>
      <c r="E115" t="s">
        <v>61</v>
      </c>
      <c r="F115" t="s">
        <v>35</v>
      </c>
      <c r="G115" t="s">
        <v>28</v>
      </c>
      <c r="H115" t="s">
        <v>25</v>
      </c>
      <c r="I115" t="s">
        <v>26</v>
      </c>
      <c r="J115" t="s">
        <v>26</v>
      </c>
      <c r="K115">
        <v>65</v>
      </c>
      <c r="L115">
        <v>1</v>
      </c>
      <c r="M115">
        <v>0</v>
      </c>
      <c r="N115">
        <v>1</v>
      </c>
      <c r="O115">
        <v>16</v>
      </c>
      <c r="P115">
        <v>9</v>
      </c>
      <c r="Q115">
        <v>8</v>
      </c>
      <c r="R115">
        <v>8</v>
      </c>
      <c r="S115">
        <v>3</v>
      </c>
      <c r="T115">
        <v>1</v>
      </c>
      <c r="U115">
        <v>0</v>
      </c>
      <c r="V115">
        <v>64</v>
      </c>
    </row>
    <row r="116" spans="1:22" x14ac:dyDescent="0.25">
      <c r="A116">
        <v>2025</v>
      </c>
      <c r="B116">
        <v>2</v>
      </c>
      <c r="C116" t="s">
        <v>61</v>
      </c>
      <c r="D116" t="s">
        <v>22</v>
      </c>
      <c r="E116" t="s">
        <v>61</v>
      </c>
      <c r="F116" t="s">
        <v>35</v>
      </c>
      <c r="G116" t="s">
        <v>24</v>
      </c>
      <c r="H116" t="s">
        <v>25</v>
      </c>
      <c r="I116" t="s">
        <v>26</v>
      </c>
      <c r="J116" t="s">
        <v>26</v>
      </c>
      <c r="K116">
        <v>597</v>
      </c>
      <c r="L116">
        <v>1</v>
      </c>
      <c r="M116">
        <v>0</v>
      </c>
      <c r="N116">
        <v>1</v>
      </c>
      <c r="O116">
        <v>181</v>
      </c>
      <c r="P116">
        <v>142</v>
      </c>
      <c r="Q116">
        <v>138</v>
      </c>
      <c r="R116">
        <v>119</v>
      </c>
      <c r="S116">
        <v>88</v>
      </c>
      <c r="T116">
        <v>60</v>
      </c>
      <c r="U116">
        <v>25</v>
      </c>
      <c r="V116">
        <v>596</v>
      </c>
    </row>
    <row r="117" spans="1:22" x14ac:dyDescent="0.25">
      <c r="A117">
        <v>2025</v>
      </c>
      <c r="B117">
        <v>2</v>
      </c>
      <c r="C117" t="s">
        <v>61</v>
      </c>
      <c r="D117" t="s">
        <v>22</v>
      </c>
      <c r="E117" t="s">
        <v>61</v>
      </c>
      <c r="F117" t="s">
        <v>35</v>
      </c>
      <c r="G117" t="s">
        <v>29</v>
      </c>
      <c r="H117" t="s">
        <v>25</v>
      </c>
      <c r="I117" t="s">
        <v>26</v>
      </c>
      <c r="J117" t="s">
        <v>26</v>
      </c>
      <c r="K117">
        <v>2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</row>
    <row r="118" spans="1:22" x14ac:dyDescent="0.25">
      <c r="A118">
        <v>2025</v>
      </c>
      <c r="B118">
        <v>2</v>
      </c>
      <c r="C118" t="s">
        <v>61</v>
      </c>
      <c r="D118" t="s">
        <v>22</v>
      </c>
      <c r="E118" t="s">
        <v>61</v>
      </c>
      <c r="F118" t="s">
        <v>36</v>
      </c>
      <c r="G118" t="s">
        <v>28</v>
      </c>
      <c r="H118" t="s">
        <v>25</v>
      </c>
      <c r="I118" t="s">
        <v>26</v>
      </c>
      <c r="J118" t="s">
        <v>25</v>
      </c>
      <c r="K118">
        <v>1927</v>
      </c>
      <c r="L118">
        <v>4</v>
      </c>
      <c r="M118">
        <v>50</v>
      </c>
      <c r="N118">
        <v>54</v>
      </c>
      <c r="O118">
        <v>251</v>
      </c>
      <c r="P118">
        <v>133</v>
      </c>
      <c r="Q118">
        <v>106</v>
      </c>
      <c r="R118">
        <v>63</v>
      </c>
      <c r="S118">
        <v>36</v>
      </c>
      <c r="T118">
        <v>16</v>
      </c>
      <c r="U118">
        <v>4</v>
      </c>
      <c r="V118">
        <v>1896</v>
      </c>
    </row>
    <row r="119" spans="1:22" x14ac:dyDescent="0.25">
      <c r="A119">
        <v>2025</v>
      </c>
      <c r="B119">
        <v>2</v>
      </c>
      <c r="C119" t="s">
        <v>61</v>
      </c>
      <c r="D119" t="s">
        <v>22</v>
      </c>
      <c r="E119" t="s">
        <v>61</v>
      </c>
      <c r="F119" t="s">
        <v>36</v>
      </c>
      <c r="G119" t="s">
        <v>24</v>
      </c>
      <c r="H119" t="s">
        <v>25</v>
      </c>
      <c r="I119" t="s">
        <v>26</v>
      </c>
      <c r="J119" t="s">
        <v>25</v>
      </c>
      <c r="K119">
        <v>112</v>
      </c>
      <c r="L119">
        <v>0</v>
      </c>
      <c r="M119">
        <v>0</v>
      </c>
      <c r="N119">
        <v>0</v>
      </c>
      <c r="O119">
        <v>45</v>
      </c>
      <c r="P119">
        <v>38</v>
      </c>
      <c r="Q119">
        <v>35</v>
      </c>
      <c r="R119">
        <v>23</v>
      </c>
      <c r="S119">
        <v>15</v>
      </c>
      <c r="T119">
        <v>9</v>
      </c>
      <c r="U119">
        <v>1</v>
      </c>
      <c r="V119">
        <v>112</v>
      </c>
    </row>
    <row r="120" spans="1:22" x14ac:dyDescent="0.25">
      <c r="A120">
        <v>2025</v>
      </c>
      <c r="B120">
        <v>2</v>
      </c>
      <c r="C120" t="s">
        <v>61</v>
      </c>
      <c r="D120" t="s">
        <v>22</v>
      </c>
      <c r="E120" t="s">
        <v>61</v>
      </c>
      <c r="F120" t="s">
        <v>41</v>
      </c>
      <c r="G120" t="s">
        <v>28</v>
      </c>
      <c r="H120" t="s">
        <v>26</v>
      </c>
      <c r="I120" t="s">
        <v>26</v>
      </c>
      <c r="J120" t="s">
        <v>25</v>
      </c>
      <c r="K120">
        <v>838</v>
      </c>
      <c r="L120">
        <v>2</v>
      </c>
      <c r="M120">
        <v>29</v>
      </c>
      <c r="N120">
        <v>31</v>
      </c>
      <c r="O120">
        <v>313</v>
      </c>
      <c r="P120">
        <v>265</v>
      </c>
      <c r="Q120">
        <v>243</v>
      </c>
      <c r="R120">
        <v>174</v>
      </c>
      <c r="S120">
        <v>137</v>
      </c>
      <c r="T120">
        <v>60</v>
      </c>
      <c r="U120">
        <v>5</v>
      </c>
      <c r="V120">
        <v>822</v>
      </c>
    </row>
    <row r="121" spans="1:22" x14ac:dyDescent="0.25">
      <c r="A121">
        <v>2025</v>
      </c>
      <c r="B121">
        <v>2</v>
      </c>
      <c r="C121" t="s">
        <v>61</v>
      </c>
      <c r="D121" t="s">
        <v>22</v>
      </c>
      <c r="E121" t="s">
        <v>61</v>
      </c>
      <c r="F121" t="s">
        <v>41</v>
      </c>
      <c r="G121" t="s">
        <v>24</v>
      </c>
      <c r="H121" t="s">
        <v>26</v>
      </c>
      <c r="I121" t="s">
        <v>26</v>
      </c>
      <c r="J121" t="s">
        <v>25</v>
      </c>
      <c r="K121">
        <v>887</v>
      </c>
      <c r="L121">
        <v>1</v>
      </c>
      <c r="M121">
        <v>11</v>
      </c>
      <c r="N121">
        <v>12</v>
      </c>
      <c r="O121">
        <v>282</v>
      </c>
      <c r="P121">
        <v>232</v>
      </c>
      <c r="Q121">
        <v>212</v>
      </c>
      <c r="R121">
        <v>163</v>
      </c>
      <c r="S121">
        <v>129</v>
      </c>
      <c r="T121">
        <v>66</v>
      </c>
      <c r="U121">
        <v>12</v>
      </c>
      <c r="V121">
        <v>884</v>
      </c>
    </row>
    <row r="122" spans="1:22" x14ac:dyDescent="0.25">
      <c r="A122">
        <v>2025</v>
      </c>
      <c r="B122">
        <v>2</v>
      </c>
      <c r="C122" t="s">
        <v>61</v>
      </c>
      <c r="D122" t="s">
        <v>22</v>
      </c>
      <c r="E122" t="s">
        <v>166</v>
      </c>
      <c r="F122" t="s">
        <v>32</v>
      </c>
      <c r="G122" t="s">
        <v>24</v>
      </c>
      <c r="H122" t="s">
        <v>25</v>
      </c>
      <c r="I122" t="s">
        <v>26</v>
      </c>
      <c r="J122" t="s">
        <v>25</v>
      </c>
      <c r="K122">
        <v>252</v>
      </c>
      <c r="L122">
        <v>0</v>
      </c>
      <c r="M122">
        <v>0</v>
      </c>
      <c r="N122">
        <v>0</v>
      </c>
      <c r="O122">
        <v>156</v>
      </c>
      <c r="P122">
        <v>118</v>
      </c>
      <c r="Q122">
        <v>104</v>
      </c>
      <c r="R122">
        <v>71</v>
      </c>
      <c r="S122">
        <v>33</v>
      </c>
      <c r="T122">
        <v>15</v>
      </c>
      <c r="U122">
        <v>4</v>
      </c>
      <c r="V122">
        <v>252</v>
      </c>
    </row>
    <row r="123" spans="1:22" x14ac:dyDescent="0.25">
      <c r="A123">
        <v>2025</v>
      </c>
      <c r="B123">
        <v>2</v>
      </c>
      <c r="C123" t="s">
        <v>61</v>
      </c>
      <c r="D123" t="s">
        <v>22</v>
      </c>
      <c r="E123" t="s">
        <v>168</v>
      </c>
      <c r="F123" t="s">
        <v>31</v>
      </c>
      <c r="G123" t="s">
        <v>24</v>
      </c>
      <c r="H123" t="s">
        <v>25</v>
      </c>
      <c r="I123" t="s">
        <v>26</v>
      </c>
      <c r="J123" t="s">
        <v>25</v>
      </c>
      <c r="K123">
        <v>530</v>
      </c>
      <c r="L123">
        <v>0</v>
      </c>
      <c r="M123">
        <v>0</v>
      </c>
      <c r="N123">
        <v>0</v>
      </c>
      <c r="O123">
        <v>43</v>
      </c>
      <c r="P123">
        <v>27</v>
      </c>
      <c r="Q123">
        <v>20</v>
      </c>
      <c r="R123">
        <v>9</v>
      </c>
      <c r="S123">
        <v>6</v>
      </c>
      <c r="T123">
        <v>0</v>
      </c>
      <c r="U123">
        <v>0</v>
      </c>
      <c r="V123">
        <v>530</v>
      </c>
    </row>
    <row r="124" spans="1:22" x14ac:dyDescent="0.25">
      <c r="A124">
        <v>2025</v>
      </c>
      <c r="B124">
        <v>2</v>
      </c>
      <c r="C124" t="s">
        <v>61</v>
      </c>
      <c r="D124" t="s">
        <v>22</v>
      </c>
      <c r="E124" t="s">
        <v>169</v>
      </c>
      <c r="F124" t="s">
        <v>32</v>
      </c>
      <c r="G124" t="s">
        <v>24</v>
      </c>
      <c r="H124" t="s">
        <v>25</v>
      </c>
      <c r="I124" t="s">
        <v>26</v>
      </c>
      <c r="J124" t="s">
        <v>25</v>
      </c>
      <c r="K124">
        <v>56</v>
      </c>
      <c r="L124">
        <v>0</v>
      </c>
      <c r="M124">
        <v>0</v>
      </c>
      <c r="N124">
        <v>0</v>
      </c>
      <c r="O124">
        <v>21</v>
      </c>
      <c r="P124">
        <v>18</v>
      </c>
      <c r="Q124">
        <v>14</v>
      </c>
      <c r="R124">
        <v>7</v>
      </c>
      <c r="S124">
        <v>4</v>
      </c>
      <c r="T124">
        <v>1</v>
      </c>
      <c r="U124">
        <v>0</v>
      </c>
      <c r="V124">
        <v>56</v>
      </c>
    </row>
    <row r="125" spans="1:22" x14ac:dyDescent="0.25">
      <c r="A125">
        <v>2025</v>
      </c>
      <c r="B125">
        <v>2</v>
      </c>
      <c r="C125" t="s">
        <v>61</v>
      </c>
      <c r="D125" t="s">
        <v>22</v>
      </c>
      <c r="E125" t="s">
        <v>157</v>
      </c>
      <c r="F125" t="s">
        <v>31</v>
      </c>
      <c r="G125" t="s">
        <v>24</v>
      </c>
      <c r="H125" t="s">
        <v>25</v>
      </c>
      <c r="I125" t="s">
        <v>26</v>
      </c>
      <c r="J125" t="s">
        <v>25</v>
      </c>
      <c r="K125">
        <v>112</v>
      </c>
      <c r="L125">
        <v>0</v>
      </c>
      <c r="M125">
        <v>0</v>
      </c>
      <c r="N125">
        <v>0</v>
      </c>
      <c r="O125">
        <v>18</v>
      </c>
      <c r="P125">
        <v>11</v>
      </c>
      <c r="Q125">
        <v>9</v>
      </c>
      <c r="R125">
        <v>4</v>
      </c>
      <c r="S125">
        <v>4</v>
      </c>
      <c r="T125">
        <v>0</v>
      </c>
      <c r="U125">
        <v>0</v>
      </c>
      <c r="V125">
        <v>112</v>
      </c>
    </row>
    <row r="126" spans="1:22" x14ac:dyDescent="0.25">
      <c r="A126">
        <v>2025</v>
      </c>
      <c r="B126">
        <v>2</v>
      </c>
      <c r="C126" t="s">
        <v>61</v>
      </c>
      <c r="D126" t="s">
        <v>22</v>
      </c>
      <c r="E126" t="s">
        <v>157</v>
      </c>
      <c r="F126" t="s">
        <v>35</v>
      </c>
      <c r="G126" t="s">
        <v>24</v>
      </c>
      <c r="H126" t="s">
        <v>25</v>
      </c>
      <c r="I126" t="s">
        <v>26</v>
      </c>
      <c r="J126" t="s">
        <v>26</v>
      </c>
      <c r="K126">
        <v>27</v>
      </c>
      <c r="L126">
        <v>0</v>
      </c>
      <c r="M126">
        <v>0</v>
      </c>
      <c r="N126">
        <v>0</v>
      </c>
      <c r="O126">
        <v>12</v>
      </c>
      <c r="P126">
        <v>10</v>
      </c>
      <c r="Q126">
        <v>10</v>
      </c>
      <c r="R126">
        <v>7</v>
      </c>
      <c r="S126">
        <v>6</v>
      </c>
      <c r="T126">
        <v>5</v>
      </c>
      <c r="U126">
        <v>2</v>
      </c>
      <c r="V126">
        <v>27</v>
      </c>
    </row>
    <row r="127" spans="1:22" x14ac:dyDescent="0.25">
      <c r="A127">
        <v>2025</v>
      </c>
      <c r="B127">
        <v>2</v>
      </c>
      <c r="C127" t="s">
        <v>61</v>
      </c>
      <c r="D127" t="s">
        <v>22</v>
      </c>
      <c r="E127" t="s">
        <v>157</v>
      </c>
      <c r="F127" t="s">
        <v>41</v>
      </c>
      <c r="G127" t="s">
        <v>24</v>
      </c>
      <c r="H127" t="s">
        <v>26</v>
      </c>
      <c r="I127" t="s">
        <v>26</v>
      </c>
      <c r="J127" t="s">
        <v>25</v>
      </c>
      <c r="K127">
        <v>44</v>
      </c>
      <c r="L127">
        <v>0</v>
      </c>
      <c r="M127">
        <v>1</v>
      </c>
      <c r="N127">
        <v>1</v>
      </c>
      <c r="O127">
        <v>18</v>
      </c>
      <c r="P127">
        <v>16</v>
      </c>
      <c r="Q127">
        <v>15</v>
      </c>
      <c r="R127">
        <v>10</v>
      </c>
      <c r="S127">
        <v>8</v>
      </c>
      <c r="T127">
        <v>4</v>
      </c>
      <c r="U127">
        <v>0</v>
      </c>
      <c r="V127">
        <v>43</v>
      </c>
    </row>
    <row r="128" spans="1:22" x14ac:dyDescent="0.25">
      <c r="A128">
        <v>2025</v>
      </c>
      <c r="B128">
        <v>2</v>
      </c>
      <c r="C128" t="s">
        <v>61</v>
      </c>
      <c r="D128" t="s">
        <v>22</v>
      </c>
      <c r="E128" t="s">
        <v>170</v>
      </c>
      <c r="F128" t="s">
        <v>32</v>
      </c>
      <c r="G128" t="s">
        <v>24</v>
      </c>
      <c r="H128" t="s">
        <v>25</v>
      </c>
      <c r="I128" t="s">
        <v>26</v>
      </c>
      <c r="J128" t="s">
        <v>25</v>
      </c>
      <c r="K128">
        <v>19</v>
      </c>
      <c r="L128">
        <v>0</v>
      </c>
      <c r="M128">
        <v>0</v>
      </c>
      <c r="N128">
        <v>0</v>
      </c>
      <c r="O128">
        <v>8</v>
      </c>
      <c r="P128">
        <v>3</v>
      </c>
      <c r="Q128">
        <v>3</v>
      </c>
      <c r="R128">
        <v>2</v>
      </c>
      <c r="S128">
        <v>2</v>
      </c>
      <c r="T128">
        <v>2</v>
      </c>
      <c r="U128">
        <v>1</v>
      </c>
      <c r="V128">
        <v>19</v>
      </c>
    </row>
    <row r="129" spans="1:22" x14ac:dyDescent="0.25">
      <c r="A129">
        <v>2025</v>
      </c>
      <c r="B129">
        <v>3</v>
      </c>
      <c r="C129" t="s">
        <v>61</v>
      </c>
      <c r="D129" t="s">
        <v>22</v>
      </c>
      <c r="E129" t="s">
        <v>159</v>
      </c>
      <c r="F129" t="s">
        <v>31</v>
      </c>
      <c r="G129" t="s">
        <v>24</v>
      </c>
      <c r="H129" t="s">
        <v>25</v>
      </c>
      <c r="I129" t="s">
        <v>26</v>
      </c>
      <c r="J129" t="s">
        <v>25</v>
      </c>
      <c r="K129">
        <v>31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31</v>
      </c>
    </row>
    <row r="130" spans="1:22" x14ac:dyDescent="0.25">
      <c r="A130">
        <v>2025</v>
      </c>
      <c r="B130">
        <v>3</v>
      </c>
      <c r="C130" t="s">
        <v>61</v>
      </c>
      <c r="D130" t="s">
        <v>22</v>
      </c>
      <c r="E130" t="s">
        <v>129</v>
      </c>
      <c r="F130" t="s">
        <v>36</v>
      </c>
      <c r="G130" t="s">
        <v>24</v>
      </c>
      <c r="H130" t="s">
        <v>25</v>
      </c>
      <c r="I130" t="s">
        <v>26</v>
      </c>
      <c r="J130" t="s">
        <v>25</v>
      </c>
      <c r="K130">
        <v>62</v>
      </c>
      <c r="L130">
        <v>0</v>
      </c>
      <c r="M130">
        <v>1</v>
      </c>
      <c r="N130">
        <v>1</v>
      </c>
      <c r="O130">
        <v>12</v>
      </c>
      <c r="P130">
        <v>8</v>
      </c>
      <c r="Q130">
        <v>8</v>
      </c>
      <c r="R130">
        <v>6</v>
      </c>
      <c r="S130">
        <v>4</v>
      </c>
      <c r="T130">
        <v>2</v>
      </c>
      <c r="U130">
        <v>1</v>
      </c>
      <c r="V130">
        <v>61</v>
      </c>
    </row>
    <row r="131" spans="1:22" x14ac:dyDescent="0.25">
      <c r="A131">
        <v>2025</v>
      </c>
      <c r="B131">
        <v>3</v>
      </c>
      <c r="C131" t="s">
        <v>61</v>
      </c>
      <c r="D131" t="s">
        <v>22</v>
      </c>
      <c r="E131" t="s">
        <v>131</v>
      </c>
      <c r="F131" t="s">
        <v>34</v>
      </c>
      <c r="G131" t="s">
        <v>24</v>
      </c>
      <c r="H131" t="s">
        <v>25</v>
      </c>
      <c r="I131" t="s">
        <v>26</v>
      </c>
      <c r="J131" t="s">
        <v>26</v>
      </c>
      <c r="K131">
        <v>62</v>
      </c>
      <c r="L131">
        <v>0</v>
      </c>
      <c r="M131">
        <v>0</v>
      </c>
      <c r="N131">
        <v>0</v>
      </c>
      <c r="O131">
        <v>5</v>
      </c>
      <c r="P131">
        <v>5</v>
      </c>
      <c r="Q131">
        <v>5</v>
      </c>
      <c r="R131">
        <v>5</v>
      </c>
      <c r="S131">
        <v>4</v>
      </c>
      <c r="T131">
        <v>3</v>
      </c>
      <c r="U131">
        <v>2</v>
      </c>
      <c r="V131">
        <v>62</v>
      </c>
    </row>
    <row r="132" spans="1:22" x14ac:dyDescent="0.25">
      <c r="A132">
        <v>2025</v>
      </c>
      <c r="B132">
        <v>3</v>
      </c>
      <c r="C132" t="s">
        <v>61</v>
      </c>
      <c r="D132" t="s">
        <v>22</v>
      </c>
      <c r="E132" t="s">
        <v>160</v>
      </c>
      <c r="F132" t="s">
        <v>23</v>
      </c>
      <c r="G132" t="s">
        <v>24</v>
      </c>
      <c r="H132" t="s">
        <v>25</v>
      </c>
      <c r="I132" t="s">
        <v>26</v>
      </c>
      <c r="J132" t="s">
        <v>25</v>
      </c>
      <c r="K132">
        <v>186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186</v>
      </c>
    </row>
    <row r="133" spans="1:22" x14ac:dyDescent="0.25">
      <c r="A133">
        <v>2025</v>
      </c>
      <c r="B133">
        <v>3</v>
      </c>
      <c r="C133" t="s">
        <v>61</v>
      </c>
      <c r="D133" t="s">
        <v>22</v>
      </c>
      <c r="E133" t="s">
        <v>161</v>
      </c>
      <c r="F133" t="s">
        <v>32</v>
      </c>
      <c r="G133" t="s">
        <v>24</v>
      </c>
      <c r="H133" t="s">
        <v>25</v>
      </c>
      <c r="I133" t="s">
        <v>26</v>
      </c>
      <c r="J133" t="s">
        <v>25</v>
      </c>
      <c r="K133">
        <v>240</v>
      </c>
      <c r="L133">
        <v>0</v>
      </c>
      <c r="M133">
        <v>0</v>
      </c>
      <c r="N133">
        <v>0</v>
      </c>
      <c r="O133">
        <v>32</v>
      </c>
      <c r="P133">
        <v>20</v>
      </c>
      <c r="Q133">
        <v>18</v>
      </c>
      <c r="R133">
        <v>14</v>
      </c>
      <c r="S133">
        <v>9</v>
      </c>
      <c r="T133">
        <v>5</v>
      </c>
      <c r="U133">
        <v>2</v>
      </c>
      <c r="V133">
        <v>240</v>
      </c>
    </row>
    <row r="134" spans="1:22" x14ac:dyDescent="0.25">
      <c r="A134">
        <v>2025</v>
      </c>
      <c r="B134">
        <v>3</v>
      </c>
      <c r="C134" t="s">
        <v>61</v>
      </c>
      <c r="D134" t="s">
        <v>22</v>
      </c>
      <c r="E134" t="s">
        <v>161</v>
      </c>
      <c r="F134" t="s">
        <v>23</v>
      </c>
      <c r="G134" t="s">
        <v>24</v>
      </c>
      <c r="H134" t="s">
        <v>25</v>
      </c>
      <c r="I134" t="s">
        <v>26</v>
      </c>
      <c r="J134" t="s">
        <v>25</v>
      </c>
      <c r="K134">
        <v>31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31</v>
      </c>
    </row>
    <row r="135" spans="1:22" x14ac:dyDescent="0.25">
      <c r="A135">
        <v>2025</v>
      </c>
      <c r="B135">
        <v>3</v>
      </c>
      <c r="C135" t="s">
        <v>61</v>
      </c>
      <c r="D135" t="s">
        <v>22</v>
      </c>
      <c r="E135" t="s">
        <v>161</v>
      </c>
      <c r="F135" t="s">
        <v>36</v>
      </c>
      <c r="G135" t="s">
        <v>24</v>
      </c>
      <c r="H135" t="s">
        <v>25</v>
      </c>
      <c r="I135" t="s">
        <v>26</v>
      </c>
      <c r="J135" t="s">
        <v>25</v>
      </c>
      <c r="K135">
        <v>403</v>
      </c>
      <c r="L135">
        <v>1</v>
      </c>
      <c r="M135">
        <v>3</v>
      </c>
      <c r="N135">
        <v>4</v>
      </c>
      <c r="O135">
        <v>88</v>
      </c>
      <c r="P135">
        <v>57</v>
      </c>
      <c r="Q135">
        <v>49</v>
      </c>
      <c r="R135">
        <v>34</v>
      </c>
      <c r="S135">
        <v>27</v>
      </c>
      <c r="T135">
        <v>12</v>
      </c>
      <c r="U135">
        <v>6</v>
      </c>
      <c r="V135">
        <v>401</v>
      </c>
    </row>
    <row r="136" spans="1:22" x14ac:dyDescent="0.25">
      <c r="A136">
        <v>2025</v>
      </c>
      <c r="B136">
        <v>3</v>
      </c>
      <c r="C136" t="s">
        <v>61</v>
      </c>
      <c r="D136" t="s">
        <v>22</v>
      </c>
      <c r="E136" t="s">
        <v>162</v>
      </c>
      <c r="F136" t="s">
        <v>32</v>
      </c>
      <c r="G136" t="s">
        <v>24</v>
      </c>
      <c r="H136" t="s">
        <v>25</v>
      </c>
      <c r="I136" t="s">
        <v>26</v>
      </c>
      <c r="J136" t="s">
        <v>25</v>
      </c>
      <c r="K136">
        <v>186</v>
      </c>
      <c r="L136">
        <v>0</v>
      </c>
      <c r="M136">
        <v>0</v>
      </c>
      <c r="N136">
        <v>0</v>
      </c>
      <c r="O136">
        <v>94</v>
      </c>
      <c r="P136">
        <v>69</v>
      </c>
      <c r="Q136">
        <v>61</v>
      </c>
      <c r="R136">
        <v>40</v>
      </c>
      <c r="S136">
        <v>33</v>
      </c>
      <c r="T136">
        <v>12</v>
      </c>
      <c r="U136">
        <v>7</v>
      </c>
      <c r="V136">
        <v>186</v>
      </c>
    </row>
    <row r="137" spans="1:22" x14ac:dyDescent="0.25">
      <c r="A137">
        <v>2025</v>
      </c>
      <c r="B137">
        <v>3</v>
      </c>
      <c r="C137" t="s">
        <v>61</v>
      </c>
      <c r="D137" t="s">
        <v>22</v>
      </c>
      <c r="E137" t="s">
        <v>138</v>
      </c>
      <c r="F137" t="s">
        <v>34</v>
      </c>
      <c r="G137" t="s">
        <v>24</v>
      </c>
      <c r="H137" t="s">
        <v>25</v>
      </c>
      <c r="I137" t="s">
        <v>26</v>
      </c>
      <c r="J137" t="s">
        <v>26</v>
      </c>
      <c r="K137">
        <v>31</v>
      </c>
      <c r="L137">
        <v>0</v>
      </c>
      <c r="M137">
        <v>0</v>
      </c>
      <c r="N137">
        <v>0</v>
      </c>
      <c r="O137">
        <v>1</v>
      </c>
      <c r="P137">
        <v>1</v>
      </c>
      <c r="Q137">
        <v>1</v>
      </c>
      <c r="R137">
        <v>1</v>
      </c>
      <c r="S137">
        <v>0</v>
      </c>
      <c r="T137">
        <v>0</v>
      </c>
      <c r="U137">
        <v>0</v>
      </c>
      <c r="V137">
        <v>31</v>
      </c>
    </row>
    <row r="138" spans="1:22" x14ac:dyDescent="0.25">
      <c r="A138">
        <v>2025</v>
      </c>
      <c r="B138">
        <v>3</v>
      </c>
      <c r="C138" t="s">
        <v>61</v>
      </c>
      <c r="D138" t="s">
        <v>22</v>
      </c>
      <c r="E138" t="s">
        <v>139</v>
      </c>
      <c r="F138" t="s">
        <v>34</v>
      </c>
      <c r="G138" t="s">
        <v>24</v>
      </c>
      <c r="H138" t="s">
        <v>25</v>
      </c>
      <c r="I138" t="s">
        <v>26</v>
      </c>
      <c r="J138" t="s">
        <v>26</v>
      </c>
      <c r="K138">
        <v>31</v>
      </c>
      <c r="L138">
        <v>0</v>
      </c>
      <c r="M138">
        <v>0</v>
      </c>
      <c r="N138">
        <v>0</v>
      </c>
      <c r="O138">
        <v>2</v>
      </c>
      <c r="P138">
        <v>2</v>
      </c>
      <c r="Q138">
        <v>2</v>
      </c>
      <c r="R138">
        <v>2</v>
      </c>
      <c r="S138">
        <v>2</v>
      </c>
      <c r="T138">
        <v>1</v>
      </c>
      <c r="U138">
        <v>0</v>
      </c>
      <c r="V138">
        <v>31</v>
      </c>
    </row>
    <row r="139" spans="1:22" x14ac:dyDescent="0.25">
      <c r="A139">
        <v>2025</v>
      </c>
      <c r="B139">
        <v>3</v>
      </c>
      <c r="C139" t="s">
        <v>61</v>
      </c>
      <c r="D139" t="s">
        <v>22</v>
      </c>
      <c r="E139" t="s">
        <v>141</v>
      </c>
      <c r="F139" t="s">
        <v>34</v>
      </c>
      <c r="G139" t="s">
        <v>24</v>
      </c>
      <c r="H139" t="s">
        <v>25</v>
      </c>
      <c r="I139" t="s">
        <v>26</v>
      </c>
      <c r="J139" t="s">
        <v>26</v>
      </c>
      <c r="K139">
        <v>31</v>
      </c>
      <c r="L139">
        <v>0</v>
      </c>
      <c r="M139">
        <v>0</v>
      </c>
      <c r="N139">
        <v>0</v>
      </c>
      <c r="O139">
        <v>3</v>
      </c>
      <c r="P139">
        <v>3</v>
      </c>
      <c r="Q139">
        <v>3</v>
      </c>
      <c r="R139">
        <v>2</v>
      </c>
      <c r="S139">
        <v>2</v>
      </c>
      <c r="T139">
        <v>1</v>
      </c>
      <c r="U139">
        <v>0</v>
      </c>
      <c r="V139">
        <v>31</v>
      </c>
    </row>
    <row r="140" spans="1:22" x14ac:dyDescent="0.25">
      <c r="A140">
        <v>2025</v>
      </c>
      <c r="B140">
        <v>3</v>
      </c>
      <c r="C140" t="s">
        <v>61</v>
      </c>
      <c r="D140" t="s">
        <v>22</v>
      </c>
      <c r="E140" t="s">
        <v>142</v>
      </c>
      <c r="F140" t="s">
        <v>34</v>
      </c>
      <c r="G140" t="s">
        <v>24</v>
      </c>
      <c r="H140" t="s">
        <v>25</v>
      </c>
      <c r="I140" t="s">
        <v>26</v>
      </c>
      <c r="J140" t="s">
        <v>26</v>
      </c>
      <c r="K140">
        <v>31</v>
      </c>
      <c r="L140">
        <v>1</v>
      </c>
      <c r="M140">
        <v>0</v>
      </c>
      <c r="N140">
        <v>1</v>
      </c>
      <c r="O140">
        <v>1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30</v>
      </c>
    </row>
    <row r="141" spans="1:22" x14ac:dyDescent="0.25">
      <c r="A141">
        <v>2025</v>
      </c>
      <c r="B141">
        <v>3</v>
      </c>
      <c r="C141" t="s">
        <v>61</v>
      </c>
      <c r="D141" t="s">
        <v>22</v>
      </c>
      <c r="E141" t="s">
        <v>144</v>
      </c>
      <c r="F141" t="s">
        <v>32</v>
      </c>
      <c r="G141" t="s">
        <v>24</v>
      </c>
      <c r="H141" t="s">
        <v>25</v>
      </c>
      <c r="I141" t="s">
        <v>26</v>
      </c>
      <c r="J141" t="s">
        <v>25</v>
      </c>
      <c r="K141">
        <v>186</v>
      </c>
      <c r="L141">
        <v>0</v>
      </c>
      <c r="M141">
        <v>0</v>
      </c>
      <c r="N141">
        <v>0</v>
      </c>
      <c r="O141">
        <v>65</v>
      </c>
      <c r="P141">
        <v>58</v>
      </c>
      <c r="Q141">
        <v>58</v>
      </c>
      <c r="R141">
        <v>51</v>
      </c>
      <c r="S141">
        <v>40</v>
      </c>
      <c r="T141">
        <v>18</v>
      </c>
      <c r="U141">
        <v>5</v>
      </c>
      <c r="V141">
        <v>186</v>
      </c>
    </row>
    <row r="142" spans="1:22" x14ac:dyDescent="0.25">
      <c r="A142">
        <v>2025</v>
      </c>
      <c r="B142">
        <v>3</v>
      </c>
      <c r="C142" t="s">
        <v>61</v>
      </c>
      <c r="D142" t="s">
        <v>22</v>
      </c>
      <c r="E142" t="s">
        <v>144</v>
      </c>
      <c r="F142" t="s">
        <v>23</v>
      </c>
      <c r="G142" t="s">
        <v>24</v>
      </c>
      <c r="H142" t="s">
        <v>25</v>
      </c>
      <c r="I142" t="s">
        <v>26</v>
      </c>
      <c r="J142" t="s">
        <v>25</v>
      </c>
      <c r="K142">
        <v>225</v>
      </c>
      <c r="L142">
        <v>5</v>
      </c>
      <c r="M142">
        <v>0</v>
      </c>
      <c r="N142">
        <v>5</v>
      </c>
      <c r="O142">
        <v>51</v>
      </c>
      <c r="P142">
        <v>43</v>
      </c>
      <c r="Q142">
        <v>43</v>
      </c>
      <c r="R142">
        <v>39</v>
      </c>
      <c r="S142">
        <v>33</v>
      </c>
      <c r="T142">
        <v>21</v>
      </c>
      <c r="U142">
        <v>8</v>
      </c>
      <c r="V142">
        <v>220</v>
      </c>
    </row>
    <row r="143" spans="1:22" x14ac:dyDescent="0.25">
      <c r="A143">
        <v>2025</v>
      </c>
      <c r="B143">
        <v>3</v>
      </c>
      <c r="C143" t="s">
        <v>61</v>
      </c>
      <c r="D143" t="s">
        <v>22</v>
      </c>
      <c r="E143" t="s">
        <v>144</v>
      </c>
      <c r="F143" t="s">
        <v>39</v>
      </c>
      <c r="G143" t="s">
        <v>24</v>
      </c>
      <c r="H143" t="s">
        <v>26</v>
      </c>
      <c r="I143" t="s">
        <v>26</v>
      </c>
      <c r="J143" t="s">
        <v>25</v>
      </c>
      <c r="K143">
        <v>776</v>
      </c>
      <c r="L143">
        <v>16</v>
      </c>
      <c r="M143">
        <v>5</v>
      </c>
      <c r="N143">
        <v>21</v>
      </c>
      <c r="O143">
        <v>258</v>
      </c>
      <c r="P143">
        <v>217</v>
      </c>
      <c r="Q143">
        <v>206</v>
      </c>
      <c r="R143">
        <v>168</v>
      </c>
      <c r="S143">
        <v>131</v>
      </c>
      <c r="T143">
        <v>71</v>
      </c>
      <c r="U143">
        <v>22</v>
      </c>
      <c r="V143">
        <v>758</v>
      </c>
    </row>
    <row r="144" spans="1:22" x14ac:dyDescent="0.25">
      <c r="A144">
        <v>2025</v>
      </c>
      <c r="B144">
        <v>3</v>
      </c>
      <c r="C144" t="s">
        <v>61</v>
      </c>
      <c r="D144" t="s">
        <v>22</v>
      </c>
      <c r="E144" t="s">
        <v>144</v>
      </c>
      <c r="F144" t="s">
        <v>36</v>
      </c>
      <c r="G144" t="s">
        <v>24</v>
      </c>
      <c r="H144" t="s">
        <v>25</v>
      </c>
      <c r="I144" t="s">
        <v>26</v>
      </c>
      <c r="J144" t="s">
        <v>25</v>
      </c>
      <c r="K144">
        <v>297</v>
      </c>
      <c r="L144">
        <v>8</v>
      </c>
      <c r="M144">
        <v>4</v>
      </c>
      <c r="N144">
        <v>12</v>
      </c>
      <c r="O144">
        <v>67</v>
      </c>
      <c r="P144">
        <v>52</v>
      </c>
      <c r="Q144">
        <v>45</v>
      </c>
      <c r="R144">
        <v>32</v>
      </c>
      <c r="S144">
        <v>23</v>
      </c>
      <c r="T144">
        <v>13</v>
      </c>
      <c r="U144">
        <v>3</v>
      </c>
      <c r="V144">
        <v>288</v>
      </c>
    </row>
    <row r="145" spans="1:22" x14ac:dyDescent="0.25">
      <c r="A145">
        <v>2025</v>
      </c>
      <c r="B145">
        <v>3</v>
      </c>
      <c r="C145" t="s">
        <v>61</v>
      </c>
      <c r="D145" t="s">
        <v>22</v>
      </c>
      <c r="E145" t="s">
        <v>145</v>
      </c>
      <c r="F145" t="s">
        <v>32</v>
      </c>
      <c r="G145" t="s">
        <v>24</v>
      </c>
      <c r="H145" t="s">
        <v>25</v>
      </c>
      <c r="I145" t="s">
        <v>26</v>
      </c>
      <c r="J145" t="s">
        <v>25</v>
      </c>
      <c r="K145">
        <v>295</v>
      </c>
      <c r="L145">
        <v>6</v>
      </c>
      <c r="M145">
        <v>0</v>
      </c>
      <c r="N145">
        <v>6</v>
      </c>
      <c r="O145">
        <v>57</v>
      </c>
      <c r="P145">
        <v>41</v>
      </c>
      <c r="Q145">
        <v>36</v>
      </c>
      <c r="R145">
        <v>16</v>
      </c>
      <c r="S145">
        <v>11</v>
      </c>
      <c r="T145">
        <v>6</v>
      </c>
      <c r="U145">
        <v>0</v>
      </c>
      <c r="V145">
        <v>289</v>
      </c>
    </row>
    <row r="146" spans="1:22" x14ac:dyDescent="0.25">
      <c r="A146">
        <v>2025</v>
      </c>
      <c r="B146">
        <v>3</v>
      </c>
      <c r="C146" t="s">
        <v>61</v>
      </c>
      <c r="D146" t="s">
        <v>22</v>
      </c>
      <c r="E146" t="s">
        <v>147</v>
      </c>
      <c r="F146" t="s">
        <v>32</v>
      </c>
      <c r="G146" t="s">
        <v>24</v>
      </c>
      <c r="H146" t="s">
        <v>25</v>
      </c>
      <c r="I146" t="s">
        <v>26</v>
      </c>
      <c r="J146" t="s">
        <v>25</v>
      </c>
      <c r="K146">
        <v>55</v>
      </c>
      <c r="L146">
        <v>0</v>
      </c>
      <c r="M146">
        <v>0</v>
      </c>
      <c r="N146">
        <v>0</v>
      </c>
      <c r="O146">
        <v>12</v>
      </c>
      <c r="P146">
        <v>11</v>
      </c>
      <c r="Q146">
        <v>11</v>
      </c>
      <c r="R146">
        <v>9</v>
      </c>
      <c r="S146">
        <v>6</v>
      </c>
      <c r="T146">
        <v>5</v>
      </c>
      <c r="U146">
        <v>0</v>
      </c>
      <c r="V146">
        <v>55</v>
      </c>
    </row>
    <row r="147" spans="1:22" x14ac:dyDescent="0.25">
      <c r="A147">
        <v>2025</v>
      </c>
      <c r="B147">
        <v>3</v>
      </c>
      <c r="C147" t="s">
        <v>61</v>
      </c>
      <c r="D147" t="s">
        <v>22</v>
      </c>
      <c r="E147" t="s">
        <v>147</v>
      </c>
      <c r="F147" t="s">
        <v>36</v>
      </c>
      <c r="G147" t="s">
        <v>24</v>
      </c>
      <c r="H147" t="s">
        <v>25</v>
      </c>
      <c r="I147" t="s">
        <v>26</v>
      </c>
      <c r="J147" t="s">
        <v>25</v>
      </c>
      <c r="K147">
        <v>230</v>
      </c>
      <c r="L147">
        <v>5</v>
      </c>
      <c r="M147">
        <v>1</v>
      </c>
      <c r="N147">
        <v>6</v>
      </c>
      <c r="O147">
        <v>103</v>
      </c>
      <c r="P147">
        <v>85</v>
      </c>
      <c r="Q147">
        <v>80</v>
      </c>
      <c r="R147">
        <v>69</v>
      </c>
      <c r="S147">
        <v>50</v>
      </c>
      <c r="T147">
        <v>14</v>
      </c>
      <c r="U147">
        <v>5</v>
      </c>
      <c r="V147">
        <v>225</v>
      </c>
    </row>
    <row r="148" spans="1:22" x14ac:dyDescent="0.25">
      <c r="A148">
        <v>2025</v>
      </c>
      <c r="B148">
        <v>3</v>
      </c>
      <c r="C148" t="s">
        <v>61</v>
      </c>
      <c r="D148" t="s">
        <v>22</v>
      </c>
      <c r="E148" t="s">
        <v>155</v>
      </c>
      <c r="F148" t="s">
        <v>34</v>
      </c>
      <c r="G148" t="s">
        <v>24</v>
      </c>
      <c r="H148" t="s">
        <v>25</v>
      </c>
      <c r="I148" t="s">
        <v>26</v>
      </c>
      <c r="J148" t="s">
        <v>26</v>
      </c>
      <c r="K148">
        <v>62</v>
      </c>
      <c r="L148">
        <v>0</v>
      </c>
      <c r="M148">
        <v>0</v>
      </c>
      <c r="N148">
        <v>0</v>
      </c>
      <c r="O148">
        <v>2</v>
      </c>
      <c r="P148">
        <v>1</v>
      </c>
      <c r="Q148">
        <v>1</v>
      </c>
      <c r="R148">
        <v>1</v>
      </c>
      <c r="S148">
        <v>1</v>
      </c>
      <c r="T148">
        <v>1</v>
      </c>
      <c r="U148">
        <v>1</v>
      </c>
      <c r="V148">
        <v>62</v>
      </c>
    </row>
    <row r="149" spans="1:22" x14ac:dyDescent="0.25">
      <c r="A149">
        <v>2025</v>
      </c>
      <c r="B149">
        <v>3</v>
      </c>
      <c r="C149" t="s">
        <v>61</v>
      </c>
      <c r="D149" t="s">
        <v>22</v>
      </c>
      <c r="E149" t="s">
        <v>152</v>
      </c>
      <c r="F149" t="s">
        <v>31</v>
      </c>
      <c r="G149" t="s">
        <v>24</v>
      </c>
      <c r="H149" t="s">
        <v>25</v>
      </c>
      <c r="I149" t="s">
        <v>26</v>
      </c>
      <c r="J149" t="s">
        <v>25</v>
      </c>
      <c r="K149">
        <v>186</v>
      </c>
      <c r="L149">
        <v>0</v>
      </c>
      <c r="M149">
        <v>0</v>
      </c>
      <c r="N149">
        <v>0</v>
      </c>
      <c r="O149">
        <v>77</v>
      </c>
      <c r="P149">
        <v>55</v>
      </c>
      <c r="Q149">
        <v>49</v>
      </c>
      <c r="R149">
        <v>26</v>
      </c>
      <c r="S149">
        <v>20</v>
      </c>
      <c r="T149">
        <v>7</v>
      </c>
      <c r="U149">
        <v>2</v>
      </c>
      <c r="V149">
        <v>186</v>
      </c>
    </row>
    <row r="150" spans="1:22" x14ac:dyDescent="0.25">
      <c r="A150">
        <v>2025</v>
      </c>
      <c r="B150">
        <v>3</v>
      </c>
      <c r="C150" t="s">
        <v>61</v>
      </c>
      <c r="D150" t="s">
        <v>22</v>
      </c>
      <c r="E150" t="s">
        <v>152</v>
      </c>
      <c r="F150" t="s">
        <v>34</v>
      </c>
      <c r="G150" t="s">
        <v>24</v>
      </c>
      <c r="H150" t="s">
        <v>25</v>
      </c>
      <c r="I150" t="s">
        <v>26</v>
      </c>
      <c r="J150" t="s">
        <v>26</v>
      </c>
      <c r="K150">
        <v>31</v>
      </c>
      <c r="L150">
        <v>0</v>
      </c>
      <c r="M150">
        <v>0</v>
      </c>
      <c r="N150">
        <v>0</v>
      </c>
      <c r="O150">
        <v>4</v>
      </c>
      <c r="P150">
        <v>2</v>
      </c>
      <c r="Q150">
        <v>1</v>
      </c>
      <c r="R150">
        <v>1</v>
      </c>
      <c r="S150">
        <v>1</v>
      </c>
      <c r="T150">
        <v>1</v>
      </c>
      <c r="U150">
        <v>1</v>
      </c>
      <c r="V150">
        <v>31</v>
      </c>
    </row>
    <row r="151" spans="1:22" x14ac:dyDescent="0.25">
      <c r="A151">
        <v>2025</v>
      </c>
      <c r="B151">
        <v>3</v>
      </c>
      <c r="C151" t="s">
        <v>61</v>
      </c>
      <c r="D151" t="s">
        <v>22</v>
      </c>
      <c r="E151" t="s">
        <v>163</v>
      </c>
      <c r="F151" t="s">
        <v>32</v>
      </c>
      <c r="G151" t="s">
        <v>24</v>
      </c>
      <c r="H151" t="s">
        <v>25</v>
      </c>
      <c r="I151" t="s">
        <v>26</v>
      </c>
      <c r="J151" t="s">
        <v>25</v>
      </c>
      <c r="K151">
        <v>279</v>
      </c>
      <c r="L151">
        <v>0</v>
      </c>
      <c r="M151">
        <v>0</v>
      </c>
      <c r="N151">
        <v>0</v>
      </c>
      <c r="O151">
        <v>145</v>
      </c>
      <c r="P151">
        <v>128</v>
      </c>
      <c r="Q151">
        <v>122</v>
      </c>
      <c r="R151">
        <v>103</v>
      </c>
      <c r="S151">
        <v>90</v>
      </c>
      <c r="T151">
        <v>43</v>
      </c>
      <c r="U151">
        <v>10</v>
      </c>
      <c r="V151">
        <v>279</v>
      </c>
    </row>
    <row r="152" spans="1:22" x14ac:dyDescent="0.25">
      <c r="A152">
        <v>2025</v>
      </c>
      <c r="B152">
        <v>3</v>
      </c>
      <c r="C152" t="s">
        <v>61</v>
      </c>
      <c r="D152" t="s">
        <v>22</v>
      </c>
      <c r="E152" t="s">
        <v>163</v>
      </c>
      <c r="F152" t="s">
        <v>34</v>
      </c>
      <c r="G152" t="s">
        <v>24</v>
      </c>
      <c r="H152" t="s">
        <v>25</v>
      </c>
      <c r="I152" t="s">
        <v>26</v>
      </c>
      <c r="J152" t="s">
        <v>26</v>
      </c>
      <c r="K152">
        <v>62</v>
      </c>
      <c r="L152">
        <v>0</v>
      </c>
      <c r="M152">
        <v>0</v>
      </c>
      <c r="N152">
        <v>0</v>
      </c>
      <c r="O152">
        <v>13</v>
      </c>
      <c r="P152">
        <v>12</v>
      </c>
      <c r="Q152">
        <v>12</v>
      </c>
      <c r="R152">
        <v>10</v>
      </c>
      <c r="S152">
        <v>10</v>
      </c>
      <c r="T152">
        <v>8</v>
      </c>
      <c r="U152">
        <v>5</v>
      </c>
      <c r="V152">
        <v>62</v>
      </c>
    </row>
    <row r="153" spans="1:22" x14ac:dyDescent="0.25">
      <c r="A153">
        <v>2025</v>
      </c>
      <c r="B153">
        <v>3</v>
      </c>
      <c r="C153" t="s">
        <v>61</v>
      </c>
      <c r="D153" t="s">
        <v>22</v>
      </c>
      <c r="E153" t="s">
        <v>163</v>
      </c>
      <c r="F153" t="s">
        <v>23</v>
      </c>
      <c r="G153" t="s">
        <v>24</v>
      </c>
      <c r="H153" t="s">
        <v>25</v>
      </c>
      <c r="I153" t="s">
        <v>26</v>
      </c>
      <c r="J153" t="s">
        <v>25</v>
      </c>
      <c r="K153">
        <v>93</v>
      </c>
      <c r="L153">
        <v>0</v>
      </c>
      <c r="M153">
        <v>0</v>
      </c>
      <c r="N153">
        <v>0</v>
      </c>
      <c r="O153">
        <v>11</v>
      </c>
      <c r="P153">
        <v>5</v>
      </c>
      <c r="Q153">
        <v>4</v>
      </c>
      <c r="R153">
        <v>3</v>
      </c>
      <c r="S153">
        <v>3</v>
      </c>
      <c r="T153">
        <v>0</v>
      </c>
      <c r="U153">
        <v>0</v>
      </c>
      <c r="V153">
        <v>93</v>
      </c>
    </row>
    <row r="154" spans="1:22" x14ac:dyDescent="0.25">
      <c r="A154">
        <v>2025</v>
      </c>
      <c r="B154">
        <v>3</v>
      </c>
      <c r="C154" t="s">
        <v>61</v>
      </c>
      <c r="D154" t="s">
        <v>22</v>
      </c>
      <c r="E154" t="s">
        <v>164</v>
      </c>
      <c r="F154" t="s">
        <v>23</v>
      </c>
      <c r="G154" t="s">
        <v>24</v>
      </c>
      <c r="H154" t="s">
        <v>25</v>
      </c>
      <c r="I154" t="s">
        <v>26</v>
      </c>
      <c r="J154" t="s">
        <v>25</v>
      </c>
      <c r="K154">
        <v>62</v>
      </c>
      <c r="L154">
        <v>0</v>
      </c>
      <c r="M154">
        <v>0</v>
      </c>
      <c r="N154">
        <v>0</v>
      </c>
      <c r="O154">
        <v>16</v>
      </c>
      <c r="P154">
        <v>11</v>
      </c>
      <c r="Q154">
        <v>11</v>
      </c>
      <c r="R154">
        <v>6</v>
      </c>
      <c r="S154">
        <v>6</v>
      </c>
      <c r="T154">
        <v>3</v>
      </c>
      <c r="U154">
        <v>1</v>
      </c>
      <c r="V154">
        <v>62</v>
      </c>
    </row>
    <row r="155" spans="1:22" x14ac:dyDescent="0.25">
      <c r="A155">
        <v>2025</v>
      </c>
      <c r="B155">
        <v>3</v>
      </c>
      <c r="C155" t="s">
        <v>61</v>
      </c>
      <c r="D155" t="s">
        <v>22</v>
      </c>
      <c r="E155" t="s">
        <v>165</v>
      </c>
      <c r="F155" t="s">
        <v>31</v>
      </c>
      <c r="G155" t="s">
        <v>24</v>
      </c>
      <c r="H155" t="s">
        <v>25</v>
      </c>
      <c r="I155" t="s">
        <v>26</v>
      </c>
      <c r="J155" t="s">
        <v>25</v>
      </c>
      <c r="K155">
        <v>31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31</v>
      </c>
    </row>
    <row r="156" spans="1:22" x14ac:dyDescent="0.25">
      <c r="A156">
        <v>2025</v>
      </c>
      <c r="B156">
        <v>3</v>
      </c>
      <c r="C156" t="s">
        <v>61</v>
      </c>
      <c r="D156" t="s">
        <v>22</v>
      </c>
      <c r="E156" t="s">
        <v>61</v>
      </c>
      <c r="F156" t="s">
        <v>31</v>
      </c>
      <c r="G156" t="s">
        <v>28</v>
      </c>
      <c r="H156" t="s">
        <v>25</v>
      </c>
      <c r="I156" t="s">
        <v>26</v>
      </c>
      <c r="J156" t="s">
        <v>25</v>
      </c>
      <c r="K156">
        <v>761</v>
      </c>
      <c r="L156">
        <v>5</v>
      </c>
      <c r="M156">
        <v>6</v>
      </c>
      <c r="N156">
        <v>11</v>
      </c>
      <c r="O156">
        <v>160</v>
      </c>
      <c r="P156">
        <v>107</v>
      </c>
      <c r="Q156">
        <v>91</v>
      </c>
      <c r="R156">
        <v>55</v>
      </c>
      <c r="S156">
        <v>36</v>
      </c>
      <c r="T156">
        <v>13</v>
      </c>
      <c r="U156">
        <v>3</v>
      </c>
      <c r="V156">
        <v>751</v>
      </c>
    </row>
    <row r="157" spans="1:22" x14ac:dyDescent="0.25">
      <c r="A157">
        <v>2025</v>
      </c>
      <c r="B157">
        <v>3</v>
      </c>
      <c r="C157" t="s">
        <v>61</v>
      </c>
      <c r="D157" t="s">
        <v>22</v>
      </c>
      <c r="E157" t="s">
        <v>61</v>
      </c>
      <c r="F157" t="s">
        <v>31</v>
      </c>
      <c r="G157" t="s">
        <v>24</v>
      </c>
      <c r="H157" t="s">
        <v>25</v>
      </c>
      <c r="I157" t="s">
        <v>26</v>
      </c>
      <c r="J157" t="s">
        <v>25</v>
      </c>
      <c r="K157">
        <v>1</v>
      </c>
      <c r="L157">
        <v>0</v>
      </c>
      <c r="M157">
        <v>0</v>
      </c>
      <c r="N157">
        <v>0</v>
      </c>
      <c r="O157">
        <v>1</v>
      </c>
      <c r="P157">
        <v>1</v>
      </c>
      <c r="Q157">
        <v>1</v>
      </c>
      <c r="R157">
        <v>1</v>
      </c>
      <c r="S157">
        <v>1</v>
      </c>
      <c r="T157">
        <v>1</v>
      </c>
      <c r="U157">
        <v>1</v>
      </c>
      <c r="V157">
        <v>1</v>
      </c>
    </row>
    <row r="158" spans="1:22" x14ac:dyDescent="0.25">
      <c r="A158">
        <v>2025</v>
      </c>
      <c r="B158">
        <v>3</v>
      </c>
      <c r="C158" t="s">
        <v>61</v>
      </c>
      <c r="D158" t="s">
        <v>22</v>
      </c>
      <c r="E158" t="s">
        <v>61</v>
      </c>
      <c r="F158" t="s">
        <v>32</v>
      </c>
      <c r="G158" t="s">
        <v>28</v>
      </c>
      <c r="H158" t="s">
        <v>25</v>
      </c>
      <c r="I158" t="s">
        <v>26</v>
      </c>
      <c r="J158" t="s">
        <v>25</v>
      </c>
      <c r="K158">
        <v>9</v>
      </c>
      <c r="L158">
        <v>0</v>
      </c>
      <c r="M158">
        <v>0</v>
      </c>
      <c r="N158">
        <v>0</v>
      </c>
      <c r="O158">
        <v>5</v>
      </c>
      <c r="P158">
        <v>4</v>
      </c>
      <c r="Q158">
        <v>4</v>
      </c>
      <c r="R158">
        <v>4</v>
      </c>
      <c r="S158">
        <v>3</v>
      </c>
      <c r="T158">
        <v>2</v>
      </c>
      <c r="U158">
        <v>0</v>
      </c>
      <c r="V158">
        <v>9</v>
      </c>
    </row>
    <row r="159" spans="1:22" x14ac:dyDescent="0.25">
      <c r="A159">
        <v>2025</v>
      </c>
      <c r="B159">
        <v>3</v>
      </c>
      <c r="C159" t="s">
        <v>61</v>
      </c>
      <c r="D159" t="s">
        <v>22</v>
      </c>
      <c r="E159" t="s">
        <v>61</v>
      </c>
      <c r="F159" t="s">
        <v>23</v>
      </c>
      <c r="G159" t="s">
        <v>28</v>
      </c>
      <c r="H159" t="s">
        <v>25</v>
      </c>
      <c r="I159" t="s">
        <v>26</v>
      </c>
      <c r="J159" t="s">
        <v>25</v>
      </c>
      <c r="K159">
        <v>1795</v>
      </c>
      <c r="L159">
        <v>1</v>
      </c>
      <c r="M159">
        <v>6</v>
      </c>
      <c r="N159">
        <v>7</v>
      </c>
      <c r="O159">
        <v>288</v>
      </c>
      <c r="P159">
        <v>192</v>
      </c>
      <c r="Q159">
        <v>163</v>
      </c>
      <c r="R159">
        <v>102</v>
      </c>
      <c r="S159">
        <v>77</v>
      </c>
      <c r="T159">
        <v>32</v>
      </c>
      <c r="U159">
        <v>10</v>
      </c>
      <c r="V159">
        <v>1790</v>
      </c>
    </row>
    <row r="160" spans="1:22" x14ac:dyDescent="0.25">
      <c r="A160">
        <v>2025</v>
      </c>
      <c r="B160">
        <v>3</v>
      </c>
      <c r="C160" t="s">
        <v>61</v>
      </c>
      <c r="D160" t="s">
        <v>22</v>
      </c>
      <c r="E160" t="s">
        <v>61</v>
      </c>
      <c r="F160" t="s">
        <v>39</v>
      </c>
      <c r="G160" t="s">
        <v>28</v>
      </c>
      <c r="H160" t="s">
        <v>26</v>
      </c>
      <c r="I160" t="s">
        <v>26</v>
      </c>
      <c r="J160" t="s">
        <v>25</v>
      </c>
      <c r="K160">
        <v>36</v>
      </c>
      <c r="L160">
        <v>0</v>
      </c>
      <c r="M160">
        <v>0</v>
      </c>
      <c r="N160">
        <v>0</v>
      </c>
      <c r="O160">
        <v>7</v>
      </c>
      <c r="P160">
        <v>4</v>
      </c>
      <c r="Q160">
        <v>3</v>
      </c>
      <c r="R160">
        <v>1</v>
      </c>
      <c r="S160">
        <v>1</v>
      </c>
      <c r="T160">
        <v>0</v>
      </c>
      <c r="U160">
        <v>0</v>
      </c>
      <c r="V160">
        <v>36</v>
      </c>
    </row>
    <row r="161" spans="1:22" x14ac:dyDescent="0.25">
      <c r="A161">
        <v>2025</v>
      </c>
      <c r="B161">
        <v>3</v>
      </c>
      <c r="C161" t="s">
        <v>61</v>
      </c>
      <c r="D161" t="s">
        <v>22</v>
      </c>
      <c r="E161" t="s">
        <v>61</v>
      </c>
      <c r="F161" t="s">
        <v>35</v>
      </c>
      <c r="G161" t="s">
        <v>28</v>
      </c>
      <c r="H161" t="s">
        <v>25</v>
      </c>
      <c r="I161" t="s">
        <v>26</v>
      </c>
      <c r="J161" t="s">
        <v>26</v>
      </c>
      <c r="K161">
        <v>62</v>
      </c>
      <c r="L161">
        <v>0</v>
      </c>
      <c r="M161">
        <v>0</v>
      </c>
      <c r="N161">
        <v>0</v>
      </c>
      <c r="O161">
        <v>9</v>
      </c>
      <c r="P161">
        <v>5</v>
      </c>
      <c r="Q161">
        <v>5</v>
      </c>
      <c r="R161">
        <v>4</v>
      </c>
      <c r="S161">
        <v>4</v>
      </c>
      <c r="T161">
        <v>0</v>
      </c>
      <c r="U161">
        <v>0</v>
      </c>
      <c r="V161">
        <v>62</v>
      </c>
    </row>
    <row r="162" spans="1:22" x14ac:dyDescent="0.25">
      <c r="A162">
        <v>2025</v>
      </c>
      <c r="B162">
        <v>3</v>
      </c>
      <c r="C162" t="s">
        <v>61</v>
      </c>
      <c r="D162" t="s">
        <v>22</v>
      </c>
      <c r="E162" t="s">
        <v>61</v>
      </c>
      <c r="F162" t="s">
        <v>35</v>
      </c>
      <c r="G162" t="s">
        <v>24</v>
      </c>
      <c r="H162" t="s">
        <v>25</v>
      </c>
      <c r="I162" t="s">
        <v>26</v>
      </c>
      <c r="J162" t="s">
        <v>26</v>
      </c>
      <c r="K162">
        <v>673</v>
      </c>
      <c r="L162">
        <v>7</v>
      </c>
      <c r="M162">
        <v>0</v>
      </c>
      <c r="N162">
        <v>7</v>
      </c>
      <c r="O162">
        <v>253</v>
      </c>
      <c r="P162">
        <v>205</v>
      </c>
      <c r="Q162">
        <v>189</v>
      </c>
      <c r="R162">
        <v>159</v>
      </c>
      <c r="S162">
        <v>137</v>
      </c>
      <c r="T162">
        <v>101</v>
      </c>
      <c r="U162">
        <v>52</v>
      </c>
      <c r="V162">
        <v>666</v>
      </c>
    </row>
    <row r="163" spans="1:22" x14ac:dyDescent="0.25">
      <c r="A163">
        <v>2025</v>
      </c>
      <c r="B163">
        <v>3</v>
      </c>
      <c r="C163" t="s">
        <v>61</v>
      </c>
      <c r="D163" t="s">
        <v>22</v>
      </c>
      <c r="E163" t="s">
        <v>61</v>
      </c>
      <c r="F163" t="s">
        <v>36</v>
      </c>
      <c r="G163" t="s">
        <v>28</v>
      </c>
      <c r="H163" t="s">
        <v>25</v>
      </c>
      <c r="I163" t="s">
        <v>26</v>
      </c>
      <c r="J163" t="s">
        <v>25</v>
      </c>
      <c r="K163">
        <v>2128</v>
      </c>
      <c r="L163">
        <v>7</v>
      </c>
      <c r="M163">
        <v>54</v>
      </c>
      <c r="N163">
        <v>61</v>
      </c>
      <c r="O163">
        <v>355</v>
      </c>
      <c r="P163">
        <v>201</v>
      </c>
      <c r="Q163">
        <v>160</v>
      </c>
      <c r="R163">
        <v>73</v>
      </c>
      <c r="S163">
        <v>54</v>
      </c>
      <c r="T163">
        <v>24</v>
      </c>
      <c r="U163">
        <v>10</v>
      </c>
      <c r="V163">
        <v>2096</v>
      </c>
    </row>
    <row r="164" spans="1:22" x14ac:dyDescent="0.25">
      <c r="A164">
        <v>2025</v>
      </c>
      <c r="B164">
        <v>3</v>
      </c>
      <c r="C164" t="s">
        <v>61</v>
      </c>
      <c r="D164" t="s">
        <v>22</v>
      </c>
      <c r="E164" t="s">
        <v>61</v>
      </c>
      <c r="F164" t="s">
        <v>36</v>
      </c>
      <c r="G164" t="s">
        <v>24</v>
      </c>
      <c r="H164" t="s">
        <v>25</v>
      </c>
      <c r="I164" t="s">
        <v>26</v>
      </c>
      <c r="J164" t="s">
        <v>25</v>
      </c>
      <c r="K164">
        <v>124</v>
      </c>
      <c r="L164">
        <v>0</v>
      </c>
      <c r="M164">
        <v>0</v>
      </c>
      <c r="N164">
        <v>0</v>
      </c>
      <c r="O164">
        <v>46</v>
      </c>
      <c r="P164">
        <v>39</v>
      </c>
      <c r="Q164">
        <v>36</v>
      </c>
      <c r="R164">
        <v>23</v>
      </c>
      <c r="S164">
        <v>14</v>
      </c>
      <c r="T164">
        <v>7</v>
      </c>
      <c r="U164">
        <v>1</v>
      </c>
      <c r="V164">
        <v>124</v>
      </c>
    </row>
    <row r="165" spans="1:22" x14ac:dyDescent="0.25">
      <c r="A165">
        <v>2025</v>
      </c>
      <c r="B165">
        <v>3</v>
      </c>
      <c r="C165" t="s">
        <v>61</v>
      </c>
      <c r="D165" t="s">
        <v>22</v>
      </c>
      <c r="E165" t="s">
        <v>61</v>
      </c>
      <c r="F165" t="s">
        <v>41</v>
      </c>
      <c r="G165" t="s">
        <v>28</v>
      </c>
      <c r="H165" t="s">
        <v>26</v>
      </c>
      <c r="I165" t="s">
        <v>26</v>
      </c>
      <c r="J165" t="s">
        <v>25</v>
      </c>
      <c r="K165">
        <v>907</v>
      </c>
      <c r="L165">
        <v>0</v>
      </c>
      <c r="M165">
        <v>22</v>
      </c>
      <c r="N165">
        <v>22</v>
      </c>
      <c r="O165">
        <v>397</v>
      </c>
      <c r="P165">
        <v>341</v>
      </c>
      <c r="Q165">
        <v>320</v>
      </c>
      <c r="R165">
        <v>231</v>
      </c>
      <c r="S165">
        <v>185</v>
      </c>
      <c r="T165">
        <v>77</v>
      </c>
      <c r="U165">
        <v>13</v>
      </c>
      <c r="V165">
        <v>899</v>
      </c>
    </row>
    <row r="166" spans="1:22" x14ac:dyDescent="0.25">
      <c r="A166">
        <v>2025</v>
      </c>
      <c r="B166">
        <v>3</v>
      </c>
      <c r="C166" t="s">
        <v>61</v>
      </c>
      <c r="D166" t="s">
        <v>22</v>
      </c>
      <c r="E166" t="s">
        <v>61</v>
      </c>
      <c r="F166" t="s">
        <v>41</v>
      </c>
      <c r="G166" t="s">
        <v>24</v>
      </c>
      <c r="H166" t="s">
        <v>26</v>
      </c>
      <c r="I166" t="s">
        <v>26</v>
      </c>
      <c r="J166" t="s">
        <v>25</v>
      </c>
      <c r="K166">
        <v>1008</v>
      </c>
      <c r="L166">
        <v>1</v>
      </c>
      <c r="M166">
        <v>12</v>
      </c>
      <c r="N166">
        <v>13</v>
      </c>
      <c r="O166">
        <v>364</v>
      </c>
      <c r="P166">
        <v>288</v>
      </c>
      <c r="Q166">
        <v>268</v>
      </c>
      <c r="R166">
        <v>196</v>
      </c>
      <c r="S166">
        <v>139</v>
      </c>
      <c r="T166">
        <v>55</v>
      </c>
      <c r="U166">
        <v>8</v>
      </c>
      <c r="V166">
        <v>1003</v>
      </c>
    </row>
    <row r="167" spans="1:22" x14ac:dyDescent="0.25">
      <c r="A167">
        <v>2025</v>
      </c>
      <c r="B167">
        <v>3</v>
      </c>
      <c r="C167" t="s">
        <v>61</v>
      </c>
      <c r="D167" t="s">
        <v>22</v>
      </c>
      <c r="E167" t="s">
        <v>166</v>
      </c>
      <c r="F167" t="s">
        <v>32</v>
      </c>
      <c r="G167" t="s">
        <v>24</v>
      </c>
      <c r="H167" t="s">
        <v>25</v>
      </c>
      <c r="I167" t="s">
        <v>26</v>
      </c>
      <c r="J167" t="s">
        <v>25</v>
      </c>
      <c r="K167">
        <v>279</v>
      </c>
      <c r="L167">
        <v>1</v>
      </c>
      <c r="M167">
        <v>0</v>
      </c>
      <c r="N167">
        <v>1</v>
      </c>
      <c r="O167">
        <v>156</v>
      </c>
      <c r="P167">
        <v>116</v>
      </c>
      <c r="Q167">
        <v>97</v>
      </c>
      <c r="R167">
        <v>43</v>
      </c>
      <c r="S167">
        <v>27</v>
      </c>
      <c r="T167">
        <v>7</v>
      </c>
      <c r="U167">
        <v>3</v>
      </c>
      <c r="V167">
        <v>278</v>
      </c>
    </row>
    <row r="168" spans="1:22" x14ac:dyDescent="0.25">
      <c r="A168">
        <v>2025</v>
      </c>
      <c r="B168">
        <v>3</v>
      </c>
      <c r="C168" t="s">
        <v>61</v>
      </c>
      <c r="D168" t="s">
        <v>22</v>
      </c>
      <c r="E168" t="s">
        <v>168</v>
      </c>
      <c r="F168" t="s">
        <v>31</v>
      </c>
      <c r="G168" t="s">
        <v>24</v>
      </c>
      <c r="H168" t="s">
        <v>25</v>
      </c>
      <c r="I168" t="s">
        <v>26</v>
      </c>
      <c r="J168" t="s">
        <v>25</v>
      </c>
      <c r="K168">
        <v>589</v>
      </c>
      <c r="L168">
        <v>0</v>
      </c>
      <c r="M168">
        <v>0</v>
      </c>
      <c r="N168">
        <v>0</v>
      </c>
      <c r="O168">
        <v>62</v>
      </c>
      <c r="P168">
        <v>37</v>
      </c>
      <c r="Q168">
        <v>28</v>
      </c>
      <c r="R168">
        <v>20</v>
      </c>
      <c r="S168">
        <v>16</v>
      </c>
      <c r="T168">
        <v>4</v>
      </c>
      <c r="U168">
        <v>2</v>
      </c>
      <c r="V168">
        <v>589</v>
      </c>
    </row>
    <row r="169" spans="1:22" x14ac:dyDescent="0.25">
      <c r="A169">
        <v>2025</v>
      </c>
      <c r="B169">
        <v>3</v>
      </c>
      <c r="C169" t="s">
        <v>61</v>
      </c>
      <c r="D169" t="s">
        <v>22</v>
      </c>
      <c r="E169" t="s">
        <v>169</v>
      </c>
      <c r="F169" t="s">
        <v>32</v>
      </c>
      <c r="G169" t="s">
        <v>24</v>
      </c>
      <c r="H169" t="s">
        <v>25</v>
      </c>
      <c r="I169" t="s">
        <v>26</v>
      </c>
      <c r="J169" t="s">
        <v>25</v>
      </c>
      <c r="K169">
        <v>56</v>
      </c>
      <c r="L169">
        <v>0</v>
      </c>
      <c r="M169">
        <v>0</v>
      </c>
      <c r="N169">
        <v>0</v>
      </c>
      <c r="O169">
        <v>29</v>
      </c>
      <c r="P169">
        <v>23</v>
      </c>
      <c r="Q169">
        <v>23</v>
      </c>
      <c r="R169">
        <v>20</v>
      </c>
      <c r="S169">
        <v>15</v>
      </c>
      <c r="T169">
        <v>6</v>
      </c>
      <c r="U169">
        <v>0</v>
      </c>
      <c r="V169">
        <v>56</v>
      </c>
    </row>
    <row r="170" spans="1:22" x14ac:dyDescent="0.25">
      <c r="A170">
        <v>2025</v>
      </c>
      <c r="B170">
        <v>3</v>
      </c>
      <c r="C170" t="s">
        <v>61</v>
      </c>
      <c r="D170" t="s">
        <v>22</v>
      </c>
      <c r="E170" t="s">
        <v>157</v>
      </c>
      <c r="F170" t="s">
        <v>31</v>
      </c>
      <c r="G170" t="s">
        <v>24</v>
      </c>
      <c r="H170" t="s">
        <v>25</v>
      </c>
      <c r="I170" t="s">
        <v>26</v>
      </c>
      <c r="J170" t="s">
        <v>25</v>
      </c>
      <c r="K170">
        <v>124</v>
      </c>
      <c r="L170">
        <v>0</v>
      </c>
      <c r="M170">
        <v>0</v>
      </c>
      <c r="N170">
        <v>0</v>
      </c>
      <c r="O170">
        <v>44</v>
      </c>
      <c r="P170">
        <v>31</v>
      </c>
      <c r="Q170">
        <v>23</v>
      </c>
      <c r="R170">
        <v>13</v>
      </c>
      <c r="S170">
        <v>9</v>
      </c>
      <c r="T170">
        <v>2</v>
      </c>
      <c r="U170">
        <v>0</v>
      </c>
      <c r="V170">
        <v>124</v>
      </c>
    </row>
    <row r="171" spans="1:22" x14ac:dyDescent="0.25">
      <c r="A171">
        <v>2025</v>
      </c>
      <c r="B171">
        <v>3</v>
      </c>
      <c r="C171" t="s">
        <v>61</v>
      </c>
      <c r="D171" t="s">
        <v>22</v>
      </c>
      <c r="E171" t="s">
        <v>157</v>
      </c>
      <c r="F171" t="s">
        <v>32</v>
      </c>
      <c r="G171" t="s">
        <v>24</v>
      </c>
      <c r="H171" t="s">
        <v>25</v>
      </c>
      <c r="I171" t="s">
        <v>26</v>
      </c>
      <c r="J171" t="s">
        <v>25</v>
      </c>
      <c r="K171">
        <v>7</v>
      </c>
      <c r="L171">
        <v>1</v>
      </c>
      <c r="M171">
        <v>0</v>
      </c>
      <c r="N171">
        <v>1</v>
      </c>
      <c r="O171">
        <v>2</v>
      </c>
      <c r="P171">
        <v>2</v>
      </c>
      <c r="Q171">
        <v>2</v>
      </c>
      <c r="R171">
        <v>2</v>
      </c>
      <c r="S171">
        <v>1</v>
      </c>
      <c r="T171">
        <v>1</v>
      </c>
      <c r="U171">
        <v>1</v>
      </c>
      <c r="V171">
        <v>6</v>
      </c>
    </row>
    <row r="172" spans="1:22" x14ac:dyDescent="0.25">
      <c r="A172">
        <v>2025</v>
      </c>
      <c r="B172">
        <v>3</v>
      </c>
      <c r="C172" t="s">
        <v>61</v>
      </c>
      <c r="D172" t="s">
        <v>22</v>
      </c>
      <c r="E172" t="s">
        <v>157</v>
      </c>
      <c r="F172" t="s">
        <v>35</v>
      </c>
      <c r="G172" t="s">
        <v>24</v>
      </c>
      <c r="H172" t="s">
        <v>25</v>
      </c>
      <c r="I172" t="s">
        <v>26</v>
      </c>
      <c r="J172" t="s">
        <v>26</v>
      </c>
      <c r="K172">
        <v>31</v>
      </c>
      <c r="L172">
        <v>0</v>
      </c>
      <c r="M172">
        <v>0</v>
      </c>
      <c r="N172">
        <v>0</v>
      </c>
      <c r="O172">
        <v>13</v>
      </c>
      <c r="P172">
        <v>10</v>
      </c>
      <c r="Q172">
        <v>7</v>
      </c>
      <c r="R172">
        <v>5</v>
      </c>
      <c r="S172">
        <v>3</v>
      </c>
      <c r="T172">
        <v>1</v>
      </c>
      <c r="U172">
        <v>1</v>
      </c>
      <c r="V172">
        <v>31</v>
      </c>
    </row>
    <row r="173" spans="1:22" x14ac:dyDescent="0.25">
      <c r="A173">
        <v>2025</v>
      </c>
      <c r="B173">
        <v>3</v>
      </c>
      <c r="C173" t="s">
        <v>61</v>
      </c>
      <c r="D173" t="s">
        <v>22</v>
      </c>
      <c r="E173" t="s">
        <v>157</v>
      </c>
      <c r="F173" t="s">
        <v>36</v>
      </c>
      <c r="G173" t="s">
        <v>24</v>
      </c>
      <c r="H173" t="s">
        <v>25</v>
      </c>
      <c r="I173" t="s">
        <v>26</v>
      </c>
      <c r="J173" t="s">
        <v>25</v>
      </c>
      <c r="K173">
        <v>4</v>
      </c>
      <c r="L173">
        <v>0</v>
      </c>
      <c r="M173">
        <v>0</v>
      </c>
      <c r="N173">
        <v>0</v>
      </c>
      <c r="O173">
        <v>2</v>
      </c>
      <c r="P173">
        <v>2</v>
      </c>
      <c r="Q173">
        <v>2</v>
      </c>
      <c r="R173">
        <v>2</v>
      </c>
      <c r="S173">
        <v>1</v>
      </c>
      <c r="T173">
        <v>0</v>
      </c>
      <c r="U173">
        <v>0</v>
      </c>
      <c r="V173">
        <v>4</v>
      </c>
    </row>
    <row r="174" spans="1:22" x14ac:dyDescent="0.25">
      <c r="A174">
        <v>2025</v>
      </c>
      <c r="B174">
        <v>3</v>
      </c>
      <c r="C174" t="s">
        <v>61</v>
      </c>
      <c r="D174" t="s">
        <v>22</v>
      </c>
      <c r="E174" t="s">
        <v>157</v>
      </c>
      <c r="F174" t="s">
        <v>41</v>
      </c>
      <c r="G174" t="s">
        <v>24</v>
      </c>
      <c r="H174" t="s">
        <v>26</v>
      </c>
      <c r="I174" t="s">
        <v>26</v>
      </c>
      <c r="J174" t="s">
        <v>25</v>
      </c>
      <c r="K174">
        <v>60</v>
      </c>
      <c r="L174">
        <v>0</v>
      </c>
      <c r="M174">
        <v>1</v>
      </c>
      <c r="N174">
        <v>1</v>
      </c>
      <c r="O174">
        <v>32</v>
      </c>
      <c r="P174">
        <v>27</v>
      </c>
      <c r="Q174">
        <v>24</v>
      </c>
      <c r="R174">
        <v>14</v>
      </c>
      <c r="S174">
        <v>10</v>
      </c>
      <c r="T174">
        <v>5</v>
      </c>
      <c r="U174">
        <v>1</v>
      </c>
      <c r="V174">
        <v>59</v>
      </c>
    </row>
    <row r="175" spans="1:22" x14ac:dyDescent="0.25">
      <c r="A175">
        <v>2025</v>
      </c>
      <c r="B175">
        <v>4</v>
      </c>
      <c r="C175" t="s">
        <v>61</v>
      </c>
      <c r="D175" t="s">
        <v>22</v>
      </c>
      <c r="E175" t="s">
        <v>159</v>
      </c>
      <c r="F175" t="s">
        <v>31</v>
      </c>
      <c r="G175" t="s">
        <v>24</v>
      </c>
      <c r="H175" t="s">
        <v>25</v>
      </c>
      <c r="I175" t="s">
        <v>26</v>
      </c>
      <c r="J175" t="s">
        <v>25</v>
      </c>
      <c r="K175">
        <v>28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28</v>
      </c>
    </row>
    <row r="176" spans="1:22" x14ac:dyDescent="0.25">
      <c r="A176">
        <v>2025</v>
      </c>
      <c r="B176">
        <v>4</v>
      </c>
      <c r="C176" t="s">
        <v>61</v>
      </c>
      <c r="D176" t="s">
        <v>22</v>
      </c>
      <c r="E176" t="s">
        <v>129</v>
      </c>
      <c r="F176" t="s">
        <v>36</v>
      </c>
      <c r="G176" t="s">
        <v>24</v>
      </c>
      <c r="H176" t="s">
        <v>25</v>
      </c>
      <c r="I176" t="s">
        <v>26</v>
      </c>
      <c r="J176" t="s">
        <v>25</v>
      </c>
      <c r="K176">
        <v>56</v>
      </c>
      <c r="L176">
        <v>1</v>
      </c>
      <c r="M176">
        <v>0</v>
      </c>
      <c r="N176">
        <v>1</v>
      </c>
      <c r="O176">
        <v>12</v>
      </c>
      <c r="P176">
        <v>10</v>
      </c>
      <c r="Q176">
        <v>7</v>
      </c>
      <c r="R176">
        <v>4</v>
      </c>
      <c r="S176">
        <v>3</v>
      </c>
      <c r="T176">
        <v>1</v>
      </c>
      <c r="U176">
        <v>1</v>
      </c>
      <c r="V176">
        <v>55</v>
      </c>
    </row>
    <row r="177" spans="1:22" x14ac:dyDescent="0.25">
      <c r="A177">
        <v>2025</v>
      </c>
      <c r="B177">
        <v>4</v>
      </c>
      <c r="C177" t="s">
        <v>61</v>
      </c>
      <c r="D177" t="s">
        <v>22</v>
      </c>
      <c r="E177" t="s">
        <v>130</v>
      </c>
      <c r="F177" t="s">
        <v>23</v>
      </c>
      <c r="G177" t="s">
        <v>24</v>
      </c>
      <c r="H177" t="s">
        <v>25</v>
      </c>
      <c r="I177" t="s">
        <v>26</v>
      </c>
      <c r="J177" t="s">
        <v>25</v>
      </c>
      <c r="K177">
        <v>1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1</v>
      </c>
    </row>
    <row r="178" spans="1:22" x14ac:dyDescent="0.25">
      <c r="A178">
        <v>2025</v>
      </c>
      <c r="B178">
        <v>4</v>
      </c>
      <c r="C178" t="s">
        <v>61</v>
      </c>
      <c r="D178" t="s">
        <v>22</v>
      </c>
      <c r="E178" t="s">
        <v>131</v>
      </c>
      <c r="F178" t="s">
        <v>34</v>
      </c>
      <c r="G178" t="s">
        <v>24</v>
      </c>
      <c r="H178" t="s">
        <v>25</v>
      </c>
      <c r="I178" t="s">
        <v>26</v>
      </c>
      <c r="J178" t="s">
        <v>26</v>
      </c>
      <c r="K178">
        <v>52</v>
      </c>
      <c r="L178">
        <v>0</v>
      </c>
      <c r="M178">
        <v>0</v>
      </c>
      <c r="N178">
        <v>0</v>
      </c>
      <c r="O178">
        <v>10</v>
      </c>
      <c r="P178">
        <v>8</v>
      </c>
      <c r="Q178">
        <v>8</v>
      </c>
      <c r="R178">
        <v>7</v>
      </c>
      <c r="S178">
        <v>6</v>
      </c>
      <c r="T178">
        <v>2</v>
      </c>
      <c r="U178">
        <v>0</v>
      </c>
      <c r="V178">
        <v>52</v>
      </c>
    </row>
    <row r="179" spans="1:22" x14ac:dyDescent="0.25">
      <c r="A179">
        <v>2025</v>
      </c>
      <c r="B179">
        <v>4</v>
      </c>
      <c r="C179" t="s">
        <v>61</v>
      </c>
      <c r="D179" t="s">
        <v>22</v>
      </c>
      <c r="E179" t="s">
        <v>160</v>
      </c>
      <c r="F179" t="s">
        <v>23</v>
      </c>
      <c r="G179" t="s">
        <v>24</v>
      </c>
      <c r="H179" t="s">
        <v>25</v>
      </c>
      <c r="I179" t="s">
        <v>26</v>
      </c>
      <c r="J179" t="s">
        <v>25</v>
      </c>
      <c r="K179">
        <v>166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166</v>
      </c>
    </row>
    <row r="180" spans="1:22" x14ac:dyDescent="0.25">
      <c r="A180">
        <v>2025</v>
      </c>
      <c r="B180">
        <v>4</v>
      </c>
      <c r="C180" t="s">
        <v>61</v>
      </c>
      <c r="D180" t="s">
        <v>22</v>
      </c>
      <c r="E180" t="s">
        <v>161</v>
      </c>
      <c r="F180" t="s">
        <v>32</v>
      </c>
      <c r="G180" t="s">
        <v>24</v>
      </c>
      <c r="H180" t="s">
        <v>25</v>
      </c>
      <c r="I180" t="s">
        <v>26</v>
      </c>
      <c r="J180" t="s">
        <v>25</v>
      </c>
      <c r="K180">
        <v>212</v>
      </c>
      <c r="L180">
        <v>0</v>
      </c>
      <c r="M180">
        <v>1</v>
      </c>
      <c r="N180">
        <v>1</v>
      </c>
      <c r="O180">
        <v>42</v>
      </c>
      <c r="P180">
        <v>31</v>
      </c>
      <c r="Q180">
        <v>28</v>
      </c>
      <c r="R180">
        <v>21</v>
      </c>
      <c r="S180">
        <v>15</v>
      </c>
      <c r="T180">
        <v>7</v>
      </c>
      <c r="U180">
        <v>3</v>
      </c>
      <c r="V180">
        <v>212</v>
      </c>
    </row>
    <row r="181" spans="1:22" x14ac:dyDescent="0.25">
      <c r="A181">
        <v>2025</v>
      </c>
      <c r="B181">
        <v>4</v>
      </c>
      <c r="C181" t="s">
        <v>61</v>
      </c>
      <c r="D181" t="s">
        <v>22</v>
      </c>
      <c r="E181" t="s">
        <v>161</v>
      </c>
      <c r="F181" t="s">
        <v>23</v>
      </c>
      <c r="G181" t="s">
        <v>24</v>
      </c>
      <c r="H181" t="s">
        <v>25</v>
      </c>
      <c r="I181" t="s">
        <v>26</v>
      </c>
      <c r="J181" t="s">
        <v>25</v>
      </c>
      <c r="K181">
        <v>28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28</v>
      </c>
    </row>
    <row r="182" spans="1:22" x14ac:dyDescent="0.25">
      <c r="A182">
        <v>2025</v>
      </c>
      <c r="B182">
        <v>4</v>
      </c>
      <c r="C182" t="s">
        <v>61</v>
      </c>
      <c r="D182" t="s">
        <v>22</v>
      </c>
      <c r="E182" t="s">
        <v>161</v>
      </c>
      <c r="F182" t="s">
        <v>36</v>
      </c>
      <c r="G182" t="s">
        <v>24</v>
      </c>
      <c r="H182" t="s">
        <v>25</v>
      </c>
      <c r="I182" t="s">
        <v>26</v>
      </c>
      <c r="J182" t="s">
        <v>25</v>
      </c>
      <c r="K182">
        <v>362</v>
      </c>
      <c r="L182">
        <v>0</v>
      </c>
      <c r="M182">
        <v>0</v>
      </c>
      <c r="N182">
        <v>0</v>
      </c>
      <c r="O182">
        <v>70</v>
      </c>
      <c r="P182">
        <v>58</v>
      </c>
      <c r="Q182">
        <v>56</v>
      </c>
      <c r="R182">
        <v>36</v>
      </c>
      <c r="S182">
        <v>32</v>
      </c>
      <c r="T182">
        <v>13</v>
      </c>
      <c r="U182">
        <v>6</v>
      </c>
      <c r="V182">
        <v>362</v>
      </c>
    </row>
    <row r="183" spans="1:22" x14ac:dyDescent="0.25">
      <c r="A183">
        <v>2025</v>
      </c>
      <c r="B183">
        <v>4</v>
      </c>
      <c r="C183" t="s">
        <v>61</v>
      </c>
      <c r="D183" t="s">
        <v>22</v>
      </c>
      <c r="E183" t="s">
        <v>162</v>
      </c>
      <c r="F183" t="s">
        <v>32</v>
      </c>
      <c r="G183" t="s">
        <v>24</v>
      </c>
      <c r="H183" t="s">
        <v>25</v>
      </c>
      <c r="I183" t="s">
        <v>26</v>
      </c>
      <c r="J183" t="s">
        <v>25</v>
      </c>
      <c r="K183">
        <v>165</v>
      </c>
      <c r="L183">
        <v>0</v>
      </c>
      <c r="M183">
        <v>0</v>
      </c>
      <c r="N183">
        <v>0</v>
      </c>
      <c r="O183">
        <v>109</v>
      </c>
      <c r="P183">
        <v>82</v>
      </c>
      <c r="Q183">
        <v>74</v>
      </c>
      <c r="R183">
        <v>40</v>
      </c>
      <c r="S183">
        <v>32</v>
      </c>
      <c r="T183">
        <v>14</v>
      </c>
      <c r="U183">
        <v>9</v>
      </c>
      <c r="V183">
        <v>165</v>
      </c>
    </row>
    <row r="184" spans="1:22" x14ac:dyDescent="0.25">
      <c r="A184">
        <v>2025</v>
      </c>
      <c r="B184">
        <v>4</v>
      </c>
      <c r="C184" t="s">
        <v>61</v>
      </c>
      <c r="D184" t="s">
        <v>22</v>
      </c>
      <c r="E184" t="s">
        <v>37</v>
      </c>
      <c r="F184" t="s">
        <v>38</v>
      </c>
      <c r="G184" t="s">
        <v>24</v>
      </c>
      <c r="H184" t="s">
        <v>25</v>
      </c>
      <c r="I184" t="s">
        <v>26</v>
      </c>
      <c r="J184" t="s">
        <v>25</v>
      </c>
      <c r="K184">
        <v>2</v>
      </c>
      <c r="L184">
        <v>1</v>
      </c>
      <c r="M184">
        <v>0</v>
      </c>
      <c r="N184">
        <v>1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1</v>
      </c>
    </row>
    <row r="185" spans="1:22" x14ac:dyDescent="0.25">
      <c r="A185">
        <v>2025</v>
      </c>
      <c r="B185">
        <v>4</v>
      </c>
      <c r="C185" t="s">
        <v>61</v>
      </c>
      <c r="D185" t="s">
        <v>22</v>
      </c>
      <c r="E185" t="s">
        <v>37</v>
      </c>
      <c r="F185" t="s">
        <v>23</v>
      </c>
      <c r="G185" t="s">
        <v>28</v>
      </c>
      <c r="H185" t="s">
        <v>25</v>
      </c>
      <c r="I185" t="s">
        <v>26</v>
      </c>
      <c r="J185" t="s">
        <v>25</v>
      </c>
      <c r="K185">
        <v>1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1</v>
      </c>
    </row>
    <row r="186" spans="1:22" x14ac:dyDescent="0.25">
      <c r="A186">
        <v>2025</v>
      </c>
      <c r="B186">
        <v>4</v>
      </c>
      <c r="C186" t="s">
        <v>61</v>
      </c>
      <c r="D186" t="s">
        <v>22</v>
      </c>
      <c r="E186" t="s">
        <v>37</v>
      </c>
      <c r="F186" t="s">
        <v>23</v>
      </c>
      <c r="G186" t="s">
        <v>24</v>
      </c>
      <c r="H186" t="s">
        <v>25</v>
      </c>
      <c r="I186" t="s">
        <v>26</v>
      </c>
      <c r="J186" t="s">
        <v>25</v>
      </c>
      <c r="K186">
        <v>3</v>
      </c>
      <c r="L186">
        <v>0</v>
      </c>
      <c r="M186">
        <v>0</v>
      </c>
      <c r="N186">
        <v>0</v>
      </c>
      <c r="O186">
        <v>1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3</v>
      </c>
    </row>
    <row r="187" spans="1:22" x14ac:dyDescent="0.25">
      <c r="A187">
        <v>2025</v>
      </c>
      <c r="B187">
        <v>4</v>
      </c>
      <c r="C187" t="s">
        <v>61</v>
      </c>
      <c r="D187" t="s">
        <v>22</v>
      </c>
      <c r="E187" t="s">
        <v>37</v>
      </c>
      <c r="F187" t="s">
        <v>39</v>
      </c>
      <c r="G187" t="s">
        <v>28</v>
      </c>
      <c r="H187" t="s">
        <v>26</v>
      </c>
      <c r="I187" t="s">
        <v>26</v>
      </c>
      <c r="J187" t="s">
        <v>25</v>
      </c>
      <c r="K187">
        <v>5</v>
      </c>
      <c r="L187">
        <v>0</v>
      </c>
      <c r="M187">
        <v>0</v>
      </c>
      <c r="N187">
        <v>0</v>
      </c>
      <c r="O187">
        <v>1</v>
      </c>
      <c r="P187">
        <v>1</v>
      </c>
      <c r="Q187">
        <v>1</v>
      </c>
      <c r="R187">
        <v>0</v>
      </c>
      <c r="S187">
        <v>0</v>
      </c>
      <c r="T187">
        <v>0</v>
      </c>
      <c r="U187">
        <v>0</v>
      </c>
      <c r="V187">
        <v>5</v>
      </c>
    </row>
    <row r="188" spans="1:22" x14ac:dyDescent="0.25">
      <c r="A188">
        <v>2025</v>
      </c>
      <c r="B188">
        <v>4</v>
      </c>
      <c r="C188" t="s">
        <v>61</v>
      </c>
      <c r="D188" t="s">
        <v>22</v>
      </c>
      <c r="E188" t="s">
        <v>138</v>
      </c>
      <c r="F188" t="s">
        <v>34</v>
      </c>
      <c r="G188" t="s">
        <v>24</v>
      </c>
      <c r="H188" t="s">
        <v>25</v>
      </c>
      <c r="I188" t="s">
        <v>26</v>
      </c>
      <c r="J188" t="s">
        <v>26</v>
      </c>
      <c r="K188">
        <v>16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16</v>
      </c>
    </row>
    <row r="189" spans="1:22" x14ac:dyDescent="0.25">
      <c r="A189">
        <v>2025</v>
      </c>
      <c r="B189">
        <v>4</v>
      </c>
      <c r="C189" t="s">
        <v>61</v>
      </c>
      <c r="D189" t="s">
        <v>22</v>
      </c>
      <c r="E189" t="s">
        <v>139</v>
      </c>
      <c r="F189" t="s">
        <v>34</v>
      </c>
      <c r="G189" t="s">
        <v>24</v>
      </c>
      <c r="H189" t="s">
        <v>25</v>
      </c>
      <c r="I189" t="s">
        <v>26</v>
      </c>
      <c r="J189" t="s">
        <v>26</v>
      </c>
      <c r="K189">
        <v>13</v>
      </c>
      <c r="L189">
        <v>0</v>
      </c>
      <c r="M189">
        <v>0</v>
      </c>
      <c r="N189">
        <v>0</v>
      </c>
      <c r="O189">
        <v>7</v>
      </c>
      <c r="P189">
        <v>7</v>
      </c>
      <c r="Q189">
        <v>6</v>
      </c>
      <c r="R189">
        <v>6</v>
      </c>
      <c r="S189">
        <v>5</v>
      </c>
      <c r="T189">
        <v>2</v>
      </c>
      <c r="U189">
        <v>1</v>
      </c>
      <c r="V189">
        <v>13</v>
      </c>
    </row>
    <row r="190" spans="1:22" x14ac:dyDescent="0.25">
      <c r="A190">
        <v>2025</v>
      </c>
      <c r="B190">
        <v>4</v>
      </c>
      <c r="C190" t="s">
        <v>61</v>
      </c>
      <c r="D190" t="s">
        <v>22</v>
      </c>
      <c r="E190" t="s">
        <v>141</v>
      </c>
      <c r="F190" t="s">
        <v>34</v>
      </c>
      <c r="G190" t="s">
        <v>24</v>
      </c>
      <c r="H190" t="s">
        <v>25</v>
      </c>
      <c r="I190" t="s">
        <v>26</v>
      </c>
      <c r="J190" t="s">
        <v>26</v>
      </c>
      <c r="K190">
        <v>25</v>
      </c>
      <c r="L190">
        <v>0</v>
      </c>
      <c r="M190">
        <v>0</v>
      </c>
      <c r="N190">
        <v>0</v>
      </c>
      <c r="O190">
        <v>1</v>
      </c>
      <c r="P190">
        <v>1</v>
      </c>
      <c r="Q190">
        <v>1</v>
      </c>
      <c r="R190">
        <v>1</v>
      </c>
      <c r="S190">
        <v>1</v>
      </c>
      <c r="T190">
        <v>1</v>
      </c>
      <c r="U190">
        <v>0</v>
      </c>
      <c r="V190">
        <v>25</v>
      </c>
    </row>
    <row r="191" spans="1:22" x14ac:dyDescent="0.25">
      <c r="A191">
        <v>2025</v>
      </c>
      <c r="B191">
        <v>4</v>
      </c>
      <c r="C191" t="s">
        <v>61</v>
      </c>
      <c r="D191" t="s">
        <v>22</v>
      </c>
      <c r="E191" t="s">
        <v>142</v>
      </c>
      <c r="F191" t="s">
        <v>34</v>
      </c>
      <c r="G191" t="s">
        <v>24</v>
      </c>
      <c r="H191" t="s">
        <v>25</v>
      </c>
      <c r="I191" t="s">
        <v>26</v>
      </c>
      <c r="J191" t="s">
        <v>26</v>
      </c>
      <c r="K191">
        <v>28</v>
      </c>
      <c r="L191">
        <v>0</v>
      </c>
      <c r="M191">
        <v>0</v>
      </c>
      <c r="N191">
        <v>0</v>
      </c>
      <c r="O191">
        <v>2</v>
      </c>
      <c r="P191">
        <v>2</v>
      </c>
      <c r="Q191">
        <v>1</v>
      </c>
      <c r="R191">
        <v>1</v>
      </c>
      <c r="S191">
        <v>1</v>
      </c>
      <c r="T191">
        <v>1</v>
      </c>
      <c r="U191">
        <v>0</v>
      </c>
      <c r="V191">
        <v>28</v>
      </c>
    </row>
    <row r="192" spans="1:22" x14ac:dyDescent="0.25">
      <c r="A192">
        <v>2025</v>
      </c>
      <c r="B192">
        <v>4</v>
      </c>
      <c r="C192" t="s">
        <v>61</v>
      </c>
      <c r="D192" t="s">
        <v>22</v>
      </c>
      <c r="E192" t="s">
        <v>144</v>
      </c>
      <c r="F192" t="s">
        <v>32</v>
      </c>
      <c r="G192" t="s">
        <v>24</v>
      </c>
      <c r="H192" t="s">
        <v>25</v>
      </c>
      <c r="I192" t="s">
        <v>26</v>
      </c>
      <c r="J192" t="s">
        <v>25</v>
      </c>
      <c r="K192">
        <v>182</v>
      </c>
      <c r="L192">
        <v>3</v>
      </c>
      <c r="M192">
        <v>2</v>
      </c>
      <c r="N192">
        <v>5</v>
      </c>
      <c r="O192">
        <v>45</v>
      </c>
      <c r="P192">
        <v>31</v>
      </c>
      <c r="Q192">
        <v>29</v>
      </c>
      <c r="R192">
        <v>22</v>
      </c>
      <c r="S192">
        <v>15</v>
      </c>
      <c r="T192">
        <v>8</v>
      </c>
      <c r="U192">
        <v>2</v>
      </c>
      <c r="V192">
        <v>177</v>
      </c>
    </row>
    <row r="193" spans="1:22" x14ac:dyDescent="0.25">
      <c r="A193">
        <v>2025</v>
      </c>
      <c r="B193">
        <v>4</v>
      </c>
      <c r="C193" t="s">
        <v>61</v>
      </c>
      <c r="D193" t="s">
        <v>22</v>
      </c>
      <c r="E193" t="s">
        <v>144</v>
      </c>
      <c r="F193" t="s">
        <v>23</v>
      </c>
      <c r="G193" t="s">
        <v>24</v>
      </c>
      <c r="H193" t="s">
        <v>25</v>
      </c>
      <c r="I193" t="s">
        <v>26</v>
      </c>
      <c r="J193" t="s">
        <v>25</v>
      </c>
      <c r="K193">
        <v>190</v>
      </c>
      <c r="L193">
        <v>2</v>
      </c>
      <c r="M193">
        <v>1</v>
      </c>
      <c r="N193">
        <v>3</v>
      </c>
      <c r="O193">
        <v>45</v>
      </c>
      <c r="P193">
        <v>39</v>
      </c>
      <c r="Q193">
        <v>36</v>
      </c>
      <c r="R193">
        <v>33</v>
      </c>
      <c r="S193">
        <v>26</v>
      </c>
      <c r="T193">
        <v>14</v>
      </c>
      <c r="U193">
        <v>4</v>
      </c>
      <c r="V193">
        <v>187</v>
      </c>
    </row>
    <row r="194" spans="1:22" x14ac:dyDescent="0.25">
      <c r="A194">
        <v>2025</v>
      </c>
      <c r="B194">
        <v>4</v>
      </c>
      <c r="C194" t="s">
        <v>61</v>
      </c>
      <c r="D194" t="s">
        <v>22</v>
      </c>
      <c r="E194" t="s">
        <v>144</v>
      </c>
      <c r="F194" t="s">
        <v>39</v>
      </c>
      <c r="G194" t="s">
        <v>24</v>
      </c>
      <c r="H194" t="s">
        <v>26</v>
      </c>
      <c r="I194" t="s">
        <v>26</v>
      </c>
      <c r="J194" t="s">
        <v>25</v>
      </c>
      <c r="K194">
        <v>660</v>
      </c>
      <c r="L194">
        <v>16</v>
      </c>
      <c r="M194">
        <v>4</v>
      </c>
      <c r="N194">
        <v>20</v>
      </c>
      <c r="O194">
        <v>230</v>
      </c>
      <c r="P194">
        <v>209</v>
      </c>
      <c r="Q194">
        <v>196</v>
      </c>
      <c r="R194">
        <v>175</v>
      </c>
      <c r="S194">
        <v>162</v>
      </c>
      <c r="T194">
        <v>98</v>
      </c>
      <c r="U194">
        <v>36</v>
      </c>
      <c r="V194">
        <v>641</v>
      </c>
    </row>
    <row r="195" spans="1:22" x14ac:dyDescent="0.25">
      <c r="A195">
        <v>2025</v>
      </c>
      <c r="B195">
        <v>4</v>
      </c>
      <c r="C195" t="s">
        <v>61</v>
      </c>
      <c r="D195" t="s">
        <v>22</v>
      </c>
      <c r="E195" t="s">
        <v>144</v>
      </c>
      <c r="F195" t="s">
        <v>36</v>
      </c>
      <c r="G195" t="s">
        <v>24</v>
      </c>
      <c r="H195" t="s">
        <v>25</v>
      </c>
      <c r="I195" t="s">
        <v>26</v>
      </c>
      <c r="J195" t="s">
        <v>25</v>
      </c>
      <c r="K195">
        <v>273</v>
      </c>
      <c r="L195">
        <v>2</v>
      </c>
      <c r="M195">
        <v>2</v>
      </c>
      <c r="N195">
        <v>4</v>
      </c>
      <c r="O195">
        <v>69</v>
      </c>
      <c r="P195">
        <v>49</v>
      </c>
      <c r="Q195">
        <v>42</v>
      </c>
      <c r="R195">
        <v>29</v>
      </c>
      <c r="S195">
        <v>18</v>
      </c>
      <c r="T195">
        <v>6</v>
      </c>
      <c r="U195">
        <v>3</v>
      </c>
      <c r="V195">
        <v>271</v>
      </c>
    </row>
    <row r="196" spans="1:22" x14ac:dyDescent="0.25">
      <c r="A196">
        <v>2025</v>
      </c>
      <c r="B196">
        <v>4</v>
      </c>
      <c r="C196" t="s">
        <v>61</v>
      </c>
      <c r="D196" t="s">
        <v>22</v>
      </c>
      <c r="E196" t="s">
        <v>145</v>
      </c>
      <c r="F196" t="s">
        <v>32</v>
      </c>
      <c r="G196" t="s">
        <v>24</v>
      </c>
      <c r="H196" t="s">
        <v>25</v>
      </c>
      <c r="I196" t="s">
        <v>26</v>
      </c>
      <c r="J196" t="s">
        <v>25</v>
      </c>
      <c r="K196">
        <v>262</v>
      </c>
      <c r="L196">
        <v>3</v>
      </c>
      <c r="M196">
        <v>0</v>
      </c>
      <c r="N196">
        <v>3</v>
      </c>
      <c r="O196">
        <v>62</v>
      </c>
      <c r="P196">
        <v>46</v>
      </c>
      <c r="Q196">
        <v>38</v>
      </c>
      <c r="R196">
        <v>23</v>
      </c>
      <c r="S196">
        <v>16</v>
      </c>
      <c r="T196">
        <v>5</v>
      </c>
      <c r="U196">
        <v>2</v>
      </c>
      <c r="V196">
        <v>259</v>
      </c>
    </row>
    <row r="197" spans="1:22" x14ac:dyDescent="0.25">
      <c r="A197">
        <v>2025</v>
      </c>
      <c r="B197">
        <v>4</v>
      </c>
      <c r="C197" t="s">
        <v>61</v>
      </c>
      <c r="D197" t="s">
        <v>22</v>
      </c>
      <c r="E197" t="s">
        <v>154</v>
      </c>
      <c r="F197" t="s">
        <v>32</v>
      </c>
      <c r="G197" t="s">
        <v>24</v>
      </c>
      <c r="H197" t="s">
        <v>25</v>
      </c>
      <c r="I197" t="s">
        <v>26</v>
      </c>
      <c r="J197" t="s">
        <v>25</v>
      </c>
      <c r="K197">
        <v>12</v>
      </c>
      <c r="L197">
        <v>0</v>
      </c>
      <c r="M197">
        <v>0</v>
      </c>
      <c r="N197">
        <v>0</v>
      </c>
      <c r="O197">
        <v>1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12</v>
      </c>
    </row>
    <row r="198" spans="1:22" x14ac:dyDescent="0.25">
      <c r="A198">
        <v>2025</v>
      </c>
      <c r="B198">
        <v>4</v>
      </c>
      <c r="C198" t="s">
        <v>61</v>
      </c>
      <c r="D198" t="s">
        <v>22</v>
      </c>
      <c r="E198" t="s">
        <v>147</v>
      </c>
      <c r="F198" t="s">
        <v>32</v>
      </c>
      <c r="G198" t="s">
        <v>24</v>
      </c>
      <c r="H198" t="s">
        <v>25</v>
      </c>
      <c r="I198" t="s">
        <v>26</v>
      </c>
      <c r="J198" t="s">
        <v>25</v>
      </c>
      <c r="K198">
        <v>56</v>
      </c>
      <c r="L198">
        <v>0</v>
      </c>
      <c r="M198">
        <v>0</v>
      </c>
      <c r="N198">
        <v>0</v>
      </c>
      <c r="O198">
        <v>29</v>
      </c>
      <c r="P198">
        <v>22</v>
      </c>
      <c r="Q198">
        <v>22</v>
      </c>
      <c r="R198">
        <v>20</v>
      </c>
      <c r="S198">
        <v>12</v>
      </c>
      <c r="T198">
        <v>6</v>
      </c>
      <c r="U198">
        <v>2</v>
      </c>
      <c r="V198">
        <v>56</v>
      </c>
    </row>
    <row r="199" spans="1:22" x14ac:dyDescent="0.25">
      <c r="A199">
        <v>2025</v>
      </c>
      <c r="B199">
        <v>4</v>
      </c>
      <c r="C199" t="s">
        <v>61</v>
      </c>
      <c r="D199" t="s">
        <v>22</v>
      </c>
      <c r="E199" t="s">
        <v>147</v>
      </c>
      <c r="F199" t="s">
        <v>36</v>
      </c>
      <c r="G199" t="s">
        <v>24</v>
      </c>
      <c r="H199" t="s">
        <v>25</v>
      </c>
      <c r="I199" t="s">
        <v>26</v>
      </c>
      <c r="J199" t="s">
        <v>25</v>
      </c>
      <c r="K199">
        <v>204</v>
      </c>
      <c r="L199">
        <v>1</v>
      </c>
      <c r="M199">
        <v>1</v>
      </c>
      <c r="N199">
        <v>2</v>
      </c>
      <c r="O199">
        <v>95</v>
      </c>
      <c r="P199">
        <v>78</v>
      </c>
      <c r="Q199">
        <v>72</v>
      </c>
      <c r="R199">
        <v>50</v>
      </c>
      <c r="S199">
        <v>41</v>
      </c>
      <c r="T199">
        <v>17</v>
      </c>
      <c r="U199">
        <v>4</v>
      </c>
      <c r="V199">
        <v>203</v>
      </c>
    </row>
    <row r="200" spans="1:22" x14ac:dyDescent="0.25">
      <c r="A200">
        <v>2025</v>
      </c>
      <c r="B200">
        <v>4</v>
      </c>
      <c r="C200" t="s">
        <v>61</v>
      </c>
      <c r="D200" t="s">
        <v>22</v>
      </c>
      <c r="E200" t="s">
        <v>149</v>
      </c>
      <c r="F200" t="s">
        <v>38</v>
      </c>
      <c r="G200" t="s">
        <v>24</v>
      </c>
      <c r="H200" t="s">
        <v>25</v>
      </c>
      <c r="I200" t="s">
        <v>26</v>
      </c>
      <c r="J200" t="s">
        <v>25</v>
      </c>
      <c r="K200">
        <v>3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3</v>
      </c>
    </row>
    <row r="201" spans="1:22" x14ac:dyDescent="0.25">
      <c r="A201">
        <v>2025</v>
      </c>
      <c r="B201">
        <v>4</v>
      </c>
      <c r="C201" t="s">
        <v>61</v>
      </c>
      <c r="D201" t="s">
        <v>22</v>
      </c>
      <c r="E201" t="s">
        <v>155</v>
      </c>
      <c r="F201" t="s">
        <v>34</v>
      </c>
      <c r="G201" t="s">
        <v>24</v>
      </c>
      <c r="H201" t="s">
        <v>25</v>
      </c>
      <c r="I201" t="s">
        <v>26</v>
      </c>
      <c r="J201" t="s">
        <v>26</v>
      </c>
      <c r="K201">
        <v>31</v>
      </c>
      <c r="L201">
        <v>0</v>
      </c>
      <c r="M201">
        <v>0</v>
      </c>
      <c r="N201">
        <v>0</v>
      </c>
      <c r="O201">
        <v>7</v>
      </c>
      <c r="P201">
        <v>4</v>
      </c>
      <c r="Q201">
        <v>3</v>
      </c>
      <c r="R201">
        <v>2</v>
      </c>
      <c r="S201">
        <v>2</v>
      </c>
      <c r="T201">
        <v>2</v>
      </c>
      <c r="U201">
        <v>1</v>
      </c>
      <c r="V201">
        <v>31</v>
      </c>
    </row>
    <row r="202" spans="1:22" x14ac:dyDescent="0.25">
      <c r="A202">
        <v>2025</v>
      </c>
      <c r="B202">
        <v>4</v>
      </c>
      <c r="C202" t="s">
        <v>61</v>
      </c>
      <c r="D202" t="s">
        <v>22</v>
      </c>
      <c r="E202" t="s">
        <v>152</v>
      </c>
      <c r="F202" t="s">
        <v>31</v>
      </c>
      <c r="G202" t="s">
        <v>24</v>
      </c>
      <c r="H202" t="s">
        <v>25</v>
      </c>
      <c r="I202" t="s">
        <v>26</v>
      </c>
      <c r="J202" t="s">
        <v>25</v>
      </c>
      <c r="K202">
        <v>141</v>
      </c>
      <c r="L202">
        <v>0</v>
      </c>
      <c r="M202">
        <v>0</v>
      </c>
      <c r="N202">
        <v>0</v>
      </c>
      <c r="O202">
        <v>40</v>
      </c>
      <c r="P202">
        <v>33</v>
      </c>
      <c r="Q202">
        <v>29</v>
      </c>
      <c r="R202">
        <v>21</v>
      </c>
      <c r="S202">
        <v>20</v>
      </c>
      <c r="T202">
        <v>6</v>
      </c>
      <c r="U202">
        <v>0</v>
      </c>
      <c r="V202">
        <v>141</v>
      </c>
    </row>
    <row r="203" spans="1:22" x14ac:dyDescent="0.25">
      <c r="A203">
        <v>2025</v>
      </c>
      <c r="B203">
        <v>4</v>
      </c>
      <c r="C203" t="s">
        <v>61</v>
      </c>
      <c r="D203" t="s">
        <v>22</v>
      </c>
      <c r="E203" t="s">
        <v>152</v>
      </c>
      <c r="F203" t="s">
        <v>34</v>
      </c>
      <c r="G203" t="s">
        <v>24</v>
      </c>
      <c r="H203" t="s">
        <v>25</v>
      </c>
      <c r="I203" t="s">
        <v>26</v>
      </c>
      <c r="J203" t="s">
        <v>26</v>
      </c>
      <c r="K203">
        <v>12</v>
      </c>
      <c r="L203">
        <v>0</v>
      </c>
      <c r="M203">
        <v>0</v>
      </c>
      <c r="N203">
        <v>0</v>
      </c>
      <c r="O203">
        <v>2</v>
      </c>
      <c r="P203">
        <v>2</v>
      </c>
      <c r="Q203">
        <v>2</v>
      </c>
      <c r="R203">
        <v>1</v>
      </c>
      <c r="S203">
        <v>1</v>
      </c>
      <c r="T203">
        <v>1</v>
      </c>
      <c r="U203">
        <v>1</v>
      </c>
      <c r="V203">
        <v>12</v>
      </c>
    </row>
    <row r="204" spans="1:22" x14ac:dyDescent="0.25">
      <c r="A204">
        <v>2025</v>
      </c>
      <c r="B204">
        <v>4</v>
      </c>
      <c r="C204" t="s">
        <v>61</v>
      </c>
      <c r="D204" t="s">
        <v>22</v>
      </c>
      <c r="E204" t="s">
        <v>171</v>
      </c>
      <c r="F204" t="s">
        <v>34</v>
      </c>
      <c r="G204" t="s">
        <v>24</v>
      </c>
      <c r="H204" t="s">
        <v>25</v>
      </c>
      <c r="I204" t="s">
        <v>26</v>
      </c>
      <c r="J204" t="s">
        <v>26</v>
      </c>
      <c r="K204">
        <v>1</v>
      </c>
      <c r="L204">
        <v>0</v>
      </c>
      <c r="M204">
        <v>0</v>
      </c>
      <c r="N204">
        <v>0</v>
      </c>
      <c r="O204">
        <v>1</v>
      </c>
      <c r="P204">
        <v>1</v>
      </c>
      <c r="Q204">
        <v>1</v>
      </c>
      <c r="R204">
        <v>1</v>
      </c>
      <c r="S204">
        <v>1</v>
      </c>
      <c r="T204">
        <v>0</v>
      </c>
      <c r="U204">
        <v>0</v>
      </c>
      <c r="V204">
        <v>1</v>
      </c>
    </row>
    <row r="205" spans="1:22" x14ac:dyDescent="0.25">
      <c r="A205">
        <v>2025</v>
      </c>
      <c r="B205">
        <v>4</v>
      </c>
      <c r="C205" t="s">
        <v>61</v>
      </c>
      <c r="D205" t="s">
        <v>22</v>
      </c>
      <c r="E205" t="s">
        <v>163</v>
      </c>
      <c r="F205" t="s">
        <v>32</v>
      </c>
      <c r="G205" t="s">
        <v>24</v>
      </c>
      <c r="H205" t="s">
        <v>25</v>
      </c>
      <c r="I205" t="s">
        <v>26</v>
      </c>
      <c r="J205" t="s">
        <v>25</v>
      </c>
      <c r="K205">
        <v>248</v>
      </c>
      <c r="L205">
        <v>0</v>
      </c>
      <c r="M205">
        <v>0</v>
      </c>
      <c r="N205">
        <v>0</v>
      </c>
      <c r="O205">
        <v>127</v>
      </c>
      <c r="P205">
        <v>109</v>
      </c>
      <c r="Q205">
        <v>103</v>
      </c>
      <c r="R205">
        <v>85</v>
      </c>
      <c r="S205">
        <v>76</v>
      </c>
      <c r="T205">
        <v>27</v>
      </c>
      <c r="U205">
        <v>7</v>
      </c>
      <c r="V205">
        <v>248</v>
      </c>
    </row>
    <row r="206" spans="1:22" x14ac:dyDescent="0.25">
      <c r="A206">
        <v>2025</v>
      </c>
      <c r="B206">
        <v>4</v>
      </c>
      <c r="C206" t="s">
        <v>61</v>
      </c>
      <c r="D206" t="s">
        <v>22</v>
      </c>
      <c r="E206" t="s">
        <v>163</v>
      </c>
      <c r="F206" t="s">
        <v>34</v>
      </c>
      <c r="G206" t="s">
        <v>24</v>
      </c>
      <c r="H206" t="s">
        <v>25</v>
      </c>
      <c r="I206" t="s">
        <v>26</v>
      </c>
      <c r="J206" t="s">
        <v>26</v>
      </c>
      <c r="K206">
        <v>52</v>
      </c>
      <c r="L206">
        <v>0</v>
      </c>
      <c r="M206">
        <v>0</v>
      </c>
      <c r="N206">
        <v>0</v>
      </c>
      <c r="O206">
        <v>8</v>
      </c>
      <c r="P206">
        <v>8</v>
      </c>
      <c r="Q206">
        <v>7</v>
      </c>
      <c r="R206">
        <v>6</v>
      </c>
      <c r="S206">
        <v>6</v>
      </c>
      <c r="T206">
        <v>6</v>
      </c>
      <c r="U206">
        <v>4</v>
      </c>
      <c r="V206">
        <v>52</v>
      </c>
    </row>
    <row r="207" spans="1:22" x14ac:dyDescent="0.25">
      <c r="A207">
        <v>2025</v>
      </c>
      <c r="B207">
        <v>4</v>
      </c>
      <c r="C207" t="s">
        <v>61</v>
      </c>
      <c r="D207" t="s">
        <v>22</v>
      </c>
      <c r="E207" t="s">
        <v>163</v>
      </c>
      <c r="F207" t="s">
        <v>23</v>
      </c>
      <c r="G207" t="s">
        <v>24</v>
      </c>
      <c r="H207" t="s">
        <v>25</v>
      </c>
      <c r="I207" t="s">
        <v>26</v>
      </c>
      <c r="J207" t="s">
        <v>25</v>
      </c>
      <c r="K207">
        <v>93</v>
      </c>
      <c r="L207">
        <v>0</v>
      </c>
      <c r="M207">
        <v>0</v>
      </c>
      <c r="N207">
        <v>0</v>
      </c>
      <c r="O207">
        <v>5</v>
      </c>
      <c r="P207">
        <v>4</v>
      </c>
      <c r="Q207">
        <v>4</v>
      </c>
      <c r="R207">
        <v>2</v>
      </c>
      <c r="S207">
        <v>1</v>
      </c>
      <c r="T207">
        <v>0</v>
      </c>
      <c r="U207">
        <v>0</v>
      </c>
      <c r="V207">
        <v>93</v>
      </c>
    </row>
    <row r="208" spans="1:22" x14ac:dyDescent="0.25">
      <c r="A208">
        <v>2025</v>
      </c>
      <c r="B208">
        <v>4</v>
      </c>
      <c r="C208" t="s">
        <v>61</v>
      </c>
      <c r="D208" t="s">
        <v>22</v>
      </c>
      <c r="E208" t="s">
        <v>164</v>
      </c>
      <c r="F208" t="s">
        <v>23</v>
      </c>
      <c r="G208" t="s">
        <v>24</v>
      </c>
      <c r="H208" t="s">
        <v>25</v>
      </c>
      <c r="I208" t="s">
        <v>26</v>
      </c>
      <c r="J208" t="s">
        <v>25</v>
      </c>
      <c r="K208">
        <v>47</v>
      </c>
      <c r="L208">
        <v>0</v>
      </c>
      <c r="M208">
        <v>0</v>
      </c>
      <c r="N208">
        <v>0</v>
      </c>
      <c r="O208">
        <v>9</v>
      </c>
      <c r="P208">
        <v>8</v>
      </c>
      <c r="Q208">
        <v>7</v>
      </c>
      <c r="R208">
        <v>5</v>
      </c>
      <c r="S208">
        <v>5</v>
      </c>
      <c r="T208">
        <v>2</v>
      </c>
      <c r="U208">
        <v>1</v>
      </c>
      <c r="V208">
        <v>47</v>
      </c>
    </row>
    <row r="209" spans="1:22" x14ac:dyDescent="0.25">
      <c r="A209">
        <v>2025</v>
      </c>
      <c r="B209">
        <v>4</v>
      </c>
      <c r="C209" t="s">
        <v>61</v>
      </c>
      <c r="D209" t="s">
        <v>22</v>
      </c>
      <c r="E209" t="s">
        <v>165</v>
      </c>
      <c r="F209" t="s">
        <v>31</v>
      </c>
      <c r="G209" t="s">
        <v>24</v>
      </c>
      <c r="H209" t="s">
        <v>25</v>
      </c>
      <c r="I209" t="s">
        <v>26</v>
      </c>
      <c r="J209" t="s">
        <v>25</v>
      </c>
      <c r="K209">
        <v>28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28</v>
      </c>
    </row>
    <row r="210" spans="1:22" x14ac:dyDescent="0.25">
      <c r="A210">
        <v>2025</v>
      </c>
      <c r="B210">
        <v>4</v>
      </c>
      <c r="C210" t="s">
        <v>61</v>
      </c>
      <c r="D210" t="s">
        <v>22</v>
      </c>
      <c r="E210" t="s">
        <v>61</v>
      </c>
      <c r="F210" t="s">
        <v>31</v>
      </c>
      <c r="G210" t="s">
        <v>28</v>
      </c>
      <c r="H210" t="s">
        <v>25</v>
      </c>
      <c r="I210" t="s">
        <v>26</v>
      </c>
      <c r="J210" t="s">
        <v>25</v>
      </c>
      <c r="K210">
        <v>717</v>
      </c>
      <c r="L210">
        <v>4</v>
      </c>
      <c r="M210">
        <v>15</v>
      </c>
      <c r="N210">
        <v>19</v>
      </c>
      <c r="O210">
        <v>106</v>
      </c>
      <c r="P210">
        <v>68</v>
      </c>
      <c r="Q210">
        <v>54</v>
      </c>
      <c r="R210">
        <v>34</v>
      </c>
      <c r="S210">
        <v>17</v>
      </c>
      <c r="T210">
        <v>11</v>
      </c>
      <c r="U210">
        <v>4</v>
      </c>
      <c r="V210">
        <v>700</v>
      </c>
    </row>
    <row r="211" spans="1:22" x14ac:dyDescent="0.25">
      <c r="A211">
        <v>2025</v>
      </c>
      <c r="B211">
        <v>4</v>
      </c>
      <c r="C211" t="s">
        <v>61</v>
      </c>
      <c r="D211" t="s">
        <v>22</v>
      </c>
      <c r="E211" t="s">
        <v>61</v>
      </c>
      <c r="F211" t="s">
        <v>32</v>
      </c>
      <c r="G211" t="s">
        <v>28</v>
      </c>
      <c r="H211" t="s">
        <v>25</v>
      </c>
      <c r="I211" t="s">
        <v>26</v>
      </c>
      <c r="J211" t="s">
        <v>25</v>
      </c>
      <c r="K211">
        <v>25</v>
      </c>
      <c r="L211">
        <v>0</v>
      </c>
      <c r="M211">
        <v>0</v>
      </c>
      <c r="N211">
        <v>0</v>
      </c>
      <c r="O211">
        <v>9</v>
      </c>
      <c r="P211">
        <v>8</v>
      </c>
      <c r="Q211">
        <v>6</v>
      </c>
      <c r="R211">
        <v>3</v>
      </c>
      <c r="S211">
        <v>3</v>
      </c>
      <c r="T211">
        <v>0</v>
      </c>
      <c r="U211">
        <v>0</v>
      </c>
      <c r="V211">
        <v>25</v>
      </c>
    </row>
    <row r="212" spans="1:22" x14ac:dyDescent="0.25">
      <c r="A212">
        <v>2025</v>
      </c>
      <c r="B212">
        <v>4</v>
      </c>
      <c r="C212" t="s">
        <v>61</v>
      </c>
      <c r="D212" t="s">
        <v>22</v>
      </c>
      <c r="E212" t="s">
        <v>61</v>
      </c>
      <c r="F212" t="s">
        <v>32</v>
      </c>
      <c r="G212" t="s">
        <v>29</v>
      </c>
      <c r="H212" t="s">
        <v>25</v>
      </c>
      <c r="I212" t="s">
        <v>26</v>
      </c>
      <c r="J212" t="s">
        <v>25</v>
      </c>
      <c r="K212">
        <v>1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</row>
    <row r="213" spans="1:22" x14ac:dyDescent="0.25">
      <c r="A213">
        <v>2025</v>
      </c>
      <c r="B213">
        <v>4</v>
      </c>
      <c r="C213" t="s">
        <v>61</v>
      </c>
      <c r="D213" t="s">
        <v>22</v>
      </c>
      <c r="E213" t="s">
        <v>61</v>
      </c>
      <c r="F213" t="s">
        <v>34</v>
      </c>
      <c r="G213" t="s">
        <v>24</v>
      </c>
      <c r="H213" t="s">
        <v>25</v>
      </c>
      <c r="I213" t="s">
        <v>26</v>
      </c>
      <c r="J213" t="s">
        <v>26</v>
      </c>
      <c r="K213">
        <v>7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7</v>
      </c>
    </row>
    <row r="214" spans="1:22" x14ac:dyDescent="0.25">
      <c r="A214">
        <v>2025</v>
      </c>
      <c r="B214">
        <v>4</v>
      </c>
      <c r="C214" t="s">
        <v>61</v>
      </c>
      <c r="D214" t="s">
        <v>22</v>
      </c>
      <c r="E214" t="s">
        <v>61</v>
      </c>
      <c r="F214" t="s">
        <v>23</v>
      </c>
      <c r="G214" t="s">
        <v>28</v>
      </c>
      <c r="H214" t="s">
        <v>25</v>
      </c>
      <c r="I214" t="s">
        <v>26</v>
      </c>
      <c r="J214" t="s">
        <v>25</v>
      </c>
      <c r="K214">
        <v>1601</v>
      </c>
      <c r="L214">
        <v>3</v>
      </c>
      <c r="M214">
        <v>3</v>
      </c>
      <c r="N214">
        <v>6</v>
      </c>
      <c r="O214">
        <v>259</v>
      </c>
      <c r="P214">
        <v>163</v>
      </c>
      <c r="Q214">
        <v>133</v>
      </c>
      <c r="R214">
        <v>77</v>
      </c>
      <c r="S214">
        <v>50</v>
      </c>
      <c r="T214">
        <v>26</v>
      </c>
      <c r="U214">
        <v>7</v>
      </c>
      <c r="V214">
        <v>1596</v>
      </c>
    </row>
    <row r="215" spans="1:22" x14ac:dyDescent="0.25">
      <c r="A215">
        <v>2025</v>
      </c>
      <c r="B215">
        <v>4</v>
      </c>
      <c r="C215" t="s">
        <v>61</v>
      </c>
      <c r="D215" t="s">
        <v>22</v>
      </c>
      <c r="E215" t="s">
        <v>61</v>
      </c>
      <c r="F215" t="s">
        <v>23</v>
      </c>
      <c r="G215" t="s">
        <v>29</v>
      </c>
      <c r="H215" t="s">
        <v>25</v>
      </c>
      <c r="I215" t="s">
        <v>26</v>
      </c>
      <c r="J215" t="s">
        <v>25</v>
      </c>
      <c r="K215">
        <v>2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</row>
    <row r="216" spans="1:22" x14ac:dyDescent="0.25">
      <c r="A216">
        <v>2025</v>
      </c>
      <c r="B216">
        <v>4</v>
      </c>
      <c r="C216" t="s">
        <v>61</v>
      </c>
      <c r="D216" t="s">
        <v>22</v>
      </c>
      <c r="E216" t="s">
        <v>61</v>
      </c>
      <c r="F216" t="s">
        <v>39</v>
      </c>
      <c r="G216" t="s">
        <v>28</v>
      </c>
      <c r="H216" t="s">
        <v>26</v>
      </c>
      <c r="I216" t="s">
        <v>26</v>
      </c>
      <c r="J216" t="s">
        <v>25</v>
      </c>
      <c r="K216">
        <v>37</v>
      </c>
      <c r="L216">
        <v>0</v>
      </c>
      <c r="M216">
        <v>0</v>
      </c>
      <c r="N216">
        <v>0</v>
      </c>
      <c r="O216">
        <v>7</v>
      </c>
      <c r="P216">
        <v>3</v>
      </c>
      <c r="Q216">
        <v>2</v>
      </c>
      <c r="R216">
        <v>1</v>
      </c>
      <c r="S216">
        <v>0</v>
      </c>
      <c r="T216">
        <v>0</v>
      </c>
      <c r="U216">
        <v>0</v>
      </c>
      <c r="V216">
        <v>37</v>
      </c>
    </row>
    <row r="217" spans="1:22" x14ac:dyDescent="0.25">
      <c r="A217">
        <v>2025</v>
      </c>
      <c r="B217">
        <v>4</v>
      </c>
      <c r="C217" t="s">
        <v>61</v>
      </c>
      <c r="D217" t="s">
        <v>22</v>
      </c>
      <c r="E217" t="s">
        <v>61</v>
      </c>
      <c r="F217" t="s">
        <v>35</v>
      </c>
      <c r="G217" t="s">
        <v>28</v>
      </c>
      <c r="H217" t="s">
        <v>25</v>
      </c>
      <c r="I217" t="s">
        <v>26</v>
      </c>
      <c r="J217" t="s">
        <v>26</v>
      </c>
      <c r="K217">
        <v>66</v>
      </c>
      <c r="L217">
        <v>0</v>
      </c>
      <c r="M217">
        <v>0</v>
      </c>
      <c r="N217">
        <v>0</v>
      </c>
      <c r="O217">
        <v>8</v>
      </c>
      <c r="P217">
        <v>5</v>
      </c>
      <c r="Q217">
        <v>5</v>
      </c>
      <c r="R217">
        <v>5</v>
      </c>
      <c r="S217">
        <v>3</v>
      </c>
      <c r="T217">
        <v>3</v>
      </c>
      <c r="U217">
        <v>1</v>
      </c>
      <c r="V217">
        <v>66</v>
      </c>
    </row>
    <row r="218" spans="1:22" x14ac:dyDescent="0.25">
      <c r="A218">
        <v>2025</v>
      </c>
      <c r="B218">
        <v>4</v>
      </c>
      <c r="C218" t="s">
        <v>61</v>
      </c>
      <c r="D218" t="s">
        <v>22</v>
      </c>
      <c r="E218" t="s">
        <v>61</v>
      </c>
      <c r="F218" t="s">
        <v>35</v>
      </c>
      <c r="G218" t="s">
        <v>24</v>
      </c>
      <c r="H218" t="s">
        <v>25</v>
      </c>
      <c r="I218" t="s">
        <v>26</v>
      </c>
      <c r="J218" t="s">
        <v>26</v>
      </c>
      <c r="K218">
        <v>602</v>
      </c>
      <c r="L218">
        <v>1</v>
      </c>
      <c r="M218">
        <v>0</v>
      </c>
      <c r="N218">
        <v>1</v>
      </c>
      <c r="O218">
        <v>183</v>
      </c>
      <c r="P218">
        <v>146</v>
      </c>
      <c r="Q218">
        <v>130</v>
      </c>
      <c r="R218">
        <v>109</v>
      </c>
      <c r="S218">
        <v>83</v>
      </c>
      <c r="T218">
        <v>57</v>
      </c>
      <c r="U218">
        <v>28</v>
      </c>
      <c r="V218">
        <v>601</v>
      </c>
    </row>
    <row r="219" spans="1:22" x14ac:dyDescent="0.25">
      <c r="A219">
        <v>2025</v>
      </c>
      <c r="B219">
        <v>4</v>
      </c>
      <c r="C219" t="s">
        <v>61</v>
      </c>
      <c r="D219" t="s">
        <v>22</v>
      </c>
      <c r="E219" t="s">
        <v>61</v>
      </c>
      <c r="F219" t="s">
        <v>36</v>
      </c>
      <c r="G219" t="s">
        <v>28</v>
      </c>
      <c r="H219" t="s">
        <v>25</v>
      </c>
      <c r="I219" t="s">
        <v>26</v>
      </c>
      <c r="J219" t="s">
        <v>25</v>
      </c>
      <c r="K219">
        <v>1942</v>
      </c>
      <c r="L219">
        <v>3</v>
      </c>
      <c r="M219">
        <v>67</v>
      </c>
      <c r="N219">
        <v>70</v>
      </c>
      <c r="O219">
        <v>302</v>
      </c>
      <c r="P219">
        <v>191</v>
      </c>
      <c r="Q219">
        <v>160</v>
      </c>
      <c r="R219">
        <v>76</v>
      </c>
      <c r="S219">
        <v>47</v>
      </c>
      <c r="T219">
        <v>25</v>
      </c>
      <c r="U219">
        <v>3</v>
      </c>
      <c r="V219">
        <v>1903</v>
      </c>
    </row>
    <row r="220" spans="1:22" x14ac:dyDescent="0.25">
      <c r="A220">
        <v>2025</v>
      </c>
      <c r="B220">
        <v>4</v>
      </c>
      <c r="C220" t="s">
        <v>61</v>
      </c>
      <c r="D220" t="s">
        <v>22</v>
      </c>
      <c r="E220" t="s">
        <v>61</v>
      </c>
      <c r="F220" t="s">
        <v>36</v>
      </c>
      <c r="G220" t="s">
        <v>24</v>
      </c>
      <c r="H220" t="s">
        <v>25</v>
      </c>
      <c r="I220" t="s">
        <v>26</v>
      </c>
      <c r="J220" t="s">
        <v>25</v>
      </c>
      <c r="K220">
        <v>112</v>
      </c>
      <c r="L220">
        <v>0</v>
      </c>
      <c r="M220">
        <v>0</v>
      </c>
      <c r="N220">
        <v>0</v>
      </c>
      <c r="O220">
        <v>44</v>
      </c>
      <c r="P220">
        <v>35</v>
      </c>
      <c r="Q220">
        <v>33</v>
      </c>
      <c r="R220">
        <v>24</v>
      </c>
      <c r="S220">
        <v>18</v>
      </c>
      <c r="T220">
        <v>5</v>
      </c>
      <c r="U220">
        <v>0</v>
      </c>
      <c r="V220">
        <v>112</v>
      </c>
    </row>
    <row r="221" spans="1:22" x14ac:dyDescent="0.25">
      <c r="A221">
        <v>2025</v>
      </c>
      <c r="B221">
        <v>4</v>
      </c>
      <c r="C221" t="s">
        <v>61</v>
      </c>
      <c r="D221" t="s">
        <v>22</v>
      </c>
      <c r="E221" t="s">
        <v>61</v>
      </c>
      <c r="F221" t="s">
        <v>36</v>
      </c>
      <c r="G221" t="s">
        <v>29</v>
      </c>
      <c r="H221" t="s">
        <v>25</v>
      </c>
      <c r="I221" t="s">
        <v>26</v>
      </c>
      <c r="J221" t="s">
        <v>25</v>
      </c>
      <c r="K221">
        <v>1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</row>
    <row r="222" spans="1:22" x14ac:dyDescent="0.25">
      <c r="A222">
        <v>2025</v>
      </c>
      <c r="B222">
        <v>4</v>
      </c>
      <c r="C222" t="s">
        <v>61</v>
      </c>
      <c r="D222" t="s">
        <v>22</v>
      </c>
      <c r="E222" t="s">
        <v>61</v>
      </c>
      <c r="F222" t="s">
        <v>41</v>
      </c>
      <c r="G222" t="s">
        <v>28</v>
      </c>
      <c r="H222" t="s">
        <v>26</v>
      </c>
      <c r="I222" t="s">
        <v>26</v>
      </c>
      <c r="J222" t="s">
        <v>25</v>
      </c>
      <c r="K222">
        <v>861</v>
      </c>
      <c r="L222">
        <v>0</v>
      </c>
      <c r="M222">
        <v>21</v>
      </c>
      <c r="N222">
        <v>21</v>
      </c>
      <c r="O222">
        <v>307</v>
      </c>
      <c r="P222">
        <v>250</v>
      </c>
      <c r="Q222">
        <v>219</v>
      </c>
      <c r="R222">
        <v>158</v>
      </c>
      <c r="S222">
        <v>121</v>
      </c>
      <c r="T222">
        <v>51</v>
      </c>
      <c r="U222">
        <v>6</v>
      </c>
      <c r="V222">
        <v>849</v>
      </c>
    </row>
    <row r="223" spans="1:22" x14ac:dyDescent="0.25">
      <c r="A223">
        <v>2025</v>
      </c>
      <c r="B223">
        <v>4</v>
      </c>
      <c r="C223" t="s">
        <v>61</v>
      </c>
      <c r="D223" t="s">
        <v>22</v>
      </c>
      <c r="E223" t="s">
        <v>61</v>
      </c>
      <c r="F223" t="s">
        <v>41</v>
      </c>
      <c r="G223" t="s">
        <v>24</v>
      </c>
      <c r="H223" t="s">
        <v>26</v>
      </c>
      <c r="I223" t="s">
        <v>26</v>
      </c>
      <c r="J223" t="s">
        <v>25</v>
      </c>
      <c r="K223">
        <v>867</v>
      </c>
      <c r="L223">
        <v>0</v>
      </c>
      <c r="M223">
        <v>7</v>
      </c>
      <c r="N223">
        <v>7</v>
      </c>
      <c r="O223">
        <v>321</v>
      </c>
      <c r="P223">
        <v>256</v>
      </c>
      <c r="Q223">
        <v>234</v>
      </c>
      <c r="R223">
        <v>176</v>
      </c>
      <c r="S223">
        <v>133</v>
      </c>
      <c r="T223">
        <v>55</v>
      </c>
      <c r="U223">
        <v>6</v>
      </c>
      <c r="V223">
        <v>865</v>
      </c>
    </row>
    <row r="224" spans="1:22" x14ac:dyDescent="0.25">
      <c r="A224">
        <v>2025</v>
      </c>
      <c r="B224">
        <v>4</v>
      </c>
      <c r="C224" t="s">
        <v>61</v>
      </c>
      <c r="D224" t="s">
        <v>22</v>
      </c>
      <c r="E224" t="s">
        <v>61</v>
      </c>
      <c r="F224" t="s">
        <v>41</v>
      </c>
      <c r="G224" t="s">
        <v>29</v>
      </c>
      <c r="H224" t="s">
        <v>26</v>
      </c>
      <c r="I224" t="s">
        <v>26</v>
      </c>
      <c r="J224" t="s">
        <v>25</v>
      </c>
      <c r="K224">
        <v>1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</row>
    <row r="225" spans="1:22" x14ac:dyDescent="0.25">
      <c r="A225">
        <v>2025</v>
      </c>
      <c r="B225">
        <v>4</v>
      </c>
      <c r="C225" t="s">
        <v>61</v>
      </c>
      <c r="D225" t="s">
        <v>22</v>
      </c>
      <c r="E225" t="s">
        <v>166</v>
      </c>
      <c r="F225" t="s">
        <v>32</v>
      </c>
      <c r="G225" t="s">
        <v>24</v>
      </c>
      <c r="H225" t="s">
        <v>25</v>
      </c>
      <c r="I225" t="s">
        <v>26</v>
      </c>
      <c r="J225" t="s">
        <v>25</v>
      </c>
      <c r="K225">
        <v>251</v>
      </c>
      <c r="L225">
        <v>3</v>
      </c>
      <c r="M225">
        <v>0</v>
      </c>
      <c r="N225">
        <v>3</v>
      </c>
      <c r="O225">
        <v>143</v>
      </c>
      <c r="P225">
        <v>108</v>
      </c>
      <c r="Q225">
        <v>95</v>
      </c>
      <c r="R225">
        <v>53</v>
      </c>
      <c r="S225">
        <v>33</v>
      </c>
      <c r="T225">
        <v>9</v>
      </c>
      <c r="U225">
        <v>3</v>
      </c>
      <c r="V225">
        <v>248</v>
      </c>
    </row>
    <row r="226" spans="1:22" x14ac:dyDescent="0.25">
      <c r="A226">
        <v>2025</v>
      </c>
      <c r="B226">
        <v>4</v>
      </c>
      <c r="C226" t="s">
        <v>61</v>
      </c>
      <c r="D226" t="s">
        <v>22</v>
      </c>
      <c r="E226" t="s">
        <v>168</v>
      </c>
      <c r="F226" t="s">
        <v>31</v>
      </c>
      <c r="G226" t="s">
        <v>24</v>
      </c>
      <c r="H226" t="s">
        <v>25</v>
      </c>
      <c r="I226" t="s">
        <v>26</v>
      </c>
      <c r="J226" t="s">
        <v>25</v>
      </c>
      <c r="K226">
        <v>429</v>
      </c>
      <c r="L226">
        <v>0</v>
      </c>
      <c r="M226">
        <v>2</v>
      </c>
      <c r="N226">
        <v>2</v>
      </c>
      <c r="O226">
        <v>53</v>
      </c>
      <c r="P226">
        <v>31</v>
      </c>
      <c r="Q226">
        <v>23</v>
      </c>
      <c r="R226">
        <v>15</v>
      </c>
      <c r="S226">
        <v>11</v>
      </c>
      <c r="T226">
        <v>4</v>
      </c>
      <c r="U226">
        <v>2</v>
      </c>
      <c r="V226">
        <v>428</v>
      </c>
    </row>
    <row r="227" spans="1:22" x14ac:dyDescent="0.25">
      <c r="A227">
        <v>2025</v>
      </c>
      <c r="B227">
        <v>4</v>
      </c>
      <c r="C227" t="s">
        <v>61</v>
      </c>
      <c r="D227" t="s">
        <v>22</v>
      </c>
      <c r="E227" t="s">
        <v>168</v>
      </c>
      <c r="F227" t="s">
        <v>34</v>
      </c>
      <c r="G227" t="s">
        <v>24</v>
      </c>
      <c r="H227" t="s">
        <v>25</v>
      </c>
      <c r="I227" t="s">
        <v>26</v>
      </c>
      <c r="J227" t="s">
        <v>26</v>
      </c>
      <c r="K227">
        <v>2</v>
      </c>
      <c r="L227">
        <v>0</v>
      </c>
      <c r="M227">
        <v>0</v>
      </c>
      <c r="N227">
        <v>0</v>
      </c>
      <c r="O227">
        <v>2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2</v>
      </c>
    </row>
    <row r="228" spans="1:22" x14ac:dyDescent="0.25">
      <c r="A228">
        <v>2025</v>
      </c>
      <c r="B228">
        <v>4</v>
      </c>
      <c r="C228" t="s">
        <v>61</v>
      </c>
      <c r="D228" t="s">
        <v>22</v>
      </c>
      <c r="E228" t="s">
        <v>169</v>
      </c>
      <c r="F228" t="s">
        <v>32</v>
      </c>
      <c r="G228" t="s">
        <v>24</v>
      </c>
      <c r="H228" t="s">
        <v>25</v>
      </c>
      <c r="I228" t="s">
        <v>26</v>
      </c>
      <c r="J228" t="s">
        <v>25</v>
      </c>
      <c r="K228">
        <v>28</v>
      </c>
      <c r="L228">
        <v>0</v>
      </c>
      <c r="M228">
        <v>0</v>
      </c>
      <c r="N228">
        <v>0</v>
      </c>
      <c r="O228">
        <v>17</v>
      </c>
      <c r="P228">
        <v>13</v>
      </c>
      <c r="Q228">
        <v>13</v>
      </c>
      <c r="R228">
        <v>11</v>
      </c>
      <c r="S228">
        <v>11</v>
      </c>
      <c r="T228">
        <v>4</v>
      </c>
      <c r="U228">
        <v>1</v>
      </c>
      <c r="V228">
        <v>28</v>
      </c>
    </row>
    <row r="229" spans="1:22" x14ac:dyDescent="0.25">
      <c r="A229">
        <v>2025</v>
      </c>
      <c r="B229">
        <v>4</v>
      </c>
      <c r="C229" t="s">
        <v>61</v>
      </c>
      <c r="D229" t="s">
        <v>22</v>
      </c>
      <c r="E229" t="s">
        <v>157</v>
      </c>
      <c r="F229" t="s">
        <v>31</v>
      </c>
      <c r="G229" t="s">
        <v>24</v>
      </c>
      <c r="H229" t="s">
        <v>25</v>
      </c>
      <c r="I229" t="s">
        <v>26</v>
      </c>
      <c r="J229" t="s">
        <v>25</v>
      </c>
      <c r="K229">
        <v>112</v>
      </c>
      <c r="L229">
        <v>0</v>
      </c>
      <c r="M229">
        <v>0</v>
      </c>
      <c r="N229">
        <v>0</v>
      </c>
      <c r="O229">
        <v>52</v>
      </c>
      <c r="P229">
        <v>42</v>
      </c>
      <c r="Q229">
        <v>34</v>
      </c>
      <c r="R229">
        <v>18</v>
      </c>
      <c r="S229">
        <v>8</v>
      </c>
      <c r="T229">
        <v>1</v>
      </c>
      <c r="U229">
        <v>0</v>
      </c>
      <c r="V229">
        <v>112</v>
      </c>
    </row>
    <row r="230" spans="1:22" x14ac:dyDescent="0.25">
      <c r="A230">
        <v>2025</v>
      </c>
      <c r="B230">
        <v>4</v>
      </c>
      <c r="C230" t="s">
        <v>61</v>
      </c>
      <c r="D230" t="s">
        <v>22</v>
      </c>
      <c r="E230" t="s">
        <v>157</v>
      </c>
      <c r="F230" t="s">
        <v>35</v>
      </c>
      <c r="G230" t="s">
        <v>24</v>
      </c>
      <c r="H230" t="s">
        <v>25</v>
      </c>
      <c r="I230" t="s">
        <v>26</v>
      </c>
      <c r="J230" t="s">
        <v>26</v>
      </c>
      <c r="K230">
        <v>28</v>
      </c>
      <c r="L230">
        <v>0</v>
      </c>
      <c r="M230">
        <v>0</v>
      </c>
      <c r="N230">
        <v>0</v>
      </c>
      <c r="O230">
        <v>11</v>
      </c>
      <c r="P230">
        <v>10</v>
      </c>
      <c r="Q230">
        <v>7</v>
      </c>
      <c r="R230">
        <v>5</v>
      </c>
      <c r="S230">
        <v>3</v>
      </c>
      <c r="T230">
        <v>3</v>
      </c>
      <c r="U230">
        <v>3</v>
      </c>
      <c r="V230">
        <v>28</v>
      </c>
    </row>
    <row r="231" spans="1:22" x14ac:dyDescent="0.25">
      <c r="A231">
        <v>2025</v>
      </c>
      <c r="B231">
        <v>4</v>
      </c>
      <c r="C231" t="s">
        <v>61</v>
      </c>
      <c r="D231" t="s">
        <v>22</v>
      </c>
      <c r="E231" t="s">
        <v>157</v>
      </c>
      <c r="F231" t="s">
        <v>41</v>
      </c>
      <c r="G231" t="s">
        <v>24</v>
      </c>
      <c r="H231" t="s">
        <v>26</v>
      </c>
      <c r="I231" t="s">
        <v>26</v>
      </c>
      <c r="J231" t="s">
        <v>25</v>
      </c>
      <c r="K231">
        <v>52</v>
      </c>
      <c r="L231">
        <v>0</v>
      </c>
      <c r="M231">
        <v>0</v>
      </c>
      <c r="N231">
        <v>0</v>
      </c>
      <c r="O231">
        <v>24</v>
      </c>
      <c r="P231">
        <v>20</v>
      </c>
      <c r="Q231">
        <v>19</v>
      </c>
      <c r="R231">
        <v>11</v>
      </c>
      <c r="S231">
        <v>6</v>
      </c>
      <c r="T231">
        <v>5</v>
      </c>
      <c r="U231">
        <v>0</v>
      </c>
      <c r="V231">
        <v>52</v>
      </c>
    </row>
    <row r="232" spans="1:22" x14ac:dyDescent="0.25">
      <c r="A232">
        <v>2025</v>
      </c>
      <c r="B232">
        <v>4</v>
      </c>
      <c r="C232" t="s">
        <v>61</v>
      </c>
      <c r="D232" t="s">
        <v>22</v>
      </c>
      <c r="E232" t="s">
        <v>66</v>
      </c>
      <c r="F232" t="s">
        <v>34</v>
      </c>
      <c r="G232" t="s">
        <v>24</v>
      </c>
      <c r="H232" t="s">
        <v>25</v>
      </c>
      <c r="I232" t="s">
        <v>26</v>
      </c>
      <c r="J232" t="s">
        <v>26</v>
      </c>
      <c r="K232">
        <v>1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1</v>
      </c>
    </row>
    <row r="233" spans="1:22" x14ac:dyDescent="0.25">
      <c r="A233">
        <v>2025</v>
      </c>
      <c r="B233">
        <v>5</v>
      </c>
      <c r="C233" t="s">
        <v>61</v>
      </c>
      <c r="D233" t="s">
        <v>22</v>
      </c>
      <c r="E233" t="s">
        <v>159</v>
      </c>
      <c r="F233" t="s">
        <v>31</v>
      </c>
      <c r="G233" t="s">
        <v>24</v>
      </c>
      <c r="H233" t="s">
        <v>25</v>
      </c>
      <c r="I233" t="s">
        <v>26</v>
      </c>
      <c r="J233" t="s">
        <v>25</v>
      </c>
      <c r="K233">
        <v>31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31</v>
      </c>
    </row>
    <row r="234" spans="1:22" x14ac:dyDescent="0.25">
      <c r="A234">
        <v>2025</v>
      </c>
      <c r="B234">
        <v>5</v>
      </c>
      <c r="C234" t="s">
        <v>61</v>
      </c>
      <c r="D234" t="s">
        <v>22</v>
      </c>
      <c r="E234" t="s">
        <v>129</v>
      </c>
      <c r="F234" t="s">
        <v>36</v>
      </c>
      <c r="G234" t="s">
        <v>24</v>
      </c>
      <c r="H234" t="s">
        <v>25</v>
      </c>
      <c r="I234" t="s">
        <v>26</v>
      </c>
      <c r="J234" t="s">
        <v>25</v>
      </c>
      <c r="K234">
        <v>62</v>
      </c>
      <c r="L234">
        <v>0</v>
      </c>
      <c r="M234">
        <v>1</v>
      </c>
      <c r="N234">
        <v>1</v>
      </c>
      <c r="O234">
        <v>17</v>
      </c>
      <c r="P234">
        <v>15</v>
      </c>
      <c r="Q234">
        <v>14</v>
      </c>
      <c r="R234">
        <v>9</v>
      </c>
      <c r="S234">
        <v>5</v>
      </c>
      <c r="T234">
        <v>1</v>
      </c>
      <c r="U234">
        <v>0</v>
      </c>
      <c r="V234">
        <v>61</v>
      </c>
    </row>
    <row r="235" spans="1:22" x14ac:dyDescent="0.25">
      <c r="A235">
        <v>2025</v>
      </c>
      <c r="B235">
        <v>5</v>
      </c>
      <c r="C235" t="s">
        <v>61</v>
      </c>
      <c r="D235" t="s">
        <v>22</v>
      </c>
      <c r="E235" t="s">
        <v>131</v>
      </c>
      <c r="F235" t="s">
        <v>34</v>
      </c>
      <c r="G235" t="s">
        <v>24</v>
      </c>
      <c r="H235" t="s">
        <v>25</v>
      </c>
      <c r="I235" t="s">
        <v>26</v>
      </c>
      <c r="J235" t="s">
        <v>26</v>
      </c>
      <c r="K235">
        <v>60</v>
      </c>
      <c r="L235">
        <v>0</v>
      </c>
      <c r="M235">
        <v>0</v>
      </c>
      <c r="N235">
        <v>0</v>
      </c>
      <c r="O235">
        <v>16</v>
      </c>
      <c r="P235">
        <v>9</v>
      </c>
      <c r="Q235">
        <v>8</v>
      </c>
      <c r="R235">
        <v>8</v>
      </c>
      <c r="S235">
        <v>6</v>
      </c>
      <c r="T235">
        <v>4</v>
      </c>
      <c r="U235">
        <v>1</v>
      </c>
      <c r="V235">
        <v>60</v>
      </c>
    </row>
    <row r="236" spans="1:22" x14ac:dyDescent="0.25">
      <c r="A236">
        <v>2025</v>
      </c>
      <c r="B236">
        <v>5</v>
      </c>
      <c r="C236" t="s">
        <v>61</v>
      </c>
      <c r="D236" t="s">
        <v>22</v>
      </c>
      <c r="E236" t="s">
        <v>160</v>
      </c>
      <c r="F236" t="s">
        <v>23</v>
      </c>
      <c r="G236" t="s">
        <v>24</v>
      </c>
      <c r="H236" t="s">
        <v>25</v>
      </c>
      <c r="I236" t="s">
        <v>26</v>
      </c>
      <c r="J236" t="s">
        <v>25</v>
      </c>
      <c r="K236">
        <v>186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186</v>
      </c>
    </row>
    <row r="237" spans="1:22" x14ac:dyDescent="0.25">
      <c r="A237">
        <v>2025</v>
      </c>
      <c r="B237">
        <v>5</v>
      </c>
      <c r="C237" t="s">
        <v>61</v>
      </c>
      <c r="D237" t="s">
        <v>22</v>
      </c>
      <c r="E237" t="s">
        <v>161</v>
      </c>
      <c r="F237" t="s">
        <v>32</v>
      </c>
      <c r="G237" t="s">
        <v>24</v>
      </c>
      <c r="H237" t="s">
        <v>25</v>
      </c>
      <c r="I237" t="s">
        <v>26</v>
      </c>
      <c r="J237" t="s">
        <v>25</v>
      </c>
      <c r="K237">
        <v>149</v>
      </c>
      <c r="L237">
        <v>0</v>
      </c>
      <c r="M237">
        <v>0</v>
      </c>
      <c r="N237">
        <v>0</v>
      </c>
      <c r="O237">
        <v>47</v>
      </c>
      <c r="P237">
        <v>29</v>
      </c>
      <c r="Q237">
        <v>27</v>
      </c>
      <c r="R237">
        <v>22</v>
      </c>
      <c r="S237">
        <v>15</v>
      </c>
      <c r="T237">
        <v>8</v>
      </c>
      <c r="U237">
        <v>1</v>
      </c>
      <c r="V237">
        <v>149</v>
      </c>
    </row>
    <row r="238" spans="1:22" x14ac:dyDescent="0.25">
      <c r="A238">
        <v>2025</v>
      </c>
      <c r="B238">
        <v>5</v>
      </c>
      <c r="C238" t="s">
        <v>61</v>
      </c>
      <c r="D238" t="s">
        <v>22</v>
      </c>
      <c r="E238" t="s">
        <v>161</v>
      </c>
      <c r="F238" t="s">
        <v>23</v>
      </c>
      <c r="G238" t="s">
        <v>24</v>
      </c>
      <c r="H238" t="s">
        <v>25</v>
      </c>
      <c r="I238" t="s">
        <v>26</v>
      </c>
      <c r="J238" t="s">
        <v>25</v>
      </c>
      <c r="K238">
        <v>31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31</v>
      </c>
    </row>
    <row r="239" spans="1:22" x14ac:dyDescent="0.25">
      <c r="A239">
        <v>2025</v>
      </c>
      <c r="B239">
        <v>5</v>
      </c>
      <c r="C239" t="s">
        <v>61</v>
      </c>
      <c r="D239" t="s">
        <v>22</v>
      </c>
      <c r="E239" t="s">
        <v>161</v>
      </c>
      <c r="F239" t="s">
        <v>36</v>
      </c>
      <c r="G239" t="s">
        <v>24</v>
      </c>
      <c r="H239" t="s">
        <v>25</v>
      </c>
      <c r="I239" t="s">
        <v>26</v>
      </c>
      <c r="J239" t="s">
        <v>25</v>
      </c>
      <c r="K239">
        <v>403</v>
      </c>
      <c r="L239">
        <v>0</v>
      </c>
      <c r="M239">
        <v>1</v>
      </c>
      <c r="N239">
        <v>1</v>
      </c>
      <c r="O239">
        <v>122</v>
      </c>
      <c r="P239">
        <v>87</v>
      </c>
      <c r="Q239">
        <v>80</v>
      </c>
      <c r="R239">
        <v>60</v>
      </c>
      <c r="S239">
        <v>35</v>
      </c>
      <c r="T239">
        <v>13</v>
      </c>
      <c r="U239">
        <v>3</v>
      </c>
      <c r="V239">
        <v>402</v>
      </c>
    </row>
    <row r="240" spans="1:22" x14ac:dyDescent="0.25">
      <c r="A240">
        <v>2025</v>
      </c>
      <c r="B240">
        <v>5</v>
      </c>
      <c r="C240" t="s">
        <v>61</v>
      </c>
      <c r="D240" t="s">
        <v>22</v>
      </c>
      <c r="E240" t="s">
        <v>162</v>
      </c>
      <c r="F240" t="s">
        <v>32</v>
      </c>
      <c r="G240" t="s">
        <v>24</v>
      </c>
      <c r="H240" t="s">
        <v>25</v>
      </c>
      <c r="I240" t="s">
        <v>26</v>
      </c>
      <c r="J240" t="s">
        <v>25</v>
      </c>
      <c r="K240">
        <v>186</v>
      </c>
      <c r="L240">
        <v>0</v>
      </c>
      <c r="M240">
        <v>0</v>
      </c>
      <c r="N240">
        <v>0</v>
      </c>
      <c r="O240">
        <v>128</v>
      </c>
      <c r="P240">
        <v>111</v>
      </c>
      <c r="Q240">
        <v>102</v>
      </c>
      <c r="R240">
        <v>75</v>
      </c>
      <c r="S240">
        <v>57</v>
      </c>
      <c r="T240">
        <v>19</v>
      </c>
      <c r="U240">
        <v>2</v>
      </c>
      <c r="V240">
        <v>186</v>
      </c>
    </row>
    <row r="241" spans="1:22" x14ac:dyDescent="0.25">
      <c r="A241">
        <v>2025</v>
      </c>
      <c r="B241">
        <v>5</v>
      </c>
      <c r="C241" t="s">
        <v>61</v>
      </c>
      <c r="D241" t="s">
        <v>22</v>
      </c>
      <c r="E241" t="s">
        <v>138</v>
      </c>
      <c r="F241" t="s">
        <v>34</v>
      </c>
      <c r="G241" t="s">
        <v>24</v>
      </c>
      <c r="H241" t="s">
        <v>25</v>
      </c>
      <c r="I241" t="s">
        <v>26</v>
      </c>
      <c r="J241" t="s">
        <v>26</v>
      </c>
      <c r="K241">
        <v>29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29</v>
      </c>
    </row>
    <row r="242" spans="1:22" x14ac:dyDescent="0.25">
      <c r="A242">
        <v>2025</v>
      </c>
      <c r="B242">
        <v>5</v>
      </c>
      <c r="C242" t="s">
        <v>61</v>
      </c>
      <c r="D242" t="s">
        <v>22</v>
      </c>
      <c r="E242" t="s">
        <v>139</v>
      </c>
      <c r="F242" t="s">
        <v>34</v>
      </c>
      <c r="G242" t="s">
        <v>24</v>
      </c>
      <c r="H242" t="s">
        <v>25</v>
      </c>
      <c r="I242" t="s">
        <v>26</v>
      </c>
      <c r="J242" t="s">
        <v>26</v>
      </c>
      <c r="K242">
        <v>31</v>
      </c>
      <c r="L242">
        <v>0</v>
      </c>
      <c r="M242">
        <v>0</v>
      </c>
      <c r="N242">
        <v>0</v>
      </c>
      <c r="O242">
        <v>4</v>
      </c>
      <c r="P242">
        <v>2</v>
      </c>
      <c r="Q242">
        <v>1</v>
      </c>
      <c r="R242">
        <v>1</v>
      </c>
      <c r="S242">
        <v>1</v>
      </c>
      <c r="T242">
        <v>1</v>
      </c>
      <c r="U242">
        <v>0</v>
      </c>
      <c r="V242">
        <v>31</v>
      </c>
    </row>
    <row r="243" spans="1:22" x14ac:dyDescent="0.25">
      <c r="A243">
        <v>2025</v>
      </c>
      <c r="B243">
        <v>5</v>
      </c>
      <c r="C243" t="s">
        <v>61</v>
      </c>
      <c r="D243" t="s">
        <v>22</v>
      </c>
      <c r="E243" t="s">
        <v>153</v>
      </c>
      <c r="F243" t="s">
        <v>34</v>
      </c>
      <c r="G243" t="s">
        <v>24</v>
      </c>
      <c r="H243" t="s">
        <v>25</v>
      </c>
      <c r="I243" t="s">
        <v>26</v>
      </c>
      <c r="J243" t="s">
        <v>26</v>
      </c>
      <c r="K243">
        <v>1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1</v>
      </c>
    </row>
    <row r="244" spans="1:22" x14ac:dyDescent="0.25">
      <c r="A244">
        <v>2025</v>
      </c>
      <c r="B244">
        <v>5</v>
      </c>
      <c r="C244" t="s">
        <v>61</v>
      </c>
      <c r="D244" t="s">
        <v>22</v>
      </c>
      <c r="E244" t="s">
        <v>140</v>
      </c>
      <c r="F244" t="s">
        <v>34</v>
      </c>
      <c r="G244" t="s">
        <v>24</v>
      </c>
      <c r="H244" t="s">
        <v>25</v>
      </c>
      <c r="I244" t="s">
        <v>26</v>
      </c>
      <c r="J244" t="s">
        <v>26</v>
      </c>
      <c r="K244">
        <v>1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1</v>
      </c>
    </row>
    <row r="245" spans="1:22" x14ac:dyDescent="0.25">
      <c r="A245">
        <v>2025</v>
      </c>
      <c r="B245">
        <v>5</v>
      </c>
      <c r="C245" t="s">
        <v>61</v>
      </c>
      <c r="D245" t="s">
        <v>22</v>
      </c>
      <c r="E245" t="s">
        <v>141</v>
      </c>
      <c r="F245" t="s">
        <v>34</v>
      </c>
      <c r="G245" t="s">
        <v>24</v>
      </c>
      <c r="H245" t="s">
        <v>25</v>
      </c>
      <c r="I245" t="s">
        <v>26</v>
      </c>
      <c r="J245" t="s">
        <v>26</v>
      </c>
      <c r="K245">
        <v>31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31</v>
      </c>
    </row>
    <row r="246" spans="1:22" x14ac:dyDescent="0.25">
      <c r="A246">
        <v>2025</v>
      </c>
      <c r="B246">
        <v>5</v>
      </c>
      <c r="C246" t="s">
        <v>61</v>
      </c>
      <c r="D246" t="s">
        <v>22</v>
      </c>
      <c r="E246" t="s">
        <v>142</v>
      </c>
      <c r="F246" t="s">
        <v>34</v>
      </c>
      <c r="G246" t="s">
        <v>24</v>
      </c>
      <c r="H246" t="s">
        <v>25</v>
      </c>
      <c r="I246" t="s">
        <v>26</v>
      </c>
      <c r="J246" t="s">
        <v>26</v>
      </c>
      <c r="K246">
        <v>31</v>
      </c>
      <c r="L246">
        <v>0</v>
      </c>
      <c r="M246">
        <v>0</v>
      </c>
      <c r="N246">
        <v>0</v>
      </c>
      <c r="O246">
        <v>2</v>
      </c>
      <c r="P246">
        <v>1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31</v>
      </c>
    </row>
    <row r="247" spans="1:22" x14ac:dyDescent="0.25">
      <c r="A247">
        <v>2025</v>
      </c>
      <c r="B247">
        <v>5</v>
      </c>
      <c r="C247" t="s">
        <v>61</v>
      </c>
      <c r="D247" t="s">
        <v>22</v>
      </c>
      <c r="E247" t="s">
        <v>144</v>
      </c>
      <c r="F247" t="s">
        <v>32</v>
      </c>
      <c r="G247" t="s">
        <v>24</v>
      </c>
      <c r="H247" t="s">
        <v>25</v>
      </c>
      <c r="I247" t="s">
        <v>26</v>
      </c>
      <c r="J247" t="s">
        <v>25</v>
      </c>
      <c r="K247">
        <v>229</v>
      </c>
      <c r="L247">
        <v>1</v>
      </c>
      <c r="M247">
        <v>0</v>
      </c>
      <c r="N247">
        <v>1</v>
      </c>
      <c r="O247">
        <v>39</v>
      </c>
      <c r="P247">
        <v>26</v>
      </c>
      <c r="Q247">
        <v>24</v>
      </c>
      <c r="R247">
        <v>18</v>
      </c>
      <c r="S247">
        <v>7</v>
      </c>
      <c r="T247">
        <v>2</v>
      </c>
      <c r="U247">
        <v>0</v>
      </c>
      <c r="V247">
        <v>228</v>
      </c>
    </row>
    <row r="248" spans="1:22" x14ac:dyDescent="0.25">
      <c r="A248">
        <v>2025</v>
      </c>
      <c r="B248">
        <v>5</v>
      </c>
      <c r="C248" t="s">
        <v>61</v>
      </c>
      <c r="D248" t="s">
        <v>22</v>
      </c>
      <c r="E248" t="s">
        <v>144</v>
      </c>
      <c r="F248" t="s">
        <v>38</v>
      </c>
      <c r="G248" t="s">
        <v>24</v>
      </c>
      <c r="H248" t="s">
        <v>25</v>
      </c>
      <c r="I248" t="s">
        <v>26</v>
      </c>
      <c r="J248" t="s">
        <v>25</v>
      </c>
      <c r="K248">
        <v>1</v>
      </c>
      <c r="L248">
        <v>0</v>
      </c>
      <c r="M248">
        <v>0</v>
      </c>
      <c r="N248">
        <v>0</v>
      </c>
      <c r="O248">
        <v>1</v>
      </c>
      <c r="P248">
        <v>1</v>
      </c>
      <c r="Q248">
        <v>1</v>
      </c>
      <c r="R248">
        <v>1</v>
      </c>
      <c r="S248">
        <v>1</v>
      </c>
      <c r="T248">
        <v>1</v>
      </c>
      <c r="U248">
        <v>1</v>
      </c>
      <c r="V248">
        <v>1</v>
      </c>
    </row>
    <row r="249" spans="1:22" x14ac:dyDescent="0.25">
      <c r="A249">
        <v>2025</v>
      </c>
      <c r="B249">
        <v>5</v>
      </c>
      <c r="C249" t="s">
        <v>61</v>
      </c>
      <c r="D249" t="s">
        <v>22</v>
      </c>
      <c r="E249" t="s">
        <v>144</v>
      </c>
      <c r="F249" t="s">
        <v>23</v>
      </c>
      <c r="G249" t="s">
        <v>24</v>
      </c>
      <c r="H249" t="s">
        <v>25</v>
      </c>
      <c r="I249" t="s">
        <v>26</v>
      </c>
      <c r="J249" t="s">
        <v>25</v>
      </c>
      <c r="K249">
        <v>215</v>
      </c>
      <c r="L249">
        <v>0</v>
      </c>
      <c r="M249">
        <v>0</v>
      </c>
      <c r="N249">
        <v>0</v>
      </c>
      <c r="O249">
        <v>53</v>
      </c>
      <c r="P249">
        <v>39</v>
      </c>
      <c r="Q249">
        <v>35</v>
      </c>
      <c r="R249">
        <v>20</v>
      </c>
      <c r="S249">
        <v>16</v>
      </c>
      <c r="T249">
        <v>10</v>
      </c>
      <c r="U249">
        <v>1</v>
      </c>
      <c r="V249">
        <v>215</v>
      </c>
    </row>
    <row r="250" spans="1:22" x14ac:dyDescent="0.25">
      <c r="A250">
        <v>2025</v>
      </c>
      <c r="B250">
        <v>5</v>
      </c>
      <c r="C250" t="s">
        <v>61</v>
      </c>
      <c r="D250" t="s">
        <v>22</v>
      </c>
      <c r="E250" t="s">
        <v>144</v>
      </c>
      <c r="F250" t="s">
        <v>39</v>
      </c>
      <c r="G250" t="s">
        <v>24</v>
      </c>
      <c r="H250" t="s">
        <v>26</v>
      </c>
      <c r="I250" t="s">
        <v>26</v>
      </c>
      <c r="J250" t="s">
        <v>25</v>
      </c>
      <c r="K250">
        <v>675</v>
      </c>
      <c r="L250">
        <v>12</v>
      </c>
      <c r="M250">
        <v>0</v>
      </c>
      <c r="N250">
        <v>12</v>
      </c>
      <c r="O250">
        <v>238</v>
      </c>
      <c r="P250">
        <v>203</v>
      </c>
      <c r="Q250">
        <v>186</v>
      </c>
      <c r="R250">
        <v>149</v>
      </c>
      <c r="S250">
        <v>124</v>
      </c>
      <c r="T250">
        <v>69</v>
      </c>
      <c r="U250">
        <v>24</v>
      </c>
      <c r="V250">
        <v>663</v>
      </c>
    </row>
    <row r="251" spans="1:22" x14ac:dyDescent="0.25">
      <c r="A251">
        <v>2025</v>
      </c>
      <c r="B251">
        <v>5</v>
      </c>
      <c r="C251" t="s">
        <v>61</v>
      </c>
      <c r="D251" t="s">
        <v>22</v>
      </c>
      <c r="E251" t="s">
        <v>144</v>
      </c>
      <c r="F251" t="s">
        <v>36</v>
      </c>
      <c r="G251" t="s">
        <v>24</v>
      </c>
      <c r="H251" t="s">
        <v>25</v>
      </c>
      <c r="I251" t="s">
        <v>26</v>
      </c>
      <c r="J251" t="s">
        <v>25</v>
      </c>
      <c r="K251">
        <v>315</v>
      </c>
      <c r="L251">
        <v>3</v>
      </c>
      <c r="M251">
        <v>1</v>
      </c>
      <c r="N251">
        <v>4</v>
      </c>
      <c r="O251">
        <v>75</v>
      </c>
      <c r="P251">
        <v>46</v>
      </c>
      <c r="Q251">
        <v>41</v>
      </c>
      <c r="R251">
        <v>32</v>
      </c>
      <c r="S251">
        <v>26</v>
      </c>
      <c r="T251">
        <v>10</v>
      </c>
      <c r="U251">
        <v>1</v>
      </c>
      <c r="V251">
        <v>311</v>
      </c>
    </row>
    <row r="252" spans="1:22" x14ac:dyDescent="0.25">
      <c r="A252">
        <v>2025</v>
      </c>
      <c r="B252">
        <v>5</v>
      </c>
      <c r="C252" t="s">
        <v>61</v>
      </c>
      <c r="D252" t="s">
        <v>22</v>
      </c>
      <c r="E252" t="s">
        <v>145</v>
      </c>
      <c r="F252" t="s">
        <v>32</v>
      </c>
      <c r="G252" t="s">
        <v>24</v>
      </c>
      <c r="H252" t="s">
        <v>25</v>
      </c>
      <c r="I252" t="s">
        <v>26</v>
      </c>
      <c r="J252" t="s">
        <v>25</v>
      </c>
      <c r="K252">
        <v>312</v>
      </c>
      <c r="L252">
        <v>4</v>
      </c>
      <c r="M252">
        <v>0</v>
      </c>
      <c r="N252">
        <v>4</v>
      </c>
      <c r="O252">
        <v>128</v>
      </c>
      <c r="P252">
        <v>96</v>
      </c>
      <c r="Q252">
        <v>79</v>
      </c>
      <c r="R252">
        <v>42</v>
      </c>
      <c r="S252">
        <v>32</v>
      </c>
      <c r="T252">
        <v>12</v>
      </c>
      <c r="U252">
        <v>5</v>
      </c>
      <c r="V252">
        <v>308</v>
      </c>
    </row>
    <row r="253" spans="1:22" x14ac:dyDescent="0.25">
      <c r="A253">
        <v>2025</v>
      </c>
      <c r="B253">
        <v>5</v>
      </c>
      <c r="C253" t="s">
        <v>61</v>
      </c>
      <c r="D253" t="s">
        <v>22</v>
      </c>
      <c r="E253" t="s">
        <v>145</v>
      </c>
      <c r="F253" t="s">
        <v>39</v>
      </c>
      <c r="G253" t="s">
        <v>24</v>
      </c>
      <c r="H253" t="s">
        <v>26</v>
      </c>
      <c r="I253" t="s">
        <v>26</v>
      </c>
      <c r="J253" t="s">
        <v>25</v>
      </c>
      <c r="K253">
        <v>1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1</v>
      </c>
    </row>
    <row r="254" spans="1:22" x14ac:dyDescent="0.25">
      <c r="A254">
        <v>2025</v>
      </c>
      <c r="B254">
        <v>5</v>
      </c>
      <c r="C254" t="s">
        <v>61</v>
      </c>
      <c r="D254" t="s">
        <v>22</v>
      </c>
      <c r="E254" t="s">
        <v>154</v>
      </c>
      <c r="F254" t="s">
        <v>32</v>
      </c>
      <c r="G254" t="s">
        <v>24</v>
      </c>
      <c r="H254" t="s">
        <v>25</v>
      </c>
      <c r="I254" t="s">
        <v>26</v>
      </c>
      <c r="J254" t="s">
        <v>25</v>
      </c>
      <c r="K254">
        <v>18</v>
      </c>
      <c r="L254">
        <v>0</v>
      </c>
      <c r="M254">
        <v>0</v>
      </c>
      <c r="N254">
        <v>0</v>
      </c>
      <c r="O254">
        <v>2</v>
      </c>
      <c r="P254">
        <v>1</v>
      </c>
      <c r="Q254">
        <v>1</v>
      </c>
      <c r="R254">
        <v>1</v>
      </c>
      <c r="S254">
        <v>0</v>
      </c>
      <c r="T254">
        <v>0</v>
      </c>
      <c r="U254">
        <v>0</v>
      </c>
      <c r="V254">
        <v>18</v>
      </c>
    </row>
    <row r="255" spans="1:22" x14ac:dyDescent="0.25">
      <c r="A255">
        <v>2025</v>
      </c>
      <c r="B255">
        <v>5</v>
      </c>
      <c r="C255" t="s">
        <v>61</v>
      </c>
      <c r="D255" t="s">
        <v>22</v>
      </c>
      <c r="E255" t="s">
        <v>147</v>
      </c>
      <c r="F255" t="s">
        <v>32</v>
      </c>
      <c r="G255" t="s">
        <v>24</v>
      </c>
      <c r="H255" t="s">
        <v>25</v>
      </c>
      <c r="I255" t="s">
        <v>26</v>
      </c>
      <c r="J255" t="s">
        <v>25</v>
      </c>
      <c r="K255">
        <v>62</v>
      </c>
      <c r="L255">
        <v>0</v>
      </c>
      <c r="M255">
        <v>0</v>
      </c>
      <c r="N255">
        <v>0</v>
      </c>
      <c r="O255">
        <v>29</v>
      </c>
      <c r="P255">
        <v>25</v>
      </c>
      <c r="Q255">
        <v>25</v>
      </c>
      <c r="R255">
        <v>20</v>
      </c>
      <c r="S255">
        <v>17</v>
      </c>
      <c r="T255">
        <v>9</v>
      </c>
      <c r="U255">
        <v>1</v>
      </c>
      <c r="V255">
        <v>62</v>
      </c>
    </row>
    <row r="256" spans="1:22" x14ac:dyDescent="0.25">
      <c r="A256">
        <v>2025</v>
      </c>
      <c r="B256">
        <v>5</v>
      </c>
      <c r="C256" t="s">
        <v>61</v>
      </c>
      <c r="D256" t="s">
        <v>22</v>
      </c>
      <c r="E256" t="s">
        <v>147</v>
      </c>
      <c r="F256" t="s">
        <v>36</v>
      </c>
      <c r="G256" t="s">
        <v>24</v>
      </c>
      <c r="H256" t="s">
        <v>25</v>
      </c>
      <c r="I256" t="s">
        <v>26</v>
      </c>
      <c r="J256" t="s">
        <v>25</v>
      </c>
      <c r="K256">
        <v>245</v>
      </c>
      <c r="L256">
        <v>0</v>
      </c>
      <c r="M256">
        <v>3</v>
      </c>
      <c r="N256">
        <v>3</v>
      </c>
      <c r="O256">
        <v>118</v>
      </c>
      <c r="P256">
        <v>101</v>
      </c>
      <c r="Q256">
        <v>92</v>
      </c>
      <c r="R256">
        <v>73</v>
      </c>
      <c r="S256">
        <v>48</v>
      </c>
      <c r="T256">
        <v>26</v>
      </c>
      <c r="U256">
        <v>13</v>
      </c>
      <c r="V256">
        <v>243</v>
      </c>
    </row>
    <row r="257" spans="1:22" x14ac:dyDescent="0.25">
      <c r="A257">
        <v>2025</v>
      </c>
      <c r="B257">
        <v>5</v>
      </c>
      <c r="C257" t="s">
        <v>61</v>
      </c>
      <c r="D257" t="s">
        <v>22</v>
      </c>
      <c r="E257" t="s">
        <v>155</v>
      </c>
      <c r="F257" t="s">
        <v>34</v>
      </c>
      <c r="G257" t="s">
        <v>24</v>
      </c>
      <c r="H257" t="s">
        <v>25</v>
      </c>
      <c r="I257" t="s">
        <v>26</v>
      </c>
      <c r="J257" t="s">
        <v>26</v>
      </c>
      <c r="K257">
        <v>62</v>
      </c>
      <c r="L257">
        <v>0</v>
      </c>
      <c r="M257">
        <v>0</v>
      </c>
      <c r="N257">
        <v>0</v>
      </c>
      <c r="O257">
        <v>13</v>
      </c>
      <c r="P257">
        <v>12</v>
      </c>
      <c r="Q257">
        <v>10</v>
      </c>
      <c r="R257">
        <v>5</v>
      </c>
      <c r="S257">
        <v>4</v>
      </c>
      <c r="T257">
        <v>2</v>
      </c>
      <c r="U257">
        <v>0</v>
      </c>
      <c r="V257">
        <v>62</v>
      </c>
    </row>
    <row r="258" spans="1:22" x14ac:dyDescent="0.25">
      <c r="A258">
        <v>2025</v>
      </c>
      <c r="B258">
        <v>5</v>
      </c>
      <c r="C258" t="s">
        <v>61</v>
      </c>
      <c r="D258" t="s">
        <v>22</v>
      </c>
      <c r="E258" t="s">
        <v>152</v>
      </c>
      <c r="F258" t="s">
        <v>31</v>
      </c>
      <c r="G258" t="s">
        <v>24</v>
      </c>
      <c r="H258" t="s">
        <v>25</v>
      </c>
      <c r="I258" t="s">
        <v>26</v>
      </c>
      <c r="J258" t="s">
        <v>25</v>
      </c>
      <c r="K258">
        <v>185</v>
      </c>
      <c r="L258">
        <v>0</v>
      </c>
      <c r="M258">
        <v>0</v>
      </c>
      <c r="N258">
        <v>0</v>
      </c>
      <c r="O258">
        <v>66</v>
      </c>
      <c r="P258">
        <v>45</v>
      </c>
      <c r="Q258">
        <v>37</v>
      </c>
      <c r="R258">
        <v>21</v>
      </c>
      <c r="S258">
        <v>15</v>
      </c>
      <c r="T258">
        <v>4</v>
      </c>
      <c r="U258">
        <v>1</v>
      </c>
      <c r="V258">
        <v>185</v>
      </c>
    </row>
    <row r="259" spans="1:22" x14ac:dyDescent="0.25">
      <c r="A259">
        <v>2025</v>
      </c>
      <c r="B259">
        <v>5</v>
      </c>
      <c r="C259" t="s">
        <v>61</v>
      </c>
      <c r="D259" t="s">
        <v>22</v>
      </c>
      <c r="E259" t="s">
        <v>152</v>
      </c>
      <c r="F259" t="s">
        <v>34</v>
      </c>
      <c r="G259" t="s">
        <v>24</v>
      </c>
      <c r="H259" t="s">
        <v>25</v>
      </c>
      <c r="I259" t="s">
        <v>26</v>
      </c>
      <c r="J259" t="s">
        <v>26</v>
      </c>
      <c r="K259">
        <v>31</v>
      </c>
      <c r="L259">
        <v>0</v>
      </c>
      <c r="M259">
        <v>0</v>
      </c>
      <c r="N259">
        <v>0</v>
      </c>
      <c r="O259">
        <v>2</v>
      </c>
      <c r="P259">
        <v>1</v>
      </c>
      <c r="Q259">
        <v>1</v>
      </c>
      <c r="R259">
        <v>1</v>
      </c>
      <c r="S259">
        <v>0</v>
      </c>
      <c r="T259">
        <v>0</v>
      </c>
      <c r="U259">
        <v>0</v>
      </c>
      <c r="V259">
        <v>31</v>
      </c>
    </row>
    <row r="260" spans="1:22" x14ac:dyDescent="0.25">
      <c r="A260">
        <v>2025</v>
      </c>
      <c r="B260">
        <v>5</v>
      </c>
      <c r="C260" t="s">
        <v>61</v>
      </c>
      <c r="D260" t="s">
        <v>22</v>
      </c>
      <c r="E260" t="s">
        <v>171</v>
      </c>
      <c r="F260" t="s">
        <v>34</v>
      </c>
      <c r="G260" t="s">
        <v>24</v>
      </c>
      <c r="H260" t="s">
        <v>25</v>
      </c>
      <c r="I260" t="s">
        <v>26</v>
      </c>
      <c r="J260" t="s">
        <v>26</v>
      </c>
      <c r="K260">
        <v>27</v>
      </c>
      <c r="L260">
        <v>0</v>
      </c>
      <c r="M260">
        <v>0</v>
      </c>
      <c r="N260">
        <v>0</v>
      </c>
      <c r="O260">
        <v>10</v>
      </c>
      <c r="P260">
        <v>7</v>
      </c>
      <c r="Q260">
        <v>6</v>
      </c>
      <c r="R260">
        <v>5</v>
      </c>
      <c r="S260">
        <v>4</v>
      </c>
      <c r="T260">
        <v>4</v>
      </c>
      <c r="U260">
        <v>1</v>
      </c>
      <c r="V260">
        <v>27</v>
      </c>
    </row>
    <row r="261" spans="1:22" x14ac:dyDescent="0.25">
      <c r="A261">
        <v>2025</v>
      </c>
      <c r="B261">
        <v>5</v>
      </c>
      <c r="C261" t="s">
        <v>61</v>
      </c>
      <c r="D261" t="s">
        <v>22</v>
      </c>
      <c r="E261" t="s">
        <v>163</v>
      </c>
      <c r="F261" t="s">
        <v>32</v>
      </c>
      <c r="G261" t="s">
        <v>24</v>
      </c>
      <c r="H261" t="s">
        <v>25</v>
      </c>
      <c r="I261" t="s">
        <v>26</v>
      </c>
      <c r="J261" t="s">
        <v>25</v>
      </c>
      <c r="K261">
        <v>279</v>
      </c>
      <c r="L261">
        <v>0</v>
      </c>
      <c r="M261">
        <v>0</v>
      </c>
      <c r="N261">
        <v>0</v>
      </c>
      <c r="O261">
        <v>104</v>
      </c>
      <c r="P261">
        <v>90</v>
      </c>
      <c r="Q261">
        <v>83</v>
      </c>
      <c r="R261">
        <v>61</v>
      </c>
      <c r="S261">
        <v>53</v>
      </c>
      <c r="T261">
        <v>16</v>
      </c>
      <c r="U261">
        <v>4</v>
      </c>
      <c r="V261">
        <v>279</v>
      </c>
    </row>
    <row r="262" spans="1:22" x14ac:dyDescent="0.25">
      <c r="A262">
        <v>2025</v>
      </c>
      <c r="B262">
        <v>5</v>
      </c>
      <c r="C262" t="s">
        <v>61</v>
      </c>
      <c r="D262" t="s">
        <v>22</v>
      </c>
      <c r="E262" t="s">
        <v>163</v>
      </c>
      <c r="F262" t="s">
        <v>34</v>
      </c>
      <c r="G262" t="s">
        <v>24</v>
      </c>
      <c r="H262" t="s">
        <v>25</v>
      </c>
      <c r="I262" t="s">
        <v>26</v>
      </c>
      <c r="J262" t="s">
        <v>26</v>
      </c>
      <c r="K262">
        <v>57</v>
      </c>
      <c r="L262">
        <v>0</v>
      </c>
      <c r="M262">
        <v>0</v>
      </c>
      <c r="N262">
        <v>0</v>
      </c>
      <c r="O262">
        <v>8</v>
      </c>
      <c r="P262">
        <v>8</v>
      </c>
      <c r="Q262">
        <v>7</v>
      </c>
      <c r="R262">
        <v>6</v>
      </c>
      <c r="S262">
        <v>6</v>
      </c>
      <c r="T262">
        <v>5</v>
      </c>
      <c r="U262">
        <v>3</v>
      </c>
      <c r="V262">
        <v>57</v>
      </c>
    </row>
    <row r="263" spans="1:22" x14ac:dyDescent="0.25">
      <c r="A263">
        <v>2025</v>
      </c>
      <c r="B263">
        <v>5</v>
      </c>
      <c r="C263" t="s">
        <v>61</v>
      </c>
      <c r="D263" t="s">
        <v>22</v>
      </c>
      <c r="E263" t="s">
        <v>163</v>
      </c>
      <c r="F263" t="s">
        <v>23</v>
      </c>
      <c r="G263" t="s">
        <v>24</v>
      </c>
      <c r="H263" t="s">
        <v>25</v>
      </c>
      <c r="I263" t="s">
        <v>26</v>
      </c>
      <c r="J263" t="s">
        <v>25</v>
      </c>
      <c r="K263">
        <v>83</v>
      </c>
      <c r="L263">
        <v>0</v>
      </c>
      <c r="M263">
        <v>0</v>
      </c>
      <c r="N263">
        <v>0</v>
      </c>
      <c r="O263">
        <v>4</v>
      </c>
      <c r="P263">
        <v>3</v>
      </c>
      <c r="Q263">
        <v>2</v>
      </c>
      <c r="R263">
        <v>2</v>
      </c>
      <c r="S263">
        <v>1</v>
      </c>
      <c r="T263">
        <v>1</v>
      </c>
      <c r="U263">
        <v>0</v>
      </c>
      <c r="V263">
        <v>83</v>
      </c>
    </row>
    <row r="264" spans="1:22" x14ac:dyDescent="0.25">
      <c r="A264">
        <v>2025</v>
      </c>
      <c r="B264">
        <v>5</v>
      </c>
      <c r="C264" t="s">
        <v>61</v>
      </c>
      <c r="D264" t="s">
        <v>22</v>
      </c>
      <c r="E264" t="s">
        <v>164</v>
      </c>
      <c r="F264" t="s">
        <v>23</v>
      </c>
      <c r="G264" t="s">
        <v>24</v>
      </c>
      <c r="H264" t="s">
        <v>25</v>
      </c>
      <c r="I264" t="s">
        <v>26</v>
      </c>
      <c r="J264" t="s">
        <v>25</v>
      </c>
      <c r="K264">
        <v>62</v>
      </c>
      <c r="L264">
        <v>0</v>
      </c>
      <c r="M264">
        <v>0</v>
      </c>
      <c r="N264">
        <v>0</v>
      </c>
      <c r="O264">
        <v>11</v>
      </c>
      <c r="P264">
        <v>8</v>
      </c>
      <c r="Q264">
        <v>7</v>
      </c>
      <c r="R264">
        <v>5</v>
      </c>
      <c r="S264">
        <v>2</v>
      </c>
      <c r="T264">
        <v>1</v>
      </c>
      <c r="U264">
        <v>1</v>
      </c>
      <c r="V264">
        <v>62</v>
      </c>
    </row>
    <row r="265" spans="1:22" x14ac:dyDescent="0.25">
      <c r="A265">
        <v>2025</v>
      </c>
      <c r="B265">
        <v>5</v>
      </c>
      <c r="C265" t="s">
        <v>61</v>
      </c>
      <c r="D265" t="s">
        <v>22</v>
      </c>
      <c r="E265" t="s">
        <v>165</v>
      </c>
      <c r="F265" t="s">
        <v>31</v>
      </c>
      <c r="G265" t="s">
        <v>24</v>
      </c>
      <c r="H265" t="s">
        <v>25</v>
      </c>
      <c r="I265" t="s">
        <v>26</v>
      </c>
      <c r="J265" t="s">
        <v>25</v>
      </c>
      <c r="K265">
        <v>31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31</v>
      </c>
    </row>
    <row r="266" spans="1:22" x14ac:dyDescent="0.25">
      <c r="A266">
        <v>2025</v>
      </c>
      <c r="B266">
        <v>5</v>
      </c>
      <c r="C266" t="s">
        <v>61</v>
      </c>
      <c r="D266" t="s">
        <v>22</v>
      </c>
      <c r="E266" t="s">
        <v>61</v>
      </c>
      <c r="F266" t="s">
        <v>31</v>
      </c>
      <c r="G266" t="s">
        <v>28</v>
      </c>
      <c r="H266" t="s">
        <v>25</v>
      </c>
      <c r="I266" t="s">
        <v>26</v>
      </c>
      <c r="J266" t="s">
        <v>25</v>
      </c>
      <c r="K266">
        <v>1021</v>
      </c>
      <c r="L266">
        <v>59</v>
      </c>
      <c r="M266">
        <v>35</v>
      </c>
      <c r="N266">
        <v>94</v>
      </c>
      <c r="O266">
        <v>156</v>
      </c>
      <c r="P266">
        <v>87</v>
      </c>
      <c r="Q266">
        <v>64</v>
      </c>
      <c r="R266">
        <v>37</v>
      </c>
      <c r="S266">
        <v>25</v>
      </c>
      <c r="T266">
        <v>15</v>
      </c>
      <c r="U266">
        <v>6</v>
      </c>
      <c r="V266">
        <v>944</v>
      </c>
    </row>
    <row r="267" spans="1:22" x14ac:dyDescent="0.25">
      <c r="A267">
        <v>2025</v>
      </c>
      <c r="B267">
        <v>5</v>
      </c>
      <c r="C267" t="s">
        <v>61</v>
      </c>
      <c r="D267" t="s">
        <v>22</v>
      </c>
      <c r="E267" t="s">
        <v>61</v>
      </c>
      <c r="F267" t="s">
        <v>32</v>
      </c>
      <c r="G267" t="s">
        <v>28</v>
      </c>
      <c r="H267" t="s">
        <v>25</v>
      </c>
      <c r="I267" t="s">
        <v>26</v>
      </c>
      <c r="J267" t="s">
        <v>25</v>
      </c>
      <c r="K267">
        <v>38</v>
      </c>
      <c r="L267">
        <v>0</v>
      </c>
      <c r="M267">
        <v>0</v>
      </c>
      <c r="N267">
        <v>0</v>
      </c>
      <c r="O267">
        <v>23</v>
      </c>
      <c r="P267">
        <v>20</v>
      </c>
      <c r="Q267">
        <v>19</v>
      </c>
      <c r="R267">
        <v>16</v>
      </c>
      <c r="S267">
        <v>11</v>
      </c>
      <c r="T267">
        <v>5</v>
      </c>
      <c r="U267">
        <v>0</v>
      </c>
      <c r="V267">
        <v>38</v>
      </c>
    </row>
    <row r="268" spans="1:22" x14ac:dyDescent="0.25">
      <c r="A268">
        <v>2025</v>
      </c>
      <c r="B268">
        <v>5</v>
      </c>
      <c r="C268" t="s">
        <v>61</v>
      </c>
      <c r="D268" t="s">
        <v>22</v>
      </c>
      <c r="E268" t="s">
        <v>61</v>
      </c>
      <c r="F268" t="s">
        <v>34</v>
      </c>
      <c r="G268" t="s">
        <v>24</v>
      </c>
      <c r="H268" t="s">
        <v>25</v>
      </c>
      <c r="I268" t="s">
        <v>26</v>
      </c>
      <c r="J268" t="s">
        <v>26</v>
      </c>
      <c r="K268">
        <v>5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5</v>
      </c>
    </row>
    <row r="269" spans="1:22" x14ac:dyDescent="0.25">
      <c r="A269">
        <v>2025</v>
      </c>
      <c r="B269">
        <v>5</v>
      </c>
      <c r="C269" t="s">
        <v>61</v>
      </c>
      <c r="D269" t="s">
        <v>22</v>
      </c>
      <c r="E269" t="s">
        <v>61</v>
      </c>
      <c r="F269" t="s">
        <v>23</v>
      </c>
      <c r="G269" t="s">
        <v>28</v>
      </c>
      <c r="H269" t="s">
        <v>25</v>
      </c>
      <c r="I269" t="s">
        <v>26</v>
      </c>
      <c r="J269" t="s">
        <v>25</v>
      </c>
      <c r="K269">
        <v>1795</v>
      </c>
      <c r="L269">
        <v>1</v>
      </c>
      <c r="M269">
        <v>10</v>
      </c>
      <c r="N269">
        <v>11</v>
      </c>
      <c r="O269">
        <v>266</v>
      </c>
      <c r="P269">
        <v>180</v>
      </c>
      <c r="Q269">
        <v>162</v>
      </c>
      <c r="R269">
        <v>103</v>
      </c>
      <c r="S269">
        <v>67</v>
      </c>
      <c r="T269">
        <v>26</v>
      </c>
      <c r="U269">
        <v>5</v>
      </c>
      <c r="V269">
        <v>1787</v>
      </c>
    </row>
    <row r="270" spans="1:22" x14ac:dyDescent="0.25">
      <c r="A270">
        <v>2025</v>
      </c>
      <c r="B270">
        <v>5</v>
      </c>
      <c r="C270" t="s">
        <v>61</v>
      </c>
      <c r="D270" t="s">
        <v>22</v>
      </c>
      <c r="E270" t="s">
        <v>61</v>
      </c>
      <c r="F270" t="s">
        <v>39</v>
      </c>
      <c r="G270" t="s">
        <v>28</v>
      </c>
      <c r="H270" t="s">
        <v>26</v>
      </c>
      <c r="I270" t="s">
        <v>26</v>
      </c>
      <c r="J270" t="s">
        <v>25</v>
      </c>
      <c r="K270">
        <v>31</v>
      </c>
      <c r="L270">
        <v>0</v>
      </c>
      <c r="M270">
        <v>4</v>
      </c>
      <c r="N270">
        <v>4</v>
      </c>
      <c r="O270">
        <v>6</v>
      </c>
      <c r="P270">
        <v>4</v>
      </c>
      <c r="Q270">
        <v>3</v>
      </c>
      <c r="R270">
        <v>2</v>
      </c>
      <c r="S270">
        <v>1</v>
      </c>
      <c r="T270">
        <v>0</v>
      </c>
      <c r="U270">
        <v>0</v>
      </c>
      <c r="V270">
        <v>31</v>
      </c>
    </row>
    <row r="271" spans="1:22" x14ac:dyDescent="0.25">
      <c r="A271">
        <v>2025</v>
      </c>
      <c r="B271">
        <v>5</v>
      </c>
      <c r="C271" t="s">
        <v>61</v>
      </c>
      <c r="D271" t="s">
        <v>22</v>
      </c>
      <c r="E271" t="s">
        <v>61</v>
      </c>
      <c r="F271" t="s">
        <v>35</v>
      </c>
      <c r="G271" t="s">
        <v>28</v>
      </c>
      <c r="H271" t="s">
        <v>25</v>
      </c>
      <c r="I271" t="s">
        <v>26</v>
      </c>
      <c r="J271" t="s">
        <v>26</v>
      </c>
      <c r="K271">
        <v>64</v>
      </c>
      <c r="L271">
        <v>0</v>
      </c>
      <c r="M271">
        <v>1</v>
      </c>
      <c r="N271">
        <v>1</v>
      </c>
      <c r="O271">
        <v>17</v>
      </c>
      <c r="P271">
        <v>10</v>
      </c>
      <c r="Q271">
        <v>6</v>
      </c>
      <c r="R271">
        <v>5</v>
      </c>
      <c r="S271">
        <v>3</v>
      </c>
      <c r="T271">
        <v>2</v>
      </c>
      <c r="U271">
        <v>0</v>
      </c>
      <c r="V271">
        <v>63</v>
      </c>
    </row>
    <row r="272" spans="1:22" x14ac:dyDescent="0.25">
      <c r="A272">
        <v>2025</v>
      </c>
      <c r="B272">
        <v>5</v>
      </c>
      <c r="C272" t="s">
        <v>61</v>
      </c>
      <c r="D272" t="s">
        <v>22</v>
      </c>
      <c r="E272" t="s">
        <v>61</v>
      </c>
      <c r="F272" t="s">
        <v>35</v>
      </c>
      <c r="G272" t="s">
        <v>24</v>
      </c>
      <c r="H272" t="s">
        <v>25</v>
      </c>
      <c r="I272" t="s">
        <v>26</v>
      </c>
      <c r="J272" t="s">
        <v>26</v>
      </c>
      <c r="K272">
        <v>663</v>
      </c>
      <c r="L272">
        <v>3</v>
      </c>
      <c r="M272">
        <v>0</v>
      </c>
      <c r="N272">
        <v>3</v>
      </c>
      <c r="O272">
        <v>192</v>
      </c>
      <c r="P272">
        <v>151</v>
      </c>
      <c r="Q272">
        <v>137</v>
      </c>
      <c r="R272">
        <v>115</v>
      </c>
      <c r="S272">
        <v>90</v>
      </c>
      <c r="T272">
        <v>65</v>
      </c>
      <c r="U272">
        <v>34</v>
      </c>
      <c r="V272">
        <v>660</v>
      </c>
    </row>
    <row r="273" spans="1:22" x14ac:dyDescent="0.25">
      <c r="A273">
        <v>2025</v>
      </c>
      <c r="B273">
        <v>5</v>
      </c>
      <c r="C273" t="s">
        <v>61</v>
      </c>
      <c r="D273" t="s">
        <v>22</v>
      </c>
      <c r="E273" t="s">
        <v>61</v>
      </c>
      <c r="F273" t="s">
        <v>36</v>
      </c>
      <c r="G273" t="s">
        <v>28</v>
      </c>
      <c r="H273" t="s">
        <v>25</v>
      </c>
      <c r="I273" t="s">
        <v>26</v>
      </c>
      <c r="J273" t="s">
        <v>25</v>
      </c>
      <c r="K273">
        <v>1822</v>
      </c>
      <c r="L273">
        <v>19</v>
      </c>
      <c r="M273">
        <v>332</v>
      </c>
      <c r="N273">
        <v>351</v>
      </c>
      <c r="O273">
        <v>212</v>
      </c>
      <c r="P273">
        <v>126</v>
      </c>
      <c r="Q273">
        <v>102</v>
      </c>
      <c r="R273">
        <v>46</v>
      </c>
      <c r="S273">
        <v>24</v>
      </c>
      <c r="T273">
        <v>3</v>
      </c>
      <c r="U273">
        <v>1</v>
      </c>
      <c r="V273">
        <v>1638</v>
      </c>
    </row>
    <row r="274" spans="1:22" x14ac:dyDescent="0.25">
      <c r="A274">
        <v>2025</v>
      </c>
      <c r="B274">
        <v>5</v>
      </c>
      <c r="C274" t="s">
        <v>61</v>
      </c>
      <c r="D274" t="s">
        <v>22</v>
      </c>
      <c r="E274" t="s">
        <v>61</v>
      </c>
      <c r="F274" t="s">
        <v>36</v>
      </c>
      <c r="G274" t="s">
        <v>24</v>
      </c>
      <c r="H274" t="s">
        <v>25</v>
      </c>
      <c r="I274" t="s">
        <v>26</v>
      </c>
      <c r="J274" t="s">
        <v>25</v>
      </c>
      <c r="K274">
        <v>344</v>
      </c>
      <c r="L274">
        <v>0</v>
      </c>
      <c r="M274">
        <v>0</v>
      </c>
      <c r="N274">
        <v>0</v>
      </c>
      <c r="O274">
        <v>93</v>
      </c>
      <c r="P274">
        <v>70</v>
      </c>
      <c r="Q274">
        <v>57</v>
      </c>
      <c r="R274">
        <v>35</v>
      </c>
      <c r="S274">
        <v>23</v>
      </c>
      <c r="T274">
        <v>10</v>
      </c>
      <c r="U274">
        <v>1</v>
      </c>
      <c r="V274">
        <v>344</v>
      </c>
    </row>
    <row r="275" spans="1:22" x14ac:dyDescent="0.25">
      <c r="A275">
        <v>2025</v>
      </c>
      <c r="B275">
        <v>5</v>
      </c>
      <c r="C275" t="s">
        <v>61</v>
      </c>
      <c r="D275" t="s">
        <v>22</v>
      </c>
      <c r="E275" t="s">
        <v>61</v>
      </c>
      <c r="F275" t="s">
        <v>41</v>
      </c>
      <c r="G275" t="s">
        <v>28</v>
      </c>
      <c r="H275" t="s">
        <v>26</v>
      </c>
      <c r="I275" t="s">
        <v>26</v>
      </c>
      <c r="J275" t="s">
        <v>25</v>
      </c>
      <c r="K275">
        <v>925</v>
      </c>
      <c r="L275">
        <v>2</v>
      </c>
      <c r="M275">
        <v>156</v>
      </c>
      <c r="N275">
        <v>158</v>
      </c>
      <c r="O275">
        <v>244</v>
      </c>
      <c r="P275">
        <v>180</v>
      </c>
      <c r="Q275">
        <v>154</v>
      </c>
      <c r="R275">
        <v>102</v>
      </c>
      <c r="S275">
        <v>78</v>
      </c>
      <c r="T275">
        <v>24</v>
      </c>
      <c r="U275">
        <v>10</v>
      </c>
      <c r="V275">
        <v>856</v>
      </c>
    </row>
    <row r="276" spans="1:22" x14ac:dyDescent="0.25">
      <c r="A276">
        <v>2025</v>
      </c>
      <c r="B276">
        <v>5</v>
      </c>
      <c r="C276" t="s">
        <v>61</v>
      </c>
      <c r="D276" t="s">
        <v>22</v>
      </c>
      <c r="E276" t="s">
        <v>61</v>
      </c>
      <c r="F276" t="s">
        <v>41</v>
      </c>
      <c r="G276" t="s">
        <v>24</v>
      </c>
      <c r="H276" t="s">
        <v>26</v>
      </c>
      <c r="I276" t="s">
        <v>26</v>
      </c>
      <c r="J276" t="s">
        <v>25</v>
      </c>
      <c r="K276">
        <v>922</v>
      </c>
      <c r="L276">
        <v>0</v>
      </c>
      <c r="M276">
        <v>61</v>
      </c>
      <c r="N276">
        <v>61</v>
      </c>
      <c r="O276">
        <v>263</v>
      </c>
      <c r="P276">
        <v>202</v>
      </c>
      <c r="Q276">
        <v>181</v>
      </c>
      <c r="R276">
        <v>128</v>
      </c>
      <c r="S276">
        <v>101</v>
      </c>
      <c r="T276">
        <v>34</v>
      </c>
      <c r="U276">
        <v>10</v>
      </c>
      <c r="V276">
        <v>902</v>
      </c>
    </row>
    <row r="277" spans="1:22" x14ac:dyDescent="0.25">
      <c r="A277">
        <v>2025</v>
      </c>
      <c r="B277">
        <v>5</v>
      </c>
      <c r="C277" t="s">
        <v>61</v>
      </c>
      <c r="D277" t="s">
        <v>22</v>
      </c>
      <c r="E277" t="s">
        <v>166</v>
      </c>
      <c r="F277" t="s">
        <v>32</v>
      </c>
      <c r="G277" t="s">
        <v>24</v>
      </c>
      <c r="H277" t="s">
        <v>25</v>
      </c>
      <c r="I277" t="s">
        <v>26</v>
      </c>
      <c r="J277" t="s">
        <v>25</v>
      </c>
      <c r="K277">
        <v>257</v>
      </c>
      <c r="L277">
        <v>5</v>
      </c>
      <c r="M277">
        <v>0</v>
      </c>
      <c r="N277">
        <v>5</v>
      </c>
      <c r="O277">
        <v>190</v>
      </c>
      <c r="P277">
        <v>174</v>
      </c>
      <c r="Q277">
        <v>168</v>
      </c>
      <c r="R277">
        <v>134</v>
      </c>
      <c r="S277">
        <v>97</v>
      </c>
      <c r="T277">
        <v>16</v>
      </c>
      <c r="U277">
        <v>9</v>
      </c>
      <c r="V277">
        <v>252</v>
      </c>
    </row>
    <row r="278" spans="1:22" x14ac:dyDescent="0.25">
      <c r="A278">
        <v>2025</v>
      </c>
      <c r="B278">
        <v>5</v>
      </c>
      <c r="C278" t="s">
        <v>61</v>
      </c>
      <c r="D278" t="s">
        <v>22</v>
      </c>
      <c r="E278" t="s">
        <v>168</v>
      </c>
      <c r="F278" t="s">
        <v>31</v>
      </c>
      <c r="G278" t="s">
        <v>24</v>
      </c>
      <c r="H278" t="s">
        <v>25</v>
      </c>
      <c r="I278" t="s">
        <v>26</v>
      </c>
      <c r="J278" t="s">
        <v>25</v>
      </c>
      <c r="K278">
        <v>587</v>
      </c>
      <c r="L278">
        <v>0</v>
      </c>
      <c r="M278">
        <v>4</v>
      </c>
      <c r="N278">
        <v>4</v>
      </c>
      <c r="O278">
        <v>72</v>
      </c>
      <c r="P278">
        <v>32</v>
      </c>
      <c r="Q278">
        <v>29</v>
      </c>
      <c r="R278">
        <v>16</v>
      </c>
      <c r="S278">
        <v>8</v>
      </c>
      <c r="T278">
        <v>4</v>
      </c>
      <c r="U278">
        <v>0</v>
      </c>
      <c r="V278">
        <v>586</v>
      </c>
    </row>
    <row r="279" spans="1:22" x14ac:dyDescent="0.25">
      <c r="A279">
        <v>2025</v>
      </c>
      <c r="B279">
        <v>5</v>
      </c>
      <c r="C279" t="s">
        <v>61</v>
      </c>
      <c r="D279" t="s">
        <v>22</v>
      </c>
      <c r="E279" t="s">
        <v>169</v>
      </c>
      <c r="F279" t="s">
        <v>32</v>
      </c>
      <c r="G279" t="s">
        <v>24</v>
      </c>
      <c r="H279" t="s">
        <v>25</v>
      </c>
      <c r="I279" t="s">
        <v>26</v>
      </c>
      <c r="J279" t="s">
        <v>25</v>
      </c>
      <c r="K279">
        <v>20</v>
      </c>
      <c r="L279">
        <v>0</v>
      </c>
      <c r="M279">
        <v>0</v>
      </c>
      <c r="N279">
        <v>0</v>
      </c>
      <c r="O279">
        <v>17</v>
      </c>
      <c r="P279">
        <v>16</v>
      </c>
      <c r="Q279">
        <v>16</v>
      </c>
      <c r="R279">
        <v>13</v>
      </c>
      <c r="S279">
        <v>12</v>
      </c>
      <c r="T279">
        <v>5</v>
      </c>
      <c r="U279">
        <v>2</v>
      </c>
      <c r="V279">
        <v>20</v>
      </c>
    </row>
    <row r="280" spans="1:22" x14ac:dyDescent="0.25">
      <c r="A280">
        <v>2025</v>
      </c>
      <c r="B280">
        <v>5</v>
      </c>
      <c r="C280" t="s">
        <v>61</v>
      </c>
      <c r="D280" t="s">
        <v>22</v>
      </c>
      <c r="E280" t="s">
        <v>157</v>
      </c>
      <c r="F280" t="s">
        <v>31</v>
      </c>
      <c r="G280" t="s">
        <v>24</v>
      </c>
      <c r="H280" t="s">
        <v>25</v>
      </c>
      <c r="I280" t="s">
        <v>26</v>
      </c>
      <c r="J280" t="s">
        <v>25</v>
      </c>
      <c r="K280">
        <v>124</v>
      </c>
      <c r="L280">
        <v>0</v>
      </c>
      <c r="M280">
        <v>0</v>
      </c>
      <c r="N280">
        <v>0</v>
      </c>
      <c r="O280">
        <v>73</v>
      </c>
      <c r="P280">
        <v>64</v>
      </c>
      <c r="Q280">
        <v>58</v>
      </c>
      <c r="R280">
        <v>42</v>
      </c>
      <c r="S280">
        <v>28</v>
      </c>
      <c r="T280">
        <v>11</v>
      </c>
      <c r="U280">
        <v>3</v>
      </c>
      <c r="V280">
        <v>124</v>
      </c>
    </row>
    <row r="281" spans="1:22" x14ac:dyDescent="0.25">
      <c r="A281">
        <v>2025</v>
      </c>
      <c r="B281">
        <v>5</v>
      </c>
      <c r="C281" t="s">
        <v>61</v>
      </c>
      <c r="D281" t="s">
        <v>22</v>
      </c>
      <c r="E281" t="s">
        <v>157</v>
      </c>
      <c r="F281" t="s">
        <v>35</v>
      </c>
      <c r="G281" t="s">
        <v>24</v>
      </c>
      <c r="H281" t="s">
        <v>25</v>
      </c>
      <c r="I281" t="s">
        <v>26</v>
      </c>
      <c r="J281" t="s">
        <v>26</v>
      </c>
      <c r="K281">
        <v>29</v>
      </c>
      <c r="L281">
        <v>0</v>
      </c>
      <c r="M281">
        <v>0</v>
      </c>
      <c r="N281">
        <v>0</v>
      </c>
      <c r="O281">
        <v>16</v>
      </c>
      <c r="P281">
        <v>12</v>
      </c>
      <c r="Q281">
        <v>11</v>
      </c>
      <c r="R281">
        <v>9</v>
      </c>
      <c r="S281">
        <v>5</v>
      </c>
      <c r="T281">
        <v>4</v>
      </c>
      <c r="U281">
        <v>2</v>
      </c>
      <c r="V281">
        <v>29</v>
      </c>
    </row>
    <row r="282" spans="1:22" x14ac:dyDescent="0.25">
      <c r="A282">
        <v>2025</v>
      </c>
      <c r="B282">
        <v>5</v>
      </c>
      <c r="C282" t="s">
        <v>61</v>
      </c>
      <c r="D282" t="s">
        <v>22</v>
      </c>
      <c r="E282" t="s">
        <v>157</v>
      </c>
      <c r="F282" t="s">
        <v>41</v>
      </c>
      <c r="G282" t="s">
        <v>24</v>
      </c>
      <c r="H282" t="s">
        <v>26</v>
      </c>
      <c r="I282" t="s">
        <v>26</v>
      </c>
      <c r="J282" t="s">
        <v>25</v>
      </c>
      <c r="K282">
        <v>59</v>
      </c>
      <c r="L282">
        <v>0</v>
      </c>
      <c r="M282">
        <v>0</v>
      </c>
      <c r="N282">
        <v>0</v>
      </c>
      <c r="O282">
        <v>22</v>
      </c>
      <c r="P282">
        <v>17</v>
      </c>
      <c r="Q282">
        <v>16</v>
      </c>
      <c r="R282">
        <v>12</v>
      </c>
      <c r="S282">
        <v>10</v>
      </c>
      <c r="T282">
        <v>2</v>
      </c>
      <c r="U282">
        <v>1</v>
      </c>
      <c r="V282">
        <v>59</v>
      </c>
    </row>
    <row r="283" spans="1:22" x14ac:dyDescent="0.25">
      <c r="A283">
        <v>2025</v>
      </c>
      <c r="B283">
        <v>6</v>
      </c>
      <c r="C283" t="s">
        <v>61</v>
      </c>
      <c r="D283" t="s">
        <v>22</v>
      </c>
      <c r="E283" t="s">
        <v>159</v>
      </c>
      <c r="F283" t="s">
        <v>31</v>
      </c>
      <c r="G283" t="s">
        <v>24</v>
      </c>
      <c r="H283" t="s">
        <v>25</v>
      </c>
      <c r="I283" t="s">
        <v>26</v>
      </c>
      <c r="J283" t="s">
        <v>25</v>
      </c>
      <c r="K283">
        <v>30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30</v>
      </c>
    </row>
    <row r="284" spans="1:22" x14ac:dyDescent="0.25">
      <c r="A284">
        <v>2025</v>
      </c>
      <c r="B284">
        <v>6</v>
      </c>
      <c r="C284" t="s">
        <v>61</v>
      </c>
      <c r="D284" t="s">
        <v>22</v>
      </c>
      <c r="E284" t="s">
        <v>129</v>
      </c>
      <c r="F284" t="s">
        <v>36</v>
      </c>
      <c r="G284" t="s">
        <v>24</v>
      </c>
      <c r="H284" t="s">
        <v>25</v>
      </c>
      <c r="I284" t="s">
        <v>26</v>
      </c>
      <c r="J284" t="s">
        <v>25</v>
      </c>
      <c r="K284">
        <v>57</v>
      </c>
      <c r="L284">
        <v>0</v>
      </c>
      <c r="M284">
        <v>1</v>
      </c>
      <c r="N284">
        <v>1</v>
      </c>
      <c r="O284">
        <v>17</v>
      </c>
      <c r="P284">
        <v>11</v>
      </c>
      <c r="Q284">
        <v>11</v>
      </c>
      <c r="R284">
        <v>9</v>
      </c>
      <c r="S284">
        <v>7</v>
      </c>
      <c r="T284">
        <v>3</v>
      </c>
      <c r="U284">
        <v>2</v>
      </c>
      <c r="V284">
        <v>57</v>
      </c>
    </row>
    <row r="285" spans="1:22" x14ac:dyDescent="0.25">
      <c r="A285">
        <v>2025</v>
      </c>
      <c r="B285">
        <v>6</v>
      </c>
      <c r="C285" t="s">
        <v>61</v>
      </c>
      <c r="D285" t="s">
        <v>22</v>
      </c>
      <c r="E285" t="s">
        <v>131</v>
      </c>
      <c r="F285" t="s">
        <v>34</v>
      </c>
      <c r="G285" t="s">
        <v>24</v>
      </c>
      <c r="H285" t="s">
        <v>25</v>
      </c>
      <c r="I285" t="s">
        <v>26</v>
      </c>
      <c r="J285" t="s">
        <v>26</v>
      </c>
      <c r="K285">
        <v>60</v>
      </c>
      <c r="L285">
        <v>0</v>
      </c>
      <c r="M285">
        <v>0</v>
      </c>
      <c r="N285">
        <v>0</v>
      </c>
      <c r="O285">
        <v>25</v>
      </c>
      <c r="P285">
        <v>20</v>
      </c>
      <c r="Q285">
        <v>17</v>
      </c>
      <c r="R285">
        <v>15</v>
      </c>
      <c r="S285">
        <v>10</v>
      </c>
      <c r="T285">
        <v>5</v>
      </c>
      <c r="U285">
        <v>3</v>
      </c>
      <c r="V285">
        <v>60</v>
      </c>
    </row>
    <row r="286" spans="1:22" x14ac:dyDescent="0.25">
      <c r="A286">
        <v>2025</v>
      </c>
      <c r="B286">
        <v>6</v>
      </c>
      <c r="C286" t="s">
        <v>61</v>
      </c>
      <c r="D286" t="s">
        <v>22</v>
      </c>
      <c r="E286" t="s">
        <v>160</v>
      </c>
      <c r="F286" t="s">
        <v>23</v>
      </c>
      <c r="G286" t="s">
        <v>24</v>
      </c>
      <c r="H286" t="s">
        <v>25</v>
      </c>
      <c r="I286" t="s">
        <v>26</v>
      </c>
      <c r="J286" t="s">
        <v>25</v>
      </c>
      <c r="K286">
        <v>180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180</v>
      </c>
    </row>
    <row r="287" spans="1:22" x14ac:dyDescent="0.25">
      <c r="A287">
        <v>2025</v>
      </c>
      <c r="B287">
        <v>6</v>
      </c>
      <c r="C287" t="s">
        <v>61</v>
      </c>
      <c r="D287" t="s">
        <v>22</v>
      </c>
      <c r="E287" t="s">
        <v>161</v>
      </c>
      <c r="F287" t="s">
        <v>32</v>
      </c>
      <c r="G287" t="s">
        <v>24</v>
      </c>
      <c r="H287" t="s">
        <v>25</v>
      </c>
      <c r="I287" t="s">
        <v>26</v>
      </c>
      <c r="J287" t="s">
        <v>25</v>
      </c>
      <c r="K287">
        <v>231</v>
      </c>
      <c r="L287">
        <v>0</v>
      </c>
      <c r="M287">
        <v>0</v>
      </c>
      <c r="N287">
        <v>0</v>
      </c>
      <c r="O287">
        <v>43</v>
      </c>
      <c r="P287">
        <v>34</v>
      </c>
      <c r="Q287">
        <v>32</v>
      </c>
      <c r="R287">
        <v>27</v>
      </c>
      <c r="S287">
        <v>20</v>
      </c>
      <c r="T287">
        <v>10</v>
      </c>
      <c r="U287">
        <v>2</v>
      </c>
      <c r="V287">
        <v>231</v>
      </c>
    </row>
    <row r="288" spans="1:22" x14ac:dyDescent="0.25">
      <c r="A288">
        <v>2025</v>
      </c>
      <c r="B288">
        <v>6</v>
      </c>
      <c r="C288" t="s">
        <v>61</v>
      </c>
      <c r="D288" t="s">
        <v>22</v>
      </c>
      <c r="E288" t="s">
        <v>161</v>
      </c>
      <c r="F288" t="s">
        <v>23</v>
      </c>
      <c r="G288" t="s">
        <v>24</v>
      </c>
      <c r="H288" t="s">
        <v>25</v>
      </c>
      <c r="I288" t="s">
        <v>26</v>
      </c>
      <c r="J288" t="s">
        <v>25</v>
      </c>
      <c r="K288">
        <v>30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30</v>
      </c>
    </row>
    <row r="289" spans="1:22" x14ac:dyDescent="0.25">
      <c r="A289">
        <v>2025</v>
      </c>
      <c r="B289">
        <v>6</v>
      </c>
      <c r="C289" t="s">
        <v>61</v>
      </c>
      <c r="D289" t="s">
        <v>22</v>
      </c>
      <c r="E289" t="s">
        <v>161</v>
      </c>
      <c r="F289" t="s">
        <v>36</v>
      </c>
      <c r="G289" t="s">
        <v>24</v>
      </c>
      <c r="H289" t="s">
        <v>25</v>
      </c>
      <c r="I289" t="s">
        <v>26</v>
      </c>
      <c r="J289" t="s">
        <v>25</v>
      </c>
      <c r="K289">
        <v>393</v>
      </c>
      <c r="L289">
        <v>0</v>
      </c>
      <c r="M289">
        <v>0</v>
      </c>
      <c r="N289">
        <v>0</v>
      </c>
      <c r="O289">
        <v>116</v>
      </c>
      <c r="P289">
        <v>87</v>
      </c>
      <c r="Q289">
        <v>74</v>
      </c>
      <c r="R289">
        <v>54</v>
      </c>
      <c r="S289">
        <v>45</v>
      </c>
      <c r="T289">
        <v>23</v>
      </c>
      <c r="U289">
        <v>9</v>
      </c>
      <c r="V289">
        <v>393</v>
      </c>
    </row>
    <row r="290" spans="1:22" x14ac:dyDescent="0.25">
      <c r="A290">
        <v>2025</v>
      </c>
      <c r="B290">
        <v>6</v>
      </c>
      <c r="C290" t="s">
        <v>61</v>
      </c>
      <c r="D290" t="s">
        <v>22</v>
      </c>
      <c r="E290" t="s">
        <v>162</v>
      </c>
      <c r="F290" t="s">
        <v>32</v>
      </c>
      <c r="G290" t="s">
        <v>24</v>
      </c>
      <c r="H290" t="s">
        <v>25</v>
      </c>
      <c r="I290" t="s">
        <v>26</v>
      </c>
      <c r="J290" t="s">
        <v>25</v>
      </c>
      <c r="K290">
        <v>185</v>
      </c>
      <c r="L290">
        <v>0</v>
      </c>
      <c r="M290">
        <v>0</v>
      </c>
      <c r="N290">
        <v>0</v>
      </c>
      <c r="O290">
        <v>139</v>
      </c>
      <c r="P290">
        <v>116</v>
      </c>
      <c r="Q290">
        <v>107</v>
      </c>
      <c r="R290">
        <v>83</v>
      </c>
      <c r="S290">
        <v>67</v>
      </c>
      <c r="T290">
        <v>18</v>
      </c>
      <c r="U290">
        <v>5</v>
      </c>
      <c r="V290">
        <v>185</v>
      </c>
    </row>
    <row r="291" spans="1:22" x14ac:dyDescent="0.25">
      <c r="A291">
        <v>2025</v>
      </c>
      <c r="B291">
        <v>6</v>
      </c>
      <c r="C291" t="s">
        <v>61</v>
      </c>
      <c r="D291" t="s">
        <v>22</v>
      </c>
      <c r="E291" t="s">
        <v>138</v>
      </c>
      <c r="F291" t="s">
        <v>34</v>
      </c>
      <c r="G291" t="s">
        <v>24</v>
      </c>
      <c r="H291" t="s">
        <v>25</v>
      </c>
      <c r="I291" t="s">
        <v>26</v>
      </c>
      <c r="J291" t="s">
        <v>26</v>
      </c>
      <c r="K291">
        <v>28</v>
      </c>
      <c r="L291">
        <v>0</v>
      </c>
      <c r="M291">
        <v>0</v>
      </c>
      <c r="N291">
        <v>0</v>
      </c>
      <c r="O291">
        <v>1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28</v>
      </c>
    </row>
    <row r="292" spans="1:22" x14ac:dyDescent="0.25">
      <c r="A292">
        <v>2025</v>
      </c>
      <c r="B292">
        <v>6</v>
      </c>
      <c r="C292" t="s">
        <v>61</v>
      </c>
      <c r="D292" t="s">
        <v>22</v>
      </c>
      <c r="E292" t="s">
        <v>139</v>
      </c>
      <c r="F292" t="s">
        <v>34</v>
      </c>
      <c r="G292" t="s">
        <v>24</v>
      </c>
      <c r="H292" t="s">
        <v>25</v>
      </c>
      <c r="I292" t="s">
        <v>26</v>
      </c>
      <c r="J292" t="s">
        <v>26</v>
      </c>
      <c r="K292">
        <v>30</v>
      </c>
      <c r="L292">
        <v>3</v>
      </c>
      <c r="M292">
        <v>0</v>
      </c>
      <c r="N292">
        <v>3</v>
      </c>
      <c r="O292">
        <v>7</v>
      </c>
      <c r="P292">
        <v>5</v>
      </c>
      <c r="Q292">
        <v>5</v>
      </c>
      <c r="R292">
        <v>5</v>
      </c>
      <c r="S292">
        <v>3</v>
      </c>
      <c r="T292">
        <v>1</v>
      </c>
      <c r="U292">
        <v>1</v>
      </c>
      <c r="V292">
        <v>27</v>
      </c>
    </row>
    <row r="293" spans="1:22" x14ac:dyDescent="0.25">
      <c r="A293">
        <v>2025</v>
      </c>
      <c r="B293">
        <v>6</v>
      </c>
      <c r="C293" t="s">
        <v>61</v>
      </c>
      <c r="D293" t="s">
        <v>22</v>
      </c>
      <c r="E293" t="s">
        <v>141</v>
      </c>
      <c r="F293" t="s">
        <v>34</v>
      </c>
      <c r="G293" t="s">
        <v>24</v>
      </c>
      <c r="H293" t="s">
        <v>25</v>
      </c>
      <c r="I293" t="s">
        <v>26</v>
      </c>
      <c r="J293" t="s">
        <v>26</v>
      </c>
      <c r="K293">
        <v>28</v>
      </c>
      <c r="L293">
        <v>0</v>
      </c>
      <c r="M293">
        <v>0</v>
      </c>
      <c r="N293">
        <v>0</v>
      </c>
      <c r="O293">
        <v>3</v>
      </c>
      <c r="P293">
        <v>3</v>
      </c>
      <c r="Q293">
        <v>3</v>
      </c>
      <c r="R293">
        <v>3</v>
      </c>
      <c r="S293">
        <v>3</v>
      </c>
      <c r="T293">
        <v>1</v>
      </c>
      <c r="U293">
        <v>1</v>
      </c>
      <c r="V293">
        <v>28</v>
      </c>
    </row>
    <row r="294" spans="1:22" x14ac:dyDescent="0.25">
      <c r="A294">
        <v>2025</v>
      </c>
      <c r="B294">
        <v>6</v>
      </c>
      <c r="C294" t="s">
        <v>61</v>
      </c>
      <c r="D294" t="s">
        <v>22</v>
      </c>
      <c r="E294" t="s">
        <v>142</v>
      </c>
      <c r="F294" t="s">
        <v>34</v>
      </c>
      <c r="G294" t="s">
        <v>24</v>
      </c>
      <c r="H294" t="s">
        <v>25</v>
      </c>
      <c r="I294" t="s">
        <v>26</v>
      </c>
      <c r="J294" t="s">
        <v>26</v>
      </c>
      <c r="K294">
        <v>31</v>
      </c>
      <c r="L294">
        <v>3</v>
      </c>
      <c r="M294">
        <v>0</v>
      </c>
      <c r="N294">
        <v>3</v>
      </c>
      <c r="O294">
        <v>1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28</v>
      </c>
    </row>
    <row r="295" spans="1:22" x14ac:dyDescent="0.25">
      <c r="A295">
        <v>2025</v>
      </c>
      <c r="B295">
        <v>6</v>
      </c>
      <c r="C295" t="s">
        <v>61</v>
      </c>
      <c r="D295" t="s">
        <v>22</v>
      </c>
      <c r="E295" t="s">
        <v>144</v>
      </c>
      <c r="F295" t="s">
        <v>32</v>
      </c>
      <c r="G295" t="s">
        <v>24</v>
      </c>
      <c r="H295" t="s">
        <v>25</v>
      </c>
      <c r="I295" t="s">
        <v>26</v>
      </c>
      <c r="J295" t="s">
        <v>25</v>
      </c>
      <c r="K295">
        <v>170</v>
      </c>
      <c r="L295">
        <v>4</v>
      </c>
      <c r="M295">
        <v>1</v>
      </c>
      <c r="N295">
        <v>5</v>
      </c>
      <c r="O295">
        <v>63</v>
      </c>
      <c r="P295">
        <v>50</v>
      </c>
      <c r="Q295">
        <v>48</v>
      </c>
      <c r="R295">
        <v>34</v>
      </c>
      <c r="S295">
        <v>27</v>
      </c>
      <c r="T295">
        <v>9</v>
      </c>
      <c r="U295">
        <v>3</v>
      </c>
      <c r="V295">
        <v>165</v>
      </c>
    </row>
    <row r="296" spans="1:22" x14ac:dyDescent="0.25">
      <c r="A296">
        <v>2025</v>
      </c>
      <c r="B296">
        <v>6</v>
      </c>
      <c r="C296" t="s">
        <v>61</v>
      </c>
      <c r="D296" t="s">
        <v>22</v>
      </c>
      <c r="E296" t="s">
        <v>144</v>
      </c>
      <c r="F296" t="s">
        <v>23</v>
      </c>
      <c r="G296" t="s">
        <v>24</v>
      </c>
      <c r="H296" t="s">
        <v>25</v>
      </c>
      <c r="I296" t="s">
        <v>26</v>
      </c>
      <c r="J296" t="s">
        <v>25</v>
      </c>
      <c r="K296">
        <v>177</v>
      </c>
      <c r="L296">
        <v>2</v>
      </c>
      <c r="M296">
        <v>0</v>
      </c>
      <c r="N296">
        <v>2</v>
      </c>
      <c r="O296">
        <v>72</v>
      </c>
      <c r="P296">
        <v>56</v>
      </c>
      <c r="Q296">
        <v>52</v>
      </c>
      <c r="R296">
        <v>44</v>
      </c>
      <c r="S296">
        <v>36</v>
      </c>
      <c r="T296">
        <v>17</v>
      </c>
      <c r="U296">
        <v>8</v>
      </c>
      <c r="V296">
        <v>175</v>
      </c>
    </row>
    <row r="297" spans="1:22" x14ac:dyDescent="0.25">
      <c r="A297">
        <v>2025</v>
      </c>
      <c r="B297">
        <v>6</v>
      </c>
      <c r="C297" t="s">
        <v>61</v>
      </c>
      <c r="D297" t="s">
        <v>22</v>
      </c>
      <c r="E297" t="s">
        <v>144</v>
      </c>
      <c r="F297" t="s">
        <v>39</v>
      </c>
      <c r="G297" t="s">
        <v>24</v>
      </c>
      <c r="H297" t="s">
        <v>26</v>
      </c>
      <c r="I297" t="s">
        <v>26</v>
      </c>
      <c r="J297" t="s">
        <v>25</v>
      </c>
      <c r="K297">
        <v>742</v>
      </c>
      <c r="L297">
        <v>37</v>
      </c>
      <c r="M297">
        <v>5</v>
      </c>
      <c r="N297">
        <v>42</v>
      </c>
      <c r="O297">
        <v>310</v>
      </c>
      <c r="P297">
        <v>252</v>
      </c>
      <c r="Q297">
        <v>223</v>
      </c>
      <c r="R297">
        <v>177</v>
      </c>
      <c r="S297">
        <v>149</v>
      </c>
      <c r="T297">
        <v>82</v>
      </c>
      <c r="U297">
        <v>24</v>
      </c>
      <c r="V297">
        <v>702</v>
      </c>
    </row>
    <row r="298" spans="1:22" x14ac:dyDescent="0.25">
      <c r="A298">
        <v>2025</v>
      </c>
      <c r="B298">
        <v>6</v>
      </c>
      <c r="C298" t="s">
        <v>61</v>
      </c>
      <c r="D298" t="s">
        <v>22</v>
      </c>
      <c r="E298" t="s">
        <v>144</v>
      </c>
      <c r="F298" t="s">
        <v>36</v>
      </c>
      <c r="G298" t="s">
        <v>24</v>
      </c>
      <c r="H298" t="s">
        <v>25</v>
      </c>
      <c r="I298" t="s">
        <v>26</v>
      </c>
      <c r="J298" t="s">
        <v>25</v>
      </c>
      <c r="K298">
        <v>278</v>
      </c>
      <c r="L298">
        <v>4</v>
      </c>
      <c r="M298">
        <v>1</v>
      </c>
      <c r="N298">
        <v>5</v>
      </c>
      <c r="O298">
        <v>79</v>
      </c>
      <c r="P298">
        <v>60</v>
      </c>
      <c r="Q298">
        <v>54</v>
      </c>
      <c r="R298">
        <v>43</v>
      </c>
      <c r="S298">
        <v>29</v>
      </c>
      <c r="T298">
        <v>14</v>
      </c>
      <c r="U298">
        <v>2</v>
      </c>
      <c r="V298">
        <v>274</v>
      </c>
    </row>
    <row r="299" spans="1:22" x14ac:dyDescent="0.25">
      <c r="A299">
        <v>2025</v>
      </c>
      <c r="B299">
        <v>6</v>
      </c>
      <c r="C299" t="s">
        <v>61</v>
      </c>
      <c r="D299" t="s">
        <v>22</v>
      </c>
      <c r="E299" t="s">
        <v>145</v>
      </c>
      <c r="F299" t="s">
        <v>32</v>
      </c>
      <c r="G299" t="s">
        <v>24</v>
      </c>
      <c r="H299" t="s">
        <v>25</v>
      </c>
      <c r="I299" t="s">
        <v>26</v>
      </c>
      <c r="J299" t="s">
        <v>25</v>
      </c>
      <c r="K299">
        <v>273</v>
      </c>
      <c r="L299">
        <v>10</v>
      </c>
      <c r="M299">
        <v>0</v>
      </c>
      <c r="N299">
        <v>10</v>
      </c>
      <c r="O299">
        <v>87</v>
      </c>
      <c r="P299">
        <v>54</v>
      </c>
      <c r="Q299">
        <v>42</v>
      </c>
      <c r="R299">
        <v>24</v>
      </c>
      <c r="S299">
        <v>18</v>
      </c>
      <c r="T299">
        <v>6</v>
      </c>
      <c r="U299">
        <v>1</v>
      </c>
      <c r="V299">
        <v>263</v>
      </c>
    </row>
    <row r="300" spans="1:22" x14ac:dyDescent="0.25">
      <c r="A300">
        <v>2025</v>
      </c>
      <c r="B300">
        <v>6</v>
      </c>
      <c r="C300" t="s">
        <v>61</v>
      </c>
      <c r="D300" t="s">
        <v>22</v>
      </c>
      <c r="E300" t="s">
        <v>154</v>
      </c>
      <c r="F300" t="s">
        <v>32</v>
      </c>
      <c r="G300" t="s">
        <v>24</v>
      </c>
      <c r="H300" t="s">
        <v>25</v>
      </c>
      <c r="I300" t="s">
        <v>26</v>
      </c>
      <c r="J300" t="s">
        <v>25</v>
      </c>
      <c r="K300">
        <v>18</v>
      </c>
      <c r="L300">
        <v>0</v>
      </c>
      <c r="M300">
        <v>0</v>
      </c>
      <c r="N300">
        <v>0</v>
      </c>
      <c r="O300">
        <v>6</v>
      </c>
      <c r="P300">
        <v>3</v>
      </c>
      <c r="Q300">
        <v>3</v>
      </c>
      <c r="R300">
        <v>2</v>
      </c>
      <c r="S300">
        <v>2</v>
      </c>
      <c r="T300">
        <v>1</v>
      </c>
      <c r="U300">
        <v>0</v>
      </c>
      <c r="V300">
        <v>18</v>
      </c>
    </row>
    <row r="301" spans="1:22" x14ac:dyDescent="0.25">
      <c r="A301">
        <v>2025</v>
      </c>
      <c r="B301">
        <v>6</v>
      </c>
      <c r="C301" t="s">
        <v>61</v>
      </c>
      <c r="D301" t="s">
        <v>22</v>
      </c>
      <c r="E301" t="s">
        <v>147</v>
      </c>
      <c r="F301" t="s">
        <v>32</v>
      </c>
      <c r="G301" t="s">
        <v>24</v>
      </c>
      <c r="H301" t="s">
        <v>25</v>
      </c>
      <c r="I301" t="s">
        <v>26</v>
      </c>
      <c r="J301" t="s">
        <v>25</v>
      </c>
      <c r="K301">
        <v>60</v>
      </c>
      <c r="L301">
        <v>0</v>
      </c>
      <c r="M301">
        <v>0</v>
      </c>
      <c r="N301">
        <v>0</v>
      </c>
      <c r="O301">
        <v>28</v>
      </c>
      <c r="P301">
        <v>25</v>
      </c>
      <c r="Q301">
        <v>22</v>
      </c>
      <c r="R301">
        <v>20</v>
      </c>
      <c r="S301">
        <v>18</v>
      </c>
      <c r="T301">
        <v>10</v>
      </c>
      <c r="U301">
        <v>3</v>
      </c>
      <c r="V301">
        <v>60</v>
      </c>
    </row>
    <row r="302" spans="1:22" x14ac:dyDescent="0.25">
      <c r="A302">
        <v>2025</v>
      </c>
      <c r="B302">
        <v>6</v>
      </c>
      <c r="C302" t="s">
        <v>61</v>
      </c>
      <c r="D302" t="s">
        <v>22</v>
      </c>
      <c r="E302" t="s">
        <v>147</v>
      </c>
      <c r="F302" t="s">
        <v>36</v>
      </c>
      <c r="G302" t="s">
        <v>24</v>
      </c>
      <c r="H302" t="s">
        <v>25</v>
      </c>
      <c r="I302" t="s">
        <v>26</v>
      </c>
      <c r="J302" t="s">
        <v>25</v>
      </c>
      <c r="K302">
        <v>233</v>
      </c>
      <c r="L302">
        <v>0</v>
      </c>
      <c r="M302">
        <v>1</v>
      </c>
      <c r="N302">
        <v>1</v>
      </c>
      <c r="O302">
        <v>106</v>
      </c>
      <c r="P302">
        <v>90</v>
      </c>
      <c r="Q302">
        <v>85</v>
      </c>
      <c r="R302">
        <v>65</v>
      </c>
      <c r="S302">
        <v>54</v>
      </c>
      <c r="T302">
        <v>30</v>
      </c>
      <c r="U302">
        <v>10</v>
      </c>
      <c r="V302">
        <v>232</v>
      </c>
    </row>
    <row r="303" spans="1:22" x14ac:dyDescent="0.25">
      <c r="A303">
        <v>2025</v>
      </c>
      <c r="B303">
        <v>6</v>
      </c>
      <c r="C303" t="s">
        <v>61</v>
      </c>
      <c r="D303" t="s">
        <v>22</v>
      </c>
      <c r="E303" t="s">
        <v>155</v>
      </c>
      <c r="F303" t="s">
        <v>34</v>
      </c>
      <c r="G303" t="s">
        <v>24</v>
      </c>
      <c r="H303" t="s">
        <v>25</v>
      </c>
      <c r="I303" t="s">
        <v>26</v>
      </c>
      <c r="J303" t="s">
        <v>26</v>
      </c>
      <c r="K303">
        <v>61</v>
      </c>
      <c r="L303">
        <v>0</v>
      </c>
      <c r="M303">
        <v>0</v>
      </c>
      <c r="N303">
        <v>0</v>
      </c>
      <c r="O303">
        <v>10</v>
      </c>
      <c r="P303">
        <v>9</v>
      </c>
      <c r="Q303">
        <v>9</v>
      </c>
      <c r="R303">
        <v>9</v>
      </c>
      <c r="S303">
        <v>6</v>
      </c>
      <c r="T303">
        <v>4</v>
      </c>
      <c r="U303">
        <v>1</v>
      </c>
      <c r="V303">
        <v>61</v>
      </c>
    </row>
    <row r="304" spans="1:22" x14ac:dyDescent="0.25">
      <c r="A304">
        <v>2025</v>
      </c>
      <c r="B304">
        <v>6</v>
      </c>
      <c r="C304" t="s">
        <v>61</v>
      </c>
      <c r="D304" t="s">
        <v>22</v>
      </c>
      <c r="E304" t="s">
        <v>152</v>
      </c>
      <c r="F304" t="s">
        <v>31</v>
      </c>
      <c r="G304" t="s">
        <v>24</v>
      </c>
      <c r="H304" t="s">
        <v>25</v>
      </c>
      <c r="I304" t="s">
        <v>26</v>
      </c>
      <c r="J304" t="s">
        <v>25</v>
      </c>
      <c r="K304">
        <v>180</v>
      </c>
      <c r="L304">
        <v>0</v>
      </c>
      <c r="M304">
        <v>0</v>
      </c>
      <c r="N304">
        <v>0</v>
      </c>
      <c r="O304">
        <v>73</v>
      </c>
      <c r="P304">
        <v>48</v>
      </c>
      <c r="Q304">
        <v>43</v>
      </c>
      <c r="R304">
        <v>31</v>
      </c>
      <c r="S304">
        <v>22</v>
      </c>
      <c r="T304">
        <v>8</v>
      </c>
      <c r="U304">
        <v>4</v>
      </c>
      <c r="V304">
        <v>180</v>
      </c>
    </row>
    <row r="305" spans="1:22" x14ac:dyDescent="0.25">
      <c r="A305">
        <v>2025</v>
      </c>
      <c r="B305">
        <v>6</v>
      </c>
      <c r="C305" t="s">
        <v>61</v>
      </c>
      <c r="D305" t="s">
        <v>22</v>
      </c>
      <c r="E305" t="s">
        <v>152</v>
      </c>
      <c r="F305" t="s">
        <v>34</v>
      </c>
      <c r="G305" t="s">
        <v>24</v>
      </c>
      <c r="H305" t="s">
        <v>25</v>
      </c>
      <c r="I305" t="s">
        <v>26</v>
      </c>
      <c r="J305" t="s">
        <v>26</v>
      </c>
      <c r="K305">
        <v>30</v>
      </c>
      <c r="L305">
        <v>0</v>
      </c>
      <c r="M305">
        <v>0</v>
      </c>
      <c r="N305">
        <v>0</v>
      </c>
      <c r="O305">
        <v>2</v>
      </c>
      <c r="P305">
        <v>1</v>
      </c>
      <c r="Q305">
        <v>1</v>
      </c>
      <c r="R305">
        <v>1</v>
      </c>
      <c r="S305">
        <v>1</v>
      </c>
      <c r="T305">
        <v>0</v>
      </c>
      <c r="U305">
        <v>0</v>
      </c>
      <c r="V305">
        <v>30</v>
      </c>
    </row>
    <row r="306" spans="1:22" x14ac:dyDescent="0.25">
      <c r="A306">
        <v>2025</v>
      </c>
      <c r="B306">
        <v>6</v>
      </c>
      <c r="C306" t="s">
        <v>61</v>
      </c>
      <c r="D306" t="s">
        <v>22</v>
      </c>
      <c r="E306" t="s">
        <v>156</v>
      </c>
      <c r="F306" t="s">
        <v>34</v>
      </c>
      <c r="G306" t="s">
        <v>24</v>
      </c>
      <c r="H306" t="s">
        <v>25</v>
      </c>
      <c r="I306" t="s">
        <v>26</v>
      </c>
      <c r="J306" t="s">
        <v>26</v>
      </c>
      <c r="K306">
        <v>1</v>
      </c>
      <c r="L306">
        <v>0</v>
      </c>
      <c r="M306">
        <v>0</v>
      </c>
      <c r="N306">
        <v>0</v>
      </c>
      <c r="O306">
        <v>1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1</v>
      </c>
    </row>
    <row r="307" spans="1:22" x14ac:dyDescent="0.25">
      <c r="A307">
        <v>2025</v>
      </c>
      <c r="B307">
        <v>6</v>
      </c>
      <c r="C307" t="s">
        <v>61</v>
      </c>
      <c r="D307" t="s">
        <v>22</v>
      </c>
      <c r="E307" t="s">
        <v>171</v>
      </c>
      <c r="F307" t="s">
        <v>34</v>
      </c>
      <c r="G307" t="s">
        <v>24</v>
      </c>
      <c r="H307" t="s">
        <v>25</v>
      </c>
      <c r="I307" t="s">
        <v>26</v>
      </c>
      <c r="J307" t="s">
        <v>26</v>
      </c>
      <c r="K307">
        <v>26</v>
      </c>
      <c r="L307">
        <v>0</v>
      </c>
      <c r="M307">
        <v>0</v>
      </c>
      <c r="N307">
        <v>0</v>
      </c>
      <c r="O307">
        <v>8</v>
      </c>
      <c r="P307">
        <v>5</v>
      </c>
      <c r="Q307">
        <v>4</v>
      </c>
      <c r="R307">
        <v>4</v>
      </c>
      <c r="S307">
        <v>4</v>
      </c>
      <c r="T307">
        <v>1</v>
      </c>
      <c r="U307">
        <v>1</v>
      </c>
      <c r="V307">
        <v>26</v>
      </c>
    </row>
    <row r="308" spans="1:22" x14ac:dyDescent="0.25">
      <c r="A308">
        <v>2025</v>
      </c>
      <c r="B308">
        <v>6</v>
      </c>
      <c r="C308" t="s">
        <v>61</v>
      </c>
      <c r="D308" t="s">
        <v>22</v>
      </c>
      <c r="E308" t="s">
        <v>52</v>
      </c>
      <c r="F308" t="s">
        <v>34</v>
      </c>
      <c r="G308" t="s">
        <v>24</v>
      </c>
      <c r="H308" t="s">
        <v>25</v>
      </c>
      <c r="I308" t="s">
        <v>26</v>
      </c>
      <c r="J308" t="s">
        <v>26</v>
      </c>
      <c r="K308">
        <v>1</v>
      </c>
      <c r="L308">
        <v>0</v>
      </c>
      <c r="M308">
        <v>0</v>
      </c>
      <c r="N308">
        <v>0</v>
      </c>
      <c r="O308">
        <v>1</v>
      </c>
      <c r="P308">
        <v>1</v>
      </c>
      <c r="Q308">
        <v>1</v>
      </c>
      <c r="R308">
        <v>1</v>
      </c>
      <c r="S308">
        <v>1</v>
      </c>
      <c r="T308">
        <v>0</v>
      </c>
      <c r="U308">
        <v>0</v>
      </c>
      <c r="V308">
        <v>1</v>
      </c>
    </row>
    <row r="309" spans="1:22" x14ac:dyDescent="0.25">
      <c r="A309">
        <v>2025</v>
      </c>
      <c r="B309">
        <v>6</v>
      </c>
      <c r="C309" t="s">
        <v>61</v>
      </c>
      <c r="D309" t="s">
        <v>22</v>
      </c>
      <c r="E309" t="s">
        <v>163</v>
      </c>
      <c r="F309" t="s">
        <v>32</v>
      </c>
      <c r="G309" t="s">
        <v>24</v>
      </c>
      <c r="H309" t="s">
        <v>25</v>
      </c>
      <c r="I309" t="s">
        <v>26</v>
      </c>
      <c r="J309" t="s">
        <v>25</v>
      </c>
      <c r="K309">
        <v>270</v>
      </c>
      <c r="L309">
        <v>1</v>
      </c>
      <c r="M309">
        <v>0</v>
      </c>
      <c r="N309">
        <v>1</v>
      </c>
      <c r="O309">
        <v>118</v>
      </c>
      <c r="P309">
        <v>104</v>
      </c>
      <c r="Q309">
        <v>94</v>
      </c>
      <c r="R309">
        <v>71</v>
      </c>
      <c r="S309">
        <v>63</v>
      </c>
      <c r="T309">
        <v>31</v>
      </c>
      <c r="U309">
        <v>10</v>
      </c>
      <c r="V309">
        <v>269</v>
      </c>
    </row>
    <row r="310" spans="1:22" x14ac:dyDescent="0.25">
      <c r="A310">
        <v>2025</v>
      </c>
      <c r="B310">
        <v>6</v>
      </c>
      <c r="C310" t="s">
        <v>61</v>
      </c>
      <c r="D310" t="s">
        <v>22</v>
      </c>
      <c r="E310" t="s">
        <v>163</v>
      </c>
      <c r="F310" t="s">
        <v>34</v>
      </c>
      <c r="G310" t="s">
        <v>24</v>
      </c>
      <c r="H310" t="s">
        <v>25</v>
      </c>
      <c r="I310" t="s">
        <v>26</v>
      </c>
      <c r="J310" t="s">
        <v>26</v>
      </c>
      <c r="K310">
        <v>60</v>
      </c>
      <c r="L310">
        <v>0</v>
      </c>
      <c r="M310">
        <v>0</v>
      </c>
      <c r="N310">
        <v>0</v>
      </c>
      <c r="O310">
        <v>14</v>
      </c>
      <c r="P310">
        <v>14</v>
      </c>
      <c r="Q310">
        <v>14</v>
      </c>
      <c r="R310">
        <v>12</v>
      </c>
      <c r="S310">
        <v>10</v>
      </c>
      <c r="T310">
        <v>10</v>
      </c>
      <c r="U310">
        <v>5</v>
      </c>
      <c r="V310">
        <v>60</v>
      </c>
    </row>
    <row r="311" spans="1:22" x14ac:dyDescent="0.25">
      <c r="A311">
        <v>2025</v>
      </c>
      <c r="B311">
        <v>6</v>
      </c>
      <c r="C311" t="s">
        <v>61</v>
      </c>
      <c r="D311" t="s">
        <v>22</v>
      </c>
      <c r="E311" t="s">
        <v>163</v>
      </c>
      <c r="F311" t="s">
        <v>23</v>
      </c>
      <c r="G311" t="s">
        <v>24</v>
      </c>
      <c r="H311" t="s">
        <v>25</v>
      </c>
      <c r="I311" t="s">
        <v>26</v>
      </c>
      <c r="J311" t="s">
        <v>25</v>
      </c>
      <c r="K311">
        <v>90</v>
      </c>
      <c r="L311">
        <v>0</v>
      </c>
      <c r="M311">
        <v>0</v>
      </c>
      <c r="N311">
        <v>0</v>
      </c>
      <c r="O311">
        <v>11</v>
      </c>
      <c r="P311">
        <v>7</v>
      </c>
      <c r="Q311">
        <v>7</v>
      </c>
      <c r="R311">
        <v>6</v>
      </c>
      <c r="S311">
        <v>4</v>
      </c>
      <c r="T311">
        <v>1</v>
      </c>
      <c r="U311">
        <v>0</v>
      </c>
      <c r="V311">
        <v>90</v>
      </c>
    </row>
    <row r="312" spans="1:22" x14ac:dyDescent="0.25">
      <c r="A312">
        <v>2025</v>
      </c>
      <c r="B312">
        <v>6</v>
      </c>
      <c r="C312" t="s">
        <v>61</v>
      </c>
      <c r="D312" t="s">
        <v>22</v>
      </c>
      <c r="E312" t="s">
        <v>164</v>
      </c>
      <c r="F312" t="s">
        <v>23</v>
      </c>
      <c r="G312" t="s">
        <v>24</v>
      </c>
      <c r="H312" t="s">
        <v>25</v>
      </c>
      <c r="I312" t="s">
        <v>26</v>
      </c>
      <c r="J312" t="s">
        <v>25</v>
      </c>
      <c r="K312">
        <v>60</v>
      </c>
      <c r="L312">
        <v>0</v>
      </c>
      <c r="M312">
        <v>0</v>
      </c>
      <c r="N312">
        <v>0</v>
      </c>
      <c r="O312">
        <v>20</v>
      </c>
      <c r="P312">
        <v>17</v>
      </c>
      <c r="Q312">
        <v>14</v>
      </c>
      <c r="R312">
        <v>11</v>
      </c>
      <c r="S312">
        <v>7</v>
      </c>
      <c r="T312">
        <v>5</v>
      </c>
      <c r="U312">
        <v>2</v>
      </c>
      <c r="V312">
        <v>60</v>
      </c>
    </row>
    <row r="313" spans="1:22" x14ac:dyDescent="0.25">
      <c r="A313">
        <v>2025</v>
      </c>
      <c r="B313">
        <v>6</v>
      </c>
      <c r="C313" t="s">
        <v>61</v>
      </c>
      <c r="D313" t="s">
        <v>22</v>
      </c>
      <c r="E313" t="s">
        <v>165</v>
      </c>
      <c r="F313" t="s">
        <v>31</v>
      </c>
      <c r="G313" t="s">
        <v>24</v>
      </c>
      <c r="H313" t="s">
        <v>25</v>
      </c>
      <c r="I313" t="s">
        <v>26</v>
      </c>
      <c r="J313" t="s">
        <v>25</v>
      </c>
      <c r="K313">
        <v>30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30</v>
      </c>
    </row>
    <row r="314" spans="1:22" x14ac:dyDescent="0.25">
      <c r="A314">
        <v>2025</v>
      </c>
      <c r="B314">
        <v>6</v>
      </c>
      <c r="C314" t="s">
        <v>61</v>
      </c>
      <c r="D314" t="s">
        <v>22</v>
      </c>
      <c r="E314" t="s">
        <v>61</v>
      </c>
      <c r="F314" t="s">
        <v>31</v>
      </c>
      <c r="G314" t="s">
        <v>28</v>
      </c>
      <c r="H314" t="s">
        <v>25</v>
      </c>
      <c r="I314" t="s">
        <v>26</v>
      </c>
      <c r="J314" t="s">
        <v>25</v>
      </c>
      <c r="K314">
        <v>886</v>
      </c>
      <c r="L314">
        <v>26</v>
      </c>
      <c r="M314">
        <v>9</v>
      </c>
      <c r="N314">
        <v>35</v>
      </c>
      <c r="O314">
        <v>205</v>
      </c>
      <c r="P314">
        <v>150</v>
      </c>
      <c r="Q314">
        <v>134</v>
      </c>
      <c r="R314">
        <v>99</v>
      </c>
      <c r="S314">
        <v>71</v>
      </c>
      <c r="T314">
        <v>31</v>
      </c>
      <c r="U314">
        <v>10</v>
      </c>
      <c r="V314">
        <v>854</v>
      </c>
    </row>
    <row r="315" spans="1:22" x14ac:dyDescent="0.25">
      <c r="A315">
        <v>2025</v>
      </c>
      <c r="B315">
        <v>6</v>
      </c>
      <c r="C315" t="s">
        <v>61</v>
      </c>
      <c r="D315" t="s">
        <v>22</v>
      </c>
      <c r="E315" t="s">
        <v>61</v>
      </c>
      <c r="F315" t="s">
        <v>23</v>
      </c>
      <c r="G315" t="s">
        <v>28</v>
      </c>
      <c r="H315" t="s">
        <v>25</v>
      </c>
      <c r="I315" t="s">
        <v>26</v>
      </c>
      <c r="J315" t="s">
        <v>25</v>
      </c>
      <c r="K315">
        <v>1758</v>
      </c>
      <c r="L315">
        <v>1</v>
      </c>
      <c r="M315">
        <v>17</v>
      </c>
      <c r="N315">
        <v>18</v>
      </c>
      <c r="O315">
        <v>329</v>
      </c>
      <c r="P315">
        <v>240</v>
      </c>
      <c r="Q315">
        <v>204</v>
      </c>
      <c r="R315">
        <v>136</v>
      </c>
      <c r="S315">
        <v>104</v>
      </c>
      <c r="T315">
        <v>53</v>
      </c>
      <c r="U315">
        <v>13</v>
      </c>
      <c r="V315">
        <v>1743</v>
      </c>
    </row>
    <row r="316" spans="1:22" x14ac:dyDescent="0.25">
      <c r="A316">
        <v>2025</v>
      </c>
      <c r="B316">
        <v>6</v>
      </c>
      <c r="C316" t="s">
        <v>61</v>
      </c>
      <c r="D316" t="s">
        <v>22</v>
      </c>
      <c r="E316" t="s">
        <v>61</v>
      </c>
      <c r="F316" t="s">
        <v>39</v>
      </c>
      <c r="G316" t="s">
        <v>28</v>
      </c>
      <c r="H316" t="s">
        <v>26</v>
      </c>
      <c r="I316" t="s">
        <v>26</v>
      </c>
      <c r="J316" t="s">
        <v>25</v>
      </c>
      <c r="K316">
        <v>30</v>
      </c>
      <c r="L316">
        <v>0</v>
      </c>
      <c r="M316">
        <v>0</v>
      </c>
      <c r="N316">
        <v>0</v>
      </c>
      <c r="O316">
        <v>6</v>
      </c>
      <c r="P316">
        <v>5</v>
      </c>
      <c r="Q316">
        <v>2</v>
      </c>
      <c r="R316">
        <v>1</v>
      </c>
      <c r="S316">
        <v>0</v>
      </c>
      <c r="T316">
        <v>0</v>
      </c>
      <c r="U316">
        <v>0</v>
      </c>
      <c r="V316">
        <v>30</v>
      </c>
    </row>
    <row r="317" spans="1:22" x14ac:dyDescent="0.25">
      <c r="A317">
        <v>2025</v>
      </c>
      <c r="B317">
        <v>6</v>
      </c>
      <c r="C317" t="s">
        <v>61</v>
      </c>
      <c r="D317" t="s">
        <v>22</v>
      </c>
      <c r="E317" t="s">
        <v>61</v>
      </c>
      <c r="F317" t="s">
        <v>35</v>
      </c>
      <c r="G317" t="s">
        <v>28</v>
      </c>
      <c r="H317" t="s">
        <v>25</v>
      </c>
      <c r="I317" t="s">
        <v>26</v>
      </c>
      <c r="J317" t="s">
        <v>26</v>
      </c>
      <c r="K317">
        <v>60</v>
      </c>
      <c r="L317">
        <v>0</v>
      </c>
      <c r="M317">
        <v>0</v>
      </c>
      <c r="N317">
        <v>0</v>
      </c>
      <c r="O317">
        <v>9</v>
      </c>
      <c r="P317">
        <v>6</v>
      </c>
      <c r="Q317">
        <v>5</v>
      </c>
      <c r="R317">
        <v>4</v>
      </c>
      <c r="S317">
        <v>3</v>
      </c>
      <c r="T317">
        <v>3</v>
      </c>
      <c r="U317">
        <v>2</v>
      </c>
      <c r="V317">
        <v>60</v>
      </c>
    </row>
    <row r="318" spans="1:22" x14ac:dyDescent="0.25">
      <c r="A318">
        <v>2025</v>
      </c>
      <c r="B318">
        <v>6</v>
      </c>
      <c r="C318" t="s">
        <v>61</v>
      </c>
      <c r="D318" t="s">
        <v>22</v>
      </c>
      <c r="E318" t="s">
        <v>61</v>
      </c>
      <c r="F318" t="s">
        <v>35</v>
      </c>
      <c r="G318" t="s">
        <v>24</v>
      </c>
      <c r="H318" t="s">
        <v>25</v>
      </c>
      <c r="I318" t="s">
        <v>26</v>
      </c>
      <c r="J318" t="s">
        <v>26</v>
      </c>
      <c r="K318">
        <v>654</v>
      </c>
      <c r="L318">
        <v>4</v>
      </c>
      <c r="M318">
        <v>0</v>
      </c>
      <c r="N318">
        <v>4</v>
      </c>
      <c r="O318">
        <v>246</v>
      </c>
      <c r="P318">
        <v>194</v>
      </c>
      <c r="Q318">
        <v>175</v>
      </c>
      <c r="R318">
        <v>152</v>
      </c>
      <c r="S318">
        <v>134</v>
      </c>
      <c r="T318">
        <v>109</v>
      </c>
      <c r="U318">
        <v>49</v>
      </c>
      <c r="V318">
        <v>650</v>
      </c>
    </row>
    <row r="319" spans="1:22" x14ac:dyDescent="0.25">
      <c r="A319">
        <v>2025</v>
      </c>
      <c r="B319">
        <v>6</v>
      </c>
      <c r="C319" t="s">
        <v>61</v>
      </c>
      <c r="D319" t="s">
        <v>22</v>
      </c>
      <c r="E319" t="s">
        <v>61</v>
      </c>
      <c r="F319" t="s">
        <v>36</v>
      </c>
      <c r="G319" t="s">
        <v>28</v>
      </c>
      <c r="H319" t="s">
        <v>25</v>
      </c>
      <c r="I319" t="s">
        <v>26</v>
      </c>
      <c r="J319" t="s">
        <v>25</v>
      </c>
      <c r="K319">
        <v>1983</v>
      </c>
      <c r="L319">
        <v>12</v>
      </c>
      <c r="M319">
        <v>119</v>
      </c>
      <c r="N319">
        <v>131</v>
      </c>
      <c r="O319">
        <v>369</v>
      </c>
      <c r="P319">
        <v>226</v>
      </c>
      <c r="Q319">
        <v>182</v>
      </c>
      <c r="R319">
        <v>92</v>
      </c>
      <c r="S319">
        <v>60</v>
      </c>
      <c r="T319">
        <v>25</v>
      </c>
      <c r="U319">
        <v>5</v>
      </c>
      <c r="V319">
        <v>1907</v>
      </c>
    </row>
    <row r="320" spans="1:22" x14ac:dyDescent="0.25">
      <c r="A320">
        <v>2025</v>
      </c>
      <c r="B320">
        <v>6</v>
      </c>
      <c r="C320" t="s">
        <v>61</v>
      </c>
      <c r="D320" t="s">
        <v>22</v>
      </c>
      <c r="E320" t="s">
        <v>61</v>
      </c>
      <c r="F320" t="s">
        <v>36</v>
      </c>
      <c r="G320" t="s">
        <v>24</v>
      </c>
      <c r="H320" t="s">
        <v>25</v>
      </c>
      <c r="I320" t="s">
        <v>26</v>
      </c>
      <c r="J320" t="s">
        <v>25</v>
      </c>
      <c r="K320">
        <v>175</v>
      </c>
      <c r="L320">
        <v>0</v>
      </c>
      <c r="M320">
        <v>0</v>
      </c>
      <c r="N320">
        <v>0</v>
      </c>
      <c r="O320">
        <v>86</v>
      </c>
      <c r="P320">
        <v>75</v>
      </c>
      <c r="Q320">
        <v>72</v>
      </c>
      <c r="R320">
        <v>61</v>
      </c>
      <c r="S320">
        <v>48</v>
      </c>
      <c r="T320">
        <v>26</v>
      </c>
      <c r="U320">
        <v>6</v>
      </c>
      <c r="V320">
        <v>175</v>
      </c>
    </row>
    <row r="321" spans="1:22" x14ac:dyDescent="0.25">
      <c r="A321">
        <v>2025</v>
      </c>
      <c r="B321">
        <v>6</v>
      </c>
      <c r="C321" t="s">
        <v>61</v>
      </c>
      <c r="D321" t="s">
        <v>22</v>
      </c>
      <c r="E321" t="s">
        <v>61</v>
      </c>
      <c r="F321" t="s">
        <v>41</v>
      </c>
      <c r="G321" t="s">
        <v>28</v>
      </c>
      <c r="H321" t="s">
        <v>26</v>
      </c>
      <c r="I321" t="s">
        <v>26</v>
      </c>
      <c r="J321" t="s">
        <v>25</v>
      </c>
      <c r="K321">
        <v>886</v>
      </c>
      <c r="L321">
        <v>5</v>
      </c>
      <c r="M321">
        <v>80</v>
      </c>
      <c r="N321">
        <v>85</v>
      </c>
      <c r="O321">
        <v>401</v>
      </c>
      <c r="P321">
        <v>324</v>
      </c>
      <c r="Q321">
        <v>296</v>
      </c>
      <c r="R321">
        <v>219</v>
      </c>
      <c r="S321">
        <v>173</v>
      </c>
      <c r="T321">
        <v>86</v>
      </c>
      <c r="U321">
        <v>17</v>
      </c>
      <c r="V321">
        <v>849</v>
      </c>
    </row>
    <row r="322" spans="1:22" x14ac:dyDescent="0.25">
      <c r="A322">
        <v>2025</v>
      </c>
      <c r="B322">
        <v>6</v>
      </c>
      <c r="C322" t="s">
        <v>61</v>
      </c>
      <c r="D322" t="s">
        <v>22</v>
      </c>
      <c r="E322" t="s">
        <v>61</v>
      </c>
      <c r="F322" t="s">
        <v>41</v>
      </c>
      <c r="G322" t="s">
        <v>24</v>
      </c>
      <c r="H322" t="s">
        <v>26</v>
      </c>
      <c r="I322" t="s">
        <v>26</v>
      </c>
      <c r="J322" t="s">
        <v>25</v>
      </c>
      <c r="K322">
        <v>952</v>
      </c>
      <c r="L322">
        <v>3</v>
      </c>
      <c r="M322">
        <v>20</v>
      </c>
      <c r="N322">
        <v>23</v>
      </c>
      <c r="O322">
        <v>455</v>
      </c>
      <c r="P322">
        <v>374</v>
      </c>
      <c r="Q322">
        <v>339</v>
      </c>
      <c r="R322">
        <v>253</v>
      </c>
      <c r="S322">
        <v>193</v>
      </c>
      <c r="T322">
        <v>90</v>
      </c>
      <c r="U322">
        <v>19</v>
      </c>
      <c r="V322">
        <v>941</v>
      </c>
    </row>
    <row r="323" spans="1:22" x14ac:dyDescent="0.25">
      <c r="A323">
        <v>2025</v>
      </c>
      <c r="B323">
        <v>6</v>
      </c>
      <c r="C323" t="s">
        <v>61</v>
      </c>
      <c r="D323" t="s">
        <v>22</v>
      </c>
      <c r="E323" t="s">
        <v>166</v>
      </c>
      <c r="F323" t="s">
        <v>32</v>
      </c>
      <c r="G323" t="s">
        <v>24</v>
      </c>
      <c r="H323" t="s">
        <v>25</v>
      </c>
      <c r="I323" t="s">
        <v>26</v>
      </c>
      <c r="J323" t="s">
        <v>25</v>
      </c>
      <c r="K323">
        <v>270</v>
      </c>
      <c r="L323">
        <v>4</v>
      </c>
      <c r="M323">
        <v>0</v>
      </c>
      <c r="N323">
        <v>4</v>
      </c>
      <c r="O323">
        <v>222</v>
      </c>
      <c r="P323">
        <v>214</v>
      </c>
      <c r="Q323">
        <v>208</v>
      </c>
      <c r="R323">
        <v>179</v>
      </c>
      <c r="S323">
        <v>129</v>
      </c>
      <c r="T323">
        <v>41</v>
      </c>
      <c r="U323">
        <v>13</v>
      </c>
      <c r="V323">
        <v>266</v>
      </c>
    </row>
    <row r="324" spans="1:22" x14ac:dyDescent="0.25">
      <c r="A324">
        <v>2025</v>
      </c>
      <c r="B324">
        <v>6</v>
      </c>
      <c r="C324" t="s">
        <v>61</v>
      </c>
      <c r="D324" t="s">
        <v>22</v>
      </c>
      <c r="E324" t="s">
        <v>168</v>
      </c>
      <c r="F324" t="s">
        <v>31</v>
      </c>
      <c r="G324" t="s">
        <v>24</v>
      </c>
      <c r="H324" t="s">
        <v>25</v>
      </c>
      <c r="I324" t="s">
        <v>26</v>
      </c>
      <c r="J324" t="s">
        <v>25</v>
      </c>
      <c r="K324">
        <v>570</v>
      </c>
      <c r="L324">
        <v>1</v>
      </c>
      <c r="M324">
        <v>7</v>
      </c>
      <c r="N324">
        <v>8</v>
      </c>
      <c r="O324">
        <v>80</v>
      </c>
      <c r="P324">
        <v>49</v>
      </c>
      <c r="Q324">
        <v>35</v>
      </c>
      <c r="R324">
        <v>19</v>
      </c>
      <c r="S324">
        <v>12</v>
      </c>
      <c r="T324">
        <v>3</v>
      </c>
      <c r="U324">
        <v>0</v>
      </c>
      <c r="V324">
        <v>565</v>
      </c>
    </row>
    <row r="325" spans="1:22" x14ac:dyDescent="0.25">
      <c r="A325">
        <v>2025</v>
      </c>
      <c r="B325">
        <v>6</v>
      </c>
      <c r="C325" t="s">
        <v>61</v>
      </c>
      <c r="D325" t="s">
        <v>22</v>
      </c>
      <c r="E325" t="s">
        <v>157</v>
      </c>
      <c r="F325" t="s">
        <v>31</v>
      </c>
      <c r="G325" t="s">
        <v>24</v>
      </c>
      <c r="H325" t="s">
        <v>25</v>
      </c>
      <c r="I325" t="s">
        <v>26</v>
      </c>
      <c r="J325" t="s">
        <v>25</v>
      </c>
      <c r="K325">
        <v>120</v>
      </c>
      <c r="L325">
        <v>0</v>
      </c>
      <c r="M325">
        <v>0</v>
      </c>
      <c r="N325">
        <v>0</v>
      </c>
      <c r="O325">
        <v>96</v>
      </c>
      <c r="P325">
        <v>82</v>
      </c>
      <c r="Q325">
        <v>72</v>
      </c>
      <c r="R325">
        <v>42</v>
      </c>
      <c r="S325">
        <v>21</v>
      </c>
      <c r="T325">
        <v>8</v>
      </c>
      <c r="U325">
        <v>2</v>
      </c>
      <c r="V325">
        <v>120</v>
      </c>
    </row>
    <row r="326" spans="1:22" x14ac:dyDescent="0.25">
      <c r="A326">
        <v>2025</v>
      </c>
      <c r="B326">
        <v>6</v>
      </c>
      <c r="C326" t="s">
        <v>61</v>
      </c>
      <c r="D326" t="s">
        <v>22</v>
      </c>
      <c r="E326" t="s">
        <v>157</v>
      </c>
      <c r="F326" t="s">
        <v>35</v>
      </c>
      <c r="G326" t="s">
        <v>24</v>
      </c>
      <c r="H326" t="s">
        <v>25</v>
      </c>
      <c r="I326" t="s">
        <v>26</v>
      </c>
      <c r="J326" t="s">
        <v>26</v>
      </c>
      <c r="K326">
        <v>29</v>
      </c>
      <c r="L326">
        <v>0</v>
      </c>
      <c r="M326">
        <v>0</v>
      </c>
      <c r="N326">
        <v>0</v>
      </c>
      <c r="O326">
        <v>12</v>
      </c>
      <c r="P326">
        <v>10</v>
      </c>
      <c r="Q326">
        <v>9</v>
      </c>
      <c r="R326">
        <v>3</v>
      </c>
      <c r="S326">
        <v>3</v>
      </c>
      <c r="T326">
        <v>3</v>
      </c>
      <c r="U326">
        <v>2</v>
      </c>
      <c r="V326">
        <v>29</v>
      </c>
    </row>
    <row r="327" spans="1:22" x14ac:dyDescent="0.25">
      <c r="A327">
        <v>2025</v>
      </c>
      <c r="B327">
        <v>6</v>
      </c>
      <c r="C327" t="s">
        <v>61</v>
      </c>
      <c r="D327" t="s">
        <v>22</v>
      </c>
      <c r="E327" t="s">
        <v>157</v>
      </c>
      <c r="F327" t="s">
        <v>41</v>
      </c>
      <c r="G327" t="s">
        <v>24</v>
      </c>
      <c r="H327" t="s">
        <v>26</v>
      </c>
      <c r="I327" t="s">
        <v>26</v>
      </c>
      <c r="J327" t="s">
        <v>25</v>
      </c>
      <c r="K327">
        <v>57</v>
      </c>
      <c r="L327">
        <v>0</v>
      </c>
      <c r="M327">
        <v>0</v>
      </c>
      <c r="N327">
        <v>0</v>
      </c>
      <c r="O327">
        <v>32</v>
      </c>
      <c r="P327">
        <v>28</v>
      </c>
      <c r="Q327">
        <v>28</v>
      </c>
      <c r="R327">
        <v>24</v>
      </c>
      <c r="S327">
        <v>19</v>
      </c>
      <c r="T327">
        <v>10</v>
      </c>
      <c r="U327">
        <v>3</v>
      </c>
      <c r="V327">
        <v>57</v>
      </c>
    </row>
    <row r="328" spans="1:22" x14ac:dyDescent="0.25">
      <c r="A328">
        <v>2025</v>
      </c>
      <c r="B328">
        <v>6</v>
      </c>
      <c r="C328" t="s">
        <v>61</v>
      </c>
      <c r="D328" t="s">
        <v>22</v>
      </c>
      <c r="E328" t="s">
        <v>66</v>
      </c>
      <c r="F328" t="s">
        <v>34</v>
      </c>
      <c r="G328" t="s">
        <v>24</v>
      </c>
      <c r="H328" t="s">
        <v>25</v>
      </c>
      <c r="I328" t="s">
        <v>26</v>
      </c>
      <c r="J328" t="s">
        <v>26</v>
      </c>
      <c r="K328">
        <v>4</v>
      </c>
      <c r="L328">
        <v>0</v>
      </c>
      <c r="M328">
        <v>0</v>
      </c>
      <c r="N328">
        <v>0</v>
      </c>
      <c r="O328">
        <v>2</v>
      </c>
      <c r="P328">
        <v>2</v>
      </c>
      <c r="Q328">
        <v>2</v>
      </c>
      <c r="R328">
        <v>2</v>
      </c>
      <c r="S328">
        <v>1</v>
      </c>
      <c r="T328">
        <v>1</v>
      </c>
      <c r="U328">
        <v>0</v>
      </c>
      <c r="V328">
        <v>4</v>
      </c>
    </row>
    <row r="329" spans="1:22" x14ac:dyDescent="0.25">
      <c r="A329">
        <v>2025</v>
      </c>
      <c r="B329">
        <v>7</v>
      </c>
      <c r="C329" t="s">
        <v>61</v>
      </c>
      <c r="D329" t="s">
        <v>22</v>
      </c>
      <c r="E329" t="s">
        <v>159</v>
      </c>
      <c r="F329" t="s">
        <v>31</v>
      </c>
      <c r="G329" t="s">
        <v>24</v>
      </c>
      <c r="H329" t="s">
        <v>25</v>
      </c>
      <c r="I329" t="s">
        <v>26</v>
      </c>
      <c r="J329" t="s">
        <v>25</v>
      </c>
      <c r="K329">
        <v>31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31</v>
      </c>
    </row>
    <row r="330" spans="1:22" x14ac:dyDescent="0.25">
      <c r="A330">
        <v>2025</v>
      </c>
      <c r="B330">
        <v>7</v>
      </c>
      <c r="C330" t="s">
        <v>61</v>
      </c>
      <c r="D330" t="s">
        <v>22</v>
      </c>
      <c r="E330" t="s">
        <v>131</v>
      </c>
      <c r="F330" t="s">
        <v>34</v>
      </c>
      <c r="G330" t="s">
        <v>24</v>
      </c>
      <c r="H330" t="s">
        <v>25</v>
      </c>
      <c r="I330" t="s">
        <v>26</v>
      </c>
      <c r="J330" t="s">
        <v>26</v>
      </c>
      <c r="K330">
        <v>62</v>
      </c>
      <c r="L330">
        <v>0</v>
      </c>
      <c r="M330">
        <v>0</v>
      </c>
      <c r="N330">
        <v>0</v>
      </c>
      <c r="O330">
        <v>16</v>
      </c>
      <c r="P330">
        <v>15</v>
      </c>
      <c r="Q330">
        <v>13</v>
      </c>
      <c r="R330">
        <v>11</v>
      </c>
      <c r="S330">
        <v>8</v>
      </c>
      <c r="T330">
        <v>3</v>
      </c>
      <c r="U330">
        <v>1</v>
      </c>
      <c r="V330">
        <v>62</v>
      </c>
    </row>
    <row r="331" spans="1:22" x14ac:dyDescent="0.25">
      <c r="A331">
        <v>2025</v>
      </c>
      <c r="B331">
        <v>7</v>
      </c>
      <c r="C331" t="s">
        <v>61</v>
      </c>
      <c r="D331" t="s">
        <v>22</v>
      </c>
      <c r="E331" t="s">
        <v>160</v>
      </c>
      <c r="F331" t="s">
        <v>23</v>
      </c>
      <c r="G331" t="s">
        <v>24</v>
      </c>
      <c r="H331" t="s">
        <v>25</v>
      </c>
      <c r="I331" t="s">
        <v>26</v>
      </c>
      <c r="J331" t="s">
        <v>25</v>
      </c>
      <c r="K331">
        <v>186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186</v>
      </c>
    </row>
    <row r="332" spans="1:22" x14ac:dyDescent="0.25">
      <c r="A332">
        <v>2025</v>
      </c>
      <c r="B332">
        <v>7</v>
      </c>
      <c r="C332" t="s">
        <v>61</v>
      </c>
      <c r="D332" t="s">
        <v>22</v>
      </c>
      <c r="E332" t="s">
        <v>161</v>
      </c>
      <c r="F332" t="s">
        <v>32</v>
      </c>
      <c r="G332" t="s">
        <v>24</v>
      </c>
      <c r="H332" t="s">
        <v>25</v>
      </c>
      <c r="I332" t="s">
        <v>26</v>
      </c>
      <c r="J332" t="s">
        <v>25</v>
      </c>
      <c r="K332">
        <v>248</v>
      </c>
      <c r="L332">
        <v>0</v>
      </c>
      <c r="M332">
        <v>0</v>
      </c>
      <c r="N332">
        <v>0</v>
      </c>
      <c r="O332">
        <v>41</v>
      </c>
      <c r="P332">
        <v>29</v>
      </c>
      <c r="Q332">
        <v>27</v>
      </c>
      <c r="R332">
        <v>20</v>
      </c>
      <c r="S332">
        <v>14</v>
      </c>
      <c r="T332">
        <v>9</v>
      </c>
      <c r="U332">
        <v>3</v>
      </c>
      <c r="V332">
        <v>248</v>
      </c>
    </row>
    <row r="333" spans="1:22" x14ac:dyDescent="0.25">
      <c r="A333">
        <v>2025</v>
      </c>
      <c r="B333">
        <v>7</v>
      </c>
      <c r="C333" t="s">
        <v>61</v>
      </c>
      <c r="D333" t="s">
        <v>22</v>
      </c>
      <c r="E333" t="s">
        <v>161</v>
      </c>
      <c r="F333" t="s">
        <v>23</v>
      </c>
      <c r="G333" t="s">
        <v>24</v>
      </c>
      <c r="H333" t="s">
        <v>25</v>
      </c>
      <c r="I333" t="s">
        <v>26</v>
      </c>
      <c r="J333" t="s">
        <v>25</v>
      </c>
      <c r="K333">
        <v>31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31</v>
      </c>
    </row>
    <row r="334" spans="1:22" x14ac:dyDescent="0.25">
      <c r="A334">
        <v>2025</v>
      </c>
      <c r="B334">
        <v>7</v>
      </c>
      <c r="C334" t="s">
        <v>61</v>
      </c>
      <c r="D334" t="s">
        <v>22</v>
      </c>
      <c r="E334" t="s">
        <v>161</v>
      </c>
      <c r="F334" t="s">
        <v>36</v>
      </c>
      <c r="G334" t="s">
        <v>24</v>
      </c>
      <c r="H334" t="s">
        <v>25</v>
      </c>
      <c r="I334" t="s">
        <v>26</v>
      </c>
      <c r="J334" t="s">
        <v>25</v>
      </c>
      <c r="K334">
        <v>465</v>
      </c>
      <c r="L334">
        <v>0</v>
      </c>
      <c r="M334">
        <v>1</v>
      </c>
      <c r="N334">
        <v>1</v>
      </c>
      <c r="O334">
        <v>212</v>
      </c>
      <c r="P334">
        <v>169</v>
      </c>
      <c r="Q334">
        <v>153</v>
      </c>
      <c r="R334">
        <v>91</v>
      </c>
      <c r="S334">
        <v>71</v>
      </c>
      <c r="T334">
        <v>32</v>
      </c>
      <c r="U334">
        <v>16</v>
      </c>
      <c r="V334">
        <v>465</v>
      </c>
    </row>
    <row r="335" spans="1:22" x14ac:dyDescent="0.25">
      <c r="A335">
        <v>2025</v>
      </c>
      <c r="B335">
        <v>7</v>
      </c>
      <c r="C335" t="s">
        <v>61</v>
      </c>
      <c r="D335" t="s">
        <v>22</v>
      </c>
      <c r="E335" t="s">
        <v>162</v>
      </c>
      <c r="F335" t="s">
        <v>32</v>
      </c>
      <c r="G335" t="s">
        <v>24</v>
      </c>
      <c r="H335" t="s">
        <v>25</v>
      </c>
      <c r="I335" t="s">
        <v>26</v>
      </c>
      <c r="J335" t="s">
        <v>25</v>
      </c>
      <c r="K335">
        <v>217</v>
      </c>
      <c r="L335">
        <v>0</v>
      </c>
      <c r="M335">
        <v>0</v>
      </c>
      <c r="N335">
        <v>0</v>
      </c>
      <c r="O335">
        <v>142</v>
      </c>
      <c r="P335">
        <v>126</v>
      </c>
      <c r="Q335">
        <v>123</v>
      </c>
      <c r="R335">
        <v>87</v>
      </c>
      <c r="S335">
        <v>74</v>
      </c>
      <c r="T335">
        <v>26</v>
      </c>
      <c r="U335">
        <v>9</v>
      </c>
      <c r="V335">
        <v>217</v>
      </c>
    </row>
    <row r="336" spans="1:22" x14ac:dyDescent="0.25">
      <c r="A336">
        <v>2025</v>
      </c>
      <c r="B336">
        <v>7</v>
      </c>
      <c r="C336" t="s">
        <v>61</v>
      </c>
      <c r="D336" t="s">
        <v>22</v>
      </c>
      <c r="E336" t="s">
        <v>37</v>
      </c>
      <c r="F336" t="s">
        <v>23</v>
      </c>
      <c r="G336" t="s">
        <v>24</v>
      </c>
      <c r="H336" t="s">
        <v>25</v>
      </c>
      <c r="I336" t="s">
        <v>26</v>
      </c>
      <c r="J336" t="s">
        <v>25</v>
      </c>
      <c r="K336">
        <v>1</v>
      </c>
      <c r="L336">
        <v>0</v>
      </c>
      <c r="M336">
        <v>0</v>
      </c>
      <c r="N336">
        <v>0</v>
      </c>
      <c r="O336">
        <v>1</v>
      </c>
      <c r="P336">
        <v>1</v>
      </c>
      <c r="Q336">
        <v>1</v>
      </c>
      <c r="R336">
        <v>1</v>
      </c>
      <c r="S336">
        <v>1</v>
      </c>
      <c r="T336">
        <v>1</v>
      </c>
      <c r="U336">
        <v>1</v>
      </c>
      <c r="V336">
        <v>1</v>
      </c>
    </row>
    <row r="337" spans="1:22" x14ac:dyDescent="0.25">
      <c r="A337">
        <v>2025</v>
      </c>
      <c r="B337">
        <v>7</v>
      </c>
      <c r="C337" t="s">
        <v>61</v>
      </c>
      <c r="D337" t="s">
        <v>22</v>
      </c>
      <c r="E337" t="s">
        <v>138</v>
      </c>
      <c r="F337" t="s">
        <v>34</v>
      </c>
      <c r="G337" t="s">
        <v>24</v>
      </c>
      <c r="H337" t="s">
        <v>25</v>
      </c>
      <c r="I337" t="s">
        <v>26</v>
      </c>
      <c r="J337" t="s">
        <v>26</v>
      </c>
      <c r="K337">
        <v>13</v>
      </c>
      <c r="L337">
        <v>0</v>
      </c>
      <c r="M337">
        <v>0</v>
      </c>
      <c r="N337">
        <v>0</v>
      </c>
      <c r="O337">
        <v>2</v>
      </c>
      <c r="P337">
        <v>2</v>
      </c>
      <c r="Q337">
        <v>2</v>
      </c>
      <c r="R337">
        <v>2</v>
      </c>
      <c r="S337">
        <v>2</v>
      </c>
      <c r="T337">
        <v>2</v>
      </c>
      <c r="U337">
        <v>0</v>
      </c>
      <c r="V337">
        <v>13</v>
      </c>
    </row>
    <row r="338" spans="1:22" x14ac:dyDescent="0.25">
      <c r="A338">
        <v>2025</v>
      </c>
      <c r="B338">
        <v>7</v>
      </c>
      <c r="C338" t="s">
        <v>61</v>
      </c>
      <c r="D338" t="s">
        <v>22</v>
      </c>
      <c r="E338" t="s">
        <v>139</v>
      </c>
      <c r="F338" t="s">
        <v>34</v>
      </c>
      <c r="G338" t="s">
        <v>24</v>
      </c>
      <c r="H338" t="s">
        <v>25</v>
      </c>
      <c r="I338" t="s">
        <v>26</v>
      </c>
      <c r="J338" t="s">
        <v>26</v>
      </c>
      <c r="K338">
        <v>30</v>
      </c>
      <c r="L338">
        <v>0</v>
      </c>
      <c r="M338">
        <v>0</v>
      </c>
      <c r="N338">
        <v>0</v>
      </c>
      <c r="O338">
        <v>9</v>
      </c>
      <c r="P338">
        <v>6</v>
      </c>
      <c r="Q338">
        <v>6</v>
      </c>
      <c r="R338">
        <v>1</v>
      </c>
      <c r="S338">
        <v>1</v>
      </c>
      <c r="T338">
        <v>1</v>
      </c>
      <c r="U338">
        <v>1</v>
      </c>
      <c r="V338">
        <v>30</v>
      </c>
    </row>
    <row r="339" spans="1:22" x14ac:dyDescent="0.25">
      <c r="A339">
        <v>2025</v>
      </c>
      <c r="B339">
        <v>7</v>
      </c>
      <c r="C339" t="s">
        <v>61</v>
      </c>
      <c r="D339" t="s">
        <v>22</v>
      </c>
      <c r="E339" t="s">
        <v>141</v>
      </c>
      <c r="F339" t="s">
        <v>34</v>
      </c>
      <c r="G339" t="s">
        <v>24</v>
      </c>
      <c r="H339" t="s">
        <v>25</v>
      </c>
      <c r="I339" t="s">
        <v>26</v>
      </c>
      <c r="J339" t="s">
        <v>26</v>
      </c>
      <c r="K339">
        <v>31</v>
      </c>
      <c r="L339">
        <v>0</v>
      </c>
      <c r="M339">
        <v>0</v>
      </c>
      <c r="N339">
        <v>0</v>
      </c>
      <c r="O339">
        <v>21</v>
      </c>
      <c r="P339">
        <v>20</v>
      </c>
      <c r="Q339">
        <v>18</v>
      </c>
      <c r="R339">
        <v>14</v>
      </c>
      <c r="S339">
        <v>12</v>
      </c>
      <c r="T339">
        <v>8</v>
      </c>
      <c r="U339">
        <v>5</v>
      </c>
      <c r="V339">
        <v>31</v>
      </c>
    </row>
    <row r="340" spans="1:22" x14ac:dyDescent="0.25">
      <c r="A340">
        <v>2025</v>
      </c>
      <c r="B340">
        <v>7</v>
      </c>
      <c r="C340" t="s">
        <v>61</v>
      </c>
      <c r="D340" t="s">
        <v>22</v>
      </c>
      <c r="E340" t="s">
        <v>142</v>
      </c>
      <c r="F340" t="s">
        <v>34</v>
      </c>
      <c r="G340" t="s">
        <v>24</v>
      </c>
      <c r="H340" t="s">
        <v>25</v>
      </c>
      <c r="I340" t="s">
        <v>26</v>
      </c>
      <c r="J340" t="s">
        <v>26</v>
      </c>
      <c r="K340">
        <v>28</v>
      </c>
      <c r="L340">
        <v>0</v>
      </c>
      <c r="M340">
        <v>0</v>
      </c>
      <c r="N340">
        <v>0</v>
      </c>
      <c r="O340">
        <v>1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28</v>
      </c>
    </row>
    <row r="341" spans="1:22" x14ac:dyDescent="0.25">
      <c r="A341">
        <v>2025</v>
      </c>
      <c r="B341">
        <v>7</v>
      </c>
      <c r="C341" t="s">
        <v>61</v>
      </c>
      <c r="D341" t="s">
        <v>22</v>
      </c>
      <c r="E341" t="s">
        <v>144</v>
      </c>
      <c r="F341" t="s">
        <v>32</v>
      </c>
      <c r="G341" t="s">
        <v>24</v>
      </c>
      <c r="H341" t="s">
        <v>25</v>
      </c>
      <c r="I341" t="s">
        <v>26</v>
      </c>
      <c r="J341" t="s">
        <v>25</v>
      </c>
      <c r="K341">
        <v>208</v>
      </c>
      <c r="L341">
        <v>3</v>
      </c>
      <c r="M341">
        <v>1</v>
      </c>
      <c r="N341">
        <v>4</v>
      </c>
      <c r="O341">
        <v>59</v>
      </c>
      <c r="P341">
        <v>52</v>
      </c>
      <c r="Q341">
        <v>44</v>
      </c>
      <c r="R341">
        <v>36</v>
      </c>
      <c r="S341">
        <v>24</v>
      </c>
      <c r="T341">
        <v>11</v>
      </c>
      <c r="U341">
        <v>4</v>
      </c>
      <c r="V341">
        <v>204</v>
      </c>
    </row>
    <row r="342" spans="1:22" x14ac:dyDescent="0.25">
      <c r="A342">
        <v>2025</v>
      </c>
      <c r="B342">
        <v>7</v>
      </c>
      <c r="C342" t="s">
        <v>61</v>
      </c>
      <c r="D342" t="s">
        <v>22</v>
      </c>
      <c r="E342" t="s">
        <v>144</v>
      </c>
      <c r="F342" t="s">
        <v>34</v>
      </c>
      <c r="G342" t="s">
        <v>24</v>
      </c>
      <c r="H342" t="s">
        <v>25</v>
      </c>
      <c r="I342" t="s">
        <v>26</v>
      </c>
      <c r="J342" t="s">
        <v>26</v>
      </c>
      <c r="K342">
        <v>2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2</v>
      </c>
    </row>
    <row r="343" spans="1:22" x14ac:dyDescent="0.25">
      <c r="A343">
        <v>2025</v>
      </c>
      <c r="B343">
        <v>7</v>
      </c>
      <c r="C343" t="s">
        <v>61</v>
      </c>
      <c r="D343" t="s">
        <v>22</v>
      </c>
      <c r="E343" t="s">
        <v>144</v>
      </c>
      <c r="F343" t="s">
        <v>23</v>
      </c>
      <c r="G343" t="s">
        <v>24</v>
      </c>
      <c r="H343" t="s">
        <v>25</v>
      </c>
      <c r="I343" t="s">
        <v>26</v>
      </c>
      <c r="J343" t="s">
        <v>25</v>
      </c>
      <c r="K343">
        <v>155</v>
      </c>
      <c r="L343">
        <v>4</v>
      </c>
      <c r="M343">
        <v>0</v>
      </c>
      <c r="N343">
        <v>4</v>
      </c>
      <c r="O343">
        <v>41</v>
      </c>
      <c r="P343">
        <v>36</v>
      </c>
      <c r="Q343">
        <v>34</v>
      </c>
      <c r="R343">
        <v>28</v>
      </c>
      <c r="S343">
        <v>22</v>
      </c>
      <c r="T343">
        <v>7</v>
      </c>
      <c r="U343">
        <v>4</v>
      </c>
      <c r="V343">
        <v>151</v>
      </c>
    </row>
    <row r="344" spans="1:22" x14ac:dyDescent="0.25">
      <c r="A344">
        <v>2025</v>
      </c>
      <c r="B344">
        <v>7</v>
      </c>
      <c r="C344" t="s">
        <v>61</v>
      </c>
      <c r="D344" t="s">
        <v>22</v>
      </c>
      <c r="E344" t="s">
        <v>144</v>
      </c>
      <c r="F344" t="s">
        <v>39</v>
      </c>
      <c r="G344" t="s">
        <v>24</v>
      </c>
      <c r="H344" t="s">
        <v>26</v>
      </c>
      <c r="I344" t="s">
        <v>26</v>
      </c>
      <c r="J344" t="s">
        <v>25</v>
      </c>
      <c r="K344">
        <v>762</v>
      </c>
      <c r="L344">
        <v>30</v>
      </c>
      <c r="M344">
        <v>1</v>
      </c>
      <c r="N344">
        <v>31</v>
      </c>
      <c r="O344">
        <v>298</v>
      </c>
      <c r="P344">
        <v>262</v>
      </c>
      <c r="Q344">
        <v>236</v>
      </c>
      <c r="R344">
        <v>199</v>
      </c>
      <c r="S344">
        <v>161</v>
      </c>
      <c r="T344">
        <v>91</v>
      </c>
      <c r="U344">
        <v>42</v>
      </c>
      <c r="V344">
        <v>731</v>
      </c>
    </row>
    <row r="345" spans="1:22" x14ac:dyDescent="0.25">
      <c r="A345">
        <v>2025</v>
      </c>
      <c r="B345">
        <v>7</v>
      </c>
      <c r="C345" t="s">
        <v>61</v>
      </c>
      <c r="D345" t="s">
        <v>22</v>
      </c>
      <c r="E345" t="s">
        <v>144</v>
      </c>
      <c r="F345" t="s">
        <v>36</v>
      </c>
      <c r="G345" t="s">
        <v>24</v>
      </c>
      <c r="H345" t="s">
        <v>25</v>
      </c>
      <c r="I345" t="s">
        <v>26</v>
      </c>
      <c r="J345" t="s">
        <v>25</v>
      </c>
      <c r="K345">
        <v>260</v>
      </c>
      <c r="L345">
        <v>4</v>
      </c>
      <c r="M345">
        <v>2</v>
      </c>
      <c r="N345">
        <v>6</v>
      </c>
      <c r="O345">
        <v>71</v>
      </c>
      <c r="P345">
        <v>58</v>
      </c>
      <c r="Q345">
        <v>50</v>
      </c>
      <c r="R345">
        <v>43</v>
      </c>
      <c r="S345">
        <v>30</v>
      </c>
      <c r="T345">
        <v>15</v>
      </c>
      <c r="U345">
        <v>4</v>
      </c>
      <c r="V345">
        <v>256</v>
      </c>
    </row>
    <row r="346" spans="1:22" x14ac:dyDescent="0.25">
      <c r="A346">
        <v>2025</v>
      </c>
      <c r="B346">
        <v>7</v>
      </c>
      <c r="C346" t="s">
        <v>61</v>
      </c>
      <c r="D346" t="s">
        <v>22</v>
      </c>
      <c r="E346" t="s">
        <v>145</v>
      </c>
      <c r="F346" t="s">
        <v>32</v>
      </c>
      <c r="G346" t="s">
        <v>24</v>
      </c>
      <c r="H346" t="s">
        <v>25</v>
      </c>
      <c r="I346" t="s">
        <v>26</v>
      </c>
      <c r="J346" t="s">
        <v>25</v>
      </c>
      <c r="K346">
        <v>299</v>
      </c>
      <c r="L346">
        <v>3</v>
      </c>
      <c r="M346">
        <v>0</v>
      </c>
      <c r="N346">
        <v>3</v>
      </c>
      <c r="O346">
        <v>96</v>
      </c>
      <c r="P346">
        <v>63</v>
      </c>
      <c r="Q346">
        <v>52</v>
      </c>
      <c r="R346">
        <v>34</v>
      </c>
      <c r="S346">
        <v>23</v>
      </c>
      <c r="T346">
        <v>8</v>
      </c>
      <c r="U346">
        <v>2</v>
      </c>
      <c r="V346">
        <v>296</v>
      </c>
    </row>
    <row r="347" spans="1:22" x14ac:dyDescent="0.25">
      <c r="A347">
        <v>2025</v>
      </c>
      <c r="B347">
        <v>7</v>
      </c>
      <c r="C347" t="s">
        <v>61</v>
      </c>
      <c r="D347" t="s">
        <v>22</v>
      </c>
      <c r="E347" t="s">
        <v>154</v>
      </c>
      <c r="F347" t="s">
        <v>32</v>
      </c>
      <c r="G347" t="s">
        <v>24</v>
      </c>
      <c r="H347" t="s">
        <v>25</v>
      </c>
      <c r="I347" t="s">
        <v>26</v>
      </c>
      <c r="J347" t="s">
        <v>25</v>
      </c>
      <c r="K347">
        <v>16</v>
      </c>
      <c r="L347">
        <v>0</v>
      </c>
      <c r="M347">
        <v>0</v>
      </c>
      <c r="N347">
        <v>0</v>
      </c>
      <c r="O347">
        <v>4</v>
      </c>
      <c r="P347">
        <v>3</v>
      </c>
      <c r="Q347">
        <v>3</v>
      </c>
      <c r="R347">
        <v>2</v>
      </c>
      <c r="S347">
        <v>0</v>
      </c>
      <c r="T347">
        <v>0</v>
      </c>
      <c r="U347">
        <v>0</v>
      </c>
      <c r="V347">
        <v>16</v>
      </c>
    </row>
    <row r="348" spans="1:22" x14ac:dyDescent="0.25">
      <c r="A348">
        <v>2025</v>
      </c>
      <c r="B348">
        <v>7</v>
      </c>
      <c r="C348" t="s">
        <v>61</v>
      </c>
      <c r="D348" t="s">
        <v>22</v>
      </c>
      <c r="E348" t="s">
        <v>147</v>
      </c>
      <c r="F348" t="s">
        <v>32</v>
      </c>
      <c r="G348" t="s">
        <v>24</v>
      </c>
      <c r="H348" t="s">
        <v>25</v>
      </c>
      <c r="I348" t="s">
        <v>26</v>
      </c>
      <c r="J348" t="s">
        <v>25</v>
      </c>
      <c r="K348">
        <v>62</v>
      </c>
      <c r="L348">
        <v>0</v>
      </c>
      <c r="M348">
        <v>0</v>
      </c>
      <c r="N348">
        <v>0</v>
      </c>
      <c r="O348">
        <v>32</v>
      </c>
      <c r="P348">
        <v>25</v>
      </c>
      <c r="Q348">
        <v>24</v>
      </c>
      <c r="R348">
        <v>20</v>
      </c>
      <c r="S348">
        <v>15</v>
      </c>
      <c r="T348">
        <v>7</v>
      </c>
      <c r="U348">
        <v>3</v>
      </c>
      <c r="V348">
        <v>62</v>
      </c>
    </row>
    <row r="349" spans="1:22" x14ac:dyDescent="0.25">
      <c r="A349">
        <v>2025</v>
      </c>
      <c r="B349">
        <v>7</v>
      </c>
      <c r="C349" t="s">
        <v>61</v>
      </c>
      <c r="D349" t="s">
        <v>22</v>
      </c>
      <c r="E349" t="s">
        <v>147</v>
      </c>
      <c r="F349" t="s">
        <v>36</v>
      </c>
      <c r="G349" t="s">
        <v>24</v>
      </c>
      <c r="H349" t="s">
        <v>25</v>
      </c>
      <c r="I349" t="s">
        <v>26</v>
      </c>
      <c r="J349" t="s">
        <v>25</v>
      </c>
      <c r="K349">
        <v>238</v>
      </c>
      <c r="L349">
        <v>2</v>
      </c>
      <c r="M349">
        <v>0</v>
      </c>
      <c r="N349">
        <v>2</v>
      </c>
      <c r="O349">
        <v>121</v>
      </c>
      <c r="P349">
        <v>105</v>
      </c>
      <c r="Q349">
        <v>99</v>
      </c>
      <c r="R349">
        <v>80</v>
      </c>
      <c r="S349">
        <v>59</v>
      </c>
      <c r="T349">
        <v>35</v>
      </c>
      <c r="U349">
        <v>12</v>
      </c>
      <c r="V349">
        <v>236</v>
      </c>
    </row>
    <row r="350" spans="1:22" x14ac:dyDescent="0.25">
      <c r="A350">
        <v>2025</v>
      </c>
      <c r="B350">
        <v>7</v>
      </c>
      <c r="C350" t="s">
        <v>61</v>
      </c>
      <c r="D350" t="s">
        <v>22</v>
      </c>
      <c r="E350" t="s">
        <v>51</v>
      </c>
      <c r="F350" t="s">
        <v>34</v>
      </c>
      <c r="G350" t="s">
        <v>28</v>
      </c>
      <c r="H350" t="s">
        <v>25</v>
      </c>
      <c r="I350" t="s">
        <v>26</v>
      </c>
      <c r="J350" t="s">
        <v>26</v>
      </c>
      <c r="K350">
        <v>17</v>
      </c>
      <c r="L350">
        <v>0</v>
      </c>
      <c r="M350">
        <v>0</v>
      </c>
      <c r="N350">
        <v>0</v>
      </c>
      <c r="O350">
        <v>1</v>
      </c>
      <c r="P350">
        <v>1</v>
      </c>
      <c r="Q350">
        <v>1</v>
      </c>
      <c r="R350">
        <v>1</v>
      </c>
      <c r="S350">
        <v>1</v>
      </c>
      <c r="T350">
        <v>1</v>
      </c>
      <c r="U350">
        <v>0</v>
      </c>
      <c r="V350">
        <v>17</v>
      </c>
    </row>
    <row r="351" spans="1:22" x14ac:dyDescent="0.25">
      <c r="A351">
        <v>2025</v>
      </c>
      <c r="B351">
        <v>7</v>
      </c>
      <c r="C351" t="s">
        <v>61</v>
      </c>
      <c r="D351" t="s">
        <v>22</v>
      </c>
      <c r="E351" t="s">
        <v>155</v>
      </c>
      <c r="F351" t="s">
        <v>34</v>
      </c>
      <c r="G351" t="s">
        <v>24</v>
      </c>
      <c r="H351" t="s">
        <v>25</v>
      </c>
      <c r="I351" t="s">
        <v>26</v>
      </c>
      <c r="J351" t="s">
        <v>26</v>
      </c>
      <c r="K351">
        <v>62</v>
      </c>
      <c r="L351">
        <v>0</v>
      </c>
      <c r="M351">
        <v>0</v>
      </c>
      <c r="N351">
        <v>0</v>
      </c>
      <c r="O351">
        <v>9</v>
      </c>
      <c r="P351">
        <v>7</v>
      </c>
      <c r="Q351">
        <v>7</v>
      </c>
      <c r="R351">
        <v>6</v>
      </c>
      <c r="S351">
        <v>4</v>
      </c>
      <c r="T351">
        <v>3</v>
      </c>
      <c r="U351">
        <v>2</v>
      </c>
      <c r="V351">
        <v>62</v>
      </c>
    </row>
    <row r="352" spans="1:22" x14ac:dyDescent="0.25">
      <c r="A352">
        <v>2025</v>
      </c>
      <c r="B352">
        <v>7</v>
      </c>
      <c r="C352" t="s">
        <v>61</v>
      </c>
      <c r="D352" t="s">
        <v>22</v>
      </c>
      <c r="E352" t="s">
        <v>152</v>
      </c>
      <c r="F352" t="s">
        <v>31</v>
      </c>
      <c r="G352" t="s">
        <v>24</v>
      </c>
      <c r="H352" t="s">
        <v>25</v>
      </c>
      <c r="I352" t="s">
        <v>26</v>
      </c>
      <c r="J352" t="s">
        <v>25</v>
      </c>
      <c r="K352">
        <v>185</v>
      </c>
      <c r="L352">
        <v>0</v>
      </c>
      <c r="M352">
        <v>1</v>
      </c>
      <c r="N352">
        <v>1</v>
      </c>
      <c r="O352">
        <v>65</v>
      </c>
      <c r="P352">
        <v>44</v>
      </c>
      <c r="Q352">
        <v>41</v>
      </c>
      <c r="R352">
        <v>27</v>
      </c>
      <c r="S352">
        <v>20</v>
      </c>
      <c r="T352">
        <v>6</v>
      </c>
      <c r="U352">
        <v>2</v>
      </c>
      <c r="V352">
        <v>185</v>
      </c>
    </row>
    <row r="353" spans="1:22" x14ac:dyDescent="0.25">
      <c r="A353">
        <v>2025</v>
      </c>
      <c r="B353">
        <v>7</v>
      </c>
      <c r="C353" t="s">
        <v>61</v>
      </c>
      <c r="D353" t="s">
        <v>22</v>
      </c>
      <c r="E353" t="s">
        <v>152</v>
      </c>
      <c r="F353" t="s">
        <v>34</v>
      </c>
      <c r="G353" t="s">
        <v>24</v>
      </c>
      <c r="H353" t="s">
        <v>25</v>
      </c>
      <c r="I353" t="s">
        <v>26</v>
      </c>
      <c r="J353" t="s">
        <v>26</v>
      </c>
      <c r="K353">
        <v>13</v>
      </c>
      <c r="L353">
        <v>0</v>
      </c>
      <c r="M353">
        <v>0</v>
      </c>
      <c r="N353">
        <v>0</v>
      </c>
      <c r="O353">
        <v>4</v>
      </c>
      <c r="P353">
        <v>2</v>
      </c>
      <c r="Q353">
        <v>2</v>
      </c>
      <c r="R353">
        <v>2</v>
      </c>
      <c r="S353">
        <v>2</v>
      </c>
      <c r="T353">
        <v>2</v>
      </c>
      <c r="U353">
        <v>2</v>
      </c>
      <c r="V353">
        <v>13</v>
      </c>
    </row>
    <row r="354" spans="1:22" x14ac:dyDescent="0.25">
      <c r="A354">
        <v>2025</v>
      </c>
      <c r="B354">
        <v>7</v>
      </c>
      <c r="C354" t="s">
        <v>61</v>
      </c>
      <c r="D354" t="s">
        <v>22</v>
      </c>
      <c r="E354" t="s">
        <v>171</v>
      </c>
      <c r="F354" t="s">
        <v>34</v>
      </c>
      <c r="G354" t="s">
        <v>24</v>
      </c>
      <c r="H354" t="s">
        <v>25</v>
      </c>
      <c r="I354" t="s">
        <v>26</v>
      </c>
      <c r="J354" t="s">
        <v>26</v>
      </c>
      <c r="K354">
        <v>26</v>
      </c>
      <c r="L354">
        <v>0</v>
      </c>
      <c r="M354">
        <v>0</v>
      </c>
      <c r="N354">
        <v>0</v>
      </c>
      <c r="O354">
        <v>4</v>
      </c>
      <c r="P354">
        <v>4</v>
      </c>
      <c r="Q354">
        <v>4</v>
      </c>
      <c r="R354">
        <v>4</v>
      </c>
      <c r="S354">
        <v>3</v>
      </c>
      <c r="T354">
        <v>2</v>
      </c>
      <c r="U354">
        <v>1</v>
      </c>
      <c r="V354">
        <v>26</v>
      </c>
    </row>
    <row r="355" spans="1:22" x14ac:dyDescent="0.25">
      <c r="A355">
        <v>2025</v>
      </c>
      <c r="B355">
        <v>7</v>
      </c>
      <c r="C355" t="s">
        <v>61</v>
      </c>
      <c r="D355" t="s">
        <v>22</v>
      </c>
      <c r="E355" t="s">
        <v>163</v>
      </c>
      <c r="F355" t="s">
        <v>32</v>
      </c>
      <c r="G355" t="s">
        <v>24</v>
      </c>
      <c r="H355" t="s">
        <v>25</v>
      </c>
      <c r="I355" t="s">
        <v>26</v>
      </c>
      <c r="J355" t="s">
        <v>25</v>
      </c>
      <c r="K355">
        <v>265</v>
      </c>
      <c r="L355">
        <v>0</v>
      </c>
      <c r="M355">
        <v>0</v>
      </c>
      <c r="N355">
        <v>0</v>
      </c>
      <c r="O355">
        <v>154</v>
      </c>
      <c r="P355">
        <v>127</v>
      </c>
      <c r="Q355">
        <v>118</v>
      </c>
      <c r="R355">
        <v>96</v>
      </c>
      <c r="S355">
        <v>87</v>
      </c>
      <c r="T355">
        <v>47</v>
      </c>
      <c r="U355">
        <v>25</v>
      </c>
      <c r="V355">
        <v>265</v>
      </c>
    </row>
    <row r="356" spans="1:22" x14ac:dyDescent="0.25">
      <c r="A356">
        <v>2025</v>
      </c>
      <c r="B356">
        <v>7</v>
      </c>
      <c r="C356" t="s">
        <v>61</v>
      </c>
      <c r="D356" t="s">
        <v>22</v>
      </c>
      <c r="E356" t="s">
        <v>163</v>
      </c>
      <c r="F356" t="s">
        <v>34</v>
      </c>
      <c r="G356" t="s">
        <v>24</v>
      </c>
      <c r="H356" t="s">
        <v>25</v>
      </c>
      <c r="I356" t="s">
        <v>26</v>
      </c>
      <c r="J356" t="s">
        <v>26</v>
      </c>
      <c r="K356">
        <v>59</v>
      </c>
      <c r="L356">
        <v>0</v>
      </c>
      <c r="M356">
        <v>0</v>
      </c>
      <c r="N356">
        <v>0</v>
      </c>
      <c r="O356">
        <v>22</v>
      </c>
      <c r="P356">
        <v>19</v>
      </c>
      <c r="Q356">
        <v>17</v>
      </c>
      <c r="R356">
        <v>16</v>
      </c>
      <c r="S356">
        <v>14</v>
      </c>
      <c r="T356">
        <v>13</v>
      </c>
      <c r="U356">
        <v>11</v>
      </c>
      <c r="V356">
        <v>59</v>
      </c>
    </row>
    <row r="357" spans="1:22" x14ac:dyDescent="0.25">
      <c r="A357">
        <v>2025</v>
      </c>
      <c r="B357">
        <v>7</v>
      </c>
      <c r="C357" t="s">
        <v>61</v>
      </c>
      <c r="D357" t="s">
        <v>22</v>
      </c>
      <c r="E357" t="s">
        <v>163</v>
      </c>
      <c r="F357" t="s">
        <v>23</v>
      </c>
      <c r="G357" t="s">
        <v>24</v>
      </c>
      <c r="H357" t="s">
        <v>25</v>
      </c>
      <c r="I357" t="s">
        <v>26</v>
      </c>
      <c r="J357" t="s">
        <v>25</v>
      </c>
      <c r="K357">
        <v>39</v>
      </c>
      <c r="L357">
        <v>0</v>
      </c>
      <c r="M357">
        <v>0</v>
      </c>
      <c r="N357">
        <v>0</v>
      </c>
      <c r="O357">
        <v>3</v>
      </c>
      <c r="P357">
        <v>1</v>
      </c>
      <c r="Q357">
        <v>1</v>
      </c>
      <c r="R357">
        <v>1</v>
      </c>
      <c r="S357">
        <v>1</v>
      </c>
      <c r="T357">
        <v>1</v>
      </c>
      <c r="U357">
        <v>0</v>
      </c>
      <c r="V357">
        <v>39</v>
      </c>
    </row>
    <row r="358" spans="1:22" x14ac:dyDescent="0.25">
      <c r="A358">
        <v>2025</v>
      </c>
      <c r="B358">
        <v>7</v>
      </c>
      <c r="C358" t="s">
        <v>61</v>
      </c>
      <c r="D358" t="s">
        <v>22</v>
      </c>
      <c r="E358" t="s">
        <v>164</v>
      </c>
      <c r="F358" t="s">
        <v>23</v>
      </c>
      <c r="G358" t="s">
        <v>24</v>
      </c>
      <c r="H358" t="s">
        <v>25</v>
      </c>
      <c r="I358" t="s">
        <v>26</v>
      </c>
      <c r="J358" t="s">
        <v>25</v>
      </c>
      <c r="K358">
        <v>18</v>
      </c>
      <c r="L358">
        <v>0</v>
      </c>
      <c r="M358">
        <v>0</v>
      </c>
      <c r="N358">
        <v>0</v>
      </c>
      <c r="O358">
        <v>1</v>
      </c>
      <c r="P358">
        <v>1</v>
      </c>
      <c r="Q358">
        <v>1</v>
      </c>
      <c r="R358">
        <v>1</v>
      </c>
      <c r="S358">
        <v>1</v>
      </c>
      <c r="T358">
        <v>1</v>
      </c>
      <c r="U358">
        <v>1</v>
      </c>
      <c r="V358">
        <v>18</v>
      </c>
    </row>
    <row r="359" spans="1:22" x14ac:dyDescent="0.25">
      <c r="A359">
        <v>2025</v>
      </c>
      <c r="B359">
        <v>7</v>
      </c>
      <c r="C359" t="s">
        <v>61</v>
      </c>
      <c r="D359" t="s">
        <v>22</v>
      </c>
      <c r="E359" t="s">
        <v>165</v>
      </c>
      <c r="F359" t="s">
        <v>31</v>
      </c>
      <c r="G359" t="s">
        <v>24</v>
      </c>
      <c r="H359" t="s">
        <v>25</v>
      </c>
      <c r="I359" t="s">
        <v>26</v>
      </c>
      <c r="J359" t="s">
        <v>25</v>
      </c>
      <c r="K359">
        <v>31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31</v>
      </c>
    </row>
    <row r="360" spans="1:22" x14ac:dyDescent="0.25">
      <c r="A360">
        <v>2025</v>
      </c>
      <c r="B360">
        <v>7</v>
      </c>
      <c r="C360" t="s">
        <v>61</v>
      </c>
      <c r="D360" t="s">
        <v>22</v>
      </c>
      <c r="E360" t="s">
        <v>165</v>
      </c>
      <c r="F360" t="s">
        <v>32</v>
      </c>
      <c r="G360" t="s">
        <v>24</v>
      </c>
      <c r="H360" t="s">
        <v>25</v>
      </c>
      <c r="I360" t="s">
        <v>26</v>
      </c>
      <c r="J360" t="s">
        <v>25</v>
      </c>
      <c r="K360">
        <v>14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14</v>
      </c>
    </row>
    <row r="361" spans="1:22" x14ac:dyDescent="0.25">
      <c r="A361">
        <v>2025</v>
      </c>
      <c r="B361">
        <v>7</v>
      </c>
      <c r="C361" t="s">
        <v>61</v>
      </c>
      <c r="D361" t="s">
        <v>22</v>
      </c>
      <c r="E361" t="s">
        <v>61</v>
      </c>
      <c r="F361" t="s">
        <v>31</v>
      </c>
      <c r="G361" t="s">
        <v>28</v>
      </c>
      <c r="H361" t="s">
        <v>25</v>
      </c>
      <c r="I361" t="s">
        <v>26</v>
      </c>
      <c r="J361" t="s">
        <v>25</v>
      </c>
      <c r="K361">
        <v>542</v>
      </c>
      <c r="L361">
        <v>1</v>
      </c>
      <c r="M361">
        <v>4</v>
      </c>
      <c r="N361">
        <v>5</v>
      </c>
      <c r="O361">
        <v>108</v>
      </c>
      <c r="P361">
        <v>74</v>
      </c>
      <c r="Q361">
        <v>64</v>
      </c>
      <c r="R361">
        <v>40</v>
      </c>
      <c r="S361">
        <v>26</v>
      </c>
      <c r="T361">
        <v>12</v>
      </c>
      <c r="U361">
        <v>3</v>
      </c>
      <c r="V361">
        <v>539</v>
      </c>
    </row>
    <row r="362" spans="1:22" x14ac:dyDescent="0.25">
      <c r="A362">
        <v>2025</v>
      </c>
      <c r="B362">
        <v>7</v>
      </c>
      <c r="C362" t="s">
        <v>61</v>
      </c>
      <c r="D362" t="s">
        <v>22</v>
      </c>
      <c r="E362" t="s">
        <v>61</v>
      </c>
      <c r="F362" t="s">
        <v>31</v>
      </c>
      <c r="G362" t="s">
        <v>24</v>
      </c>
      <c r="H362" t="s">
        <v>25</v>
      </c>
      <c r="I362" t="s">
        <v>26</v>
      </c>
      <c r="J362" t="s">
        <v>25</v>
      </c>
      <c r="K362">
        <v>6</v>
      </c>
      <c r="L362">
        <v>0</v>
      </c>
      <c r="M362">
        <v>0</v>
      </c>
      <c r="N362">
        <v>0</v>
      </c>
      <c r="O362">
        <v>1</v>
      </c>
      <c r="P362">
        <v>1</v>
      </c>
      <c r="Q362">
        <v>1</v>
      </c>
      <c r="R362">
        <v>1</v>
      </c>
      <c r="S362">
        <v>1</v>
      </c>
      <c r="T362">
        <v>0</v>
      </c>
      <c r="U362">
        <v>0</v>
      </c>
      <c r="V362">
        <v>6</v>
      </c>
    </row>
    <row r="363" spans="1:22" x14ac:dyDescent="0.25">
      <c r="A363">
        <v>2025</v>
      </c>
      <c r="B363">
        <v>7</v>
      </c>
      <c r="C363" t="s">
        <v>61</v>
      </c>
      <c r="D363" t="s">
        <v>22</v>
      </c>
      <c r="E363" t="s">
        <v>61</v>
      </c>
      <c r="F363" t="s">
        <v>34</v>
      </c>
      <c r="G363" t="s">
        <v>24</v>
      </c>
      <c r="H363" t="s">
        <v>25</v>
      </c>
      <c r="I363" t="s">
        <v>26</v>
      </c>
      <c r="J363" t="s">
        <v>26</v>
      </c>
      <c r="K363">
        <v>4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4</v>
      </c>
    </row>
    <row r="364" spans="1:22" x14ac:dyDescent="0.25">
      <c r="A364">
        <v>2025</v>
      </c>
      <c r="B364">
        <v>7</v>
      </c>
      <c r="C364" t="s">
        <v>61</v>
      </c>
      <c r="D364" t="s">
        <v>22</v>
      </c>
      <c r="E364" t="s">
        <v>61</v>
      </c>
      <c r="F364" t="s">
        <v>23</v>
      </c>
      <c r="G364" t="s">
        <v>28</v>
      </c>
      <c r="H364" t="s">
        <v>25</v>
      </c>
      <c r="I364" t="s">
        <v>26</v>
      </c>
      <c r="J364" t="s">
        <v>25</v>
      </c>
      <c r="K364">
        <v>1570</v>
      </c>
      <c r="L364">
        <v>5</v>
      </c>
      <c r="M364">
        <v>110</v>
      </c>
      <c r="N364">
        <v>115</v>
      </c>
      <c r="O364">
        <v>255</v>
      </c>
      <c r="P364">
        <v>172</v>
      </c>
      <c r="Q364">
        <v>152</v>
      </c>
      <c r="R364">
        <v>107</v>
      </c>
      <c r="S364">
        <v>75</v>
      </c>
      <c r="T364">
        <v>34</v>
      </c>
      <c r="U364">
        <v>16</v>
      </c>
      <c r="V364">
        <v>1503</v>
      </c>
    </row>
    <row r="365" spans="1:22" x14ac:dyDescent="0.25">
      <c r="A365">
        <v>2025</v>
      </c>
      <c r="B365">
        <v>7</v>
      </c>
      <c r="C365" t="s">
        <v>61</v>
      </c>
      <c r="D365" t="s">
        <v>22</v>
      </c>
      <c r="E365" t="s">
        <v>61</v>
      </c>
      <c r="F365" t="s">
        <v>39</v>
      </c>
      <c r="G365" t="s">
        <v>28</v>
      </c>
      <c r="H365" t="s">
        <v>26</v>
      </c>
      <c r="I365" t="s">
        <v>26</v>
      </c>
      <c r="J365" t="s">
        <v>25</v>
      </c>
      <c r="K365">
        <v>31</v>
      </c>
      <c r="L365">
        <v>0</v>
      </c>
      <c r="M365">
        <v>0</v>
      </c>
      <c r="N365">
        <v>0</v>
      </c>
      <c r="O365">
        <v>7</v>
      </c>
      <c r="P365">
        <v>2</v>
      </c>
      <c r="Q365">
        <v>2</v>
      </c>
      <c r="R365">
        <v>2</v>
      </c>
      <c r="S365">
        <v>2</v>
      </c>
      <c r="T365">
        <v>2</v>
      </c>
      <c r="U365">
        <v>0</v>
      </c>
      <c r="V365">
        <v>31</v>
      </c>
    </row>
    <row r="366" spans="1:22" x14ac:dyDescent="0.25">
      <c r="A366">
        <v>2025</v>
      </c>
      <c r="B366">
        <v>7</v>
      </c>
      <c r="C366" t="s">
        <v>61</v>
      </c>
      <c r="D366" t="s">
        <v>22</v>
      </c>
      <c r="E366" t="s">
        <v>61</v>
      </c>
      <c r="F366" t="s">
        <v>35</v>
      </c>
      <c r="G366" t="s">
        <v>28</v>
      </c>
      <c r="H366" t="s">
        <v>25</v>
      </c>
      <c r="I366" t="s">
        <v>26</v>
      </c>
      <c r="J366" t="s">
        <v>26</v>
      </c>
      <c r="K366">
        <v>62</v>
      </c>
      <c r="L366">
        <v>0</v>
      </c>
      <c r="M366">
        <v>1</v>
      </c>
      <c r="N366">
        <v>1</v>
      </c>
      <c r="O366">
        <v>12</v>
      </c>
      <c r="P366">
        <v>9</v>
      </c>
      <c r="Q366">
        <v>9</v>
      </c>
      <c r="R366">
        <v>7</v>
      </c>
      <c r="S366">
        <v>5</v>
      </c>
      <c r="T366">
        <v>3</v>
      </c>
      <c r="U366">
        <v>1</v>
      </c>
      <c r="V366">
        <v>62</v>
      </c>
    </row>
    <row r="367" spans="1:22" x14ac:dyDescent="0.25">
      <c r="A367">
        <v>2025</v>
      </c>
      <c r="B367">
        <v>7</v>
      </c>
      <c r="C367" t="s">
        <v>61</v>
      </c>
      <c r="D367" t="s">
        <v>22</v>
      </c>
      <c r="E367" t="s">
        <v>61</v>
      </c>
      <c r="F367" t="s">
        <v>35</v>
      </c>
      <c r="G367" t="s">
        <v>24</v>
      </c>
      <c r="H367" t="s">
        <v>25</v>
      </c>
      <c r="I367" t="s">
        <v>26</v>
      </c>
      <c r="J367" t="s">
        <v>26</v>
      </c>
      <c r="K367">
        <v>758</v>
      </c>
      <c r="L367">
        <v>4</v>
      </c>
      <c r="M367">
        <v>2</v>
      </c>
      <c r="N367">
        <v>6</v>
      </c>
      <c r="O367">
        <v>311</v>
      </c>
      <c r="P367">
        <v>269</v>
      </c>
      <c r="Q367">
        <v>252</v>
      </c>
      <c r="R367">
        <v>222</v>
      </c>
      <c r="S367">
        <v>188</v>
      </c>
      <c r="T367">
        <v>141</v>
      </c>
      <c r="U367">
        <v>97</v>
      </c>
      <c r="V367">
        <v>752</v>
      </c>
    </row>
    <row r="368" spans="1:22" x14ac:dyDescent="0.25">
      <c r="A368">
        <v>2025</v>
      </c>
      <c r="B368">
        <v>7</v>
      </c>
      <c r="C368" t="s">
        <v>61</v>
      </c>
      <c r="D368" t="s">
        <v>22</v>
      </c>
      <c r="E368" t="s">
        <v>61</v>
      </c>
      <c r="F368" t="s">
        <v>36</v>
      </c>
      <c r="G368" t="s">
        <v>28</v>
      </c>
      <c r="H368" t="s">
        <v>25</v>
      </c>
      <c r="I368" t="s">
        <v>26</v>
      </c>
      <c r="J368" t="s">
        <v>25</v>
      </c>
      <c r="K368">
        <v>2062</v>
      </c>
      <c r="L368">
        <v>1</v>
      </c>
      <c r="M368">
        <v>32</v>
      </c>
      <c r="N368">
        <v>33</v>
      </c>
      <c r="O368">
        <v>416</v>
      </c>
      <c r="P368">
        <v>280</v>
      </c>
      <c r="Q368">
        <v>223</v>
      </c>
      <c r="R368">
        <v>121</v>
      </c>
      <c r="S368">
        <v>74</v>
      </c>
      <c r="T368">
        <v>23</v>
      </c>
      <c r="U368">
        <v>6</v>
      </c>
      <c r="V368">
        <v>2044</v>
      </c>
    </row>
    <row r="369" spans="1:22" x14ac:dyDescent="0.25">
      <c r="A369">
        <v>2025</v>
      </c>
      <c r="B369">
        <v>7</v>
      </c>
      <c r="C369" t="s">
        <v>61</v>
      </c>
      <c r="D369" t="s">
        <v>22</v>
      </c>
      <c r="E369" t="s">
        <v>61</v>
      </c>
      <c r="F369" t="s">
        <v>36</v>
      </c>
      <c r="G369" t="s">
        <v>24</v>
      </c>
      <c r="H369" t="s">
        <v>25</v>
      </c>
      <c r="I369" t="s">
        <v>26</v>
      </c>
      <c r="J369" t="s">
        <v>25</v>
      </c>
      <c r="K369">
        <v>124</v>
      </c>
      <c r="L369">
        <v>0</v>
      </c>
      <c r="M369">
        <v>0</v>
      </c>
      <c r="N369">
        <v>0</v>
      </c>
      <c r="O369">
        <v>67</v>
      </c>
      <c r="P369">
        <v>60</v>
      </c>
      <c r="Q369">
        <v>58</v>
      </c>
      <c r="R369">
        <v>52</v>
      </c>
      <c r="S369">
        <v>40</v>
      </c>
      <c r="T369">
        <v>21</v>
      </c>
      <c r="U369">
        <v>9</v>
      </c>
      <c r="V369">
        <v>124</v>
      </c>
    </row>
    <row r="370" spans="1:22" x14ac:dyDescent="0.25">
      <c r="A370">
        <v>2025</v>
      </c>
      <c r="B370">
        <v>7</v>
      </c>
      <c r="C370" t="s">
        <v>61</v>
      </c>
      <c r="D370" t="s">
        <v>22</v>
      </c>
      <c r="E370" t="s">
        <v>61</v>
      </c>
      <c r="F370" t="s">
        <v>41</v>
      </c>
      <c r="G370" t="s">
        <v>28</v>
      </c>
      <c r="H370" t="s">
        <v>26</v>
      </c>
      <c r="I370" t="s">
        <v>26</v>
      </c>
      <c r="J370" t="s">
        <v>25</v>
      </c>
      <c r="K370">
        <v>923</v>
      </c>
      <c r="L370">
        <v>1</v>
      </c>
      <c r="M370">
        <v>15</v>
      </c>
      <c r="N370">
        <v>16</v>
      </c>
      <c r="O370">
        <v>345</v>
      </c>
      <c r="P370">
        <v>285</v>
      </c>
      <c r="Q370">
        <v>262</v>
      </c>
      <c r="R370">
        <v>204</v>
      </c>
      <c r="S370">
        <v>169</v>
      </c>
      <c r="T370">
        <v>73</v>
      </c>
      <c r="U370">
        <v>9</v>
      </c>
      <c r="V370">
        <v>916</v>
      </c>
    </row>
    <row r="371" spans="1:22" x14ac:dyDescent="0.25">
      <c r="A371">
        <v>2025</v>
      </c>
      <c r="B371">
        <v>7</v>
      </c>
      <c r="C371" t="s">
        <v>61</v>
      </c>
      <c r="D371" t="s">
        <v>22</v>
      </c>
      <c r="E371" t="s">
        <v>61</v>
      </c>
      <c r="F371" t="s">
        <v>41</v>
      </c>
      <c r="G371" t="s">
        <v>24</v>
      </c>
      <c r="H371" t="s">
        <v>26</v>
      </c>
      <c r="I371" t="s">
        <v>26</v>
      </c>
      <c r="J371" t="s">
        <v>25</v>
      </c>
      <c r="K371">
        <v>995</v>
      </c>
      <c r="L371">
        <v>2</v>
      </c>
      <c r="M371">
        <v>9</v>
      </c>
      <c r="N371">
        <v>11</v>
      </c>
      <c r="O371">
        <v>459</v>
      </c>
      <c r="P371">
        <v>383</v>
      </c>
      <c r="Q371">
        <v>345</v>
      </c>
      <c r="R371">
        <v>261</v>
      </c>
      <c r="S371">
        <v>206</v>
      </c>
      <c r="T371">
        <v>97</v>
      </c>
      <c r="U371">
        <v>13</v>
      </c>
      <c r="V371">
        <v>990</v>
      </c>
    </row>
    <row r="372" spans="1:22" x14ac:dyDescent="0.25">
      <c r="A372">
        <v>2025</v>
      </c>
      <c r="B372">
        <v>7</v>
      </c>
      <c r="C372" t="s">
        <v>61</v>
      </c>
      <c r="D372" t="s">
        <v>22</v>
      </c>
      <c r="E372" t="s">
        <v>166</v>
      </c>
      <c r="F372" t="s">
        <v>32</v>
      </c>
      <c r="G372" t="s">
        <v>24</v>
      </c>
      <c r="H372" t="s">
        <v>25</v>
      </c>
      <c r="I372" t="s">
        <v>26</v>
      </c>
      <c r="J372" t="s">
        <v>25</v>
      </c>
      <c r="K372">
        <v>278</v>
      </c>
      <c r="L372">
        <v>3</v>
      </c>
      <c r="M372">
        <v>0</v>
      </c>
      <c r="N372">
        <v>3</v>
      </c>
      <c r="O372">
        <v>219</v>
      </c>
      <c r="P372">
        <v>191</v>
      </c>
      <c r="Q372">
        <v>181</v>
      </c>
      <c r="R372">
        <v>147</v>
      </c>
      <c r="S372">
        <v>88</v>
      </c>
      <c r="T372">
        <v>17</v>
      </c>
      <c r="U372">
        <v>8</v>
      </c>
      <c r="V372">
        <v>275</v>
      </c>
    </row>
    <row r="373" spans="1:22" x14ac:dyDescent="0.25">
      <c r="A373">
        <v>2025</v>
      </c>
      <c r="B373">
        <v>7</v>
      </c>
      <c r="C373" t="s">
        <v>61</v>
      </c>
      <c r="D373" t="s">
        <v>22</v>
      </c>
      <c r="E373" t="s">
        <v>168</v>
      </c>
      <c r="F373" t="s">
        <v>31</v>
      </c>
      <c r="G373" t="s">
        <v>24</v>
      </c>
      <c r="H373" t="s">
        <v>25</v>
      </c>
      <c r="I373" t="s">
        <v>26</v>
      </c>
      <c r="J373" t="s">
        <v>25</v>
      </c>
      <c r="K373">
        <v>569</v>
      </c>
      <c r="L373">
        <v>0</v>
      </c>
      <c r="M373">
        <v>1</v>
      </c>
      <c r="N373">
        <v>1</v>
      </c>
      <c r="O373">
        <v>84</v>
      </c>
      <c r="P373">
        <v>55</v>
      </c>
      <c r="Q373">
        <v>44</v>
      </c>
      <c r="R373">
        <v>25</v>
      </c>
      <c r="S373">
        <v>15</v>
      </c>
      <c r="T373">
        <v>11</v>
      </c>
      <c r="U373">
        <v>3</v>
      </c>
      <c r="V373">
        <v>569</v>
      </c>
    </row>
    <row r="374" spans="1:22" x14ac:dyDescent="0.25">
      <c r="A374">
        <v>2025</v>
      </c>
      <c r="B374">
        <v>7</v>
      </c>
      <c r="C374" t="s">
        <v>61</v>
      </c>
      <c r="D374" t="s">
        <v>22</v>
      </c>
      <c r="E374" t="s">
        <v>168</v>
      </c>
      <c r="F374" t="s">
        <v>23</v>
      </c>
      <c r="G374" t="s">
        <v>24</v>
      </c>
      <c r="H374" t="s">
        <v>25</v>
      </c>
      <c r="I374" t="s">
        <v>26</v>
      </c>
      <c r="J374" t="s">
        <v>25</v>
      </c>
      <c r="K374">
        <v>44</v>
      </c>
      <c r="L374">
        <v>0</v>
      </c>
      <c r="M374">
        <v>1</v>
      </c>
      <c r="N374">
        <v>1</v>
      </c>
      <c r="O374">
        <v>4</v>
      </c>
      <c r="P374">
        <v>2</v>
      </c>
      <c r="Q374">
        <v>2</v>
      </c>
      <c r="R374">
        <v>2</v>
      </c>
      <c r="S374">
        <v>2</v>
      </c>
      <c r="T374">
        <v>1</v>
      </c>
      <c r="U374">
        <v>1</v>
      </c>
      <c r="V374">
        <v>44</v>
      </c>
    </row>
    <row r="375" spans="1:22" x14ac:dyDescent="0.25">
      <c r="A375">
        <v>2025</v>
      </c>
      <c r="B375">
        <v>7</v>
      </c>
      <c r="C375" t="s">
        <v>61</v>
      </c>
      <c r="D375" t="s">
        <v>22</v>
      </c>
      <c r="E375" t="s">
        <v>157</v>
      </c>
      <c r="F375" t="s">
        <v>31</v>
      </c>
      <c r="G375" t="s">
        <v>24</v>
      </c>
      <c r="H375" t="s">
        <v>25</v>
      </c>
      <c r="I375" t="s">
        <v>26</v>
      </c>
      <c r="J375" t="s">
        <v>25</v>
      </c>
      <c r="K375">
        <v>124</v>
      </c>
      <c r="L375">
        <v>0</v>
      </c>
      <c r="M375">
        <v>0</v>
      </c>
      <c r="N375">
        <v>0</v>
      </c>
      <c r="O375">
        <v>72</v>
      </c>
      <c r="P375">
        <v>57</v>
      </c>
      <c r="Q375">
        <v>51</v>
      </c>
      <c r="R375">
        <v>35</v>
      </c>
      <c r="S375">
        <v>21</v>
      </c>
      <c r="T375">
        <v>4</v>
      </c>
      <c r="U375">
        <v>2</v>
      </c>
      <c r="V375">
        <v>124</v>
      </c>
    </row>
    <row r="376" spans="1:22" x14ac:dyDescent="0.25">
      <c r="A376">
        <v>2025</v>
      </c>
      <c r="B376">
        <v>7</v>
      </c>
      <c r="C376" t="s">
        <v>61</v>
      </c>
      <c r="D376" t="s">
        <v>22</v>
      </c>
      <c r="E376" t="s">
        <v>157</v>
      </c>
      <c r="F376" t="s">
        <v>35</v>
      </c>
      <c r="G376" t="s">
        <v>24</v>
      </c>
      <c r="H376" t="s">
        <v>25</v>
      </c>
      <c r="I376" t="s">
        <v>26</v>
      </c>
      <c r="J376" t="s">
        <v>26</v>
      </c>
      <c r="K376">
        <v>30</v>
      </c>
      <c r="L376">
        <v>1</v>
      </c>
      <c r="M376">
        <v>0</v>
      </c>
      <c r="N376">
        <v>1</v>
      </c>
      <c r="O376">
        <v>17</v>
      </c>
      <c r="P376">
        <v>11</v>
      </c>
      <c r="Q376">
        <v>10</v>
      </c>
      <c r="R376">
        <v>9</v>
      </c>
      <c r="S376">
        <v>9</v>
      </c>
      <c r="T376">
        <v>8</v>
      </c>
      <c r="U376">
        <v>4</v>
      </c>
      <c r="V376">
        <v>29</v>
      </c>
    </row>
    <row r="377" spans="1:22" x14ac:dyDescent="0.25">
      <c r="A377">
        <v>2025</v>
      </c>
      <c r="B377">
        <v>7</v>
      </c>
      <c r="C377" t="s">
        <v>61</v>
      </c>
      <c r="D377" t="s">
        <v>22</v>
      </c>
      <c r="E377" t="s">
        <v>157</v>
      </c>
      <c r="F377" t="s">
        <v>41</v>
      </c>
      <c r="G377" t="s">
        <v>24</v>
      </c>
      <c r="H377" t="s">
        <v>26</v>
      </c>
      <c r="I377" t="s">
        <v>26</v>
      </c>
      <c r="J377" t="s">
        <v>25</v>
      </c>
      <c r="K377">
        <v>57</v>
      </c>
      <c r="L377">
        <v>0</v>
      </c>
      <c r="M377">
        <v>0</v>
      </c>
      <c r="N377">
        <v>0</v>
      </c>
      <c r="O377">
        <v>28</v>
      </c>
      <c r="P377">
        <v>26</v>
      </c>
      <c r="Q377">
        <v>21</v>
      </c>
      <c r="R377">
        <v>17</v>
      </c>
      <c r="S377">
        <v>12</v>
      </c>
      <c r="T377">
        <v>7</v>
      </c>
      <c r="U377">
        <v>2</v>
      </c>
      <c r="V377">
        <v>57</v>
      </c>
    </row>
    <row r="378" spans="1:22" x14ac:dyDescent="0.25">
      <c r="A378">
        <v>2025</v>
      </c>
      <c r="B378">
        <v>7</v>
      </c>
      <c r="C378" t="s">
        <v>61</v>
      </c>
      <c r="D378" t="s">
        <v>22</v>
      </c>
      <c r="E378" t="s">
        <v>66</v>
      </c>
      <c r="F378" t="s">
        <v>34</v>
      </c>
      <c r="G378" t="s">
        <v>24</v>
      </c>
      <c r="H378" t="s">
        <v>25</v>
      </c>
      <c r="I378" t="s">
        <v>26</v>
      </c>
      <c r="J378" t="s">
        <v>26</v>
      </c>
      <c r="K378">
        <v>31</v>
      </c>
      <c r="L378">
        <v>0</v>
      </c>
      <c r="M378">
        <v>0</v>
      </c>
      <c r="N378">
        <v>0</v>
      </c>
      <c r="O378">
        <v>14</v>
      </c>
      <c r="P378">
        <v>13</v>
      </c>
      <c r="Q378">
        <v>13</v>
      </c>
      <c r="R378">
        <v>11</v>
      </c>
      <c r="S378">
        <v>8</v>
      </c>
      <c r="T378">
        <v>5</v>
      </c>
      <c r="U378">
        <v>3</v>
      </c>
      <c r="V378">
        <v>31</v>
      </c>
    </row>
    <row r="379" spans="1:22" x14ac:dyDescent="0.25">
      <c r="A379">
        <v>2025</v>
      </c>
      <c r="B379">
        <v>8</v>
      </c>
      <c r="C379" t="s">
        <v>61</v>
      </c>
      <c r="D379" t="s">
        <v>22</v>
      </c>
      <c r="E379" t="s">
        <v>159</v>
      </c>
      <c r="F379" t="s">
        <v>31</v>
      </c>
      <c r="G379" t="s">
        <v>24</v>
      </c>
      <c r="H379" t="s">
        <v>25</v>
      </c>
      <c r="I379" t="s">
        <v>26</v>
      </c>
      <c r="J379" t="s">
        <v>25</v>
      </c>
      <c r="K379">
        <v>31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31</v>
      </c>
    </row>
    <row r="380" spans="1:22" x14ac:dyDescent="0.25">
      <c r="A380">
        <v>2025</v>
      </c>
      <c r="B380">
        <v>8</v>
      </c>
      <c r="C380" t="s">
        <v>61</v>
      </c>
      <c r="D380" t="s">
        <v>22</v>
      </c>
      <c r="E380" t="s">
        <v>131</v>
      </c>
      <c r="F380" t="s">
        <v>34</v>
      </c>
      <c r="G380" t="s">
        <v>24</v>
      </c>
      <c r="H380" t="s">
        <v>25</v>
      </c>
      <c r="I380" t="s">
        <v>26</v>
      </c>
      <c r="J380" t="s">
        <v>26</v>
      </c>
      <c r="K380">
        <v>62</v>
      </c>
      <c r="L380">
        <v>0</v>
      </c>
      <c r="M380">
        <v>0</v>
      </c>
      <c r="N380">
        <v>0</v>
      </c>
      <c r="O380">
        <v>16</v>
      </c>
      <c r="P380">
        <v>13</v>
      </c>
      <c r="Q380">
        <v>13</v>
      </c>
      <c r="R380">
        <v>8</v>
      </c>
      <c r="S380">
        <v>6</v>
      </c>
      <c r="T380">
        <v>4</v>
      </c>
      <c r="U380">
        <v>0</v>
      </c>
      <c r="V380">
        <v>62</v>
      </c>
    </row>
    <row r="381" spans="1:22" x14ac:dyDescent="0.25">
      <c r="A381">
        <v>2025</v>
      </c>
      <c r="B381">
        <v>8</v>
      </c>
      <c r="C381" t="s">
        <v>61</v>
      </c>
      <c r="D381" t="s">
        <v>22</v>
      </c>
      <c r="E381" t="s">
        <v>160</v>
      </c>
      <c r="F381" t="s">
        <v>23</v>
      </c>
      <c r="G381" t="s">
        <v>24</v>
      </c>
      <c r="H381" t="s">
        <v>25</v>
      </c>
      <c r="I381" t="s">
        <v>26</v>
      </c>
      <c r="J381" t="s">
        <v>25</v>
      </c>
      <c r="K381">
        <v>186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186</v>
      </c>
    </row>
    <row r="382" spans="1:22" x14ac:dyDescent="0.25">
      <c r="A382">
        <v>2025</v>
      </c>
      <c r="B382">
        <v>8</v>
      </c>
      <c r="C382" t="s">
        <v>61</v>
      </c>
      <c r="D382" t="s">
        <v>22</v>
      </c>
      <c r="E382" t="s">
        <v>161</v>
      </c>
      <c r="F382" t="s">
        <v>32</v>
      </c>
      <c r="G382" t="s">
        <v>24</v>
      </c>
      <c r="H382" t="s">
        <v>25</v>
      </c>
      <c r="I382" t="s">
        <v>26</v>
      </c>
      <c r="J382" t="s">
        <v>25</v>
      </c>
      <c r="K382">
        <v>248</v>
      </c>
      <c r="L382">
        <v>0</v>
      </c>
      <c r="M382">
        <v>0</v>
      </c>
      <c r="N382">
        <v>0</v>
      </c>
      <c r="O382">
        <v>31</v>
      </c>
      <c r="P382">
        <v>19</v>
      </c>
      <c r="Q382">
        <v>16</v>
      </c>
      <c r="R382">
        <v>11</v>
      </c>
      <c r="S382">
        <v>8</v>
      </c>
      <c r="T382">
        <v>3</v>
      </c>
      <c r="U382">
        <v>2</v>
      </c>
      <c r="V382">
        <v>248</v>
      </c>
    </row>
    <row r="383" spans="1:22" x14ac:dyDescent="0.25">
      <c r="A383">
        <v>2025</v>
      </c>
      <c r="B383">
        <v>8</v>
      </c>
      <c r="C383" t="s">
        <v>61</v>
      </c>
      <c r="D383" t="s">
        <v>22</v>
      </c>
      <c r="E383" t="s">
        <v>161</v>
      </c>
      <c r="F383" t="s">
        <v>23</v>
      </c>
      <c r="G383" t="s">
        <v>24</v>
      </c>
      <c r="H383" t="s">
        <v>25</v>
      </c>
      <c r="I383" t="s">
        <v>26</v>
      </c>
      <c r="J383" t="s">
        <v>25</v>
      </c>
      <c r="K383">
        <v>31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31</v>
      </c>
    </row>
    <row r="384" spans="1:22" x14ac:dyDescent="0.25">
      <c r="A384">
        <v>2025</v>
      </c>
      <c r="B384">
        <v>8</v>
      </c>
      <c r="C384" t="s">
        <v>61</v>
      </c>
      <c r="D384" t="s">
        <v>22</v>
      </c>
      <c r="E384" t="s">
        <v>161</v>
      </c>
      <c r="F384" t="s">
        <v>36</v>
      </c>
      <c r="G384" t="s">
        <v>24</v>
      </c>
      <c r="H384" t="s">
        <v>25</v>
      </c>
      <c r="I384" t="s">
        <v>26</v>
      </c>
      <c r="J384" t="s">
        <v>25</v>
      </c>
      <c r="K384">
        <v>465</v>
      </c>
      <c r="L384">
        <v>0</v>
      </c>
      <c r="M384">
        <v>0</v>
      </c>
      <c r="N384">
        <v>0</v>
      </c>
      <c r="O384">
        <v>167</v>
      </c>
      <c r="P384">
        <v>120</v>
      </c>
      <c r="Q384">
        <v>108</v>
      </c>
      <c r="R384">
        <v>62</v>
      </c>
      <c r="S384">
        <v>47</v>
      </c>
      <c r="T384">
        <v>18</v>
      </c>
      <c r="U384">
        <v>8</v>
      </c>
      <c r="V384">
        <v>465</v>
      </c>
    </row>
    <row r="385" spans="1:22" x14ac:dyDescent="0.25">
      <c r="A385">
        <v>2025</v>
      </c>
      <c r="B385">
        <v>8</v>
      </c>
      <c r="C385" t="s">
        <v>61</v>
      </c>
      <c r="D385" t="s">
        <v>22</v>
      </c>
      <c r="E385" t="s">
        <v>162</v>
      </c>
      <c r="F385" t="s">
        <v>32</v>
      </c>
      <c r="G385" t="s">
        <v>24</v>
      </c>
      <c r="H385" t="s">
        <v>25</v>
      </c>
      <c r="I385" t="s">
        <v>26</v>
      </c>
      <c r="J385" t="s">
        <v>25</v>
      </c>
      <c r="K385">
        <v>217</v>
      </c>
      <c r="L385">
        <v>0</v>
      </c>
      <c r="M385">
        <v>0</v>
      </c>
      <c r="N385">
        <v>0</v>
      </c>
      <c r="O385">
        <v>120</v>
      </c>
      <c r="P385">
        <v>99</v>
      </c>
      <c r="Q385">
        <v>96</v>
      </c>
      <c r="R385">
        <v>59</v>
      </c>
      <c r="S385">
        <v>43</v>
      </c>
      <c r="T385">
        <v>19</v>
      </c>
      <c r="U385">
        <v>3</v>
      </c>
      <c r="V385">
        <v>217</v>
      </c>
    </row>
    <row r="386" spans="1:22" x14ac:dyDescent="0.25">
      <c r="A386">
        <v>2025</v>
      </c>
      <c r="B386">
        <v>8</v>
      </c>
      <c r="C386" t="s">
        <v>61</v>
      </c>
      <c r="D386" t="s">
        <v>22</v>
      </c>
      <c r="E386" t="s">
        <v>139</v>
      </c>
      <c r="F386" t="s">
        <v>34</v>
      </c>
      <c r="G386" t="s">
        <v>24</v>
      </c>
      <c r="H386" t="s">
        <v>25</v>
      </c>
      <c r="I386" t="s">
        <v>26</v>
      </c>
      <c r="J386" t="s">
        <v>26</v>
      </c>
      <c r="K386">
        <v>27</v>
      </c>
      <c r="L386">
        <v>1</v>
      </c>
      <c r="M386">
        <v>0</v>
      </c>
      <c r="N386">
        <v>1</v>
      </c>
      <c r="O386">
        <v>12</v>
      </c>
      <c r="P386">
        <v>7</v>
      </c>
      <c r="Q386">
        <v>7</v>
      </c>
      <c r="R386">
        <v>6</v>
      </c>
      <c r="S386">
        <v>5</v>
      </c>
      <c r="T386">
        <v>2</v>
      </c>
      <c r="U386">
        <v>2</v>
      </c>
      <c r="V386">
        <v>26</v>
      </c>
    </row>
    <row r="387" spans="1:22" x14ac:dyDescent="0.25">
      <c r="A387">
        <v>2025</v>
      </c>
      <c r="B387">
        <v>8</v>
      </c>
      <c r="C387" t="s">
        <v>61</v>
      </c>
      <c r="D387" t="s">
        <v>22</v>
      </c>
      <c r="E387" t="s">
        <v>141</v>
      </c>
      <c r="F387" t="s">
        <v>34</v>
      </c>
      <c r="G387" t="s">
        <v>24</v>
      </c>
      <c r="H387" t="s">
        <v>25</v>
      </c>
      <c r="I387" t="s">
        <v>26</v>
      </c>
      <c r="J387" t="s">
        <v>26</v>
      </c>
      <c r="K387">
        <v>31</v>
      </c>
      <c r="L387">
        <v>0</v>
      </c>
      <c r="M387">
        <v>0</v>
      </c>
      <c r="N387">
        <v>0</v>
      </c>
      <c r="O387">
        <v>18</v>
      </c>
      <c r="P387">
        <v>16</v>
      </c>
      <c r="Q387">
        <v>16</v>
      </c>
      <c r="R387">
        <v>14</v>
      </c>
      <c r="S387">
        <v>11</v>
      </c>
      <c r="T387">
        <v>3</v>
      </c>
      <c r="U387">
        <v>1</v>
      </c>
      <c r="V387">
        <v>31</v>
      </c>
    </row>
    <row r="388" spans="1:22" x14ac:dyDescent="0.25">
      <c r="A388">
        <v>2025</v>
      </c>
      <c r="B388">
        <v>8</v>
      </c>
      <c r="C388" t="s">
        <v>61</v>
      </c>
      <c r="D388" t="s">
        <v>22</v>
      </c>
      <c r="E388" t="s">
        <v>142</v>
      </c>
      <c r="F388" t="s">
        <v>34</v>
      </c>
      <c r="G388" t="s">
        <v>24</v>
      </c>
      <c r="H388" t="s">
        <v>25</v>
      </c>
      <c r="I388" t="s">
        <v>26</v>
      </c>
      <c r="J388" t="s">
        <v>26</v>
      </c>
      <c r="K388">
        <v>31</v>
      </c>
      <c r="L388">
        <v>0</v>
      </c>
      <c r="M388">
        <v>0</v>
      </c>
      <c r="N388">
        <v>0</v>
      </c>
      <c r="O388">
        <v>1</v>
      </c>
      <c r="P388">
        <v>1</v>
      </c>
      <c r="Q388">
        <v>1</v>
      </c>
      <c r="R388">
        <v>0</v>
      </c>
      <c r="S388">
        <v>0</v>
      </c>
      <c r="T388">
        <v>0</v>
      </c>
      <c r="U388">
        <v>0</v>
      </c>
      <c r="V388">
        <v>31</v>
      </c>
    </row>
    <row r="389" spans="1:22" x14ac:dyDescent="0.25">
      <c r="A389">
        <v>2025</v>
      </c>
      <c r="B389">
        <v>8</v>
      </c>
      <c r="C389" t="s">
        <v>61</v>
      </c>
      <c r="D389" t="s">
        <v>22</v>
      </c>
      <c r="E389" t="s">
        <v>144</v>
      </c>
      <c r="F389" t="s">
        <v>32</v>
      </c>
      <c r="G389" t="s">
        <v>24</v>
      </c>
      <c r="H389" t="s">
        <v>25</v>
      </c>
      <c r="I389" t="s">
        <v>26</v>
      </c>
      <c r="J389" t="s">
        <v>25</v>
      </c>
      <c r="K389">
        <v>173</v>
      </c>
      <c r="L389">
        <v>2</v>
      </c>
      <c r="M389">
        <v>0</v>
      </c>
      <c r="N389">
        <v>2</v>
      </c>
      <c r="O389">
        <v>59</v>
      </c>
      <c r="P389">
        <v>53</v>
      </c>
      <c r="Q389">
        <v>52</v>
      </c>
      <c r="R389">
        <v>37</v>
      </c>
      <c r="S389">
        <v>25</v>
      </c>
      <c r="T389">
        <v>11</v>
      </c>
      <c r="U389">
        <v>3</v>
      </c>
      <c r="V389">
        <v>171</v>
      </c>
    </row>
    <row r="390" spans="1:22" x14ac:dyDescent="0.25">
      <c r="A390">
        <v>2025</v>
      </c>
      <c r="B390">
        <v>8</v>
      </c>
      <c r="C390" t="s">
        <v>61</v>
      </c>
      <c r="D390" t="s">
        <v>22</v>
      </c>
      <c r="E390" t="s">
        <v>144</v>
      </c>
      <c r="F390" t="s">
        <v>34</v>
      </c>
      <c r="G390" t="s">
        <v>24</v>
      </c>
      <c r="H390" t="s">
        <v>25</v>
      </c>
      <c r="I390" t="s">
        <v>26</v>
      </c>
      <c r="J390" t="s">
        <v>26</v>
      </c>
      <c r="K390">
        <v>31</v>
      </c>
      <c r="L390">
        <v>0</v>
      </c>
      <c r="M390">
        <v>0</v>
      </c>
      <c r="N390">
        <v>0</v>
      </c>
      <c r="O390">
        <v>5</v>
      </c>
      <c r="P390">
        <v>5</v>
      </c>
      <c r="Q390">
        <v>4</v>
      </c>
      <c r="R390">
        <v>3</v>
      </c>
      <c r="S390">
        <v>2</v>
      </c>
      <c r="T390">
        <v>1</v>
      </c>
      <c r="U390">
        <v>0</v>
      </c>
      <c r="V390">
        <v>31</v>
      </c>
    </row>
    <row r="391" spans="1:22" x14ac:dyDescent="0.25">
      <c r="A391">
        <v>2025</v>
      </c>
      <c r="B391">
        <v>8</v>
      </c>
      <c r="C391" t="s">
        <v>61</v>
      </c>
      <c r="D391" t="s">
        <v>22</v>
      </c>
      <c r="E391" t="s">
        <v>144</v>
      </c>
      <c r="F391" t="s">
        <v>23</v>
      </c>
      <c r="G391" t="s">
        <v>24</v>
      </c>
      <c r="H391" t="s">
        <v>25</v>
      </c>
      <c r="I391" t="s">
        <v>26</v>
      </c>
      <c r="J391" t="s">
        <v>25</v>
      </c>
      <c r="K391">
        <v>144</v>
      </c>
      <c r="L391">
        <v>1</v>
      </c>
      <c r="M391">
        <v>0</v>
      </c>
      <c r="N391">
        <v>1</v>
      </c>
      <c r="O391">
        <v>45</v>
      </c>
      <c r="P391">
        <v>40</v>
      </c>
      <c r="Q391">
        <v>38</v>
      </c>
      <c r="R391">
        <v>28</v>
      </c>
      <c r="S391">
        <v>23</v>
      </c>
      <c r="T391">
        <v>9</v>
      </c>
      <c r="U391">
        <v>2</v>
      </c>
      <c r="V391">
        <v>143</v>
      </c>
    </row>
    <row r="392" spans="1:22" x14ac:dyDescent="0.25">
      <c r="A392">
        <v>2025</v>
      </c>
      <c r="B392">
        <v>8</v>
      </c>
      <c r="C392" t="s">
        <v>61</v>
      </c>
      <c r="D392" t="s">
        <v>22</v>
      </c>
      <c r="E392" t="s">
        <v>144</v>
      </c>
      <c r="F392" t="s">
        <v>39</v>
      </c>
      <c r="G392" t="s">
        <v>24</v>
      </c>
      <c r="H392" t="s">
        <v>26</v>
      </c>
      <c r="I392" t="s">
        <v>26</v>
      </c>
      <c r="J392" t="s">
        <v>25</v>
      </c>
      <c r="K392">
        <v>718</v>
      </c>
      <c r="L392">
        <v>17</v>
      </c>
      <c r="M392">
        <v>2</v>
      </c>
      <c r="N392">
        <v>19</v>
      </c>
      <c r="O392">
        <v>289</v>
      </c>
      <c r="P392">
        <v>257</v>
      </c>
      <c r="Q392">
        <v>235</v>
      </c>
      <c r="R392">
        <v>200</v>
      </c>
      <c r="S392">
        <v>178</v>
      </c>
      <c r="T392">
        <v>92</v>
      </c>
      <c r="U392">
        <v>30</v>
      </c>
      <c r="V392">
        <v>699</v>
      </c>
    </row>
    <row r="393" spans="1:22" x14ac:dyDescent="0.25">
      <c r="A393">
        <v>2025</v>
      </c>
      <c r="B393">
        <v>8</v>
      </c>
      <c r="C393" t="s">
        <v>61</v>
      </c>
      <c r="D393" t="s">
        <v>22</v>
      </c>
      <c r="E393" t="s">
        <v>144</v>
      </c>
      <c r="F393" t="s">
        <v>36</v>
      </c>
      <c r="G393" t="s">
        <v>24</v>
      </c>
      <c r="H393" t="s">
        <v>25</v>
      </c>
      <c r="I393" t="s">
        <v>26</v>
      </c>
      <c r="J393" t="s">
        <v>25</v>
      </c>
      <c r="K393">
        <v>227</v>
      </c>
      <c r="L393">
        <v>2</v>
      </c>
      <c r="M393">
        <v>4</v>
      </c>
      <c r="N393">
        <v>6</v>
      </c>
      <c r="O393">
        <v>87</v>
      </c>
      <c r="P393">
        <v>70</v>
      </c>
      <c r="Q393">
        <v>66</v>
      </c>
      <c r="R393">
        <v>53</v>
      </c>
      <c r="S393">
        <v>37</v>
      </c>
      <c r="T393">
        <v>20</v>
      </c>
      <c r="U393">
        <v>7</v>
      </c>
      <c r="V393">
        <v>223</v>
      </c>
    </row>
    <row r="394" spans="1:22" x14ac:dyDescent="0.25">
      <c r="A394">
        <v>2025</v>
      </c>
      <c r="B394">
        <v>8</v>
      </c>
      <c r="C394" t="s">
        <v>61</v>
      </c>
      <c r="D394" t="s">
        <v>22</v>
      </c>
      <c r="E394" t="s">
        <v>145</v>
      </c>
      <c r="F394" t="s">
        <v>32</v>
      </c>
      <c r="G394" t="s">
        <v>24</v>
      </c>
      <c r="H394" t="s">
        <v>25</v>
      </c>
      <c r="I394" t="s">
        <v>26</v>
      </c>
      <c r="J394" t="s">
        <v>25</v>
      </c>
      <c r="K394">
        <v>296</v>
      </c>
      <c r="L394">
        <v>6</v>
      </c>
      <c r="M394">
        <v>0</v>
      </c>
      <c r="N394">
        <v>6</v>
      </c>
      <c r="O394">
        <v>77</v>
      </c>
      <c r="P394">
        <v>48</v>
      </c>
      <c r="Q394">
        <v>42</v>
      </c>
      <c r="R394">
        <v>19</v>
      </c>
      <c r="S394">
        <v>15</v>
      </c>
      <c r="T394">
        <v>9</v>
      </c>
      <c r="U394">
        <v>0</v>
      </c>
      <c r="V394">
        <v>290</v>
      </c>
    </row>
    <row r="395" spans="1:22" x14ac:dyDescent="0.25">
      <c r="A395">
        <v>2025</v>
      </c>
      <c r="B395">
        <v>8</v>
      </c>
      <c r="C395" t="s">
        <v>61</v>
      </c>
      <c r="D395" t="s">
        <v>22</v>
      </c>
      <c r="E395" t="s">
        <v>154</v>
      </c>
      <c r="F395" t="s">
        <v>32</v>
      </c>
      <c r="G395" t="s">
        <v>24</v>
      </c>
      <c r="H395" t="s">
        <v>25</v>
      </c>
      <c r="I395" t="s">
        <v>26</v>
      </c>
      <c r="J395" t="s">
        <v>25</v>
      </c>
      <c r="K395">
        <v>8</v>
      </c>
      <c r="L395">
        <v>0</v>
      </c>
      <c r="M395">
        <v>0</v>
      </c>
      <c r="N395">
        <v>0</v>
      </c>
      <c r="O395">
        <v>5</v>
      </c>
      <c r="P395">
        <v>5</v>
      </c>
      <c r="Q395">
        <v>4</v>
      </c>
      <c r="R395">
        <v>2</v>
      </c>
      <c r="S395">
        <v>2</v>
      </c>
      <c r="T395">
        <v>0</v>
      </c>
      <c r="U395">
        <v>0</v>
      </c>
      <c r="V395">
        <v>8</v>
      </c>
    </row>
    <row r="396" spans="1:22" x14ac:dyDescent="0.25">
      <c r="A396">
        <v>2025</v>
      </c>
      <c r="B396">
        <v>8</v>
      </c>
      <c r="C396" t="s">
        <v>61</v>
      </c>
      <c r="D396" t="s">
        <v>22</v>
      </c>
      <c r="E396" t="s">
        <v>147</v>
      </c>
      <c r="F396" t="s">
        <v>32</v>
      </c>
      <c r="G396" t="s">
        <v>24</v>
      </c>
      <c r="H396" t="s">
        <v>25</v>
      </c>
      <c r="I396" t="s">
        <v>26</v>
      </c>
      <c r="J396" t="s">
        <v>25</v>
      </c>
      <c r="K396">
        <v>46</v>
      </c>
      <c r="L396">
        <v>0</v>
      </c>
      <c r="M396">
        <v>0</v>
      </c>
      <c r="N396">
        <v>0</v>
      </c>
      <c r="O396">
        <v>18</v>
      </c>
      <c r="P396">
        <v>12</v>
      </c>
      <c r="Q396">
        <v>12</v>
      </c>
      <c r="R396">
        <v>9</v>
      </c>
      <c r="S396">
        <v>8</v>
      </c>
      <c r="T396">
        <v>3</v>
      </c>
      <c r="U396">
        <v>1</v>
      </c>
      <c r="V396">
        <v>46</v>
      </c>
    </row>
    <row r="397" spans="1:22" x14ac:dyDescent="0.25">
      <c r="A397">
        <v>2025</v>
      </c>
      <c r="B397">
        <v>8</v>
      </c>
      <c r="C397" t="s">
        <v>61</v>
      </c>
      <c r="D397" t="s">
        <v>22</v>
      </c>
      <c r="E397" t="s">
        <v>147</v>
      </c>
      <c r="F397" t="s">
        <v>36</v>
      </c>
      <c r="G397" t="s">
        <v>24</v>
      </c>
      <c r="H397" t="s">
        <v>25</v>
      </c>
      <c r="I397" t="s">
        <v>26</v>
      </c>
      <c r="J397" t="s">
        <v>25</v>
      </c>
      <c r="K397">
        <v>148</v>
      </c>
      <c r="L397">
        <v>0</v>
      </c>
      <c r="M397">
        <v>1</v>
      </c>
      <c r="N397">
        <v>1</v>
      </c>
      <c r="O397">
        <v>77</v>
      </c>
      <c r="P397">
        <v>65</v>
      </c>
      <c r="Q397">
        <v>61</v>
      </c>
      <c r="R397">
        <v>50</v>
      </c>
      <c r="S397">
        <v>34</v>
      </c>
      <c r="T397">
        <v>13</v>
      </c>
      <c r="U397">
        <v>3</v>
      </c>
      <c r="V397">
        <v>147</v>
      </c>
    </row>
    <row r="398" spans="1:22" x14ac:dyDescent="0.25">
      <c r="A398">
        <v>2025</v>
      </c>
      <c r="B398">
        <v>8</v>
      </c>
      <c r="C398" t="s">
        <v>61</v>
      </c>
      <c r="D398" t="s">
        <v>22</v>
      </c>
      <c r="E398" t="s">
        <v>51</v>
      </c>
      <c r="F398" t="s">
        <v>34</v>
      </c>
      <c r="G398" t="s">
        <v>28</v>
      </c>
      <c r="H398" t="s">
        <v>25</v>
      </c>
      <c r="I398" t="s">
        <v>26</v>
      </c>
      <c r="J398" t="s">
        <v>26</v>
      </c>
      <c r="K398">
        <v>31</v>
      </c>
      <c r="L398">
        <v>0</v>
      </c>
      <c r="M398">
        <v>0</v>
      </c>
      <c r="N398">
        <v>0</v>
      </c>
      <c r="O398">
        <v>1</v>
      </c>
      <c r="P398">
        <v>1</v>
      </c>
      <c r="Q398">
        <v>1</v>
      </c>
      <c r="R398">
        <v>1</v>
      </c>
      <c r="S398">
        <v>1</v>
      </c>
      <c r="T398">
        <v>1</v>
      </c>
      <c r="U398">
        <v>0</v>
      </c>
      <c r="V398">
        <v>31</v>
      </c>
    </row>
    <row r="399" spans="1:22" x14ac:dyDescent="0.25">
      <c r="A399">
        <v>2025</v>
      </c>
      <c r="B399">
        <v>8</v>
      </c>
      <c r="C399" t="s">
        <v>61</v>
      </c>
      <c r="D399" t="s">
        <v>22</v>
      </c>
      <c r="E399" t="s">
        <v>155</v>
      </c>
      <c r="F399" t="s">
        <v>34</v>
      </c>
      <c r="G399" t="s">
        <v>24</v>
      </c>
      <c r="H399" t="s">
        <v>25</v>
      </c>
      <c r="I399" t="s">
        <v>26</v>
      </c>
      <c r="J399" t="s">
        <v>26</v>
      </c>
      <c r="K399">
        <v>62</v>
      </c>
      <c r="L399">
        <v>0</v>
      </c>
      <c r="M399">
        <v>0</v>
      </c>
      <c r="N399">
        <v>0</v>
      </c>
      <c r="O399">
        <v>3</v>
      </c>
      <c r="P399">
        <v>1</v>
      </c>
      <c r="Q399">
        <v>1</v>
      </c>
      <c r="R399">
        <v>1</v>
      </c>
      <c r="S399">
        <v>1</v>
      </c>
      <c r="T399">
        <v>1</v>
      </c>
      <c r="U399">
        <v>0</v>
      </c>
      <c r="V399">
        <v>62</v>
      </c>
    </row>
    <row r="400" spans="1:22" x14ac:dyDescent="0.25">
      <c r="A400">
        <v>2025</v>
      </c>
      <c r="B400">
        <v>8</v>
      </c>
      <c r="C400" t="s">
        <v>61</v>
      </c>
      <c r="D400" t="s">
        <v>22</v>
      </c>
      <c r="E400" t="s">
        <v>152</v>
      </c>
      <c r="F400" t="s">
        <v>31</v>
      </c>
      <c r="G400" t="s">
        <v>24</v>
      </c>
      <c r="H400" t="s">
        <v>25</v>
      </c>
      <c r="I400" t="s">
        <v>26</v>
      </c>
      <c r="J400" t="s">
        <v>25</v>
      </c>
      <c r="K400">
        <v>185</v>
      </c>
      <c r="L400">
        <v>0</v>
      </c>
      <c r="M400">
        <v>0</v>
      </c>
      <c r="N400">
        <v>0</v>
      </c>
      <c r="O400">
        <v>105</v>
      </c>
      <c r="P400">
        <v>78</v>
      </c>
      <c r="Q400">
        <v>71</v>
      </c>
      <c r="R400">
        <v>55</v>
      </c>
      <c r="S400">
        <v>38</v>
      </c>
      <c r="T400">
        <v>15</v>
      </c>
      <c r="U400">
        <v>0</v>
      </c>
      <c r="V400">
        <v>185</v>
      </c>
    </row>
    <row r="401" spans="1:22" x14ac:dyDescent="0.25">
      <c r="A401">
        <v>2025</v>
      </c>
      <c r="B401">
        <v>8</v>
      </c>
      <c r="C401" t="s">
        <v>61</v>
      </c>
      <c r="D401" t="s">
        <v>22</v>
      </c>
      <c r="E401" t="s">
        <v>171</v>
      </c>
      <c r="F401" t="s">
        <v>34</v>
      </c>
      <c r="G401" t="s">
        <v>24</v>
      </c>
      <c r="H401" t="s">
        <v>25</v>
      </c>
      <c r="I401" t="s">
        <v>26</v>
      </c>
      <c r="J401" t="s">
        <v>26</v>
      </c>
      <c r="K401">
        <v>27</v>
      </c>
      <c r="L401">
        <v>0</v>
      </c>
      <c r="M401">
        <v>0</v>
      </c>
      <c r="N401">
        <v>0</v>
      </c>
      <c r="O401">
        <v>3</v>
      </c>
      <c r="P401">
        <v>3</v>
      </c>
      <c r="Q401">
        <v>3</v>
      </c>
      <c r="R401">
        <v>3</v>
      </c>
      <c r="S401">
        <v>3</v>
      </c>
      <c r="T401">
        <v>1</v>
      </c>
      <c r="U401">
        <v>0</v>
      </c>
      <c r="V401">
        <v>27</v>
      </c>
    </row>
    <row r="402" spans="1:22" x14ac:dyDescent="0.25">
      <c r="A402">
        <v>2025</v>
      </c>
      <c r="B402">
        <v>8</v>
      </c>
      <c r="C402" t="s">
        <v>61</v>
      </c>
      <c r="D402" t="s">
        <v>22</v>
      </c>
      <c r="E402" t="s">
        <v>163</v>
      </c>
      <c r="F402" t="s">
        <v>31</v>
      </c>
      <c r="G402" t="s">
        <v>24</v>
      </c>
      <c r="H402" t="s">
        <v>25</v>
      </c>
      <c r="I402" t="s">
        <v>26</v>
      </c>
      <c r="J402" t="s">
        <v>25</v>
      </c>
      <c r="K402">
        <v>1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1</v>
      </c>
    </row>
    <row r="403" spans="1:22" x14ac:dyDescent="0.25">
      <c r="A403">
        <v>2025</v>
      </c>
      <c r="B403">
        <v>8</v>
      </c>
      <c r="C403" t="s">
        <v>61</v>
      </c>
      <c r="D403" t="s">
        <v>22</v>
      </c>
      <c r="E403" t="s">
        <v>163</v>
      </c>
      <c r="F403" t="s">
        <v>32</v>
      </c>
      <c r="G403" t="s">
        <v>24</v>
      </c>
      <c r="H403" t="s">
        <v>25</v>
      </c>
      <c r="I403" t="s">
        <v>26</v>
      </c>
      <c r="J403" t="s">
        <v>25</v>
      </c>
      <c r="K403">
        <v>220</v>
      </c>
      <c r="L403">
        <v>0</v>
      </c>
      <c r="M403">
        <v>0</v>
      </c>
      <c r="N403">
        <v>0</v>
      </c>
      <c r="O403">
        <v>95</v>
      </c>
      <c r="P403">
        <v>74</v>
      </c>
      <c r="Q403">
        <v>68</v>
      </c>
      <c r="R403">
        <v>46</v>
      </c>
      <c r="S403">
        <v>40</v>
      </c>
      <c r="T403">
        <v>11</v>
      </c>
      <c r="U403">
        <v>3</v>
      </c>
      <c r="V403">
        <v>220</v>
      </c>
    </row>
    <row r="404" spans="1:22" x14ac:dyDescent="0.25">
      <c r="A404">
        <v>2025</v>
      </c>
      <c r="B404">
        <v>8</v>
      </c>
      <c r="C404" t="s">
        <v>61</v>
      </c>
      <c r="D404" t="s">
        <v>22</v>
      </c>
      <c r="E404" t="s">
        <v>163</v>
      </c>
      <c r="F404" t="s">
        <v>34</v>
      </c>
      <c r="G404" t="s">
        <v>24</v>
      </c>
      <c r="H404" t="s">
        <v>25</v>
      </c>
      <c r="I404" t="s">
        <v>26</v>
      </c>
      <c r="J404" t="s">
        <v>26</v>
      </c>
      <c r="K404">
        <v>58</v>
      </c>
      <c r="L404">
        <v>0</v>
      </c>
      <c r="M404">
        <v>0</v>
      </c>
      <c r="N404">
        <v>0</v>
      </c>
      <c r="O404">
        <v>18</v>
      </c>
      <c r="P404">
        <v>14</v>
      </c>
      <c r="Q404">
        <v>12</v>
      </c>
      <c r="R404">
        <v>10</v>
      </c>
      <c r="S404">
        <v>9</v>
      </c>
      <c r="T404">
        <v>7</v>
      </c>
      <c r="U404">
        <v>3</v>
      </c>
      <c r="V404">
        <v>58</v>
      </c>
    </row>
    <row r="405" spans="1:22" x14ac:dyDescent="0.25">
      <c r="A405">
        <v>2025</v>
      </c>
      <c r="B405">
        <v>8</v>
      </c>
      <c r="C405" t="s">
        <v>61</v>
      </c>
      <c r="D405" t="s">
        <v>22</v>
      </c>
      <c r="E405" t="s">
        <v>163</v>
      </c>
      <c r="F405" t="s">
        <v>23</v>
      </c>
      <c r="G405" t="s">
        <v>24</v>
      </c>
      <c r="H405" t="s">
        <v>25</v>
      </c>
      <c r="I405" t="s">
        <v>26</v>
      </c>
      <c r="J405" t="s">
        <v>25</v>
      </c>
      <c r="K405">
        <v>31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31</v>
      </c>
    </row>
    <row r="406" spans="1:22" x14ac:dyDescent="0.25">
      <c r="A406">
        <v>2025</v>
      </c>
      <c r="B406">
        <v>8</v>
      </c>
      <c r="C406" t="s">
        <v>61</v>
      </c>
      <c r="D406" t="s">
        <v>22</v>
      </c>
      <c r="E406" t="s">
        <v>165</v>
      </c>
      <c r="F406" t="s">
        <v>31</v>
      </c>
      <c r="G406" t="s">
        <v>24</v>
      </c>
      <c r="H406" t="s">
        <v>25</v>
      </c>
      <c r="I406" t="s">
        <v>26</v>
      </c>
      <c r="J406" t="s">
        <v>25</v>
      </c>
      <c r="K406">
        <v>31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31</v>
      </c>
    </row>
    <row r="407" spans="1:22" x14ac:dyDescent="0.25">
      <c r="A407">
        <v>2025</v>
      </c>
      <c r="B407">
        <v>8</v>
      </c>
      <c r="C407" t="s">
        <v>61</v>
      </c>
      <c r="D407" t="s">
        <v>22</v>
      </c>
      <c r="E407" t="s">
        <v>165</v>
      </c>
      <c r="F407" t="s">
        <v>32</v>
      </c>
      <c r="G407" t="s">
        <v>24</v>
      </c>
      <c r="H407" t="s">
        <v>25</v>
      </c>
      <c r="I407" t="s">
        <v>26</v>
      </c>
      <c r="J407" t="s">
        <v>25</v>
      </c>
      <c r="K407">
        <v>59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59</v>
      </c>
    </row>
    <row r="408" spans="1:22" x14ac:dyDescent="0.25">
      <c r="A408">
        <v>2025</v>
      </c>
      <c r="B408">
        <v>8</v>
      </c>
      <c r="C408" t="s">
        <v>61</v>
      </c>
      <c r="D408" t="s">
        <v>22</v>
      </c>
      <c r="E408" t="s">
        <v>61</v>
      </c>
      <c r="F408" t="s">
        <v>31</v>
      </c>
      <c r="G408" t="s">
        <v>28</v>
      </c>
      <c r="H408" t="s">
        <v>25</v>
      </c>
      <c r="I408" t="s">
        <v>26</v>
      </c>
      <c r="J408" t="s">
        <v>25</v>
      </c>
      <c r="K408">
        <v>582</v>
      </c>
      <c r="L408">
        <v>3</v>
      </c>
      <c r="M408">
        <v>1</v>
      </c>
      <c r="N408">
        <v>4</v>
      </c>
      <c r="O408">
        <v>125</v>
      </c>
      <c r="P408">
        <v>89</v>
      </c>
      <c r="Q408">
        <v>78</v>
      </c>
      <c r="R408">
        <v>45</v>
      </c>
      <c r="S408">
        <v>28</v>
      </c>
      <c r="T408">
        <v>13</v>
      </c>
      <c r="U408">
        <v>4</v>
      </c>
      <c r="V408">
        <v>578</v>
      </c>
    </row>
    <row r="409" spans="1:22" x14ac:dyDescent="0.25">
      <c r="A409">
        <v>2025</v>
      </c>
      <c r="B409">
        <v>8</v>
      </c>
      <c r="C409" t="s">
        <v>61</v>
      </c>
      <c r="D409" t="s">
        <v>22</v>
      </c>
      <c r="E409" t="s">
        <v>61</v>
      </c>
      <c r="F409" t="s">
        <v>32</v>
      </c>
      <c r="G409" t="s">
        <v>28</v>
      </c>
      <c r="H409" t="s">
        <v>25</v>
      </c>
      <c r="I409" t="s">
        <v>26</v>
      </c>
      <c r="J409" t="s">
        <v>25</v>
      </c>
      <c r="K409">
        <v>74</v>
      </c>
      <c r="L409">
        <v>0</v>
      </c>
      <c r="M409">
        <v>0</v>
      </c>
      <c r="N409">
        <v>0</v>
      </c>
      <c r="O409">
        <v>20</v>
      </c>
      <c r="P409">
        <v>17</v>
      </c>
      <c r="Q409">
        <v>16</v>
      </c>
      <c r="R409">
        <v>10</v>
      </c>
      <c r="S409">
        <v>8</v>
      </c>
      <c r="T409">
        <v>2</v>
      </c>
      <c r="U409">
        <v>0</v>
      </c>
      <c r="V409">
        <v>74</v>
      </c>
    </row>
    <row r="410" spans="1:22" x14ac:dyDescent="0.25">
      <c r="A410">
        <v>2025</v>
      </c>
      <c r="B410">
        <v>8</v>
      </c>
      <c r="C410" t="s">
        <v>61</v>
      </c>
      <c r="D410" t="s">
        <v>22</v>
      </c>
      <c r="E410" t="s">
        <v>61</v>
      </c>
      <c r="F410" t="s">
        <v>34</v>
      </c>
      <c r="G410" t="s">
        <v>28</v>
      </c>
      <c r="H410" t="s">
        <v>25</v>
      </c>
      <c r="I410" t="s">
        <v>26</v>
      </c>
      <c r="J410" t="s">
        <v>26</v>
      </c>
      <c r="K410">
        <v>4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4</v>
      </c>
    </row>
    <row r="411" spans="1:22" x14ac:dyDescent="0.25">
      <c r="A411">
        <v>2025</v>
      </c>
      <c r="B411">
        <v>8</v>
      </c>
      <c r="C411" t="s">
        <v>61</v>
      </c>
      <c r="D411" t="s">
        <v>22</v>
      </c>
      <c r="E411" t="s">
        <v>61</v>
      </c>
      <c r="F411" t="s">
        <v>34</v>
      </c>
      <c r="G411" t="s">
        <v>24</v>
      </c>
      <c r="H411" t="s">
        <v>25</v>
      </c>
      <c r="I411" t="s">
        <v>26</v>
      </c>
      <c r="J411" t="s">
        <v>26</v>
      </c>
      <c r="K411">
        <v>4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4</v>
      </c>
    </row>
    <row r="412" spans="1:22" x14ac:dyDescent="0.25">
      <c r="A412">
        <v>2025</v>
      </c>
      <c r="B412">
        <v>8</v>
      </c>
      <c r="C412" t="s">
        <v>61</v>
      </c>
      <c r="D412" t="s">
        <v>22</v>
      </c>
      <c r="E412" t="s">
        <v>61</v>
      </c>
      <c r="F412" t="s">
        <v>23</v>
      </c>
      <c r="G412" t="s">
        <v>28</v>
      </c>
      <c r="H412" t="s">
        <v>25</v>
      </c>
      <c r="I412" t="s">
        <v>26</v>
      </c>
      <c r="J412" t="s">
        <v>25</v>
      </c>
      <c r="K412">
        <v>1383</v>
      </c>
      <c r="L412">
        <v>2</v>
      </c>
      <c r="M412">
        <v>176</v>
      </c>
      <c r="N412">
        <v>178</v>
      </c>
      <c r="O412">
        <v>357</v>
      </c>
      <c r="P412">
        <v>251</v>
      </c>
      <c r="Q412">
        <v>214</v>
      </c>
      <c r="R412">
        <v>137</v>
      </c>
      <c r="S412">
        <v>93</v>
      </c>
      <c r="T412">
        <v>43</v>
      </c>
      <c r="U412">
        <v>12</v>
      </c>
      <c r="V412">
        <v>1292</v>
      </c>
    </row>
    <row r="413" spans="1:22" x14ac:dyDescent="0.25">
      <c r="A413">
        <v>2025</v>
      </c>
      <c r="B413">
        <v>8</v>
      </c>
      <c r="C413" t="s">
        <v>61</v>
      </c>
      <c r="D413" t="s">
        <v>22</v>
      </c>
      <c r="E413" t="s">
        <v>61</v>
      </c>
      <c r="F413" t="s">
        <v>39</v>
      </c>
      <c r="G413" t="s">
        <v>28</v>
      </c>
      <c r="H413" t="s">
        <v>26</v>
      </c>
      <c r="I413" t="s">
        <v>26</v>
      </c>
      <c r="J413" t="s">
        <v>25</v>
      </c>
      <c r="K413">
        <v>43</v>
      </c>
      <c r="L413">
        <v>0</v>
      </c>
      <c r="M413">
        <v>0</v>
      </c>
      <c r="N413">
        <v>0</v>
      </c>
      <c r="O413">
        <v>2</v>
      </c>
      <c r="P413">
        <v>2</v>
      </c>
      <c r="Q413">
        <v>2</v>
      </c>
      <c r="R413">
        <v>1</v>
      </c>
      <c r="S413">
        <v>1</v>
      </c>
      <c r="T413">
        <v>1</v>
      </c>
      <c r="U413">
        <v>1</v>
      </c>
      <c r="V413">
        <v>43</v>
      </c>
    </row>
    <row r="414" spans="1:22" x14ac:dyDescent="0.25">
      <c r="A414">
        <v>2025</v>
      </c>
      <c r="B414">
        <v>8</v>
      </c>
      <c r="C414" t="s">
        <v>61</v>
      </c>
      <c r="D414" t="s">
        <v>22</v>
      </c>
      <c r="E414" t="s">
        <v>61</v>
      </c>
      <c r="F414" t="s">
        <v>40</v>
      </c>
      <c r="G414" t="s">
        <v>28</v>
      </c>
      <c r="H414" t="s">
        <v>25</v>
      </c>
      <c r="I414" t="s">
        <v>26</v>
      </c>
      <c r="J414" t="s">
        <v>25</v>
      </c>
      <c r="K414">
        <v>38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38</v>
      </c>
    </row>
    <row r="415" spans="1:22" x14ac:dyDescent="0.25">
      <c r="A415">
        <v>2025</v>
      </c>
      <c r="B415">
        <v>8</v>
      </c>
      <c r="C415" t="s">
        <v>61</v>
      </c>
      <c r="D415" t="s">
        <v>22</v>
      </c>
      <c r="E415" t="s">
        <v>61</v>
      </c>
      <c r="F415" t="s">
        <v>35</v>
      </c>
      <c r="G415" t="s">
        <v>28</v>
      </c>
      <c r="H415" t="s">
        <v>25</v>
      </c>
      <c r="I415" t="s">
        <v>26</v>
      </c>
      <c r="J415" t="s">
        <v>26</v>
      </c>
      <c r="K415">
        <v>62</v>
      </c>
      <c r="L415">
        <v>0</v>
      </c>
      <c r="M415">
        <v>0</v>
      </c>
      <c r="N415">
        <v>0</v>
      </c>
      <c r="O415">
        <v>10</v>
      </c>
      <c r="P415">
        <v>5</v>
      </c>
      <c r="Q415">
        <v>4</v>
      </c>
      <c r="R415">
        <v>4</v>
      </c>
      <c r="S415">
        <v>2</v>
      </c>
      <c r="T415">
        <v>1</v>
      </c>
      <c r="U415">
        <v>0</v>
      </c>
      <c r="V415">
        <v>62</v>
      </c>
    </row>
    <row r="416" spans="1:22" x14ac:dyDescent="0.25">
      <c r="A416">
        <v>2025</v>
      </c>
      <c r="B416">
        <v>8</v>
      </c>
      <c r="C416" t="s">
        <v>61</v>
      </c>
      <c r="D416" t="s">
        <v>22</v>
      </c>
      <c r="E416" t="s">
        <v>61</v>
      </c>
      <c r="F416" t="s">
        <v>35</v>
      </c>
      <c r="G416" t="s">
        <v>24</v>
      </c>
      <c r="H416" t="s">
        <v>25</v>
      </c>
      <c r="I416" t="s">
        <v>26</v>
      </c>
      <c r="J416" t="s">
        <v>26</v>
      </c>
      <c r="K416">
        <v>834</v>
      </c>
      <c r="L416">
        <v>2</v>
      </c>
      <c r="M416">
        <v>0</v>
      </c>
      <c r="N416">
        <v>2</v>
      </c>
      <c r="O416">
        <v>334</v>
      </c>
      <c r="P416">
        <v>259</v>
      </c>
      <c r="Q416">
        <v>238</v>
      </c>
      <c r="R416">
        <v>188</v>
      </c>
      <c r="S416">
        <v>158</v>
      </c>
      <c r="T416">
        <v>114</v>
      </c>
      <c r="U416">
        <v>57</v>
      </c>
      <c r="V416">
        <v>832</v>
      </c>
    </row>
    <row r="417" spans="1:22" x14ac:dyDescent="0.25">
      <c r="A417">
        <v>2025</v>
      </c>
      <c r="B417">
        <v>8</v>
      </c>
      <c r="C417" t="s">
        <v>61</v>
      </c>
      <c r="D417" t="s">
        <v>22</v>
      </c>
      <c r="E417" t="s">
        <v>61</v>
      </c>
      <c r="F417" t="s">
        <v>36</v>
      </c>
      <c r="G417" t="s">
        <v>28</v>
      </c>
      <c r="H417" t="s">
        <v>25</v>
      </c>
      <c r="I417" t="s">
        <v>26</v>
      </c>
      <c r="J417" t="s">
        <v>25</v>
      </c>
      <c r="K417">
        <v>2108</v>
      </c>
      <c r="L417">
        <v>3</v>
      </c>
      <c r="M417">
        <v>108</v>
      </c>
      <c r="N417">
        <v>111</v>
      </c>
      <c r="O417">
        <v>434</v>
      </c>
      <c r="P417">
        <v>257</v>
      </c>
      <c r="Q417">
        <v>210</v>
      </c>
      <c r="R417">
        <v>116</v>
      </c>
      <c r="S417">
        <v>78</v>
      </c>
      <c r="T417">
        <v>27</v>
      </c>
      <c r="U417">
        <v>10</v>
      </c>
      <c r="V417">
        <v>2041</v>
      </c>
    </row>
    <row r="418" spans="1:22" x14ac:dyDescent="0.25">
      <c r="A418">
        <v>2025</v>
      </c>
      <c r="B418">
        <v>8</v>
      </c>
      <c r="C418" t="s">
        <v>61</v>
      </c>
      <c r="D418" t="s">
        <v>22</v>
      </c>
      <c r="E418" t="s">
        <v>61</v>
      </c>
      <c r="F418" t="s">
        <v>36</v>
      </c>
      <c r="G418" t="s">
        <v>24</v>
      </c>
      <c r="H418" t="s">
        <v>25</v>
      </c>
      <c r="I418" t="s">
        <v>26</v>
      </c>
      <c r="J418" t="s">
        <v>25</v>
      </c>
      <c r="K418">
        <v>124</v>
      </c>
      <c r="L418">
        <v>0</v>
      </c>
      <c r="M418">
        <v>0</v>
      </c>
      <c r="N418">
        <v>0</v>
      </c>
      <c r="O418">
        <v>70</v>
      </c>
      <c r="P418">
        <v>54</v>
      </c>
      <c r="Q418">
        <v>47</v>
      </c>
      <c r="R418">
        <v>35</v>
      </c>
      <c r="S418">
        <v>26</v>
      </c>
      <c r="T418">
        <v>12</v>
      </c>
      <c r="U418">
        <v>4</v>
      </c>
      <c r="V418">
        <v>124</v>
      </c>
    </row>
    <row r="419" spans="1:22" x14ac:dyDescent="0.25">
      <c r="A419">
        <v>2025</v>
      </c>
      <c r="B419">
        <v>8</v>
      </c>
      <c r="C419" t="s">
        <v>61</v>
      </c>
      <c r="D419" t="s">
        <v>22</v>
      </c>
      <c r="E419" t="s">
        <v>61</v>
      </c>
      <c r="F419" t="s">
        <v>41</v>
      </c>
      <c r="G419" t="s">
        <v>28</v>
      </c>
      <c r="H419" t="s">
        <v>26</v>
      </c>
      <c r="I419" t="s">
        <v>26</v>
      </c>
      <c r="J419" t="s">
        <v>25</v>
      </c>
      <c r="K419">
        <v>919</v>
      </c>
      <c r="L419">
        <v>2</v>
      </c>
      <c r="M419">
        <v>16</v>
      </c>
      <c r="N419">
        <v>18</v>
      </c>
      <c r="O419">
        <v>332</v>
      </c>
      <c r="P419">
        <v>278</v>
      </c>
      <c r="Q419">
        <v>255</v>
      </c>
      <c r="R419">
        <v>199</v>
      </c>
      <c r="S419">
        <v>157</v>
      </c>
      <c r="T419">
        <v>78</v>
      </c>
      <c r="U419">
        <v>17</v>
      </c>
      <c r="V419">
        <v>909</v>
      </c>
    </row>
    <row r="420" spans="1:22" x14ac:dyDescent="0.25">
      <c r="A420">
        <v>2025</v>
      </c>
      <c r="B420">
        <v>8</v>
      </c>
      <c r="C420" t="s">
        <v>61</v>
      </c>
      <c r="D420" t="s">
        <v>22</v>
      </c>
      <c r="E420" t="s">
        <v>61</v>
      </c>
      <c r="F420" t="s">
        <v>41</v>
      </c>
      <c r="G420" t="s">
        <v>24</v>
      </c>
      <c r="H420" t="s">
        <v>26</v>
      </c>
      <c r="I420" t="s">
        <v>26</v>
      </c>
      <c r="J420" t="s">
        <v>25</v>
      </c>
      <c r="K420">
        <v>964</v>
      </c>
      <c r="L420">
        <v>1</v>
      </c>
      <c r="M420">
        <v>6</v>
      </c>
      <c r="N420">
        <v>7</v>
      </c>
      <c r="O420">
        <v>425</v>
      </c>
      <c r="P420">
        <v>348</v>
      </c>
      <c r="Q420">
        <v>327</v>
      </c>
      <c r="R420">
        <v>258</v>
      </c>
      <c r="S420">
        <v>204</v>
      </c>
      <c r="T420">
        <v>115</v>
      </c>
      <c r="U420">
        <v>26</v>
      </c>
      <c r="V420">
        <v>960</v>
      </c>
    </row>
    <row r="421" spans="1:22" x14ac:dyDescent="0.25">
      <c r="A421">
        <v>2025</v>
      </c>
      <c r="B421">
        <v>8</v>
      </c>
      <c r="C421" t="s">
        <v>61</v>
      </c>
      <c r="D421" t="s">
        <v>22</v>
      </c>
      <c r="E421" t="s">
        <v>166</v>
      </c>
      <c r="F421" t="s">
        <v>32</v>
      </c>
      <c r="G421" t="s">
        <v>24</v>
      </c>
      <c r="H421" t="s">
        <v>25</v>
      </c>
      <c r="I421" t="s">
        <v>26</v>
      </c>
      <c r="J421" t="s">
        <v>25</v>
      </c>
      <c r="K421">
        <v>274</v>
      </c>
      <c r="L421">
        <v>2</v>
      </c>
      <c r="M421">
        <v>0</v>
      </c>
      <c r="N421">
        <v>2</v>
      </c>
      <c r="O421">
        <v>161</v>
      </c>
      <c r="P421">
        <v>125</v>
      </c>
      <c r="Q421">
        <v>110</v>
      </c>
      <c r="R421">
        <v>81</v>
      </c>
      <c r="S421">
        <v>55</v>
      </c>
      <c r="T421">
        <v>18</v>
      </c>
      <c r="U421">
        <v>4</v>
      </c>
      <c r="V421">
        <v>272</v>
      </c>
    </row>
    <row r="422" spans="1:22" x14ac:dyDescent="0.25">
      <c r="A422">
        <v>2025</v>
      </c>
      <c r="B422">
        <v>8</v>
      </c>
      <c r="C422" t="s">
        <v>61</v>
      </c>
      <c r="D422" t="s">
        <v>22</v>
      </c>
      <c r="E422" t="s">
        <v>168</v>
      </c>
      <c r="F422" t="s">
        <v>31</v>
      </c>
      <c r="G422" t="s">
        <v>24</v>
      </c>
      <c r="H422" t="s">
        <v>25</v>
      </c>
      <c r="I422" t="s">
        <v>26</v>
      </c>
      <c r="J422" t="s">
        <v>25</v>
      </c>
      <c r="K422">
        <v>556</v>
      </c>
      <c r="L422">
        <v>0</v>
      </c>
      <c r="M422">
        <v>2</v>
      </c>
      <c r="N422">
        <v>2</v>
      </c>
      <c r="O422">
        <v>138</v>
      </c>
      <c r="P422">
        <v>105</v>
      </c>
      <c r="Q422">
        <v>99</v>
      </c>
      <c r="R422">
        <v>70</v>
      </c>
      <c r="S422">
        <v>49</v>
      </c>
      <c r="T422">
        <v>16</v>
      </c>
      <c r="U422">
        <v>1</v>
      </c>
      <c r="V422">
        <v>555</v>
      </c>
    </row>
    <row r="423" spans="1:22" x14ac:dyDescent="0.25">
      <c r="A423">
        <v>2025</v>
      </c>
      <c r="B423">
        <v>8</v>
      </c>
      <c r="C423" t="s">
        <v>61</v>
      </c>
      <c r="D423" t="s">
        <v>22</v>
      </c>
      <c r="E423" t="s">
        <v>168</v>
      </c>
      <c r="F423" t="s">
        <v>23</v>
      </c>
      <c r="G423" t="s">
        <v>24</v>
      </c>
      <c r="H423" t="s">
        <v>25</v>
      </c>
      <c r="I423" t="s">
        <v>26</v>
      </c>
      <c r="J423" t="s">
        <v>25</v>
      </c>
      <c r="K423">
        <v>62</v>
      </c>
      <c r="L423">
        <v>0</v>
      </c>
      <c r="M423">
        <v>1</v>
      </c>
      <c r="N423">
        <v>1</v>
      </c>
      <c r="O423">
        <v>3</v>
      </c>
      <c r="P423">
        <v>2</v>
      </c>
      <c r="Q423">
        <v>2</v>
      </c>
      <c r="R423">
        <v>1</v>
      </c>
      <c r="S423">
        <v>1</v>
      </c>
      <c r="T423">
        <v>0</v>
      </c>
      <c r="U423">
        <v>0</v>
      </c>
      <c r="V423">
        <v>62</v>
      </c>
    </row>
    <row r="424" spans="1:22" x14ac:dyDescent="0.25">
      <c r="A424">
        <v>2025</v>
      </c>
      <c r="B424">
        <v>8</v>
      </c>
      <c r="C424" t="s">
        <v>61</v>
      </c>
      <c r="D424" t="s">
        <v>22</v>
      </c>
      <c r="E424" t="s">
        <v>157</v>
      </c>
      <c r="F424" t="s">
        <v>31</v>
      </c>
      <c r="G424" t="s">
        <v>24</v>
      </c>
      <c r="H424" t="s">
        <v>25</v>
      </c>
      <c r="I424" t="s">
        <v>26</v>
      </c>
      <c r="J424" t="s">
        <v>25</v>
      </c>
      <c r="K424">
        <v>124</v>
      </c>
      <c r="L424">
        <v>0</v>
      </c>
      <c r="M424">
        <v>0</v>
      </c>
      <c r="N424">
        <v>0</v>
      </c>
      <c r="O424">
        <v>48</v>
      </c>
      <c r="P424">
        <v>38</v>
      </c>
      <c r="Q424">
        <v>36</v>
      </c>
      <c r="R424">
        <v>25</v>
      </c>
      <c r="S424">
        <v>15</v>
      </c>
      <c r="T424">
        <v>10</v>
      </c>
      <c r="U424">
        <v>2</v>
      </c>
      <c r="V424">
        <v>124</v>
      </c>
    </row>
    <row r="425" spans="1:22" x14ac:dyDescent="0.25">
      <c r="A425">
        <v>2025</v>
      </c>
      <c r="B425">
        <v>8</v>
      </c>
      <c r="C425" t="s">
        <v>61</v>
      </c>
      <c r="D425" t="s">
        <v>22</v>
      </c>
      <c r="E425" t="s">
        <v>157</v>
      </c>
      <c r="F425" t="s">
        <v>35</v>
      </c>
      <c r="G425" t="s">
        <v>24</v>
      </c>
      <c r="H425" t="s">
        <v>25</v>
      </c>
      <c r="I425" t="s">
        <v>26</v>
      </c>
      <c r="J425" t="s">
        <v>26</v>
      </c>
      <c r="K425">
        <v>30</v>
      </c>
      <c r="L425">
        <v>0</v>
      </c>
      <c r="M425">
        <v>0</v>
      </c>
      <c r="N425">
        <v>0</v>
      </c>
      <c r="O425">
        <v>15</v>
      </c>
      <c r="P425">
        <v>13</v>
      </c>
      <c r="Q425">
        <v>11</v>
      </c>
      <c r="R425">
        <v>11</v>
      </c>
      <c r="S425">
        <v>11</v>
      </c>
      <c r="T425">
        <v>8</v>
      </c>
      <c r="U425">
        <v>5</v>
      </c>
      <c r="V425">
        <v>30</v>
      </c>
    </row>
    <row r="426" spans="1:22" x14ac:dyDescent="0.25">
      <c r="A426">
        <v>2025</v>
      </c>
      <c r="B426">
        <v>8</v>
      </c>
      <c r="C426" t="s">
        <v>61</v>
      </c>
      <c r="D426" t="s">
        <v>22</v>
      </c>
      <c r="E426" t="s">
        <v>157</v>
      </c>
      <c r="F426" t="s">
        <v>36</v>
      </c>
      <c r="G426" t="s">
        <v>24</v>
      </c>
      <c r="H426" t="s">
        <v>25</v>
      </c>
      <c r="I426" t="s">
        <v>26</v>
      </c>
      <c r="J426" t="s">
        <v>25</v>
      </c>
      <c r="K426">
        <v>2</v>
      </c>
      <c r="L426">
        <v>0</v>
      </c>
      <c r="M426">
        <v>0</v>
      </c>
      <c r="N426">
        <v>0</v>
      </c>
      <c r="O426">
        <v>2</v>
      </c>
      <c r="P426">
        <v>2</v>
      </c>
      <c r="Q426">
        <v>2</v>
      </c>
      <c r="R426">
        <v>2</v>
      </c>
      <c r="S426">
        <v>1</v>
      </c>
      <c r="T426">
        <v>0</v>
      </c>
      <c r="U426">
        <v>0</v>
      </c>
      <c r="V426">
        <v>2</v>
      </c>
    </row>
    <row r="427" spans="1:22" x14ac:dyDescent="0.25">
      <c r="A427">
        <v>2025</v>
      </c>
      <c r="B427">
        <v>8</v>
      </c>
      <c r="C427" t="s">
        <v>61</v>
      </c>
      <c r="D427" t="s">
        <v>22</v>
      </c>
      <c r="E427" t="s">
        <v>157</v>
      </c>
      <c r="F427" t="s">
        <v>41</v>
      </c>
      <c r="G427" t="s">
        <v>24</v>
      </c>
      <c r="H427" t="s">
        <v>26</v>
      </c>
      <c r="I427" t="s">
        <v>26</v>
      </c>
      <c r="J427" t="s">
        <v>25</v>
      </c>
      <c r="K427">
        <v>44</v>
      </c>
      <c r="L427">
        <v>0</v>
      </c>
      <c r="M427">
        <v>0</v>
      </c>
      <c r="N427">
        <v>0</v>
      </c>
      <c r="O427">
        <v>24</v>
      </c>
      <c r="P427">
        <v>19</v>
      </c>
      <c r="Q427">
        <v>17</v>
      </c>
      <c r="R427">
        <v>13</v>
      </c>
      <c r="S427">
        <v>8</v>
      </c>
      <c r="T427">
        <v>5</v>
      </c>
      <c r="U427">
        <v>0</v>
      </c>
      <c r="V427">
        <v>44</v>
      </c>
    </row>
    <row r="428" spans="1:22" x14ac:dyDescent="0.25">
      <c r="A428">
        <v>2025</v>
      </c>
      <c r="B428">
        <v>8</v>
      </c>
      <c r="C428" t="s">
        <v>61</v>
      </c>
      <c r="D428" t="s">
        <v>22</v>
      </c>
      <c r="E428" t="s">
        <v>66</v>
      </c>
      <c r="F428" t="s">
        <v>34</v>
      </c>
      <c r="G428" t="s">
        <v>24</v>
      </c>
      <c r="H428" t="s">
        <v>25</v>
      </c>
      <c r="I428" t="s">
        <v>26</v>
      </c>
      <c r="J428" t="s">
        <v>26</v>
      </c>
      <c r="K428">
        <v>27</v>
      </c>
      <c r="L428">
        <v>0</v>
      </c>
      <c r="M428">
        <v>0</v>
      </c>
      <c r="N428">
        <v>0</v>
      </c>
      <c r="O428">
        <v>14</v>
      </c>
      <c r="P428">
        <v>12</v>
      </c>
      <c r="Q428">
        <v>12</v>
      </c>
      <c r="R428">
        <v>10</v>
      </c>
      <c r="S428">
        <v>9</v>
      </c>
      <c r="T428">
        <v>4</v>
      </c>
      <c r="U428">
        <v>1</v>
      </c>
      <c r="V428">
        <v>27</v>
      </c>
    </row>
    <row r="429" spans="1:22" x14ac:dyDescent="0.25">
      <c r="A429">
        <v>2025</v>
      </c>
      <c r="B429">
        <v>9</v>
      </c>
      <c r="C429" t="s">
        <v>61</v>
      </c>
      <c r="D429" t="s">
        <v>22</v>
      </c>
      <c r="E429" t="s">
        <v>159</v>
      </c>
      <c r="F429" t="s">
        <v>31</v>
      </c>
      <c r="G429" t="s">
        <v>24</v>
      </c>
      <c r="H429" t="s">
        <v>25</v>
      </c>
      <c r="I429" t="s">
        <v>26</v>
      </c>
      <c r="J429" t="s">
        <v>25</v>
      </c>
      <c r="K429">
        <v>30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30</v>
      </c>
    </row>
    <row r="430" spans="1:22" x14ac:dyDescent="0.25">
      <c r="A430">
        <v>2025</v>
      </c>
      <c r="B430">
        <v>9</v>
      </c>
      <c r="C430" t="s">
        <v>61</v>
      </c>
      <c r="D430" t="s">
        <v>22</v>
      </c>
      <c r="E430" t="s">
        <v>131</v>
      </c>
      <c r="F430" t="s">
        <v>34</v>
      </c>
      <c r="G430" t="s">
        <v>24</v>
      </c>
      <c r="H430" t="s">
        <v>25</v>
      </c>
      <c r="I430" t="s">
        <v>26</v>
      </c>
      <c r="J430" t="s">
        <v>26</v>
      </c>
      <c r="K430">
        <v>60</v>
      </c>
      <c r="L430">
        <v>0</v>
      </c>
      <c r="M430">
        <v>0</v>
      </c>
      <c r="N430">
        <v>0</v>
      </c>
      <c r="O430">
        <v>20</v>
      </c>
      <c r="P430">
        <v>16</v>
      </c>
      <c r="Q430">
        <v>16</v>
      </c>
      <c r="R430">
        <v>14</v>
      </c>
      <c r="S430">
        <v>11</v>
      </c>
      <c r="T430">
        <v>10</v>
      </c>
      <c r="U430">
        <v>4</v>
      </c>
      <c r="V430">
        <v>60</v>
      </c>
    </row>
    <row r="431" spans="1:22" x14ac:dyDescent="0.25">
      <c r="A431">
        <v>2025</v>
      </c>
      <c r="B431">
        <v>9</v>
      </c>
      <c r="C431" t="s">
        <v>61</v>
      </c>
      <c r="D431" t="s">
        <v>22</v>
      </c>
      <c r="E431" t="s">
        <v>160</v>
      </c>
      <c r="F431" t="s">
        <v>23</v>
      </c>
      <c r="G431" t="s">
        <v>24</v>
      </c>
      <c r="H431" t="s">
        <v>25</v>
      </c>
      <c r="I431" t="s">
        <v>26</v>
      </c>
      <c r="J431" t="s">
        <v>25</v>
      </c>
      <c r="K431">
        <v>180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180</v>
      </c>
    </row>
    <row r="432" spans="1:22" x14ac:dyDescent="0.25">
      <c r="A432">
        <v>2025</v>
      </c>
      <c r="B432">
        <v>9</v>
      </c>
      <c r="C432" t="s">
        <v>61</v>
      </c>
      <c r="D432" t="s">
        <v>22</v>
      </c>
      <c r="E432" t="s">
        <v>161</v>
      </c>
      <c r="F432" t="s">
        <v>32</v>
      </c>
      <c r="G432" t="s">
        <v>24</v>
      </c>
      <c r="H432" t="s">
        <v>25</v>
      </c>
      <c r="I432" t="s">
        <v>26</v>
      </c>
      <c r="J432" t="s">
        <v>25</v>
      </c>
      <c r="K432">
        <v>240</v>
      </c>
      <c r="L432">
        <v>0</v>
      </c>
      <c r="M432">
        <v>0</v>
      </c>
      <c r="N432">
        <v>0</v>
      </c>
      <c r="O432">
        <v>48</v>
      </c>
      <c r="P432">
        <v>30</v>
      </c>
      <c r="Q432">
        <v>25</v>
      </c>
      <c r="R432">
        <v>16</v>
      </c>
      <c r="S432">
        <v>11</v>
      </c>
      <c r="T432">
        <v>5</v>
      </c>
      <c r="U432">
        <v>0</v>
      </c>
      <c r="V432">
        <v>240</v>
      </c>
    </row>
    <row r="433" spans="1:22" x14ac:dyDescent="0.25">
      <c r="A433">
        <v>2025</v>
      </c>
      <c r="B433">
        <v>9</v>
      </c>
      <c r="C433" t="s">
        <v>61</v>
      </c>
      <c r="D433" t="s">
        <v>22</v>
      </c>
      <c r="E433" t="s">
        <v>161</v>
      </c>
      <c r="F433" t="s">
        <v>23</v>
      </c>
      <c r="G433" t="s">
        <v>24</v>
      </c>
      <c r="H433" t="s">
        <v>25</v>
      </c>
      <c r="I433" t="s">
        <v>26</v>
      </c>
      <c r="J433" t="s">
        <v>25</v>
      </c>
      <c r="K433">
        <v>30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30</v>
      </c>
    </row>
    <row r="434" spans="1:22" x14ac:dyDescent="0.25">
      <c r="A434">
        <v>2025</v>
      </c>
      <c r="B434">
        <v>9</v>
      </c>
      <c r="C434" t="s">
        <v>61</v>
      </c>
      <c r="D434" t="s">
        <v>22</v>
      </c>
      <c r="E434" t="s">
        <v>161</v>
      </c>
      <c r="F434" t="s">
        <v>36</v>
      </c>
      <c r="G434" t="s">
        <v>24</v>
      </c>
      <c r="H434" t="s">
        <v>25</v>
      </c>
      <c r="I434" t="s">
        <v>26</v>
      </c>
      <c r="J434" t="s">
        <v>25</v>
      </c>
      <c r="K434">
        <v>450</v>
      </c>
      <c r="L434">
        <v>0</v>
      </c>
      <c r="M434">
        <v>1</v>
      </c>
      <c r="N434">
        <v>1</v>
      </c>
      <c r="O434">
        <v>152</v>
      </c>
      <c r="P434">
        <v>129</v>
      </c>
      <c r="Q434">
        <v>113</v>
      </c>
      <c r="R434">
        <v>81</v>
      </c>
      <c r="S434">
        <v>62</v>
      </c>
      <c r="T434">
        <v>21</v>
      </c>
      <c r="U434">
        <v>4</v>
      </c>
      <c r="V434">
        <v>450</v>
      </c>
    </row>
    <row r="435" spans="1:22" x14ac:dyDescent="0.25">
      <c r="A435">
        <v>2025</v>
      </c>
      <c r="B435">
        <v>9</v>
      </c>
      <c r="C435" t="s">
        <v>61</v>
      </c>
      <c r="D435" t="s">
        <v>22</v>
      </c>
      <c r="E435" t="s">
        <v>162</v>
      </c>
      <c r="F435" t="s">
        <v>32</v>
      </c>
      <c r="G435" t="s">
        <v>24</v>
      </c>
      <c r="H435" t="s">
        <v>25</v>
      </c>
      <c r="I435" t="s">
        <v>26</v>
      </c>
      <c r="J435" t="s">
        <v>25</v>
      </c>
      <c r="K435">
        <v>204</v>
      </c>
      <c r="L435">
        <v>0</v>
      </c>
      <c r="M435">
        <v>0</v>
      </c>
      <c r="N435">
        <v>0</v>
      </c>
      <c r="O435">
        <v>120</v>
      </c>
      <c r="P435">
        <v>85</v>
      </c>
      <c r="Q435">
        <v>77</v>
      </c>
      <c r="R435">
        <v>54</v>
      </c>
      <c r="S435">
        <v>38</v>
      </c>
      <c r="T435">
        <v>12</v>
      </c>
      <c r="U435">
        <v>4</v>
      </c>
      <c r="V435">
        <v>204</v>
      </c>
    </row>
    <row r="436" spans="1:22" x14ac:dyDescent="0.25">
      <c r="A436">
        <v>2025</v>
      </c>
      <c r="B436">
        <v>9</v>
      </c>
      <c r="C436" t="s">
        <v>61</v>
      </c>
      <c r="D436" t="s">
        <v>22</v>
      </c>
      <c r="E436" t="s">
        <v>139</v>
      </c>
      <c r="F436" t="s">
        <v>34</v>
      </c>
      <c r="G436" t="s">
        <v>24</v>
      </c>
      <c r="H436" t="s">
        <v>25</v>
      </c>
      <c r="I436" t="s">
        <v>26</v>
      </c>
      <c r="J436" t="s">
        <v>26</v>
      </c>
      <c r="K436">
        <v>38</v>
      </c>
      <c r="L436">
        <v>0</v>
      </c>
      <c r="M436">
        <v>0</v>
      </c>
      <c r="N436">
        <v>0</v>
      </c>
      <c r="O436">
        <v>16</v>
      </c>
      <c r="P436">
        <v>14</v>
      </c>
      <c r="Q436">
        <v>11</v>
      </c>
      <c r="R436">
        <v>8</v>
      </c>
      <c r="S436">
        <v>5</v>
      </c>
      <c r="T436">
        <v>4</v>
      </c>
      <c r="U436">
        <v>1</v>
      </c>
      <c r="V436">
        <v>38</v>
      </c>
    </row>
    <row r="437" spans="1:22" x14ac:dyDescent="0.25">
      <c r="A437">
        <v>2025</v>
      </c>
      <c r="B437">
        <v>9</v>
      </c>
      <c r="C437" t="s">
        <v>61</v>
      </c>
      <c r="D437" t="s">
        <v>22</v>
      </c>
      <c r="E437" t="s">
        <v>141</v>
      </c>
      <c r="F437" t="s">
        <v>34</v>
      </c>
      <c r="G437" t="s">
        <v>24</v>
      </c>
      <c r="H437" t="s">
        <v>25</v>
      </c>
      <c r="I437" t="s">
        <v>26</v>
      </c>
      <c r="J437" t="s">
        <v>26</v>
      </c>
      <c r="K437">
        <v>30</v>
      </c>
      <c r="L437">
        <v>0</v>
      </c>
      <c r="M437">
        <v>0</v>
      </c>
      <c r="N437">
        <v>0</v>
      </c>
      <c r="O437">
        <v>15</v>
      </c>
      <c r="P437">
        <v>11</v>
      </c>
      <c r="Q437">
        <v>11</v>
      </c>
      <c r="R437">
        <v>10</v>
      </c>
      <c r="S437">
        <v>8</v>
      </c>
      <c r="T437">
        <v>4</v>
      </c>
      <c r="U437">
        <v>3</v>
      </c>
      <c r="V437">
        <v>30</v>
      </c>
    </row>
    <row r="438" spans="1:22" x14ac:dyDescent="0.25">
      <c r="A438">
        <v>2025</v>
      </c>
      <c r="B438">
        <v>9</v>
      </c>
      <c r="C438" t="s">
        <v>61</v>
      </c>
      <c r="D438" t="s">
        <v>22</v>
      </c>
      <c r="E438" t="s">
        <v>142</v>
      </c>
      <c r="F438" t="s">
        <v>34</v>
      </c>
      <c r="G438" t="s">
        <v>24</v>
      </c>
      <c r="H438" t="s">
        <v>25</v>
      </c>
      <c r="I438" t="s">
        <v>26</v>
      </c>
      <c r="J438" t="s">
        <v>26</v>
      </c>
      <c r="K438">
        <v>30</v>
      </c>
      <c r="L438">
        <v>0</v>
      </c>
      <c r="M438">
        <v>0</v>
      </c>
      <c r="N438">
        <v>0</v>
      </c>
      <c r="O438">
        <v>3</v>
      </c>
      <c r="P438">
        <v>2</v>
      </c>
      <c r="Q438">
        <v>1</v>
      </c>
      <c r="R438">
        <v>1</v>
      </c>
      <c r="S438">
        <v>1</v>
      </c>
      <c r="T438">
        <v>0</v>
      </c>
      <c r="U438">
        <v>0</v>
      </c>
      <c r="V438">
        <v>30</v>
      </c>
    </row>
    <row r="439" spans="1:22" x14ac:dyDescent="0.25">
      <c r="A439">
        <v>2025</v>
      </c>
      <c r="B439">
        <v>9</v>
      </c>
      <c r="C439" t="s">
        <v>61</v>
      </c>
      <c r="D439" t="s">
        <v>22</v>
      </c>
      <c r="E439" t="s">
        <v>144</v>
      </c>
      <c r="F439" t="s">
        <v>32</v>
      </c>
      <c r="G439" t="s">
        <v>24</v>
      </c>
      <c r="H439" t="s">
        <v>25</v>
      </c>
      <c r="I439" t="s">
        <v>26</v>
      </c>
      <c r="J439" t="s">
        <v>25</v>
      </c>
      <c r="K439">
        <v>222</v>
      </c>
      <c r="L439">
        <v>0</v>
      </c>
      <c r="M439">
        <v>0</v>
      </c>
      <c r="N439">
        <v>0</v>
      </c>
      <c r="O439">
        <v>42</v>
      </c>
      <c r="P439">
        <v>30</v>
      </c>
      <c r="Q439">
        <v>26</v>
      </c>
      <c r="R439">
        <v>18</v>
      </c>
      <c r="S439">
        <v>16</v>
      </c>
      <c r="T439">
        <v>9</v>
      </c>
      <c r="U439">
        <v>2</v>
      </c>
      <c r="V439">
        <v>222</v>
      </c>
    </row>
    <row r="440" spans="1:22" x14ac:dyDescent="0.25">
      <c r="A440">
        <v>2025</v>
      </c>
      <c r="B440">
        <v>9</v>
      </c>
      <c r="C440" t="s">
        <v>61</v>
      </c>
      <c r="D440" t="s">
        <v>22</v>
      </c>
      <c r="E440" t="s">
        <v>144</v>
      </c>
      <c r="F440" t="s">
        <v>34</v>
      </c>
      <c r="G440" t="s">
        <v>24</v>
      </c>
      <c r="H440" t="s">
        <v>25</v>
      </c>
      <c r="I440" t="s">
        <v>26</v>
      </c>
      <c r="J440" t="s">
        <v>26</v>
      </c>
      <c r="K440">
        <v>22</v>
      </c>
      <c r="L440">
        <v>0</v>
      </c>
      <c r="M440">
        <v>0</v>
      </c>
      <c r="N440">
        <v>0</v>
      </c>
      <c r="O440">
        <v>1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22</v>
      </c>
    </row>
    <row r="441" spans="1:22" x14ac:dyDescent="0.25">
      <c r="A441">
        <v>2025</v>
      </c>
      <c r="B441">
        <v>9</v>
      </c>
      <c r="C441" t="s">
        <v>61</v>
      </c>
      <c r="D441" t="s">
        <v>22</v>
      </c>
      <c r="E441" t="s">
        <v>144</v>
      </c>
      <c r="F441" t="s">
        <v>23</v>
      </c>
      <c r="G441" t="s">
        <v>24</v>
      </c>
      <c r="H441" t="s">
        <v>25</v>
      </c>
      <c r="I441" t="s">
        <v>26</v>
      </c>
      <c r="J441" t="s">
        <v>25</v>
      </c>
      <c r="K441">
        <v>144</v>
      </c>
      <c r="L441">
        <v>0</v>
      </c>
      <c r="M441">
        <v>0</v>
      </c>
      <c r="N441">
        <v>0</v>
      </c>
      <c r="O441">
        <v>50</v>
      </c>
      <c r="P441">
        <v>43</v>
      </c>
      <c r="Q441">
        <v>39</v>
      </c>
      <c r="R441">
        <v>35</v>
      </c>
      <c r="S441">
        <v>29</v>
      </c>
      <c r="T441">
        <v>19</v>
      </c>
      <c r="U441">
        <v>8</v>
      </c>
      <c r="V441">
        <v>144</v>
      </c>
    </row>
    <row r="442" spans="1:22" x14ac:dyDescent="0.25">
      <c r="A442">
        <v>2025</v>
      </c>
      <c r="B442">
        <v>9</v>
      </c>
      <c r="C442" t="s">
        <v>61</v>
      </c>
      <c r="D442" t="s">
        <v>22</v>
      </c>
      <c r="E442" t="s">
        <v>144</v>
      </c>
      <c r="F442" t="s">
        <v>39</v>
      </c>
      <c r="G442" t="s">
        <v>24</v>
      </c>
      <c r="H442" t="s">
        <v>26</v>
      </c>
      <c r="I442" t="s">
        <v>26</v>
      </c>
      <c r="J442" t="s">
        <v>25</v>
      </c>
      <c r="K442">
        <v>666</v>
      </c>
      <c r="L442">
        <v>7</v>
      </c>
      <c r="M442">
        <v>3</v>
      </c>
      <c r="N442">
        <v>10</v>
      </c>
      <c r="O442">
        <v>262</v>
      </c>
      <c r="P442">
        <v>220</v>
      </c>
      <c r="Q442">
        <v>208</v>
      </c>
      <c r="R442">
        <v>184</v>
      </c>
      <c r="S442">
        <v>163</v>
      </c>
      <c r="T442">
        <v>84</v>
      </c>
      <c r="U442">
        <v>28</v>
      </c>
      <c r="V442">
        <v>657</v>
      </c>
    </row>
    <row r="443" spans="1:22" x14ac:dyDescent="0.25">
      <c r="A443">
        <v>2025</v>
      </c>
      <c r="B443">
        <v>9</v>
      </c>
      <c r="C443" t="s">
        <v>61</v>
      </c>
      <c r="D443" t="s">
        <v>22</v>
      </c>
      <c r="E443" t="s">
        <v>144</v>
      </c>
      <c r="F443" t="s">
        <v>36</v>
      </c>
      <c r="G443" t="s">
        <v>24</v>
      </c>
      <c r="H443" t="s">
        <v>25</v>
      </c>
      <c r="I443" t="s">
        <v>26</v>
      </c>
      <c r="J443" t="s">
        <v>25</v>
      </c>
      <c r="K443">
        <v>216</v>
      </c>
      <c r="L443">
        <v>0</v>
      </c>
      <c r="M443">
        <v>4</v>
      </c>
      <c r="N443">
        <v>4</v>
      </c>
      <c r="O443">
        <v>63</v>
      </c>
      <c r="P443">
        <v>54</v>
      </c>
      <c r="Q443">
        <v>49</v>
      </c>
      <c r="R443">
        <v>36</v>
      </c>
      <c r="S443">
        <v>20</v>
      </c>
      <c r="T443">
        <v>6</v>
      </c>
      <c r="U443">
        <v>2</v>
      </c>
      <c r="V443">
        <v>215</v>
      </c>
    </row>
    <row r="444" spans="1:22" x14ac:dyDescent="0.25">
      <c r="A444">
        <v>2025</v>
      </c>
      <c r="B444">
        <v>9</v>
      </c>
      <c r="C444" t="s">
        <v>61</v>
      </c>
      <c r="D444" t="s">
        <v>22</v>
      </c>
      <c r="E444" t="s">
        <v>145</v>
      </c>
      <c r="F444" t="s">
        <v>32</v>
      </c>
      <c r="G444" t="s">
        <v>24</v>
      </c>
      <c r="H444" t="s">
        <v>25</v>
      </c>
      <c r="I444" t="s">
        <v>26</v>
      </c>
      <c r="J444" t="s">
        <v>25</v>
      </c>
      <c r="K444">
        <v>288</v>
      </c>
      <c r="L444">
        <v>10</v>
      </c>
      <c r="M444">
        <v>0</v>
      </c>
      <c r="N444">
        <v>10</v>
      </c>
      <c r="O444">
        <v>113</v>
      </c>
      <c r="P444">
        <v>84</v>
      </c>
      <c r="Q444">
        <v>64</v>
      </c>
      <c r="R444">
        <v>36</v>
      </c>
      <c r="S444">
        <v>26</v>
      </c>
      <c r="T444">
        <v>10</v>
      </c>
      <c r="U444">
        <v>2</v>
      </c>
      <c r="V444">
        <v>278</v>
      </c>
    </row>
    <row r="445" spans="1:22" x14ac:dyDescent="0.25">
      <c r="A445">
        <v>2025</v>
      </c>
      <c r="B445">
        <v>9</v>
      </c>
      <c r="C445" t="s">
        <v>61</v>
      </c>
      <c r="D445" t="s">
        <v>22</v>
      </c>
      <c r="E445" t="s">
        <v>154</v>
      </c>
      <c r="F445" t="s">
        <v>32</v>
      </c>
      <c r="G445" t="s">
        <v>24</v>
      </c>
      <c r="H445" t="s">
        <v>25</v>
      </c>
      <c r="I445" t="s">
        <v>26</v>
      </c>
      <c r="J445" t="s">
        <v>25</v>
      </c>
      <c r="K445">
        <v>16</v>
      </c>
      <c r="L445">
        <v>0</v>
      </c>
      <c r="M445">
        <v>0</v>
      </c>
      <c r="N445">
        <v>0</v>
      </c>
      <c r="O445">
        <v>7</v>
      </c>
      <c r="P445">
        <v>4</v>
      </c>
      <c r="Q445">
        <v>4</v>
      </c>
      <c r="R445">
        <v>2</v>
      </c>
      <c r="S445">
        <v>2</v>
      </c>
      <c r="T445">
        <v>2</v>
      </c>
      <c r="U445">
        <v>1</v>
      </c>
      <c r="V445">
        <v>16</v>
      </c>
    </row>
    <row r="446" spans="1:22" x14ac:dyDescent="0.25">
      <c r="A446">
        <v>2025</v>
      </c>
      <c r="B446">
        <v>9</v>
      </c>
      <c r="C446" t="s">
        <v>61</v>
      </c>
      <c r="D446" t="s">
        <v>22</v>
      </c>
      <c r="E446" t="s">
        <v>147</v>
      </c>
      <c r="F446" t="s">
        <v>32</v>
      </c>
      <c r="G446" t="s">
        <v>24</v>
      </c>
      <c r="H446" t="s">
        <v>25</v>
      </c>
      <c r="I446" t="s">
        <v>26</v>
      </c>
      <c r="J446" t="s">
        <v>25</v>
      </c>
      <c r="K446">
        <v>60</v>
      </c>
      <c r="L446">
        <v>0</v>
      </c>
      <c r="M446">
        <v>0</v>
      </c>
      <c r="N446">
        <v>0</v>
      </c>
      <c r="O446">
        <v>36</v>
      </c>
      <c r="P446">
        <v>29</v>
      </c>
      <c r="Q446">
        <v>29</v>
      </c>
      <c r="R446">
        <v>20</v>
      </c>
      <c r="S446">
        <v>12</v>
      </c>
      <c r="T446">
        <v>5</v>
      </c>
      <c r="U446">
        <v>2</v>
      </c>
      <c r="V446">
        <v>60</v>
      </c>
    </row>
    <row r="447" spans="1:22" x14ac:dyDescent="0.25">
      <c r="A447">
        <v>2025</v>
      </c>
      <c r="B447">
        <v>9</v>
      </c>
      <c r="C447" t="s">
        <v>61</v>
      </c>
      <c r="D447" t="s">
        <v>22</v>
      </c>
      <c r="E447" t="s">
        <v>147</v>
      </c>
      <c r="F447" t="s">
        <v>36</v>
      </c>
      <c r="G447" t="s">
        <v>24</v>
      </c>
      <c r="H447" t="s">
        <v>25</v>
      </c>
      <c r="I447" t="s">
        <v>26</v>
      </c>
      <c r="J447" t="s">
        <v>25</v>
      </c>
      <c r="K447">
        <v>233</v>
      </c>
      <c r="L447">
        <v>0</v>
      </c>
      <c r="M447">
        <v>1</v>
      </c>
      <c r="N447">
        <v>1</v>
      </c>
      <c r="O447">
        <v>142</v>
      </c>
      <c r="P447">
        <v>108</v>
      </c>
      <c r="Q447">
        <v>100</v>
      </c>
      <c r="R447">
        <v>69</v>
      </c>
      <c r="S447">
        <v>50</v>
      </c>
      <c r="T447">
        <v>20</v>
      </c>
      <c r="U447">
        <v>5</v>
      </c>
      <c r="V447">
        <v>233</v>
      </c>
    </row>
    <row r="448" spans="1:22" x14ac:dyDescent="0.25">
      <c r="A448">
        <v>2025</v>
      </c>
      <c r="B448">
        <v>9</v>
      </c>
      <c r="C448" t="s">
        <v>61</v>
      </c>
      <c r="D448" t="s">
        <v>22</v>
      </c>
      <c r="E448" t="s">
        <v>51</v>
      </c>
      <c r="F448" t="s">
        <v>34</v>
      </c>
      <c r="G448" t="s">
        <v>28</v>
      </c>
      <c r="H448" t="s">
        <v>25</v>
      </c>
      <c r="I448" t="s">
        <v>26</v>
      </c>
      <c r="J448" t="s">
        <v>26</v>
      </c>
      <c r="K448">
        <v>23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23</v>
      </c>
    </row>
    <row r="449" spans="1:22" x14ac:dyDescent="0.25">
      <c r="A449">
        <v>2025</v>
      </c>
      <c r="B449">
        <v>9</v>
      </c>
      <c r="C449" t="s">
        <v>61</v>
      </c>
      <c r="D449" t="s">
        <v>22</v>
      </c>
      <c r="E449" t="s">
        <v>51</v>
      </c>
      <c r="F449" t="s">
        <v>34</v>
      </c>
      <c r="G449" t="s">
        <v>24</v>
      </c>
      <c r="H449" t="s">
        <v>25</v>
      </c>
      <c r="I449" t="s">
        <v>26</v>
      </c>
      <c r="J449" t="s">
        <v>26</v>
      </c>
      <c r="K449">
        <v>7</v>
      </c>
      <c r="L449">
        <v>0</v>
      </c>
      <c r="M449">
        <v>0</v>
      </c>
      <c r="N449">
        <v>0</v>
      </c>
      <c r="O449">
        <v>1</v>
      </c>
      <c r="P449">
        <v>1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7</v>
      </c>
    </row>
    <row r="450" spans="1:22" x14ac:dyDescent="0.25">
      <c r="A450">
        <v>2025</v>
      </c>
      <c r="B450">
        <v>9</v>
      </c>
      <c r="C450" t="s">
        <v>61</v>
      </c>
      <c r="D450" t="s">
        <v>22</v>
      </c>
      <c r="E450" t="s">
        <v>155</v>
      </c>
      <c r="F450" t="s">
        <v>34</v>
      </c>
      <c r="G450" t="s">
        <v>24</v>
      </c>
      <c r="H450" t="s">
        <v>25</v>
      </c>
      <c r="I450" t="s">
        <v>26</v>
      </c>
      <c r="J450" t="s">
        <v>26</v>
      </c>
      <c r="K450">
        <v>60</v>
      </c>
      <c r="L450">
        <v>0</v>
      </c>
      <c r="M450">
        <v>0</v>
      </c>
      <c r="N450">
        <v>0</v>
      </c>
      <c r="O450">
        <v>4</v>
      </c>
      <c r="P450">
        <v>3</v>
      </c>
      <c r="Q450">
        <v>3</v>
      </c>
      <c r="R450">
        <v>3</v>
      </c>
      <c r="S450">
        <v>2</v>
      </c>
      <c r="T450">
        <v>2</v>
      </c>
      <c r="U450">
        <v>1</v>
      </c>
      <c r="V450">
        <v>60</v>
      </c>
    </row>
    <row r="451" spans="1:22" x14ac:dyDescent="0.25">
      <c r="A451">
        <v>2025</v>
      </c>
      <c r="B451">
        <v>9</v>
      </c>
      <c r="C451" t="s">
        <v>61</v>
      </c>
      <c r="D451" t="s">
        <v>22</v>
      </c>
      <c r="E451" t="s">
        <v>152</v>
      </c>
      <c r="F451" t="s">
        <v>31</v>
      </c>
      <c r="G451" t="s">
        <v>24</v>
      </c>
      <c r="H451" t="s">
        <v>25</v>
      </c>
      <c r="I451" t="s">
        <v>26</v>
      </c>
      <c r="J451" t="s">
        <v>25</v>
      </c>
      <c r="K451">
        <v>179</v>
      </c>
      <c r="L451">
        <v>0</v>
      </c>
      <c r="M451">
        <v>1</v>
      </c>
      <c r="N451">
        <v>1</v>
      </c>
      <c r="O451">
        <v>117</v>
      </c>
      <c r="P451">
        <v>82</v>
      </c>
      <c r="Q451">
        <v>75</v>
      </c>
      <c r="R451">
        <v>42</v>
      </c>
      <c r="S451">
        <v>30</v>
      </c>
      <c r="T451">
        <v>11</v>
      </c>
      <c r="U451">
        <v>1</v>
      </c>
      <c r="V451">
        <v>179</v>
      </c>
    </row>
    <row r="452" spans="1:22" x14ac:dyDescent="0.25">
      <c r="A452">
        <v>2025</v>
      </c>
      <c r="B452">
        <v>9</v>
      </c>
      <c r="C452" t="s">
        <v>61</v>
      </c>
      <c r="D452" t="s">
        <v>22</v>
      </c>
      <c r="E452" t="s">
        <v>171</v>
      </c>
      <c r="F452" t="s">
        <v>34</v>
      </c>
      <c r="G452" t="s">
        <v>24</v>
      </c>
      <c r="H452" t="s">
        <v>25</v>
      </c>
      <c r="I452" t="s">
        <v>26</v>
      </c>
      <c r="J452" t="s">
        <v>26</v>
      </c>
      <c r="K452">
        <v>25</v>
      </c>
      <c r="L452">
        <v>0</v>
      </c>
      <c r="M452">
        <v>0</v>
      </c>
      <c r="N452">
        <v>0</v>
      </c>
      <c r="O452">
        <v>5</v>
      </c>
      <c r="P452">
        <v>5</v>
      </c>
      <c r="Q452">
        <v>5</v>
      </c>
      <c r="R452">
        <v>3</v>
      </c>
      <c r="S452">
        <v>2</v>
      </c>
      <c r="T452">
        <v>2</v>
      </c>
      <c r="U452">
        <v>1</v>
      </c>
      <c r="V452">
        <v>25</v>
      </c>
    </row>
    <row r="453" spans="1:22" x14ac:dyDescent="0.25">
      <c r="A453">
        <v>2025</v>
      </c>
      <c r="B453">
        <v>9</v>
      </c>
      <c r="C453" t="s">
        <v>61</v>
      </c>
      <c r="D453" t="s">
        <v>22</v>
      </c>
      <c r="E453" t="s">
        <v>163</v>
      </c>
      <c r="F453" t="s">
        <v>32</v>
      </c>
      <c r="G453" t="s">
        <v>24</v>
      </c>
      <c r="H453" t="s">
        <v>25</v>
      </c>
      <c r="I453" t="s">
        <v>26</v>
      </c>
      <c r="J453" t="s">
        <v>25</v>
      </c>
      <c r="K453">
        <v>212</v>
      </c>
      <c r="L453">
        <v>0</v>
      </c>
      <c r="M453">
        <v>0</v>
      </c>
      <c r="N453">
        <v>0</v>
      </c>
      <c r="O453">
        <v>99</v>
      </c>
      <c r="P453">
        <v>80</v>
      </c>
      <c r="Q453">
        <v>77</v>
      </c>
      <c r="R453">
        <v>59</v>
      </c>
      <c r="S453">
        <v>48</v>
      </c>
      <c r="T453">
        <v>17</v>
      </c>
      <c r="U453">
        <v>3</v>
      </c>
      <c r="V453">
        <v>212</v>
      </c>
    </row>
    <row r="454" spans="1:22" x14ac:dyDescent="0.25">
      <c r="A454">
        <v>2025</v>
      </c>
      <c r="B454">
        <v>9</v>
      </c>
      <c r="C454" t="s">
        <v>61</v>
      </c>
      <c r="D454" t="s">
        <v>22</v>
      </c>
      <c r="E454" t="s">
        <v>163</v>
      </c>
      <c r="F454" t="s">
        <v>34</v>
      </c>
      <c r="G454" t="s">
        <v>24</v>
      </c>
      <c r="H454" t="s">
        <v>25</v>
      </c>
      <c r="I454" t="s">
        <v>26</v>
      </c>
      <c r="J454" t="s">
        <v>26</v>
      </c>
      <c r="K454">
        <v>59</v>
      </c>
      <c r="L454">
        <v>0</v>
      </c>
      <c r="M454">
        <v>0</v>
      </c>
      <c r="N454">
        <v>0</v>
      </c>
      <c r="O454">
        <v>8</v>
      </c>
      <c r="P454">
        <v>7</v>
      </c>
      <c r="Q454">
        <v>7</v>
      </c>
      <c r="R454">
        <v>7</v>
      </c>
      <c r="S454">
        <v>6</v>
      </c>
      <c r="T454">
        <v>4</v>
      </c>
      <c r="U454">
        <v>3</v>
      </c>
      <c r="V454">
        <v>59</v>
      </c>
    </row>
    <row r="455" spans="1:22" x14ac:dyDescent="0.25">
      <c r="A455">
        <v>2025</v>
      </c>
      <c r="B455">
        <v>9</v>
      </c>
      <c r="C455" t="s">
        <v>61</v>
      </c>
      <c r="D455" t="s">
        <v>22</v>
      </c>
      <c r="E455" t="s">
        <v>163</v>
      </c>
      <c r="F455" t="s">
        <v>23</v>
      </c>
      <c r="G455" t="s">
        <v>24</v>
      </c>
      <c r="H455" t="s">
        <v>25</v>
      </c>
      <c r="I455" t="s">
        <v>26</v>
      </c>
      <c r="J455" t="s">
        <v>25</v>
      </c>
      <c r="K455">
        <v>72</v>
      </c>
      <c r="L455">
        <v>0</v>
      </c>
      <c r="M455">
        <v>1</v>
      </c>
      <c r="N455">
        <v>1</v>
      </c>
      <c r="O455">
        <v>6</v>
      </c>
      <c r="P455">
        <v>5</v>
      </c>
      <c r="Q455">
        <v>5</v>
      </c>
      <c r="R455">
        <v>4</v>
      </c>
      <c r="S455">
        <v>3</v>
      </c>
      <c r="T455">
        <v>2</v>
      </c>
      <c r="U455">
        <v>1</v>
      </c>
      <c r="V455">
        <v>72</v>
      </c>
    </row>
    <row r="456" spans="1:22" x14ac:dyDescent="0.25">
      <c r="A456">
        <v>2025</v>
      </c>
      <c r="B456">
        <v>9</v>
      </c>
      <c r="C456" t="s">
        <v>61</v>
      </c>
      <c r="D456" t="s">
        <v>22</v>
      </c>
      <c r="E456" t="s">
        <v>164</v>
      </c>
      <c r="F456" t="s">
        <v>23</v>
      </c>
      <c r="G456" t="s">
        <v>24</v>
      </c>
      <c r="H456" t="s">
        <v>25</v>
      </c>
      <c r="I456" t="s">
        <v>26</v>
      </c>
      <c r="J456" t="s">
        <v>25</v>
      </c>
      <c r="K456">
        <v>47</v>
      </c>
      <c r="L456">
        <v>0</v>
      </c>
      <c r="M456">
        <v>0</v>
      </c>
      <c r="N456">
        <v>0</v>
      </c>
      <c r="O456">
        <v>17</v>
      </c>
      <c r="P456">
        <v>16</v>
      </c>
      <c r="Q456">
        <v>15</v>
      </c>
      <c r="R456">
        <v>13</v>
      </c>
      <c r="S456">
        <v>13</v>
      </c>
      <c r="T456">
        <v>3</v>
      </c>
      <c r="U456">
        <v>1</v>
      </c>
      <c r="V456">
        <v>47</v>
      </c>
    </row>
    <row r="457" spans="1:22" x14ac:dyDescent="0.25">
      <c r="A457">
        <v>2025</v>
      </c>
      <c r="B457">
        <v>9</v>
      </c>
      <c r="C457" t="s">
        <v>61</v>
      </c>
      <c r="D457" t="s">
        <v>22</v>
      </c>
      <c r="E457" t="s">
        <v>165</v>
      </c>
      <c r="F457" t="s">
        <v>31</v>
      </c>
      <c r="G457" t="s">
        <v>24</v>
      </c>
      <c r="H457" t="s">
        <v>25</v>
      </c>
      <c r="I457" t="s">
        <v>26</v>
      </c>
      <c r="J457" t="s">
        <v>25</v>
      </c>
      <c r="K457">
        <v>30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30</v>
      </c>
    </row>
    <row r="458" spans="1:22" x14ac:dyDescent="0.25">
      <c r="A458">
        <v>2025</v>
      </c>
      <c r="B458">
        <v>9</v>
      </c>
      <c r="C458" t="s">
        <v>61</v>
      </c>
      <c r="D458" t="s">
        <v>22</v>
      </c>
      <c r="E458" t="s">
        <v>165</v>
      </c>
      <c r="F458" t="s">
        <v>32</v>
      </c>
      <c r="G458" t="s">
        <v>24</v>
      </c>
      <c r="H458" t="s">
        <v>25</v>
      </c>
      <c r="I458" t="s">
        <v>26</v>
      </c>
      <c r="J458" t="s">
        <v>25</v>
      </c>
      <c r="K458">
        <v>58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58</v>
      </c>
    </row>
    <row r="459" spans="1:22" x14ac:dyDescent="0.25">
      <c r="A459">
        <v>2025</v>
      </c>
      <c r="B459">
        <v>9</v>
      </c>
      <c r="C459" t="s">
        <v>61</v>
      </c>
      <c r="D459" t="s">
        <v>22</v>
      </c>
      <c r="E459" t="s">
        <v>61</v>
      </c>
      <c r="F459" t="s">
        <v>31</v>
      </c>
      <c r="G459" t="s">
        <v>28</v>
      </c>
      <c r="H459" t="s">
        <v>25</v>
      </c>
      <c r="I459" t="s">
        <v>26</v>
      </c>
      <c r="J459" t="s">
        <v>25</v>
      </c>
      <c r="K459">
        <v>476</v>
      </c>
      <c r="L459">
        <v>3</v>
      </c>
      <c r="M459">
        <v>0</v>
      </c>
      <c r="N459">
        <v>3</v>
      </c>
      <c r="O459">
        <v>131</v>
      </c>
      <c r="P459">
        <v>97</v>
      </c>
      <c r="Q459">
        <v>80</v>
      </c>
      <c r="R459">
        <v>46</v>
      </c>
      <c r="S459">
        <v>28</v>
      </c>
      <c r="T459">
        <v>13</v>
      </c>
      <c r="U459">
        <v>2</v>
      </c>
      <c r="V459">
        <v>473</v>
      </c>
    </row>
    <row r="460" spans="1:22" x14ac:dyDescent="0.25">
      <c r="A460">
        <v>2025</v>
      </c>
      <c r="B460">
        <v>9</v>
      </c>
      <c r="C460" t="s">
        <v>61</v>
      </c>
      <c r="D460" t="s">
        <v>22</v>
      </c>
      <c r="E460" t="s">
        <v>61</v>
      </c>
      <c r="F460" t="s">
        <v>31</v>
      </c>
      <c r="G460" t="s">
        <v>24</v>
      </c>
      <c r="H460" t="s">
        <v>25</v>
      </c>
      <c r="I460" t="s">
        <v>26</v>
      </c>
      <c r="J460" t="s">
        <v>25</v>
      </c>
      <c r="K460">
        <v>2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2</v>
      </c>
    </row>
    <row r="461" spans="1:22" x14ac:dyDescent="0.25">
      <c r="A461">
        <v>2025</v>
      </c>
      <c r="B461">
        <v>9</v>
      </c>
      <c r="C461" t="s">
        <v>61</v>
      </c>
      <c r="D461" t="s">
        <v>22</v>
      </c>
      <c r="E461" t="s">
        <v>61</v>
      </c>
      <c r="F461" t="s">
        <v>32</v>
      </c>
      <c r="G461" t="s">
        <v>28</v>
      </c>
      <c r="H461" t="s">
        <v>25</v>
      </c>
      <c r="I461" t="s">
        <v>26</v>
      </c>
      <c r="J461" t="s">
        <v>25</v>
      </c>
      <c r="K461">
        <v>97</v>
      </c>
      <c r="L461">
        <v>0</v>
      </c>
      <c r="M461">
        <v>1</v>
      </c>
      <c r="N461">
        <v>1</v>
      </c>
      <c r="O461">
        <v>23</v>
      </c>
      <c r="P461">
        <v>19</v>
      </c>
      <c r="Q461">
        <v>16</v>
      </c>
      <c r="R461">
        <v>9</v>
      </c>
      <c r="S461">
        <v>8</v>
      </c>
      <c r="T461">
        <v>3</v>
      </c>
      <c r="U461">
        <v>0</v>
      </c>
      <c r="V461">
        <v>97</v>
      </c>
    </row>
    <row r="462" spans="1:22" x14ac:dyDescent="0.25">
      <c r="A462">
        <v>2025</v>
      </c>
      <c r="B462">
        <v>9</v>
      </c>
      <c r="C462" t="s">
        <v>61</v>
      </c>
      <c r="D462" t="s">
        <v>22</v>
      </c>
      <c r="E462" t="s">
        <v>61</v>
      </c>
      <c r="F462" t="s">
        <v>34</v>
      </c>
      <c r="G462" t="s">
        <v>24</v>
      </c>
      <c r="H462" t="s">
        <v>25</v>
      </c>
      <c r="I462" t="s">
        <v>26</v>
      </c>
      <c r="J462" t="s">
        <v>26</v>
      </c>
      <c r="K462">
        <v>1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1</v>
      </c>
    </row>
    <row r="463" spans="1:22" x14ac:dyDescent="0.25">
      <c r="A463">
        <v>2025</v>
      </c>
      <c r="B463">
        <v>9</v>
      </c>
      <c r="C463" t="s">
        <v>61</v>
      </c>
      <c r="D463" t="s">
        <v>22</v>
      </c>
      <c r="E463" t="s">
        <v>61</v>
      </c>
      <c r="F463" t="s">
        <v>23</v>
      </c>
      <c r="G463" t="s">
        <v>28</v>
      </c>
      <c r="H463" t="s">
        <v>25</v>
      </c>
      <c r="I463" t="s">
        <v>26</v>
      </c>
      <c r="J463" t="s">
        <v>25</v>
      </c>
      <c r="K463">
        <v>1292</v>
      </c>
      <c r="L463">
        <v>0</v>
      </c>
      <c r="M463">
        <v>175</v>
      </c>
      <c r="N463">
        <v>175</v>
      </c>
      <c r="O463">
        <v>240</v>
      </c>
      <c r="P463">
        <v>167</v>
      </c>
      <c r="Q463">
        <v>139</v>
      </c>
      <c r="R463">
        <v>75</v>
      </c>
      <c r="S463">
        <v>44</v>
      </c>
      <c r="T463">
        <v>13</v>
      </c>
      <c r="U463">
        <v>1</v>
      </c>
      <c r="V463">
        <v>1207</v>
      </c>
    </row>
    <row r="464" spans="1:22" x14ac:dyDescent="0.25">
      <c r="A464">
        <v>2025</v>
      </c>
      <c r="B464">
        <v>9</v>
      </c>
      <c r="C464" t="s">
        <v>61</v>
      </c>
      <c r="D464" t="s">
        <v>22</v>
      </c>
      <c r="E464" t="s">
        <v>61</v>
      </c>
      <c r="F464" t="s">
        <v>39</v>
      </c>
      <c r="G464" t="s">
        <v>28</v>
      </c>
      <c r="H464" t="s">
        <v>26</v>
      </c>
      <c r="I464" t="s">
        <v>26</v>
      </c>
      <c r="J464" t="s">
        <v>25</v>
      </c>
      <c r="K464">
        <v>30</v>
      </c>
      <c r="L464">
        <v>0</v>
      </c>
      <c r="M464">
        <v>0</v>
      </c>
      <c r="N464">
        <v>0</v>
      </c>
      <c r="O464">
        <v>1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30</v>
      </c>
    </row>
    <row r="465" spans="1:22" x14ac:dyDescent="0.25">
      <c r="A465">
        <v>2025</v>
      </c>
      <c r="B465">
        <v>9</v>
      </c>
      <c r="C465" t="s">
        <v>61</v>
      </c>
      <c r="D465" t="s">
        <v>22</v>
      </c>
      <c r="E465" t="s">
        <v>61</v>
      </c>
      <c r="F465" t="s">
        <v>40</v>
      </c>
      <c r="G465" t="s">
        <v>28</v>
      </c>
      <c r="H465" t="s">
        <v>25</v>
      </c>
      <c r="I465" t="s">
        <v>26</v>
      </c>
      <c r="J465" t="s">
        <v>25</v>
      </c>
      <c r="K465">
        <v>44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44</v>
      </c>
    </row>
    <row r="466" spans="1:22" x14ac:dyDescent="0.25">
      <c r="A466">
        <v>2025</v>
      </c>
      <c r="B466">
        <v>9</v>
      </c>
      <c r="C466" t="s">
        <v>61</v>
      </c>
      <c r="D466" t="s">
        <v>22</v>
      </c>
      <c r="E466" t="s">
        <v>61</v>
      </c>
      <c r="F466" t="s">
        <v>35</v>
      </c>
      <c r="G466" t="s">
        <v>28</v>
      </c>
      <c r="H466" t="s">
        <v>25</v>
      </c>
      <c r="I466" t="s">
        <v>26</v>
      </c>
      <c r="J466" t="s">
        <v>26</v>
      </c>
      <c r="K466">
        <v>60</v>
      </c>
      <c r="L466">
        <v>0</v>
      </c>
      <c r="M466">
        <v>1</v>
      </c>
      <c r="N466">
        <v>1</v>
      </c>
      <c r="O466">
        <v>3</v>
      </c>
      <c r="P466">
        <v>3</v>
      </c>
      <c r="Q466">
        <v>3</v>
      </c>
      <c r="R466">
        <v>3</v>
      </c>
      <c r="S466">
        <v>1</v>
      </c>
      <c r="T466">
        <v>1</v>
      </c>
      <c r="U466">
        <v>1</v>
      </c>
      <c r="V466">
        <v>60</v>
      </c>
    </row>
    <row r="467" spans="1:22" x14ac:dyDescent="0.25">
      <c r="A467">
        <v>2025</v>
      </c>
      <c r="B467">
        <v>9</v>
      </c>
      <c r="C467" t="s">
        <v>61</v>
      </c>
      <c r="D467" t="s">
        <v>22</v>
      </c>
      <c r="E467" t="s">
        <v>61</v>
      </c>
      <c r="F467" t="s">
        <v>35</v>
      </c>
      <c r="G467" t="s">
        <v>24</v>
      </c>
      <c r="H467" t="s">
        <v>25</v>
      </c>
      <c r="I467" t="s">
        <v>26</v>
      </c>
      <c r="J467" t="s">
        <v>26</v>
      </c>
      <c r="K467">
        <v>807</v>
      </c>
      <c r="L467">
        <v>3</v>
      </c>
      <c r="M467">
        <v>2</v>
      </c>
      <c r="N467">
        <v>5</v>
      </c>
      <c r="O467">
        <v>295</v>
      </c>
      <c r="P467">
        <v>254</v>
      </c>
      <c r="Q467">
        <v>242</v>
      </c>
      <c r="R467">
        <v>204</v>
      </c>
      <c r="S467">
        <v>155</v>
      </c>
      <c r="T467">
        <v>115</v>
      </c>
      <c r="U467">
        <v>86</v>
      </c>
      <c r="V467">
        <v>802</v>
      </c>
    </row>
    <row r="468" spans="1:22" x14ac:dyDescent="0.25">
      <c r="A468">
        <v>2025</v>
      </c>
      <c r="B468">
        <v>9</v>
      </c>
      <c r="C468" t="s">
        <v>61</v>
      </c>
      <c r="D468" t="s">
        <v>22</v>
      </c>
      <c r="E468" t="s">
        <v>61</v>
      </c>
      <c r="F468" t="s">
        <v>36</v>
      </c>
      <c r="G468" t="s">
        <v>28</v>
      </c>
      <c r="H468" t="s">
        <v>25</v>
      </c>
      <c r="I468" t="s">
        <v>26</v>
      </c>
      <c r="J468" t="s">
        <v>25</v>
      </c>
      <c r="K468">
        <v>2009</v>
      </c>
      <c r="L468">
        <v>7</v>
      </c>
      <c r="M468">
        <v>115</v>
      </c>
      <c r="N468">
        <v>122</v>
      </c>
      <c r="O468">
        <v>452</v>
      </c>
      <c r="P468">
        <v>313</v>
      </c>
      <c r="Q468">
        <v>263</v>
      </c>
      <c r="R468">
        <v>145</v>
      </c>
      <c r="S468">
        <v>82</v>
      </c>
      <c r="T468">
        <v>29</v>
      </c>
      <c r="U468">
        <v>11</v>
      </c>
      <c r="V468">
        <v>1933</v>
      </c>
    </row>
    <row r="469" spans="1:22" x14ac:dyDescent="0.25">
      <c r="A469">
        <v>2025</v>
      </c>
      <c r="B469">
        <v>9</v>
      </c>
      <c r="C469" t="s">
        <v>61</v>
      </c>
      <c r="D469" t="s">
        <v>22</v>
      </c>
      <c r="E469" t="s">
        <v>61</v>
      </c>
      <c r="F469" t="s">
        <v>36</v>
      </c>
      <c r="G469" t="s">
        <v>24</v>
      </c>
      <c r="H469" t="s">
        <v>25</v>
      </c>
      <c r="I469" t="s">
        <v>26</v>
      </c>
      <c r="J469" t="s">
        <v>25</v>
      </c>
      <c r="K469">
        <v>120</v>
      </c>
      <c r="L469">
        <v>0</v>
      </c>
      <c r="M469">
        <v>0</v>
      </c>
      <c r="N469">
        <v>0</v>
      </c>
      <c r="O469">
        <v>69</v>
      </c>
      <c r="P469">
        <v>58</v>
      </c>
      <c r="Q469">
        <v>50</v>
      </c>
      <c r="R469">
        <v>37</v>
      </c>
      <c r="S469">
        <v>25</v>
      </c>
      <c r="T469">
        <v>13</v>
      </c>
      <c r="U469">
        <v>5</v>
      </c>
      <c r="V469">
        <v>120</v>
      </c>
    </row>
    <row r="470" spans="1:22" x14ac:dyDescent="0.25">
      <c r="A470">
        <v>2025</v>
      </c>
      <c r="B470">
        <v>9</v>
      </c>
      <c r="C470" t="s">
        <v>61</v>
      </c>
      <c r="D470" t="s">
        <v>22</v>
      </c>
      <c r="E470" t="s">
        <v>61</v>
      </c>
      <c r="F470" t="s">
        <v>41</v>
      </c>
      <c r="G470" t="s">
        <v>28</v>
      </c>
      <c r="H470" t="s">
        <v>26</v>
      </c>
      <c r="I470" t="s">
        <v>26</v>
      </c>
      <c r="J470" t="s">
        <v>25</v>
      </c>
      <c r="K470">
        <v>899</v>
      </c>
      <c r="L470">
        <v>0</v>
      </c>
      <c r="M470">
        <v>27</v>
      </c>
      <c r="N470">
        <v>27</v>
      </c>
      <c r="O470">
        <v>474</v>
      </c>
      <c r="P470">
        <v>384</v>
      </c>
      <c r="Q470">
        <v>348</v>
      </c>
      <c r="R470">
        <v>262</v>
      </c>
      <c r="S470">
        <v>208</v>
      </c>
      <c r="T470">
        <v>84</v>
      </c>
      <c r="U470">
        <v>16</v>
      </c>
      <c r="V470">
        <v>888</v>
      </c>
    </row>
    <row r="471" spans="1:22" x14ac:dyDescent="0.25">
      <c r="A471">
        <v>2025</v>
      </c>
      <c r="B471">
        <v>9</v>
      </c>
      <c r="C471" t="s">
        <v>61</v>
      </c>
      <c r="D471" t="s">
        <v>22</v>
      </c>
      <c r="E471" t="s">
        <v>61</v>
      </c>
      <c r="F471" t="s">
        <v>41</v>
      </c>
      <c r="G471" t="s">
        <v>24</v>
      </c>
      <c r="H471" t="s">
        <v>26</v>
      </c>
      <c r="I471" t="s">
        <v>26</v>
      </c>
      <c r="J471" t="s">
        <v>25</v>
      </c>
      <c r="K471">
        <v>971</v>
      </c>
      <c r="L471">
        <v>0</v>
      </c>
      <c r="M471">
        <v>7</v>
      </c>
      <c r="N471">
        <v>7</v>
      </c>
      <c r="O471">
        <v>511</v>
      </c>
      <c r="P471">
        <v>434</v>
      </c>
      <c r="Q471">
        <v>407</v>
      </c>
      <c r="R471">
        <v>315</v>
      </c>
      <c r="S471">
        <v>226</v>
      </c>
      <c r="T471">
        <v>97</v>
      </c>
      <c r="U471">
        <v>13</v>
      </c>
      <c r="V471">
        <v>967</v>
      </c>
    </row>
    <row r="472" spans="1:22" x14ac:dyDescent="0.25">
      <c r="A472">
        <v>2025</v>
      </c>
      <c r="B472">
        <v>9</v>
      </c>
      <c r="C472" t="s">
        <v>61</v>
      </c>
      <c r="D472" t="s">
        <v>22</v>
      </c>
      <c r="E472" t="s">
        <v>166</v>
      </c>
      <c r="F472" t="s">
        <v>32</v>
      </c>
      <c r="G472" t="s">
        <v>24</v>
      </c>
      <c r="H472" t="s">
        <v>25</v>
      </c>
      <c r="I472" t="s">
        <v>26</v>
      </c>
      <c r="J472" t="s">
        <v>25</v>
      </c>
      <c r="K472">
        <v>270</v>
      </c>
      <c r="L472">
        <v>2</v>
      </c>
      <c r="M472">
        <v>0</v>
      </c>
      <c r="N472">
        <v>2</v>
      </c>
      <c r="O472">
        <v>178</v>
      </c>
      <c r="P472">
        <v>146</v>
      </c>
      <c r="Q472">
        <v>129</v>
      </c>
      <c r="R472">
        <v>96</v>
      </c>
      <c r="S472">
        <v>71</v>
      </c>
      <c r="T472">
        <v>19</v>
      </c>
      <c r="U472">
        <v>6</v>
      </c>
      <c r="V472">
        <v>268</v>
      </c>
    </row>
    <row r="473" spans="1:22" x14ac:dyDescent="0.25">
      <c r="A473">
        <v>2025</v>
      </c>
      <c r="B473">
        <v>9</v>
      </c>
      <c r="C473" t="s">
        <v>61</v>
      </c>
      <c r="D473" t="s">
        <v>22</v>
      </c>
      <c r="E473" t="s">
        <v>168</v>
      </c>
      <c r="F473" t="s">
        <v>31</v>
      </c>
      <c r="G473" t="s">
        <v>24</v>
      </c>
      <c r="H473" t="s">
        <v>25</v>
      </c>
      <c r="I473" t="s">
        <v>26</v>
      </c>
      <c r="J473" t="s">
        <v>25</v>
      </c>
      <c r="K473">
        <v>538</v>
      </c>
      <c r="L473">
        <v>0</v>
      </c>
      <c r="M473">
        <v>2</v>
      </c>
      <c r="N473">
        <v>2</v>
      </c>
      <c r="O473">
        <v>133</v>
      </c>
      <c r="P473">
        <v>71</v>
      </c>
      <c r="Q473">
        <v>58</v>
      </c>
      <c r="R473">
        <v>32</v>
      </c>
      <c r="S473">
        <v>16</v>
      </c>
      <c r="T473">
        <v>4</v>
      </c>
      <c r="U473">
        <v>1</v>
      </c>
      <c r="V473">
        <v>537</v>
      </c>
    </row>
    <row r="474" spans="1:22" x14ac:dyDescent="0.25">
      <c r="A474">
        <v>2025</v>
      </c>
      <c r="B474">
        <v>9</v>
      </c>
      <c r="C474" t="s">
        <v>61</v>
      </c>
      <c r="D474" t="s">
        <v>22</v>
      </c>
      <c r="E474" t="s">
        <v>168</v>
      </c>
      <c r="F474" t="s">
        <v>23</v>
      </c>
      <c r="G474" t="s">
        <v>24</v>
      </c>
      <c r="H474" t="s">
        <v>25</v>
      </c>
      <c r="I474" t="s">
        <v>26</v>
      </c>
      <c r="J474" t="s">
        <v>25</v>
      </c>
      <c r="K474">
        <v>13</v>
      </c>
      <c r="L474">
        <v>0</v>
      </c>
      <c r="M474">
        <v>0</v>
      </c>
      <c r="N474">
        <v>0</v>
      </c>
      <c r="O474">
        <v>1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13</v>
      </c>
    </row>
    <row r="475" spans="1:22" x14ac:dyDescent="0.25">
      <c r="A475">
        <v>2025</v>
      </c>
      <c r="B475">
        <v>9</v>
      </c>
      <c r="C475" t="s">
        <v>61</v>
      </c>
      <c r="D475" t="s">
        <v>22</v>
      </c>
      <c r="E475" t="s">
        <v>157</v>
      </c>
      <c r="F475" t="s">
        <v>31</v>
      </c>
      <c r="G475" t="s">
        <v>24</v>
      </c>
      <c r="H475" t="s">
        <v>25</v>
      </c>
      <c r="I475" t="s">
        <v>26</v>
      </c>
      <c r="J475" t="s">
        <v>25</v>
      </c>
      <c r="K475">
        <v>120</v>
      </c>
      <c r="L475">
        <v>0</v>
      </c>
      <c r="M475">
        <v>0</v>
      </c>
      <c r="N475">
        <v>0</v>
      </c>
      <c r="O475">
        <v>72</v>
      </c>
      <c r="P475">
        <v>57</v>
      </c>
      <c r="Q475">
        <v>49</v>
      </c>
      <c r="R475">
        <v>37</v>
      </c>
      <c r="S475">
        <v>25</v>
      </c>
      <c r="T475">
        <v>14</v>
      </c>
      <c r="U475">
        <v>5</v>
      </c>
      <c r="V475">
        <v>120</v>
      </c>
    </row>
    <row r="476" spans="1:22" x14ac:dyDescent="0.25">
      <c r="A476">
        <v>2025</v>
      </c>
      <c r="B476">
        <v>9</v>
      </c>
      <c r="C476" t="s">
        <v>61</v>
      </c>
      <c r="D476" t="s">
        <v>22</v>
      </c>
      <c r="E476" t="s">
        <v>157</v>
      </c>
      <c r="F476" t="s">
        <v>23</v>
      </c>
      <c r="G476" t="s">
        <v>24</v>
      </c>
      <c r="H476" t="s">
        <v>25</v>
      </c>
      <c r="I476" t="s">
        <v>26</v>
      </c>
      <c r="J476" t="s">
        <v>25</v>
      </c>
      <c r="K476">
        <v>1</v>
      </c>
      <c r="L476">
        <v>0</v>
      </c>
      <c r="M476">
        <v>0</v>
      </c>
      <c r="N476">
        <v>0</v>
      </c>
      <c r="O476">
        <v>1</v>
      </c>
      <c r="P476">
        <v>1</v>
      </c>
      <c r="Q476">
        <v>1</v>
      </c>
      <c r="R476">
        <v>1</v>
      </c>
      <c r="S476">
        <v>1</v>
      </c>
      <c r="T476">
        <v>1</v>
      </c>
      <c r="U476">
        <v>1</v>
      </c>
      <c r="V476">
        <v>1</v>
      </c>
    </row>
    <row r="477" spans="1:22" x14ac:dyDescent="0.25">
      <c r="A477">
        <v>2025</v>
      </c>
      <c r="B477">
        <v>9</v>
      </c>
      <c r="C477" t="s">
        <v>61</v>
      </c>
      <c r="D477" t="s">
        <v>22</v>
      </c>
      <c r="E477" t="s">
        <v>157</v>
      </c>
      <c r="F477" t="s">
        <v>35</v>
      </c>
      <c r="G477" t="s">
        <v>24</v>
      </c>
      <c r="H477" t="s">
        <v>25</v>
      </c>
      <c r="I477" t="s">
        <v>26</v>
      </c>
      <c r="J477" t="s">
        <v>26</v>
      </c>
      <c r="K477">
        <v>28</v>
      </c>
      <c r="L477">
        <v>0</v>
      </c>
      <c r="M477">
        <v>0</v>
      </c>
      <c r="N477">
        <v>0</v>
      </c>
      <c r="O477">
        <v>13</v>
      </c>
      <c r="P477">
        <v>13</v>
      </c>
      <c r="Q477">
        <v>12</v>
      </c>
      <c r="R477">
        <v>11</v>
      </c>
      <c r="S477">
        <v>7</v>
      </c>
      <c r="T477">
        <v>5</v>
      </c>
      <c r="U477">
        <v>5</v>
      </c>
      <c r="V477">
        <v>28</v>
      </c>
    </row>
    <row r="478" spans="1:22" x14ac:dyDescent="0.25">
      <c r="A478">
        <v>2025</v>
      </c>
      <c r="B478">
        <v>9</v>
      </c>
      <c r="C478" t="s">
        <v>61</v>
      </c>
      <c r="D478" t="s">
        <v>22</v>
      </c>
      <c r="E478" t="s">
        <v>157</v>
      </c>
      <c r="F478" t="s">
        <v>41</v>
      </c>
      <c r="G478" t="s">
        <v>24</v>
      </c>
      <c r="H478" t="s">
        <v>26</v>
      </c>
      <c r="I478" t="s">
        <v>26</v>
      </c>
      <c r="J478" t="s">
        <v>25</v>
      </c>
      <c r="K478">
        <v>58</v>
      </c>
      <c r="L478">
        <v>0</v>
      </c>
      <c r="M478">
        <v>0</v>
      </c>
      <c r="N478">
        <v>0</v>
      </c>
      <c r="O478">
        <v>35</v>
      </c>
      <c r="P478">
        <v>29</v>
      </c>
      <c r="Q478">
        <v>27</v>
      </c>
      <c r="R478">
        <v>19</v>
      </c>
      <c r="S478">
        <v>16</v>
      </c>
      <c r="T478">
        <v>7</v>
      </c>
      <c r="U478">
        <v>1</v>
      </c>
      <c r="V478">
        <v>58</v>
      </c>
    </row>
    <row r="479" spans="1:22" x14ac:dyDescent="0.25">
      <c r="A479">
        <v>2025</v>
      </c>
      <c r="B479">
        <v>10</v>
      </c>
      <c r="C479" t="s">
        <v>61</v>
      </c>
      <c r="D479" t="s">
        <v>22</v>
      </c>
      <c r="E479" t="s">
        <v>159</v>
      </c>
      <c r="F479" t="s">
        <v>31</v>
      </c>
      <c r="G479" t="s">
        <v>24</v>
      </c>
      <c r="H479" t="s">
        <v>25</v>
      </c>
      <c r="I479" t="s">
        <v>26</v>
      </c>
      <c r="J479" t="s">
        <v>25</v>
      </c>
      <c r="K479">
        <v>20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20</v>
      </c>
    </row>
    <row r="480" spans="1:22" x14ac:dyDescent="0.25">
      <c r="A480">
        <v>2025</v>
      </c>
      <c r="B480">
        <v>10</v>
      </c>
      <c r="C480" t="s">
        <v>61</v>
      </c>
      <c r="D480" t="s">
        <v>22</v>
      </c>
      <c r="E480" t="s">
        <v>130</v>
      </c>
      <c r="F480" t="s">
        <v>34</v>
      </c>
      <c r="G480" t="s">
        <v>24</v>
      </c>
      <c r="H480" t="s">
        <v>25</v>
      </c>
      <c r="I480" t="s">
        <v>26</v>
      </c>
      <c r="J480" t="s">
        <v>26</v>
      </c>
      <c r="K480">
        <v>21</v>
      </c>
      <c r="L480">
        <v>0</v>
      </c>
      <c r="M480">
        <v>0</v>
      </c>
      <c r="N480">
        <v>0</v>
      </c>
      <c r="O480">
        <v>11</v>
      </c>
      <c r="P480">
        <v>8</v>
      </c>
      <c r="Q480">
        <v>8</v>
      </c>
      <c r="R480">
        <v>7</v>
      </c>
      <c r="S480">
        <v>5</v>
      </c>
      <c r="T480">
        <v>2</v>
      </c>
      <c r="U480">
        <v>0</v>
      </c>
      <c r="V480">
        <v>21</v>
      </c>
    </row>
    <row r="481" spans="1:22" x14ac:dyDescent="0.25">
      <c r="A481">
        <v>2025</v>
      </c>
      <c r="B481">
        <v>10</v>
      </c>
      <c r="C481" t="s">
        <v>61</v>
      </c>
      <c r="D481" t="s">
        <v>22</v>
      </c>
      <c r="E481" t="s">
        <v>131</v>
      </c>
      <c r="F481" t="s">
        <v>34</v>
      </c>
      <c r="G481" t="s">
        <v>24</v>
      </c>
      <c r="H481" t="s">
        <v>25</v>
      </c>
      <c r="I481" t="s">
        <v>26</v>
      </c>
      <c r="J481" t="s">
        <v>26</v>
      </c>
      <c r="K481">
        <v>40</v>
      </c>
      <c r="L481">
        <v>0</v>
      </c>
      <c r="M481">
        <v>0</v>
      </c>
      <c r="N481">
        <v>0</v>
      </c>
      <c r="O481">
        <v>13</v>
      </c>
      <c r="P481">
        <v>11</v>
      </c>
      <c r="Q481">
        <v>10</v>
      </c>
      <c r="R481">
        <v>5</v>
      </c>
      <c r="S481">
        <v>4</v>
      </c>
      <c r="T481">
        <v>2</v>
      </c>
      <c r="U481">
        <v>1</v>
      </c>
      <c r="V481">
        <v>40</v>
      </c>
    </row>
    <row r="482" spans="1:22" x14ac:dyDescent="0.25">
      <c r="A482">
        <v>2025</v>
      </c>
      <c r="B482">
        <v>10</v>
      </c>
      <c r="C482" t="s">
        <v>61</v>
      </c>
      <c r="D482" t="s">
        <v>22</v>
      </c>
      <c r="E482" t="s">
        <v>160</v>
      </c>
      <c r="F482" t="s">
        <v>23</v>
      </c>
      <c r="G482" t="s">
        <v>24</v>
      </c>
      <c r="H482" t="s">
        <v>25</v>
      </c>
      <c r="I482" t="s">
        <v>26</v>
      </c>
      <c r="J482" t="s">
        <v>25</v>
      </c>
      <c r="K482">
        <v>125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125</v>
      </c>
    </row>
    <row r="483" spans="1:22" x14ac:dyDescent="0.25">
      <c r="A483">
        <v>2025</v>
      </c>
      <c r="B483">
        <v>10</v>
      </c>
      <c r="C483" t="s">
        <v>61</v>
      </c>
      <c r="D483" t="s">
        <v>22</v>
      </c>
      <c r="E483" t="s">
        <v>161</v>
      </c>
      <c r="F483" t="s">
        <v>32</v>
      </c>
      <c r="G483" t="s">
        <v>24</v>
      </c>
      <c r="H483" t="s">
        <v>25</v>
      </c>
      <c r="I483" t="s">
        <v>26</v>
      </c>
      <c r="J483" t="s">
        <v>25</v>
      </c>
      <c r="K483">
        <v>1</v>
      </c>
      <c r="L483">
        <v>0</v>
      </c>
      <c r="M483">
        <v>0</v>
      </c>
      <c r="N483">
        <v>0</v>
      </c>
      <c r="O483">
        <v>1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1</v>
      </c>
    </row>
    <row r="484" spans="1:22" x14ac:dyDescent="0.25">
      <c r="A484">
        <v>2025</v>
      </c>
      <c r="B484">
        <v>10</v>
      </c>
      <c r="C484" t="s">
        <v>61</v>
      </c>
      <c r="D484" t="s">
        <v>22</v>
      </c>
      <c r="E484" t="s">
        <v>161</v>
      </c>
      <c r="F484" t="s">
        <v>23</v>
      </c>
      <c r="G484" t="s">
        <v>24</v>
      </c>
      <c r="H484" t="s">
        <v>25</v>
      </c>
      <c r="I484" t="s">
        <v>26</v>
      </c>
      <c r="J484" t="s">
        <v>25</v>
      </c>
      <c r="K484">
        <v>21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21</v>
      </c>
    </row>
    <row r="485" spans="1:22" x14ac:dyDescent="0.25">
      <c r="A485">
        <v>2025</v>
      </c>
      <c r="B485">
        <v>10</v>
      </c>
      <c r="C485" t="s">
        <v>61</v>
      </c>
      <c r="D485" t="s">
        <v>22</v>
      </c>
      <c r="E485" t="s">
        <v>161</v>
      </c>
      <c r="F485" t="s">
        <v>36</v>
      </c>
      <c r="G485" t="s">
        <v>24</v>
      </c>
      <c r="H485" t="s">
        <v>25</v>
      </c>
      <c r="I485" t="s">
        <v>26</v>
      </c>
      <c r="J485" t="s">
        <v>25</v>
      </c>
      <c r="K485">
        <v>311</v>
      </c>
      <c r="L485">
        <v>0</v>
      </c>
      <c r="M485">
        <v>3</v>
      </c>
      <c r="N485">
        <v>3</v>
      </c>
      <c r="O485">
        <v>91</v>
      </c>
      <c r="P485">
        <v>64</v>
      </c>
      <c r="Q485">
        <v>55</v>
      </c>
      <c r="R485">
        <v>39</v>
      </c>
      <c r="S485">
        <v>34</v>
      </c>
      <c r="T485">
        <v>13</v>
      </c>
      <c r="U485">
        <v>3</v>
      </c>
      <c r="V485">
        <v>309</v>
      </c>
    </row>
    <row r="486" spans="1:22" x14ac:dyDescent="0.25">
      <c r="A486">
        <v>2025</v>
      </c>
      <c r="B486">
        <v>10</v>
      </c>
      <c r="C486" t="s">
        <v>61</v>
      </c>
      <c r="D486" t="s">
        <v>22</v>
      </c>
      <c r="E486" t="s">
        <v>162</v>
      </c>
      <c r="F486" t="s">
        <v>32</v>
      </c>
      <c r="G486" t="s">
        <v>24</v>
      </c>
      <c r="H486" t="s">
        <v>25</v>
      </c>
      <c r="I486" t="s">
        <v>26</v>
      </c>
      <c r="J486" t="s">
        <v>25</v>
      </c>
      <c r="K486">
        <v>143</v>
      </c>
      <c r="L486">
        <v>0</v>
      </c>
      <c r="M486">
        <v>0</v>
      </c>
      <c r="N486">
        <v>0</v>
      </c>
      <c r="O486">
        <v>85</v>
      </c>
      <c r="P486">
        <v>68</v>
      </c>
      <c r="Q486">
        <v>63</v>
      </c>
      <c r="R486">
        <v>39</v>
      </c>
      <c r="S486">
        <v>33</v>
      </c>
      <c r="T486">
        <v>8</v>
      </c>
      <c r="U486">
        <v>4</v>
      </c>
      <c r="V486">
        <v>143</v>
      </c>
    </row>
    <row r="487" spans="1:22" x14ac:dyDescent="0.25">
      <c r="A487">
        <v>2025</v>
      </c>
      <c r="B487">
        <v>10</v>
      </c>
      <c r="C487" t="s">
        <v>61</v>
      </c>
      <c r="D487" t="s">
        <v>22</v>
      </c>
      <c r="E487" t="s">
        <v>37</v>
      </c>
      <c r="F487" t="s">
        <v>38</v>
      </c>
      <c r="G487" t="s">
        <v>24</v>
      </c>
      <c r="H487" t="s">
        <v>25</v>
      </c>
      <c r="I487" t="s">
        <v>26</v>
      </c>
      <c r="J487" t="s">
        <v>25</v>
      </c>
      <c r="K487">
        <v>14</v>
      </c>
      <c r="L487">
        <v>0</v>
      </c>
      <c r="M487">
        <v>0</v>
      </c>
      <c r="N487">
        <v>0</v>
      </c>
      <c r="O487">
        <v>10</v>
      </c>
      <c r="P487">
        <v>9</v>
      </c>
      <c r="Q487">
        <v>9</v>
      </c>
      <c r="R487">
        <v>5</v>
      </c>
      <c r="S487">
        <v>4</v>
      </c>
      <c r="T487">
        <v>0</v>
      </c>
      <c r="U487">
        <v>0</v>
      </c>
      <c r="V487">
        <v>14</v>
      </c>
    </row>
    <row r="488" spans="1:22" x14ac:dyDescent="0.25">
      <c r="A488">
        <v>2025</v>
      </c>
      <c r="B488">
        <v>10</v>
      </c>
      <c r="C488" t="s">
        <v>61</v>
      </c>
      <c r="D488" t="s">
        <v>22</v>
      </c>
      <c r="E488" t="s">
        <v>37</v>
      </c>
      <c r="F488" t="s">
        <v>23</v>
      </c>
      <c r="G488" t="s">
        <v>24</v>
      </c>
      <c r="H488" t="s">
        <v>25</v>
      </c>
      <c r="I488" t="s">
        <v>26</v>
      </c>
      <c r="J488" t="s">
        <v>25</v>
      </c>
      <c r="K488">
        <v>73</v>
      </c>
      <c r="L488">
        <v>0</v>
      </c>
      <c r="M488">
        <v>0</v>
      </c>
      <c r="N488">
        <v>0</v>
      </c>
      <c r="O488">
        <v>30</v>
      </c>
      <c r="P488">
        <v>26</v>
      </c>
      <c r="Q488">
        <v>24</v>
      </c>
      <c r="R488">
        <v>22</v>
      </c>
      <c r="S488">
        <v>18</v>
      </c>
      <c r="T488">
        <v>13</v>
      </c>
      <c r="U488">
        <v>4</v>
      </c>
      <c r="V488">
        <v>73</v>
      </c>
    </row>
    <row r="489" spans="1:22" x14ac:dyDescent="0.25">
      <c r="A489">
        <v>2025</v>
      </c>
      <c r="B489">
        <v>10</v>
      </c>
      <c r="C489" t="s">
        <v>61</v>
      </c>
      <c r="D489" t="s">
        <v>22</v>
      </c>
      <c r="E489" t="s">
        <v>139</v>
      </c>
      <c r="F489" t="s">
        <v>34</v>
      </c>
      <c r="G489" t="s">
        <v>24</v>
      </c>
      <c r="H489" t="s">
        <v>25</v>
      </c>
      <c r="I489" t="s">
        <v>26</v>
      </c>
      <c r="J489" t="s">
        <v>26</v>
      </c>
      <c r="K489">
        <v>60</v>
      </c>
      <c r="L489">
        <v>0</v>
      </c>
      <c r="M489">
        <v>0</v>
      </c>
      <c r="N489">
        <v>0</v>
      </c>
      <c r="O489">
        <v>16</v>
      </c>
      <c r="P489">
        <v>11</v>
      </c>
      <c r="Q489">
        <v>10</v>
      </c>
      <c r="R489">
        <v>7</v>
      </c>
      <c r="S489">
        <v>5</v>
      </c>
      <c r="T489">
        <v>3</v>
      </c>
      <c r="U489">
        <v>1</v>
      </c>
      <c r="V489">
        <v>60</v>
      </c>
    </row>
    <row r="490" spans="1:22" x14ac:dyDescent="0.25">
      <c r="A490">
        <v>2025</v>
      </c>
      <c r="B490">
        <v>10</v>
      </c>
      <c r="C490" t="s">
        <v>61</v>
      </c>
      <c r="D490" t="s">
        <v>22</v>
      </c>
      <c r="E490" t="s">
        <v>141</v>
      </c>
      <c r="F490" t="s">
        <v>34</v>
      </c>
      <c r="G490" t="s">
        <v>24</v>
      </c>
      <c r="H490" t="s">
        <v>25</v>
      </c>
      <c r="I490" t="s">
        <v>26</v>
      </c>
      <c r="J490" t="s">
        <v>26</v>
      </c>
      <c r="K490">
        <v>20</v>
      </c>
      <c r="L490">
        <v>0</v>
      </c>
      <c r="M490">
        <v>0</v>
      </c>
      <c r="N490">
        <v>0</v>
      </c>
      <c r="O490">
        <v>11</v>
      </c>
      <c r="P490">
        <v>7</v>
      </c>
      <c r="Q490">
        <v>6</v>
      </c>
      <c r="R490">
        <v>6</v>
      </c>
      <c r="S490">
        <v>5</v>
      </c>
      <c r="T490">
        <v>4</v>
      </c>
      <c r="U490">
        <v>3</v>
      </c>
      <c r="V490">
        <v>20</v>
      </c>
    </row>
    <row r="491" spans="1:22" x14ac:dyDescent="0.25">
      <c r="A491">
        <v>2025</v>
      </c>
      <c r="B491">
        <v>10</v>
      </c>
      <c r="C491" t="s">
        <v>61</v>
      </c>
      <c r="D491" t="s">
        <v>22</v>
      </c>
      <c r="E491" t="s">
        <v>142</v>
      </c>
      <c r="F491" t="s">
        <v>34</v>
      </c>
      <c r="G491" t="s">
        <v>24</v>
      </c>
      <c r="H491" t="s">
        <v>25</v>
      </c>
      <c r="I491" t="s">
        <v>26</v>
      </c>
      <c r="J491" t="s">
        <v>26</v>
      </c>
      <c r="K491">
        <v>42</v>
      </c>
      <c r="L491">
        <v>0</v>
      </c>
      <c r="M491">
        <v>0</v>
      </c>
      <c r="N491">
        <v>0</v>
      </c>
      <c r="O491">
        <v>9</v>
      </c>
      <c r="P491">
        <v>7</v>
      </c>
      <c r="Q491">
        <v>7</v>
      </c>
      <c r="R491">
        <v>6</v>
      </c>
      <c r="S491">
        <v>4</v>
      </c>
      <c r="T491">
        <v>2</v>
      </c>
      <c r="U491">
        <v>1</v>
      </c>
      <c r="V491">
        <v>42</v>
      </c>
    </row>
    <row r="492" spans="1:22" x14ac:dyDescent="0.25">
      <c r="A492">
        <v>2025</v>
      </c>
      <c r="B492">
        <v>10</v>
      </c>
      <c r="C492" t="s">
        <v>61</v>
      </c>
      <c r="D492" t="s">
        <v>22</v>
      </c>
      <c r="E492" t="s">
        <v>144</v>
      </c>
      <c r="F492" t="s">
        <v>31</v>
      </c>
      <c r="G492" t="s">
        <v>24</v>
      </c>
      <c r="H492" t="s">
        <v>25</v>
      </c>
      <c r="I492" t="s">
        <v>26</v>
      </c>
      <c r="J492" t="s">
        <v>25</v>
      </c>
      <c r="K492">
        <v>1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1</v>
      </c>
    </row>
    <row r="493" spans="1:22" x14ac:dyDescent="0.25">
      <c r="A493">
        <v>2025</v>
      </c>
      <c r="B493">
        <v>10</v>
      </c>
      <c r="C493" t="s">
        <v>61</v>
      </c>
      <c r="D493" t="s">
        <v>22</v>
      </c>
      <c r="E493" t="s">
        <v>144</v>
      </c>
      <c r="F493" t="s">
        <v>32</v>
      </c>
      <c r="G493" t="s">
        <v>24</v>
      </c>
      <c r="H493" t="s">
        <v>25</v>
      </c>
      <c r="I493" t="s">
        <v>26</v>
      </c>
      <c r="J493" t="s">
        <v>25</v>
      </c>
      <c r="K493">
        <v>238</v>
      </c>
      <c r="L493">
        <v>2</v>
      </c>
      <c r="M493">
        <v>3</v>
      </c>
      <c r="N493">
        <v>5</v>
      </c>
      <c r="O493">
        <v>79</v>
      </c>
      <c r="P493">
        <v>73</v>
      </c>
      <c r="Q493">
        <v>73</v>
      </c>
      <c r="R493">
        <v>56</v>
      </c>
      <c r="S493">
        <v>44</v>
      </c>
      <c r="T493">
        <v>21</v>
      </c>
      <c r="U493">
        <v>11</v>
      </c>
      <c r="V493">
        <v>233</v>
      </c>
    </row>
    <row r="494" spans="1:22" x14ac:dyDescent="0.25">
      <c r="A494">
        <v>2025</v>
      </c>
      <c r="B494">
        <v>10</v>
      </c>
      <c r="C494" t="s">
        <v>61</v>
      </c>
      <c r="D494" t="s">
        <v>22</v>
      </c>
      <c r="E494" t="s">
        <v>144</v>
      </c>
      <c r="F494" t="s">
        <v>23</v>
      </c>
      <c r="G494" t="s">
        <v>24</v>
      </c>
      <c r="H494" t="s">
        <v>25</v>
      </c>
      <c r="I494" t="s">
        <v>26</v>
      </c>
      <c r="J494" t="s">
        <v>25</v>
      </c>
      <c r="K494">
        <v>133</v>
      </c>
      <c r="L494">
        <v>0</v>
      </c>
      <c r="M494">
        <v>0</v>
      </c>
      <c r="N494">
        <v>0</v>
      </c>
      <c r="O494">
        <v>42</v>
      </c>
      <c r="P494">
        <v>30</v>
      </c>
      <c r="Q494">
        <v>28</v>
      </c>
      <c r="R494">
        <v>20</v>
      </c>
      <c r="S494">
        <v>17</v>
      </c>
      <c r="T494">
        <v>8</v>
      </c>
      <c r="U494">
        <v>5</v>
      </c>
      <c r="V494">
        <v>133</v>
      </c>
    </row>
    <row r="495" spans="1:22" x14ac:dyDescent="0.25">
      <c r="A495">
        <v>2025</v>
      </c>
      <c r="B495">
        <v>10</v>
      </c>
      <c r="C495" t="s">
        <v>61</v>
      </c>
      <c r="D495" t="s">
        <v>22</v>
      </c>
      <c r="E495" t="s">
        <v>144</v>
      </c>
      <c r="F495" t="s">
        <v>39</v>
      </c>
      <c r="G495" t="s">
        <v>24</v>
      </c>
      <c r="H495" t="s">
        <v>26</v>
      </c>
      <c r="I495" t="s">
        <v>26</v>
      </c>
      <c r="J495" t="s">
        <v>25</v>
      </c>
      <c r="K495">
        <v>674</v>
      </c>
      <c r="L495">
        <v>13</v>
      </c>
      <c r="M495">
        <v>1</v>
      </c>
      <c r="N495">
        <v>14</v>
      </c>
      <c r="O495">
        <v>286</v>
      </c>
      <c r="P495">
        <v>246</v>
      </c>
      <c r="Q495">
        <v>234</v>
      </c>
      <c r="R495">
        <v>203</v>
      </c>
      <c r="S495">
        <v>185</v>
      </c>
      <c r="T495">
        <v>95</v>
      </c>
      <c r="U495">
        <v>39</v>
      </c>
      <c r="V495">
        <v>660</v>
      </c>
    </row>
    <row r="496" spans="1:22" x14ac:dyDescent="0.25">
      <c r="A496">
        <v>2025</v>
      </c>
      <c r="B496">
        <v>10</v>
      </c>
      <c r="C496" t="s">
        <v>61</v>
      </c>
      <c r="D496" t="s">
        <v>22</v>
      </c>
      <c r="E496" t="s">
        <v>144</v>
      </c>
      <c r="F496" t="s">
        <v>36</v>
      </c>
      <c r="G496" t="s">
        <v>24</v>
      </c>
      <c r="H496" t="s">
        <v>25</v>
      </c>
      <c r="I496" t="s">
        <v>26</v>
      </c>
      <c r="J496" t="s">
        <v>25</v>
      </c>
      <c r="K496">
        <v>170</v>
      </c>
      <c r="L496">
        <v>0</v>
      </c>
      <c r="M496">
        <v>1</v>
      </c>
      <c r="N496">
        <v>1</v>
      </c>
      <c r="O496">
        <v>68</v>
      </c>
      <c r="P496">
        <v>62</v>
      </c>
      <c r="Q496">
        <v>55</v>
      </c>
      <c r="R496">
        <v>39</v>
      </c>
      <c r="S496">
        <v>32</v>
      </c>
      <c r="T496">
        <v>11</v>
      </c>
      <c r="U496">
        <v>2</v>
      </c>
      <c r="V496">
        <v>169</v>
      </c>
    </row>
    <row r="497" spans="1:22" x14ac:dyDescent="0.25">
      <c r="A497">
        <v>2025</v>
      </c>
      <c r="B497">
        <v>10</v>
      </c>
      <c r="C497" t="s">
        <v>61</v>
      </c>
      <c r="D497" t="s">
        <v>22</v>
      </c>
      <c r="E497" t="s">
        <v>145</v>
      </c>
      <c r="F497" t="s">
        <v>32</v>
      </c>
      <c r="G497" t="s">
        <v>24</v>
      </c>
      <c r="H497" t="s">
        <v>25</v>
      </c>
      <c r="I497" t="s">
        <v>26</v>
      </c>
      <c r="J497" t="s">
        <v>25</v>
      </c>
      <c r="K497">
        <v>285</v>
      </c>
      <c r="L497">
        <v>6</v>
      </c>
      <c r="M497">
        <v>0</v>
      </c>
      <c r="N497">
        <v>6</v>
      </c>
      <c r="O497">
        <v>71</v>
      </c>
      <c r="P497">
        <v>49</v>
      </c>
      <c r="Q497">
        <v>43</v>
      </c>
      <c r="R497">
        <v>25</v>
      </c>
      <c r="S497">
        <v>21</v>
      </c>
      <c r="T497">
        <v>9</v>
      </c>
      <c r="U497">
        <v>1</v>
      </c>
      <c r="V497">
        <v>279</v>
      </c>
    </row>
    <row r="498" spans="1:22" x14ac:dyDescent="0.25">
      <c r="A498">
        <v>2025</v>
      </c>
      <c r="B498">
        <v>10</v>
      </c>
      <c r="C498" t="s">
        <v>61</v>
      </c>
      <c r="D498" t="s">
        <v>22</v>
      </c>
      <c r="E498" t="s">
        <v>145</v>
      </c>
      <c r="F498" t="s">
        <v>39</v>
      </c>
      <c r="G498" t="s">
        <v>24</v>
      </c>
      <c r="H498" t="s">
        <v>26</v>
      </c>
      <c r="I498" t="s">
        <v>26</v>
      </c>
      <c r="J498" t="s">
        <v>25</v>
      </c>
      <c r="K498">
        <v>6</v>
      </c>
      <c r="L498">
        <v>0</v>
      </c>
      <c r="M498">
        <v>0</v>
      </c>
      <c r="N498">
        <v>0</v>
      </c>
      <c r="O498">
        <v>1</v>
      </c>
      <c r="P498">
        <v>1</v>
      </c>
      <c r="Q498">
        <v>1</v>
      </c>
      <c r="R498">
        <v>1</v>
      </c>
      <c r="S498">
        <v>1</v>
      </c>
      <c r="T498">
        <v>1</v>
      </c>
      <c r="U498">
        <v>0</v>
      </c>
      <c r="V498">
        <v>6</v>
      </c>
    </row>
    <row r="499" spans="1:22" x14ac:dyDescent="0.25">
      <c r="A499">
        <v>2025</v>
      </c>
      <c r="B499">
        <v>10</v>
      </c>
      <c r="C499" t="s">
        <v>61</v>
      </c>
      <c r="D499" t="s">
        <v>22</v>
      </c>
      <c r="E499" t="s">
        <v>154</v>
      </c>
      <c r="F499" t="s">
        <v>32</v>
      </c>
      <c r="G499" t="s">
        <v>24</v>
      </c>
      <c r="H499" t="s">
        <v>25</v>
      </c>
      <c r="I499" t="s">
        <v>26</v>
      </c>
      <c r="J499" t="s">
        <v>25</v>
      </c>
      <c r="K499">
        <v>11</v>
      </c>
      <c r="L499">
        <v>0</v>
      </c>
      <c r="M499">
        <v>1</v>
      </c>
      <c r="N499">
        <v>1</v>
      </c>
      <c r="O499">
        <v>4</v>
      </c>
      <c r="P499">
        <v>3</v>
      </c>
      <c r="Q499">
        <v>3</v>
      </c>
      <c r="R499">
        <v>1</v>
      </c>
      <c r="S499">
        <v>1</v>
      </c>
      <c r="T499">
        <v>1</v>
      </c>
      <c r="U499">
        <v>0</v>
      </c>
      <c r="V499">
        <v>10</v>
      </c>
    </row>
    <row r="500" spans="1:22" x14ac:dyDescent="0.25">
      <c r="A500">
        <v>2025</v>
      </c>
      <c r="B500">
        <v>10</v>
      </c>
      <c r="C500" t="s">
        <v>61</v>
      </c>
      <c r="D500" t="s">
        <v>22</v>
      </c>
      <c r="E500" t="s">
        <v>147</v>
      </c>
      <c r="F500" t="s">
        <v>32</v>
      </c>
      <c r="G500" t="s">
        <v>24</v>
      </c>
      <c r="H500" t="s">
        <v>25</v>
      </c>
      <c r="I500" t="s">
        <v>26</v>
      </c>
      <c r="J500" t="s">
        <v>25</v>
      </c>
      <c r="K500">
        <v>62</v>
      </c>
      <c r="L500">
        <v>0</v>
      </c>
      <c r="M500">
        <v>2</v>
      </c>
      <c r="N500">
        <v>2</v>
      </c>
      <c r="O500">
        <v>31</v>
      </c>
      <c r="P500">
        <v>27</v>
      </c>
      <c r="Q500">
        <v>24</v>
      </c>
      <c r="R500">
        <v>18</v>
      </c>
      <c r="S500">
        <v>12</v>
      </c>
      <c r="T500">
        <v>3</v>
      </c>
      <c r="U500">
        <v>1</v>
      </c>
      <c r="V500">
        <v>61</v>
      </c>
    </row>
    <row r="501" spans="1:22" x14ac:dyDescent="0.25">
      <c r="A501">
        <v>2025</v>
      </c>
      <c r="B501">
        <v>10</v>
      </c>
      <c r="C501" t="s">
        <v>61</v>
      </c>
      <c r="D501" t="s">
        <v>22</v>
      </c>
      <c r="E501" t="s">
        <v>147</v>
      </c>
      <c r="F501" t="s">
        <v>36</v>
      </c>
      <c r="G501" t="s">
        <v>24</v>
      </c>
      <c r="H501" t="s">
        <v>25</v>
      </c>
      <c r="I501" t="s">
        <v>26</v>
      </c>
      <c r="J501" t="s">
        <v>25</v>
      </c>
      <c r="K501">
        <v>240</v>
      </c>
      <c r="L501">
        <v>3</v>
      </c>
      <c r="M501">
        <v>1</v>
      </c>
      <c r="N501">
        <v>4</v>
      </c>
      <c r="O501">
        <v>94</v>
      </c>
      <c r="P501">
        <v>77</v>
      </c>
      <c r="Q501">
        <v>72</v>
      </c>
      <c r="R501">
        <v>60</v>
      </c>
      <c r="S501">
        <v>47</v>
      </c>
      <c r="T501">
        <v>22</v>
      </c>
      <c r="U501">
        <v>6</v>
      </c>
      <c r="V501">
        <v>237</v>
      </c>
    </row>
    <row r="502" spans="1:22" x14ac:dyDescent="0.25">
      <c r="A502">
        <v>2025</v>
      </c>
      <c r="B502">
        <v>10</v>
      </c>
      <c r="C502" t="s">
        <v>61</v>
      </c>
      <c r="D502" t="s">
        <v>22</v>
      </c>
      <c r="E502" t="s">
        <v>51</v>
      </c>
      <c r="F502" t="s">
        <v>34</v>
      </c>
      <c r="G502" t="s">
        <v>24</v>
      </c>
      <c r="H502" t="s">
        <v>25</v>
      </c>
      <c r="I502" t="s">
        <v>26</v>
      </c>
      <c r="J502" t="s">
        <v>26</v>
      </c>
      <c r="K502">
        <v>20</v>
      </c>
      <c r="L502">
        <v>0</v>
      </c>
      <c r="M502">
        <v>0</v>
      </c>
      <c r="N502">
        <v>0</v>
      </c>
      <c r="O502">
        <v>3</v>
      </c>
      <c r="P502">
        <v>3</v>
      </c>
      <c r="Q502">
        <v>3</v>
      </c>
      <c r="R502">
        <v>3</v>
      </c>
      <c r="S502">
        <v>2</v>
      </c>
      <c r="T502">
        <v>0</v>
      </c>
      <c r="U502">
        <v>0</v>
      </c>
      <c r="V502">
        <v>20</v>
      </c>
    </row>
    <row r="503" spans="1:22" x14ac:dyDescent="0.25">
      <c r="A503">
        <v>2025</v>
      </c>
      <c r="B503">
        <v>10</v>
      </c>
      <c r="C503" t="s">
        <v>61</v>
      </c>
      <c r="D503" t="s">
        <v>22</v>
      </c>
      <c r="E503" t="s">
        <v>155</v>
      </c>
      <c r="F503" t="s">
        <v>34</v>
      </c>
      <c r="G503" t="s">
        <v>24</v>
      </c>
      <c r="H503" t="s">
        <v>25</v>
      </c>
      <c r="I503" t="s">
        <v>26</v>
      </c>
      <c r="J503" t="s">
        <v>26</v>
      </c>
      <c r="K503">
        <v>40</v>
      </c>
      <c r="L503">
        <v>0</v>
      </c>
      <c r="M503">
        <v>0</v>
      </c>
      <c r="N503">
        <v>0</v>
      </c>
      <c r="O503">
        <v>14</v>
      </c>
      <c r="P503">
        <v>12</v>
      </c>
      <c r="Q503">
        <v>12</v>
      </c>
      <c r="R503">
        <v>10</v>
      </c>
      <c r="S503">
        <v>9</v>
      </c>
      <c r="T503">
        <v>7</v>
      </c>
      <c r="U503">
        <v>5</v>
      </c>
      <c r="V503">
        <v>40</v>
      </c>
    </row>
    <row r="504" spans="1:22" x14ac:dyDescent="0.25">
      <c r="A504">
        <v>2025</v>
      </c>
      <c r="B504">
        <v>10</v>
      </c>
      <c r="C504" t="s">
        <v>61</v>
      </c>
      <c r="D504" t="s">
        <v>22</v>
      </c>
      <c r="E504" t="s">
        <v>152</v>
      </c>
      <c r="F504" t="s">
        <v>31</v>
      </c>
      <c r="G504" t="s">
        <v>24</v>
      </c>
      <c r="H504" t="s">
        <v>25</v>
      </c>
      <c r="I504" t="s">
        <v>26</v>
      </c>
      <c r="J504" t="s">
        <v>25</v>
      </c>
      <c r="K504">
        <v>117</v>
      </c>
      <c r="L504">
        <v>0</v>
      </c>
      <c r="M504">
        <v>0</v>
      </c>
      <c r="N504">
        <v>0</v>
      </c>
      <c r="O504">
        <v>67</v>
      </c>
      <c r="P504">
        <v>55</v>
      </c>
      <c r="Q504">
        <v>50</v>
      </c>
      <c r="R504">
        <v>35</v>
      </c>
      <c r="S504">
        <v>25</v>
      </c>
      <c r="T504">
        <v>8</v>
      </c>
      <c r="U504">
        <v>0</v>
      </c>
      <c r="V504">
        <v>117</v>
      </c>
    </row>
    <row r="505" spans="1:22" x14ac:dyDescent="0.25">
      <c r="A505">
        <v>2025</v>
      </c>
      <c r="B505">
        <v>10</v>
      </c>
      <c r="C505" t="s">
        <v>61</v>
      </c>
      <c r="D505" t="s">
        <v>22</v>
      </c>
      <c r="E505" t="s">
        <v>171</v>
      </c>
      <c r="F505" t="s">
        <v>34</v>
      </c>
      <c r="G505" t="s">
        <v>24</v>
      </c>
      <c r="H505" t="s">
        <v>25</v>
      </c>
      <c r="I505" t="s">
        <v>26</v>
      </c>
      <c r="J505" t="s">
        <v>26</v>
      </c>
      <c r="K505">
        <v>11</v>
      </c>
      <c r="L505">
        <v>0</v>
      </c>
      <c r="M505">
        <v>0</v>
      </c>
      <c r="N505">
        <v>0</v>
      </c>
      <c r="O505">
        <v>3</v>
      </c>
      <c r="P505">
        <v>3</v>
      </c>
      <c r="Q505">
        <v>3</v>
      </c>
      <c r="R505">
        <v>2</v>
      </c>
      <c r="S505">
        <v>2</v>
      </c>
      <c r="T505">
        <v>2</v>
      </c>
      <c r="U505">
        <v>1</v>
      </c>
      <c r="V505">
        <v>11</v>
      </c>
    </row>
    <row r="506" spans="1:22" x14ac:dyDescent="0.25">
      <c r="A506">
        <v>2025</v>
      </c>
      <c r="B506">
        <v>10</v>
      </c>
      <c r="C506" t="s">
        <v>61</v>
      </c>
      <c r="D506" t="s">
        <v>22</v>
      </c>
      <c r="E506" t="s">
        <v>163</v>
      </c>
      <c r="F506" t="s">
        <v>32</v>
      </c>
      <c r="G506" t="s">
        <v>24</v>
      </c>
      <c r="H506" t="s">
        <v>25</v>
      </c>
      <c r="I506" t="s">
        <v>26</v>
      </c>
      <c r="J506" t="s">
        <v>25</v>
      </c>
      <c r="K506">
        <v>145</v>
      </c>
      <c r="L506">
        <v>0</v>
      </c>
      <c r="M506">
        <v>0</v>
      </c>
      <c r="N506">
        <v>0</v>
      </c>
      <c r="O506">
        <v>59</v>
      </c>
      <c r="P506">
        <v>44</v>
      </c>
      <c r="Q506">
        <v>40</v>
      </c>
      <c r="R506">
        <v>35</v>
      </c>
      <c r="S506">
        <v>26</v>
      </c>
      <c r="T506">
        <v>15</v>
      </c>
      <c r="U506">
        <v>7</v>
      </c>
      <c r="V506">
        <v>145</v>
      </c>
    </row>
    <row r="507" spans="1:22" x14ac:dyDescent="0.25">
      <c r="A507">
        <v>2025</v>
      </c>
      <c r="B507">
        <v>10</v>
      </c>
      <c r="C507" t="s">
        <v>61</v>
      </c>
      <c r="D507" t="s">
        <v>22</v>
      </c>
      <c r="E507" t="s">
        <v>163</v>
      </c>
      <c r="F507" t="s">
        <v>34</v>
      </c>
      <c r="G507" t="s">
        <v>24</v>
      </c>
      <c r="H507" t="s">
        <v>25</v>
      </c>
      <c r="I507" t="s">
        <v>26</v>
      </c>
      <c r="J507" t="s">
        <v>26</v>
      </c>
      <c r="K507">
        <v>40</v>
      </c>
      <c r="L507">
        <v>0</v>
      </c>
      <c r="M507">
        <v>0</v>
      </c>
      <c r="N507">
        <v>0</v>
      </c>
      <c r="O507">
        <v>19</v>
      </c>
      <c r="P507">
        <v>17</v>
      </c>
      <c r="Q507">
        <v>17</v>
      </c>
      <c r="R507">
        <v>17</v>
      </c>
      <c r="S507">
        <v>17</v>
      </c>
      <c r="T507">
        <v>10</v>
      </c>
      <c r="U507">
        <v>6</v>
      </c>
      <c r="V507">
        <v>40</v>
      </c>
    </row>
    <row r="508" spans="1:22" x14ac:dyDescent="0.25">
      <c r="A508">
        <v>2025</v>
      </c>
      <c r="B508">
        <v>10</v>
      </c>
      <c r="C508" t="s">
        <v>61</v>
      </c>
      <c r="D508" t="s">
        <v>22</v>
      </c>
      <c r="E508" t="s">
        <v>163</v>
      </c>
      <c r="F508" t="s">
        <v>23</v>
      </c>
      <c r="G508" t="s">
        <v>24</v>
      </c>
      <c r="H508" t="s">
        <v>25</v>
      </c>
      <c r="I508" t="s">
        <v>26</v>
      </c>
      <c r="J508" t="s">
        <v>25</v>
      </c>
      <c r="K508">
        <v>58</v>
      </c>
      <c r="L508">
        <v>0</v>
      </c>
      <c r="M508">
        <v>0</v>
      </c>
      <c r="N508">
        <v>0</v>
      </c>
      <c r="O508">
        <v>13</v>
      </c>
      <c r="P508">
        <v>12</v>
      </c>
      <c r="Q508">
        <v>12</v>
      </c>
      <c r="R508">
        <v>12</v>
      </c>
      <c r="S508">
        <v>11</v>
      </c>
      <c r="T508">
        <v>4</v>
      </c>
      <c r="U508">
        <v>2</v>
      </c>
      <c r="V508">
        <v>58</v>
      </c>
    </row>
    <row r="509" spans="1:22" x14ac:dyDescent="0.25">
      <c r="A509">
        <v>2025</v>
      </c>
      <c r="B509">
        <v>10</v>
      </c>
      <c r="C509" t="s">
        <v>61</v>
      </c>
      <c r="D509" t="s">
        <v>22</v>
      </c>
      <c r="E509" t="s">
        <v>164</v>
      </c>
      <c r="F509" t="s">
        <v>23</v>
      </c>
      <c r="G509" t="s">
        <v>24</v>
      </c>
      <c r="H509" t="s">
        <v>25</v>
      </c>
      <c r="I509" t="s">
        <v>26</v>
      </c>
      <c r="J509" t="s">
        <v>25</v>
      </c>
      <c r="K509">
        <v>41</v>
      </c>
      <c r="L509">
        <v>0</v>
      </c>
      <c r="M509">
        <v>0</v>
      </c>
      <c r="N509">
        <v>0</v>
      </c>
      <c r="O509">
        <v>11</v>
      </c>
      <c r="P509">
        <v>9</v>
      </c>
      <c r="Q509">
        <v>9</v>
      </c>
      <c r="R509">
        <v>9</v>
      </c>
      <c r="S509">
        <v>8</v>
      </c>
      <c r="T509">
        <v>1</v>
      </c>
      <c r="U509">
        <v>1</v>
      </c>
      <c r="V509">
        <v>41</v>
      </c>
    </row>
    <row r="510" spans="1:22" x14ac:dyDescent="0.25">
      <c r="A510">
        <v>2025</v>
      </c>
      <c r="B510">
        <v>10</v>
      </c>
      <c r="C510" t="s">
        <v>61</v>
      </c>
      <c r="D510" t="s">
        <v>22</v>
      </c>
      <c r="E510" t="s">
        <v>165</v>
      </c>
      <c r="F510" t="s">
        <v>31</v>
      </c>
      <c r="G510" t="s">
        <v>24</v>
      </c>
      <c r="H510" t="s">
        <v>25</v>
      </c>
      <c r="I510" t="s">
        <v>26</v>
      </c>
      <c r="J510" t="s">
        <v>25</v>
      </c>
      <c r="K510">
        <v>20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20</v>
      </c>
    </row>
    <row r="511" spans="1:22" x14ac:dyDescent="0.25">
      <c r="A511">
        <v>2025</v>
      </c>
      <c r="B511">
        <v>10</v>
      </c>
      <c r="C511" t="s">
        <v>61</v>
      </c>
      <c r="D511" t="s">
        <v>22</v>
      </c>
      <c r="E511" t="s">
        <v>165</v>
      </c>
      <c r="F511" t="s">
        <v>32</v>
      </c>
      <c r="G511" t="s">
        <v>24</v>
      </c>
      <c r="H511" t="s">
        <v>25</v>
      </c>
      <c r="I511" t="s">
        <v>26</v>
      </c>
      <c r="J511" t="s">
        <v>25</v>
      </c>
      <c r="K511">
        <v>42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42</v>
      </c>
    </row>
    <row r="512" spans="1:22" x14ac:dyDescent="0.25">
      <c r="A512">
        <v>2025</v>
      </c>
      <c r="B512">
        <v>10</v>
      </c>
      <c r="C512" t="s">
        <v>61</v>
      </c>
      <c r="D512" t="s">
        <v>22</v>
      </c>
      <c r="E512" t="s">
        <v>61</v>
      </c>
      <c r="F512" t="s">
        <v>31</v>
      </c>
      <c r="G512" t="s">
        <v>28</v>
      </c>
      <c r="H512" t="s">
        <v>25</v>
      </c>
      <c r="I512" t="s">
        <v>26</v>
      </c>
      <c r="J512" t="s">
        <v>25</v>
      </c>
      <c r="K512">
        <v>316</v>
      </c>
      <c r="L512">
        <v>1</v>
      </c>
      <c r="M512">
        <v>1</v>
      </c>
      <c r="N512">
        <v>2</v>
      </c>
      <c r="O512">
        <v>74</v>
      </c>
      <c r="P512">
        <v>47</v>
      </c>
      <c r="Q512">
        <v>43</v>
      </c>
      <c r="R512">
        <v>26</v>
      </c>
      <c r="S512">
        <v>15</v>
      </c>
      <c r="T512">
        <v>7</v>
      </c>
      <c r="U512">
        <v>3</v>
      </c>
      <c r="V512">
        <v>315</v>
      </c>
    </row>
    <row r="513" spans="1:22" x14ac:dyDescent="0.25">
      <c r="A513">
        <v>2025</v>
      </c>
      <c r="B513">
        <v>10</v>
      </c>
      <c r="C513" t="s">
        <v>61</v>
      </c>
      <c r="D513" t="s">
        <v>22</v>
      </c>
      <c r="E513" t="s">
        <v>61</v>
      </c>
      <c r="F513" t="s">
        <v>32</v>
      </c>
      <c r="G513" t="s">
        <v>28</v>
      </c>
      <c r="H513" t="s">
        <v>25</v>
      </c>
      <c r="I513" t="s">
        <v>26</v>
      </c>
      <c r="J513" t="s">
        <v>25</v>
      </c>
      <c r="K513">
        <v>20</v>
      </c>
      <c r="L513">
        <v>0</v>
      </c>
      <c r="M513">
        <v>0</v>
      </c>
      <c r="N513">
        <v>0</v>
      </c>
      <c r="O513">
        <v>6</v>
      </c>
      <c r="P513">
        <v>3</v>
      </c>
      <c r="Q513">
        <v>2</v>
      </c>
      <c r="R513">
        <v>1</v>
      </c>
      <c r="S513">
        <v>1</v>
      </c>
      <c r="T513">
        <v>0</v>
      </c>
      <c r="U513">
        <v>0</v>
      </c>
      <c r="V513">
        <v>20</v>
      </c>
    </row>
    <row r="514" spans="1:22" x14ac:dyDescent="0.25">
      <c r="A514">
        <v>2025</v>
      </c>
      <c r="B514">
        <v>10</v>
      </c>
      <c r="C514" t="s">
        <v>61</v>
      </c>
      <c r="D514" t="s">
        <v>22</v>
      </c>
      <c r="E514" t="s">
        <v>61</v>
      </c>
      <c r="F514" t="s">
        <v>32</v>
      </c>
      <c r="G514" t="s">
        <v>29</v>
      </c>
      <c r="H514" t="s">
        <v>25</v>
      </c>
      <c r="I514" t="s">
        <v>26</v>
      </c>
      <c r="J514" t="s">
        <v>25</v>
      </c>
      <c r="K514">
        <v>1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</row>
    <row r="515" spans="1:22" x14ac:dyDescent="0.25">
      <c r="A515">
        <v>2025</v>
      </c>
      <c r="B515">
        <v>10</v>
      </c>
      <c r="C515" t="s">
        <v>61</v>
      </c>
      <c r="D515" t="s">
        <v>22</v>
      </c>
      <c r="E515" t="s">
        <v>61</v>
      </c>
      <c r="F515" t="s">
        <v>34</v>
      </c>
      <c r="G515" t="s">
        <v>28</v>
      </c>
      <c r="H515" t="s">
        <v>25</v>
      </c>
      <c r="I515" t="s">
        <v>26</v>
      </c>
      <c r="J515" t="s">
        <v>26</v>
      </c>
      <c r="K515">
        <v>2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2</v>
      </c>
    </row>
    <row r="516" spans="1:22" x14ac:dyDescent="0.25">
      <c r="A516">
        <v>2025</v>
      </c>
      <c r="B516">
        <v>10</v>
      </c>
      <c r="C516" t="s">
        <v>61</v>
      </c>
      <c r="D516" t="s">
        <v>22</v>
      </c>
      <c r="E516" t="s">
        <v>61</v>
      </c>
      <c r="F516" t="s">
        <v>34</v>
      </c>
      <c r="G516" t="s">
        <v>24</v>
      </c>
      <c r="H516" t="s">
        <v>25</v>
      </c>
      <c r="I516" t="s">
        <v>26</v>
      </c>
      <c r="J516" t="s">
        <v>26</v>
      </c>
      <c r="K516">
        <v>1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1</v>
      </c>
    </row>
    <row r="517" spans="1:22" x14ac:dyDescent="0.25">
      <c r="A517">
        <v>2025</v>
      </c>
      <c r="B517">
        <v>10</v>
      </c>
      <c r="C517" t="s">
        <v>61</v>
      </c>
      <c r="D517" t="s">
        <v>22</v>
      </c>
      <c r="E517" t="s">
        <v>61</v>
      </c>
      <c r="F517" t="s">
        <v>23</v>
      </c>
      <c r="G517" t="s">
        <v>28</v>
      </c>
      <c r="H517" t="s">
        <v>25</v>
      </c>
      <c r="I517" t="s">
        <v>26</v>
      </c>
      <c r="J517" t="s">
        <v>25</v>
      </c>
      <c r="K517">
        <v>894</v>
      </c>
      <c r="L517">
        <v>1</v>
      </c>
      <c r="M517">
        <v>31</v>
      </c>
      <c r="N517">
        <v>32</v>
      </c>
      <c r="O517">
        <v>149</v>
      </c>
      <c r="P517">
        <v>108</v>
      </c>
      <c r="Q517">
        <v>98</v>
      </c>
      <c r="R517">
        <v>57</v>
      </c>
      <c r="S517">
        <v>44</v>
      </c>
      <c r="T517">
        <v>14</v>
      </c>
      <c r="U517">
        <v>4</v>
      </c>
      <c r="V517">
        <v>880</v>
      </c>
    </row>
    <row r="518" spans="1:22" x14ac:dyDescent="0.25">
      <c r="A518">
        <v>2025</v>
      </c>
      <c r="B518">
        <v>10</v>
      </c>
      <c r="C518" t="s">
        <v>61</v>
      </c>
      <c r="D518" t="s">
        <v>22</v>
      </c>
      <c r="E518" t="s">
        <v>61</v>
      </c>
      <c r="F518" t="s">
        <v>39</v>
      </c>
      <c r="G518" t="s">
        <v>28</v>
      </c>
      <c r="H518" t="s">
        <v>26</v>
      </c>
      <c r="I518" t="s">
        <v>26</v>
      </c>
      <c r="J518" t="s">
        <v>25</v>
      </c>
      <c r="K518">
        <v>38</v>
      </c>
      <c r="L518">
        <v>0</v>
      </c>
      <c r="M518">
        <v>1</v>
      </c>
      <c r="N518">
        <v>1</v>
      </c>
      <c r="O518">
        <v>14</v>
      </c>
      <c r="P518">
        <v>9</v>
      </c>
      <c r="Q518">
        <v>8</v>
      </c>
      <c r="R518">
        <v>7</v>
      </c>
      <c r="S518">
        <v>5</v>
      </c>
      <c r="T518">
        <v>1</v>
      </c>
      <c r="U518">
        <v>0</v>
      </c>
      <c r="V518">
        <v>38</v>
      </c>
    </row>
    <row r="519" spans="1:22" x14ac:dyDescent="0.25">
      <c r="A519">
        <v>2025</v>
      </c>
      <c r="B519">
        <v>10</v>
      </c>
      <c r="C519" t="s">
        <v>61</v>
      </c>
      <c r="D519" t="s">
        <v>22</v>
      </c>
      <c r="E519" t="s">
        <v>61</v>
      </c>
      <c r="F519" t="s">
        <v>40</v>
      </c>
      <c r="G519" t="s">
        <v>28</v>
      </c>
      <c r="H519" t="s">
        <v>25</v>
      </c>
      <c r="I519" t="s">
        <v>26</v>
      </c>
      <c r="J519" t="s">
        <v>25</v>
      </c>
      <c r="K519">
        <v>186</v>
      </c>
      <c r="L519">
        <v>0</v>
      </c>
      <c r="M519">
        <v>0</v>
      </c>
      <c r="N519">
        <v>0</v>
      </c>
      <c r="O519">
        <v>22</v>
      </c>
      <c r="P519">
        <v>11</v>
      </c>
      <c r="Q519">
        <v>7</v>
      </c>
      <c r="R519">
        <v>6</v>
      </c>
      <c r="S519">
        <v>4</v>
      </c>
      <c r="T519">
        <v>2</v>
      </c>
      <c r="U519">
        <v>0</v>
      </c>
      <c r="V519">
        <v>186</v>
      </c>
    </row>
    <row r="520" spans="1:22" x14ac:dyDescent="0.25">
      <c r="A520">
        <v>2025</v>
      </c>
      <c r="B520">
        <v>10</v>
      </c>
      <c r="C520" t="s">
        <v>61</v>
      </c>
      <c r="D520" t="s">
        <v>22</v>
      </c>
      <c r="E520" t="s">
        <v>61</v>
      </c>
      <c r="F520" t="s">
        <v>35</v>
      </c>
      <c r="G520" t="s">
        <v>28</v>
      </c>
      <c r="H520" t="s">
        <v>25</v>
      </c>
      <c r="I520" t="s">
        <v>26</v>
      </c>
      <c r="J520" t="s">
        <v>26</v>
      </c>
      <c r="K520">
        <v>40</v>
      </c>
      <c r="L520">
        <v>0</v>
      </c>
      <c r="M520">
        <v>0</v>
      </c>
      <c r="N520">
        <v>0</v>
      </c>
      <c r="O520">
        <v>18</v>
      </c>
      <c r="P520">
        <v>15</v>
      </c>
      <c r="Q520">
        <v>15</v>
      </c>
      <c r="R520">
        <v>11</v>
      </c>
      <c r="S520">
        <v>8</v>
      </c>
      <c r="T520">
        <v>4</v>
      </c>
      <c r="U520">
        <v>1</v>
      </c>
      <c r="V520">
        <v>40</v>
      </c>
    </row>
    <row r="521" spans="1:22" x14ac:dyDescent="0.25">
      <c r="A521">
        <v>2025</v>
      </c>
      <c r="B521">
        <v>10</v>
      </c>
      <c r="C521" t="s">
        <v>61</v>
      </c>
      <c r="D521" t="s">
        <v>22</v>
      </c>
      <c r="E521" t="s">
        <v>61</v>
      </c>
      <c r="F521" t="s">
        <v>35</v>
      </c>
      <c r="G521" t="s">
        <v>24</v>
      </c>
      <c r="H521" t="s">
        <v>25</v>
      </c>
      <c r="I521" t="s">
        <v>26</v>
      </c>
      <c r="J521" t="s">
        <v>26</v>
      </c>
      <c r="K521">
        <v>653</v>
      </c>
      <c r="L521">
        <v>1</v>
      </c>
      <c r="M521">
        <v>1</v>
      </c>
      <c r="N521">
        <v>2</v>
      </c>
      <c r="O521">
        <v>281</v>
      </c>
      <c r="P521">
        <v>243</v>
      </c>
      <c r="Q521">
        <v>232</v>
      </c>
      <c r="R521">
        <v>194</v>
      </c>
      <c r="S521">
        <v>173</v>
      </c>
      <c r="T521">
        <v>112</v>
      </c>
      <c r="U521">
        <v>77</v>
      </c>
      <c r="V521">
        <v>652</v>
      </c>
    </row>
    <row r="522" spans="1:22" x14ac:dyDescent="0.25">
      <c r="A522">
        <v>2025</v>
      </c>
      <c r="B522">
        <v>10</v>
      </c>
      <c r="C522" t="s">
        <v>61</v>
      </c>
      <c r="D522" t="s">
        <v>22</v>
      </c>
      <c r="E522" t="s">
        <v>61</v>
      </c>
      <c r="F522" t="s">
        <v>36</v>
      </c>
      <c r="G522" t="s">
        <v>28</v>
      </c>
      <c r="H522" t="s">
        <v>25</v>
      </c>
      <c r="I522" t="s">
        <v>26</v>
      </c>
      <c r="J522" t="s">
        <v>25</v>
      </c>
      <c r="K522">
        <v>1277</v>
      </c>
      <c r="L522">
        <v>0</v>
      </c>
      <c r="M522">
        <v>90</v>
      </c>
      <c r="N522">
        <v>90</v>
      </c>
      <c r="O522">
        <v>230</v>
      </c>
      <c r="P522">
        <v>137</v>
      </c>
      <c r="Q522">
        <v>110</v>
      </c>
      <c r="R522">
        <v>52</v>
      </c>
      <c r="S522">
        <v>33</v>
      </c>
      <c r="T522">
        <v>11</v>
      </c>
      <c r="U522">
        <v>2</v>
      </c>
      <c r="V522">
        <v>1227</v>
      </c>
    </row>
    <row r="523" spans="1:22" x14ac:dyDescent="0.25">
      <c r="A523">
        <v>2025</v>
      </c>
      <c r="B523">
        <v>10</v>
      </c>
      <c r="C523" t="s">
        <v>61</v>
      </c>
      <c r="D523" t="s">
        <v>22</v>
      </c>
      <c r="E523" t="s">
        <v>61</v>
      </c>
      <c r="F523" t="s">
        <v>36</v>
      </c>
      <c r="G523" t="s">
        <v>24</v>
      </c>
      <c r="H523" t="s">
        <v>25</v>
      </c>
      <c r="I523" t="s">
        <v>26</v>
      </c>
      <c r="J523" t="s">
        <v>25</v>
      </c>
      <c r="K523">
        <v>83</v>
      </c>
      <c r="L523">
        <v>0</v>
      </c>
      <c r="M523">
        <v>0</v>
      </c>
      <c r="N523">
        <v>0</v>
      </c>
      <c r="O523">
        <v>41</v>
      </c>
      <c r="P523">
        <v>38</v>
      </c>
      <c r="Q523">
        <v>35</v>
      </c>
      <c r="R523">
        <v>32</v>
      </c>
      <c r="S523">
        <v>25</v>
      </c>
      <c r="T523">
        <v>19</v>
      </c>
      <c r="U523">
        <v>9</v>
      </c>
      <c r="V523">
        <v>83</v>
      </c>
    </row>
    <row r="524" spans="1:22" x14ac:dyDescent="0.25">
      <c r="A524">
        <v>2025</v>
      </c>
      <c r="B524">
        <v>10</v>
      </c>
      <c r="C524" t="s">
        <v>61</v>
      </c>
      <c r="D524" t="s">
        <v>22</v>
      </c>
      <c r="E524" t="s">
        <v>61</v>
      </c>
      <c r="F524" t="s">
        <v>41</v>
      </c>
      <c r="G524" t="s">
        <v>28</v>
      </c>
      <c r="H524" t="s">
        <v>26</v>
      </c>
      <c r="I524" t="s">
        <v>26</v>
      </c>
      <c r="J524" t="s">
        <v>25</v>
      </c>
      <c r="K524">
        <v>893</v>
      </c>
      <c r="L524">
        <v>0</v>
      </c>
      <c r="M524">
        <v>9</v>
      </c>
      <c r="N524">
        <v>9</v>
      </c>
      <c r="O524">
        <v>324</v>
      </c>
      <c r="P524">
        <v>251</v>
      </c>
      <c r="Q524">
        <v>227</v>
      </c>
      <c r="R524">
        <v>152</v>
      </c>
      <c r="S524">
        <v>112</v>
      </c>
      <c r="T524">
        <v>32</v>
      </c>
      <c r="U524">
        <v>6</v>
      </c>
      <c r="V524">
        <v>889</v>
      </c>
    </row>
    <row r="525" spans="1:22" x14ac:dyDescent="0.25">
      <c r="A525">
        <v>2025</v>
      </c>
      <c r="B525">
        <v>10</v>
      </c>
      <c r="C525" t="s">
        <v>61</v>
      </c>
      <c r="D525" t="s">
        <v>22</v>
      </c>
      <c r="E525" t="s">
        <v>61</v>
      </c>
      <c r="F525" t="s">
        <v>41</v>
      </c>
      <c r="G525" t="s">
        <v>24</v>
      </c>
      <c r="H525" t="s">
        <v>26</v>
      </c>
      <c r="I525" t="s">
        <v>26</v>
      </c>
      <c r="J525" t="s">
        <v>25</v>
      </c>
      <c r="K525">
        <v>687</v>
      </c>
      <c r="L525">
        <v>0</v>
      </c>
      <c r="M525">
        <v>1</v>
      </c>
      <c r="N525">
        <v>1</v>
      </c>
      <c r="O525">
        <v>357</v>
      </c>
      <c r="P525">
        <v>311</v>
      </c>
      <c r="Q525">
        <v>293</v>
      </c>
      <c r="R525">
        <v>225</v>
      </c>
      <c r="S525">
        <v>158</v>
      </c>
      <c r="T525">
        <v>71</v>
      </c>
      <c r="U525">
        <v>9</v>
      </c>
      <c r="V525">
        <v>687</v>
      </c>
    </row>
    <row r="526" spans="1:22" x14ac:dyDescent="0.25">
      <c r="A526">
        <v>2025</v>
      </c>
      <c r="B526">
        <v>10</v>
      </c>
      <c r="C526" t="s">
        <v>61</v>
      </c>
      <c r="D526" t="s">
        <v>22</v>
      </c>
      <c r="E526" t="s">
        <v>61</v>
      </c>
      <c r="F526" t="s">
        <v>41</v>
      </c>
      <c r="G526" t="s">
        <v>29</v>
      </c>
      <c r="H526" t="s">
        <v>26</v>
      </c>
      <c r="I526" t="s">
        <v>26</v>
      </c>
      <c r="J526" t="s">
        <v>25</v>
      </c>
      <c r="K526">
        <v>1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</row>
    <row r="527" spans="1:22" x14ac:dyDescent="0.25">
      <c r="A527">
        <v>2025</v>
      </c>
      <c r="B527">
        <v>10</v>
      </c>
      <c r="C527" t="s">
        <v>61</v>
      </c>
      <c r="D527" t="s">
        <v>22</v>
      </c>
      <c r="E527" t="s">
        <v>166</v>
      </c>
      <c r="F527" t="s">
        <v>32</v>
      </c>
      <c r="G527" t="s">
        <v>24</v>
      </c>
      <c r="H527" t="s">
        <v>25</v>
      </c>
      <c r="I527" t="s">
        <v>26</v>
      </c>
      <c r="J527" t="s">
        <v>25</v>
      </c>
      <c r="K527">
        <v>188</v>
      </c>
      <c r="L527">
        <v>2</v>
      </c>
      <c r="M527">
        <v>0</v>
      </c>
      <c r="N527">
        <v>2</v>
      </c>
      <c r="O527">
        <v>114</v>
      </c>
      <c r="P527">
        <v>94</v>
      </c>
      <c r="Q527">
        <v>86</v>
      </c>
      <c r="R527">
        <v>62</v>
      </c>
      <c r="S527">
        <v>44</v>
      </c>
      <c r="T527">
        <v>15</v>
      </c>
      <c r="U527">
        <v>3</v>
      </c>
      <c r="V527">
        <v>186</v>
      </c>
    </row>
    <row r="528" spans="1:22" x14ac:dyDescent="0.25">
      <c r="A528">
        <v>2025</v>
      </c>
      <c r="B528">
        <v>10</v>
      </c>
      <c r="C528" t="s">
        <v>61</v>
      </c>
      <c r="D528" t="s">
        <v>22</v>
      </c>
      <c r="E528" t="s">
        <v>168</v>
      </c>
      <c r="F528" t="s">
        <v>31</v>
      </c>
      <c r="G528" t="s">
        <v>24</v>
      </c>
      <c r="H528" t="s">
        <v>25</v>
      </c>
      <c r="I528" t="s">
        <v>26</v>
      </c>
      <c r="J528" t="s">
        <v>25</v>
      </c>
      <c r="K528">
        <v>360</v>
      </c>
      <c r="L528">
        <v>0</v>
      </c>
      <c r="M528">
        <v>0</v>
      </c>
      <c r="N528">
        <v>0</v>
      </c>
      <c r="O528">
        <v>85</v>
      </c>
      <c r="P528">
        <v>50</v>
      </c>
      <c r="Q528">
        <v>41</v>
      </c>
      <c r="R528">
        <v>24</v>
      </c>
      <c r="S528">
        <v>15</v>
      </c>
      <c r="T528">
        <v>4</v>
      </c>
      <c r="U528">
        <v>1</v>
      </c>
      <c r="V528">
        <v>360</v>
      </c>
    </row>
    <row r="529" spans="1:22" x14ac:dyDescent="0.25">
      <c r="A529">
        <v>2025</v>
      </c>
      <c r="B529">
        <v>10</v>
      </c>
      <c r="C529" t="s">
        <v>61</v>
      </c>
      <c r="D529" t="s">
        <v>22</v>
      </c>
      <c r="E529" t="s">
        <v>169</v>
      </c>
      <c r="F529" t="s">
        <v>32</v>
      </c>
      <c r="G529" t="s">
        <v>24</v>
      </c>
      <c r="H529" t="s">
        <v>25</v>
      </c>
      <c r="I529" t="s">
        <v>26</v>
      </c>
      <c r="J529" t="s">
        <v>25</v>
      </c>
      <c r="K529">
        <v>21</v>
      </c>
      <c r="L529">
        <v>0</v>
      </c>
      <c r="M529">
        <v>0</v>
      </c>
      <c r="N529">
        <v>0</v>
      </c>
      <c r="O529">
        <v>12</v>
      </c>
      <c r="P529">
        <v>8</v>
      </c>
      <c r="Q529">
        <v>6</v>
      </c>
      <c r="R529">
        <v>3</v>
      </c>
      <c r="S529">
        <v>1</v>
      </c>
      <c r="T529">
        <v>0</v>
      </c>
      <c r="U529">
        <v>0</v>
      </c>
      <c r="V529">
        <v>21</v>
      </c>
    </row>
    <row r="530" spans="1:22" x14ac:dyDescent="0.25">
      <c r="A530">
        <v>2025</v>
      </c>
      <c r="B530">
        <v>10</v>
      </c>
      <c r="C530" t="s">
        <v>61</v>
      </c>
      <c r="D530" t="s">
        <v>22</v>
      </c>
      <c r="E530" t="s">
        <v>157</v>
      </c>
      <c r="F530" t="s">
        <v>31</v>
      </c>
      <c r="G530" t="s">
        <v>24</v>
      </c>
      <c r="H530" t="s">
        <v>25</v>
      </c>
      <c r="I530" t="s">
        <v>26</v>
      </c>
      <c r="J530" t="s">
        <v>25</v>
      </c>
      <c r="K530">
        <v>84</v>
      </c>
      <c r="L530">
        <v>0</v>
      </c>
      <c r="M530">
        <v>0</v>
      </c>
      <c r="N530">
        <v>0</v>
      </c>
      <c r="O530">
        <v>51</v>
      </c>
      <c r="P530">
        <v>43</v>
      </c>
      <c r="Q530">
        <v>37</v>
      </c>
      <c r="R530">
        <v>21</v>
      </c>
      <c r="S530">
        <v>10</v>
      </c>
      <c r="T530">
        <v>5</v>
      </c>
      <c r="U530">
        <v>0</v>
      </c>
      <c r="V530">
        <v>84</v>
      </c>
    </row>
    <row r="531" spans="1:22" x14ac:dyDescent="0.25">
      <c r="A531">
        <v>2025</v>
      </c>
      <c r="B531">
        <v>10</v>
      </c>
      <c r="C531" t="s">
        <v>61</v>
      </c>
      <c r="D531" t="s">
        <v>22</v>
      </c>
      <c r="E531" t="s">
        <v>157</v>
      </c>
      <c r="F531" t="s">
        <v>35</v>
      </c>
      <c r="G531" t="s">
        <v>24</v>
      </c>
      <c r="H531" t="s">
        <v>25</v>
      </c>
      <c r="I531" t="s">
        <v>26</v>
      </c>
      <c r="J531" t="s">
        <v>26</v>
      </c>
      <c r="K531">
        <v>2</v>
      </c>
      <c r="L531">
        <v>0</v>
      </c>
      <c r="M531">
        <v>0</v>
      </c>
      <c r="N531">
        <v>0</v>
      </c>
      <c r="O531">
        <v>2</v>
      </c>
      <c r="P531">
        <v>2</v>
      </c>
      <c r="Q531">
        <v>2</v>
      </c>
      <c r="R531">
        <v>2</v>
      </c>
      <c r="S531">
        <v>2</v>
      </c>
      <c r="T531">
        <v>1</v>
      </c>
      <c r="U531">
        <v>1</v>
      </c>
      <c r="V531">
        <v>2</v>
      </c>
    </row>
    <row r="532" spans="1:22" x14ac:dyDescent="0.25">
      <c r="A532">
        <v>2025</v>
      </c>
      <c r="B532">
        <v>10</v>
      </c>
      <c r="C532" t="s">
        <v>61</v>
      </c>
      <c r="D532" t="s">
        <v>22</v>
      </c>
      <c r="E532" t="s">
        <v>157</v>
      </c>
      <c r="F532" t="s">
        <v>41</v>
      </c>
      <c r="G532" t="s">
        <v>24</v>
      </c>
      <c r="H532" t="s">
        <v>26</v>
      </c>
      <c r="I532" t="s">
        <v>26</v>
      </c>
      <c r="J532" t="s">
        <v>25</v>
      </c>
      <c r="K532">
        <v>39</v>
      </c>
      <c r="L532">
        <v>0</v>
      </c>
      <c r="M532">
        <v>0</v>
      </c>
      <c r="N532">
        <v>0</v>
      </c>
      <c r="O532">
        <v>25</v>
      </c>
      <c r="P532">
        <v>22</v>
      </c>
      <c r="Q532">
        <v>21</v>
      </c>
      <c r="R532">
        <v>16</v>
      </c>
      <c r="S532">
        <v>9</v>
      </c>
      <c r="T532">
        <v>1</v>
      </c>
      <c r="U532">
        <v>0</v>
      </c>
      <c r="V532">
        <v>39</v>
      </c>
    </row>
    <row r="533" spans="1:22" x14ac:dyDescent="0.25">
      <c r="A533">
        <v>2025</v>
      </c>
      <c r="B533">
        <v>10</v>
      </c>
      <c r="C533" t="s">
        <v>61</v>
      </c>
      <c r="D533" t="s">
        <v>22</v>
      </c>
      <c r="E533" t="s">
        <v>66</v>
      </c>
      <c r="F533" t="s">
        <v>34</v>
      </c>
      <c r="G533" t="s">
        <v>24</v>
      </c>
      <c r="H533" t="s">
        <v>25</v>
      </c>
      <c r="I533" t="s">
        <v>26</v>
      </c>
      <c r="J533" t="s">
        <v>26</v>
      </c>
      <c r="K533">
        <v>1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1</v>
      </c>
    </row>
    <row r="534" spans="1:22" x14ac:dyDescent="0.25">
      <c r="A534">
        <v>2025</v>
      </c>
      <c r="B534">
        <v>11</v>
      </c>
      <c r="C534" t="s">
        <v>61</v>
      </c>
      <c r="D534" t="s">
        <v>22</v>
      </c>
      <c r="E534" t="s">
        <v>159</v>
      </c>
      <c r="F534" t="s">
        <v>31</v>
      </c>
      <c r="G534" t="s">
        <v>24</v>
      </c>
      <c r="H534" t="s">
        <v>25</v>
      </c>
      <c r="I534" t="s">
        <v>26</v>
      </c>
      <c r="J534" t="s">
        <v>25</v>
      </c>
      <c r="K534">
        <v>24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24</v>
      </c>
    </row>
    <row r="535" spans="1:22" x14ac:dyDescent="0.25">
      <c r="A535">
        <v>2025</v>
      </c>
      <c r="B535">
        <v>11</v>
      </c>
      <c r="C535" t="s">
        <v>61</v>
      </c>
      <c r="D535" t="s">
        <v>22</v>
      </c>
      <c r="E535" t="s">
        <v>130</v>
      </c>
      <c r="F535" t="s">
        <v>34</v>
      </c>
      <c r="G535" t="s">
        <v>24</v>
      </c>
      <c r="H535" t="s">
        <v>25</v>
      </c>
      <c r="I535" t="s">
        <v>26</v>
      </c>
      <c r="J535" t="s">
        <v>26</v>
      </c>
      <c r="K535">
        <v>2</v>
      </c>
      <c r="L535">
        <v>0</v>
      </c>
      <c r="M535">
        <v>0</v>
      </c>
      <c r="N535">
        <v>0</v>
      </c>
      <c r="O535">
        <v>2</v>
      </c>
      <c r="P535">
        <v>1</v>
      </c>
      <c r="Q535">
        <v>1</v>
      </c>
      <c r="R535">
        <v>0</v>
      </c>
      <c r="S535">
        <v>0</v>
      </c>
      <c r="T535">
        <v>0</v>
      </c>
      <c r="U535">
        <v>0</v>
      </c>
      <c r="V535">
        <v>2</v>
      </c>
    </row>
    <row r="536" spans="1:22" x14ac:dyDescent="0.25">
      <c r="A536">
        <v>2025</v>
      </c>
      <c r="B536">
        <v>11</v>
      </c>
      <c r="C536" t="s">
        <v>61</v>
      </c>
      <c r="D536" t="s">
        <v>22</v>
      </c>
      <c r="E536" t="s">
        <v>130</v>
      </c>
      <c r="F536" t="s">
        <v>23</v>
      </c>
      <c r="G536" t="s">
        <v>24</v>
      </c>
      <c r="H536" t="s">
        <v>25</v>
      </c>
      <c r="I536" t="s">
        <v>26</v>
      </c>
      <c r="J536" t="s">
        <v>25</v>
      </c>
      <c r="K536">
        <v>1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1</v>
      </c>
    </row>
    <row r="537" spans="1:22" x14ac:dyDescent="0.25">
      <c r="A537">
        <v>2025</v>
      </c>
      <c r="B537">
        <v>11</v>
      </c>
      <c r="C537" t="s">
        <v>61</v>
      </c>
      <c r="D537" t="s">
        <v>22</v>
      </c>
      <c r="E537" t="s">
        <v>131</v>
      </c>
      <c r="F537" t="s">
        <v>34</v>
      </c>
      <c r="G537" t="s">
        <v>24</v>
      </c>
      <c r="H537" t="s">
        <v>25</v>
      </c>
      <c r="I537" t="s">
        <v>26</v>
      </c>
      <c r="J537" t="s">
        <v>26</v>
      </c>
      <c r="K537">
        <v>55</v>
      </c>
      <c r="L537">
        <v>0</v>
      </c>
      <c r="M537">
        <v>0</v>
      </c>
      <c r="N537">
        <v>0</v>
      </c>
      <c r="O537">
        <v>28</v>
      </c>
      <c r="P537">
        <v>22</v>
      </c>
      <c r="Q537">
        <v>21</v>
      </c>
      <c r="R537">
        <v>17</v>
      </c>
      <c r="S537">
        <v>11</v>
      </c>
      <c r="T537">
        <v>6</v>
      </c>
      <c r="U537">
        <v>2</v>
      </c>
      <c r="V537">
        <v>55</v>
      </c>
    </row>
    <row r="538" spans="1:22" x14ac:dyDescent="0.25">
      <c r="A538">
        <v>2025</v>
      </c>
      <c r="B538">
        <v>11</v>
      </c>
      <c r="C538" t="s">
        <v>61</v>
      </c>
      <c r="D538" t="s">
        <v>22</v>
      </c>
      <c r="E538" t="s">
        <v>160</v>
      </c>
      <c r="F538" t="s">
        <v>23</v>
      </c>
      <c r="G538" t="s">
        <v>24</v>
      </c>
      <c r="H538" t="s">
        <v>25</v>
      </c>
      <c r="I538" t="s">
        <v>26</v>
      </c>
      <c r="J538" t="s">
        <v>25</v>
      </c>
      <c r="K538">
        <v>163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163</v>
      </c>
    </row>
    <row r="539" spans="1:22" x14ac:dyDescent="0.25">
      <c r="A539">
        <v>2025</v>
      </c>
      <c r="B539">
        <v>11</v>
      </c>
      <c r="C539" t="s">
        <v>61</v>
      </c>
      <c r="D539" t="s">
        <v>22</v>
      </c>
      <c r="E539" t="s">
        <v>161</v>
      </c>
      <c r="F539" t="s">
        <v>32</v>
      </c>
      <c r="G539" t="s">
        <v>24</v>
      </c>
      <c r="H539" t="s">
        <v>25</v>
      </c>
      <c r="I539" t="s">
        <v>26</v>
      </c>
      <c r="J539" t="s">
        <v>25</v>
      </c>
      <c r="K539">
        <v>202</v>
      </c>
      <c r="L539">
        <v>0</v>
      </c>
      <c r="M539">
        <v>0</v>
      </c>
      <c r="N539">
        <v>0</v>
      </c>
      <c r="O539">
        <v>58</v>
      </c>
      <c r="P539">
        <v>38</v>
      </c>
      <c r="Q539">
        <v>32</v>
      </c>
      <c r="R539">
        <v>20</v>
      </c>
      <c r="S539">
        <v>17</v>
      </c>
      <c r="T539">
        <v>9</v>
      </c>
      <c r="U539">
        <v>2</v>
      </c>
      <c r="V539">
        <v>202</v>
      </c>
    </row>
    <row r="540" spans="1:22" x14ac:dyDescent="0.25">
      <c r="A540">
        <v>2025</v>
      </c>
      <c r="B540">
        <v>11</v>
      </c>
      <c r="C540" t="s">
        <v>61</v>
      </c>
      <c r="D540" t="s">
        <v>22</v>
      </c>
      <c r="E540" t="s">
        <v>161</v>
      </c>
      <c r="F540" t="s">
        <v>23</v>
      </c>
      <c r="G540" t="s">
        <v>24</v>
      </c>
      <c r="H540" t="s">
        <v>25</v>
      </c>
      <c r="I540" t="s">
        <v>26</v>
      </c>
      <c r="J540" t="s">
        <v>25</v>
      </c>
      <c r="K540">
        <v>29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29</v>
      </c>
    </row>
    <row r="541" spans="1:22" x14ac:dyDescent="0.25">
      <c r="A541">
        <v>2025</v>
      </c>
      <c r="B541">
        <v>11</v>
      </c>
      <c r="C541" t="s">
        <v>61</v>
      </c>
      <c r="D541" t="s">
        <v>22</v>
      </c>
      <c r="E541" t="s">
        <v>161</v>
      </c>
      <c r="F541" t="s">
        <v>36</v>
      </c>
      <c r="G541" t="s">
        <v>24</v>
      </c>
      <c r="H541" t="s">
        <v>25</v>
      </c>
      <c r="I541" t="s">
        <v>26</v>
      </c>
      <c r="J541" t="s">
        <v>25</v>
      </c>
      <c r="K541">
        <v>430</v>
      </c>
      <c r="L541">
        <v>1</v>
      </c>
      <c r="M541">
        <v>2</v>
      </c>
      <c r="N541">
        <v>3</v>
      </c>
      <c r="O541">
        <v>157</v>
      </c>
      <c r="P541">
        <v>125</v>
      </c>
      <c r="Q541">
        <v>117</v>
      </c>
      <c r="R541">
        <v>92</v>
      </c>
      <c r="S541">
        <v>66</v>
      </c>
      <c r="T541">
        <v>20</v>
      </c>
      <c r="U541">
        <v>5</v>
      </c>
      <c r="V541">
        <v>427</v>
      </c>
    </row>
    <row r="542" spans="1:22" x14ac:dyDescent="0.25">
      <c r="A542">
        <v>2025</v>
      </c>
      <c r="B542">
        <v>11</v>
      </c>
      <c r="C542" t="s">
        <v>61</v>
      </c>
      <c r="D542" t="s">
        <v>22</v>
      </c>
      <c r="E542" t="s">
        <v>162</v>
      </c>
      <c r="F542" t="s">
        <v>32</v>
      </c>
      <c r="G542" t="s">
        <v>24</v>
      </c>
      <c r="H542" t="s">
        <v>25</v>
      </c>
      <c r="I542" t="s">
        <v>26</v>
      </c>
      <c r="J542" t="s">
        <v>25</v>
      </c>
      <c r="K542">
        <v>193</v>
      </c>
      <c r="L542">
        <v>0</v>
      </c>
      <c r="M542">
        <v>1</v>
      </c>
      <c r="N542">
        <v>1</v>
      </c>
      <c r="O542">
        <v>93</v>
      </c>
      <c r="P542">
        <v>78</v>
      </c>
      <c r="Q542">
        <v>67</v>
      </c>
      <c r="R542">
        <v>48</v>
      </c>
      <c r="S542">
        <v>40</v>
      </c>
      <c r="T542">
        <v>10</v>
      </c>
      <c r="U542">
        <v>7</v>
      </c>
      <c r="V542">
        <v>192</v>
      </c>
    </row>
    <row r="543" spans="1:22" x14ac:dyDescent="0.25">
      <c r="A543">
        <v>2025</v>
      </c>
      <c r="B543">
        <v>11</v>
      </c>
      <c r="C543" t="s">
        <v>61</v>
      </c>
      <c r="D543" t="s">
        <v>22</v>
      </c>
      <c r="E543" t="s">
        <v>162</v>
      </c>
      <c r="F543" t="s">
        <v>34</v>
      </c>
      <c r="G543" t="s">
        <v>24</v>
      </c>
      <c r="H543" t="s">
        <v>25</v>
      </c>
      <c r="I543" t="s">
        <v>26</v>
      </c>
      <c r="J543" t="s">
        <v>26</v>
      </c>
      <c r="K543">
        <v>1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1</v>
      </c>
    </row>
    <row r="544" spans="1:22" x14ac:dyDescent="0.25">
      <c r="A544">
        <v>2025</v>
      </c>
      <c r="B544">
        <v>11</v>
      </c>
      <c r="C544" t="s">
        <v>61</v>
      </c>
      <c r="D544" t="s">
        <v>22</v>
      </c>
      <c r="E544" t="s">
        <v>37</v>
      </c>
      <c r="F544" t="s">
        <v>38</v>
      </c>
      <c r="G544" t="s">
        <v>24</v>
      </c>
      <c r="H544" t="s">
        <v>25</v>
      </c>
      <c r="I544" t="s">
        <v>26</v>
      </c>
      <c r="J544" t="s">
        <v>25</v>
      </c>
      <c r="K544">
        <v>6</v>
      </c>
      <c r="L544">
        <v>0</v>
      </c>
      <c r="M544">
        <v>0</v>
      </c>
      <c r="N544">
        <v>0</v>
      </c>
      <c r="O544">
        <v>3</v>
      </c>
      <c r="P544">
        <v>3</v>
      </c>
      <c r="Q544">
        <v>2</v>
      </c>
      <c r="R544">
        <v>1</v>
      </c>
      <c r="S544">
        <v>1</v>
      </c>
      <c r="T544">
        <v>1</v>
      </c>
      <c r="U544">
        <v>1</v>
      </c>
      <c r="V544">
        <v>6</v>
      </c>
    </row>
    <row r="545" spans="1:22" x14ac:dyDescent="0.25">
      <c r="A545">
        <v>2025</v>
      </c>
      <c r="B545">
        <v>11</v>
      </c>
      <c r="C545" t="s">
        <v>61</v>
      </c>
      <c r="D545" t="s">
        <v>22</v>
      </c>
      <c r="E545" t="s">
        <v>37</v>
      </c>
      <c r="F545" t="s">
        <v>23</v>
      </c>
      <c r="G545" t="s">
        <v>24</v>
      </c>
      <c r="H545" t="s">
        <v>25</v>
      </c>
      <c r="I545" t="s">
        <v>26</v>
      </c>
      <c r="J545" t="s">
        <v>25</v>
      </c>
      <c r="K545">
        <v>12</v>
      </c>
      <c r="L545">
        <v>0</v>
      </c>
      <c r="M545">
        <v>0</v>
      </c>
      <c r="N545">
        <v>0</v>
      </c>
      <c r="O545">
        <v>5</v>
      </c>
      <c r="P545">
        <v>4</v>
      </c>
      <c r="Q545">
        <v>4</v>
      </c>
      <c r="R545">
        <v>3</v>
      </c>
      <c r="S545">
        <v>3</v>
      </c>
      <c r="T545">
        <v>2</v>
      </c>
      <c r="U545">
        <v>1</v>
      </c>
      <c r="V545">
        <v>12</v>
      </c>
    </row>
    <row r="546" spans="1:22" x14ac:dyDescent="0.25">
      <c r="A546">
        <v>2025</v>
      </c>
      <c r="B546">
        <v>11</v>
      </c>
      <c r="C546" t="s">
        <v>61</v>
      </c>
      <c r="D546" t="s">
        <v>22</v>
      </c>
      <c r="E546" t="s">
        <v>138</v>
      </c>
      <c r="F546" t="s">
        <v>34</v>
      </c>
      <c r="G546" t="s">
        <v>24</v>
      </c>
      <c r="H546" t="s">
        <v>25</v>
      </c>
      <c r="I546" t="s">
        <v>26</v>
      </c>
      <c r="J546" t="s">
        <v>26</v>
      </c>
      <c r="K546">
        <v>2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2</v>
      </c>
    </row>
    <row r="547" spans="1:22" x14ac:dyDescent="0.25">
      <c r="A547">
        <v>2025</v>
      </c>
      <c r="B547">
        <v>11</v>
      </c>
      <c r="C547" t="s">
        <v>61</v>
      </c>
      <c r="D547" t="s">
        <v>22</v>
      </c>
      <c r="E547" t="s">
        <v>139</v>
      </c>
      <c r="F547" t="s">
        <v>34</v>
      </c>
      <c r="G547" t="s">
        <v>24</v>
      </c>
      <c r="H547" t="s">
        <v>25</v>
      </c>
      <c r="I547" t="s">
        <v>26</v>
      </c>
      <c r="J547" t="s">
        <v>26</v>
      </c>
      <c r="K547">
        <v>54</v>
      </c>
      <c r="L547">
        <v>1</v>
      </c>
      <c r="M547">
        <v>0</v>
      </c>
      <c r="N547">
        <v>1</v>
      </c>
      <c r="O547">
        <v>15</v>
      </c>
      <c r="P547">
        <v>10</v>
      </c>
      <c r="Q547">
        <v>10</v>
      </c>
      <c r="R547">
        <v>7</v>
      </c>
      <c r="S547">
        <v>5</v>
      </c>
      <c r="T547">
        <v>3</v>
      </c>
      <c r="U547">
        <v>1</v>
      </c>
      <c r="V547">
        <v>53</v>
      </c>
    </row>
    <row r="548" spans="1:22" x14ac:dyDescent="0.25">
      <c r="A548">
        <v>2025</v>
      </c>
      <c r="B548">
        <v>11</v>
      </c>
      <c r="C548" t="s">
        <v>61</v>
      </c>
      <c r="D548" t="s">
        <v>22</v>
      </c>
      <c r="E548" t="s">
        <v>141</v>
      </c>
      <c r="F548" t="s">
        <v>34</v>
      </c>
      <c r="G548" t="s">
        <v>24</v>
      </c>
      <c r="H548" t="s">
        <v>25</v>
      </c>
      <c r="I548" t="s">
        <v>26</v>
      </c>
      <c r="J548" t="s">
        <v>26</v>
      </c>
      <c r="K548">
        <v>25</v>
      </c>
      <c r="L548">
        <v>0</v>
      </c>
      <c r="M548">
        <v>0</v>
      </c>
      <c r="N548">
        <v>0</v>
      </c>
      <c r="O548">
        <v>12</v>
      </c>
      <c r="P548">
        <v>10</v>
      </c>
      <c r="Q548">
        <v>8</v>
      </c>
      <c r="R548">
        <v>7</v>
      </c>
      <c r="S548">
        <v>6</v>
      </c>
      <c r="T548">
        <v>0</v>
      </c>
      <c r="U548">
        <v>0</v>
      </c>
      <c r="V548">
        <v>25</v>
      </c>
    </row>
    <row r="549" spans="1:22" x14ac:dyDescent="0.25">
      <c r="A549">
        <v>2025</v>
      </c>
      <c r="B549">
        <v>11</v>
      </c>
      <c r="C549" t="s">
        <v>61</v>
      </c>
      <c r="D549" t="s">
        <v>22</v>
      </c>
      <c r="E549" t="s">
        <v>142</v>
      </c>
      <c r="F549" t="s">
        <v>34</v>
      </c>
      <c r="G549" t="s">
        <v>24</v>
      </c>
      <c r="H549" t="s">
        <v>25</v>
      </c>
      <c r="I549" t="s">
        <v>26</v>
      </c>
      <c r="J549" t="s">
        <v>26</v>
      </c>
      <c r="K549">
        <v>31</v>
      </c>
      <c r="L549">
        <v>1</v>
      </c>
      <c r="M549">
        <v>0</v>
      </c>
      <c r="N549">
        <v>1</v>
      </c>
      <c r="O549">
        <v>3</v>
      </c>
      <c r="P549">
        <v>1</v>
      </c>
      <c r="Q549">
        <v>1</v>
      </c>
      <c r="R549">
        <v>0</v>
      </c>
      <c r="S549">
        <v>0</v>
      </c>
      <c r="T549">
        <v>0</v>
      </c>
      <c r="U549">
        <v>0</v>
      </c>
      <c r="V549">
        <v>30</v>
      </c>
    </row>
    <row r="550" spans="1:22" x14ac:dyDescent="0.25">
      <c r="A550">
        <v>2025</v>
      </c>
      <c r="B550">
        <v>11</v>
      </c>
      <c r="C550" t="s">
        <v>61</v>
      </c>
      <c r="D550" t="s">
        <v>22</v>
      </c>
      <c r="E550" t="s">
        <v>144</v>
      </c>
      <c r="F550" t="s">
        <v>32</v>
      </c>
      <c r="G550" t="s">
        <v>24</v>
      </c>
      <c r="H550" t="s">
        <v>25</v>
      </c>
      <c r="I550" t="s">
        <v>26</v>
      </c>
      <c r="J550" t="s">
        <v>25</v>
      </c>
      <c r="K550">
        <v>96</v>
      </c>
      <c r="L550">
        <v>2</v>
      </c>
      <c r="M550">
        <v>0</v>
      </c>
      <c r="N550">
        <v>2</v>
      </c>
      <c r="O550">
        <v>30</v>
      </c>
      <c r="P550">
        <v>22</v>
      </c>
      <c r="Q550">
        <v>20</v>
      </c>
      <c r="R550">
        <v>16</v>
      </c>
      <c r="S550">
        <v>12</v>
      </c>
      <c r="T550">
        <v>6</v>
      </c>
      <c r="U550">
        <v>3</v>
      </c>
      <c r="V550">
        <v>94</v>
      </c>
    </row>
    <row r="551" spans="1:22" x14ac:dyDescent="0.25">
      <c r="A551">
        <v>2025</v>
      </c>
      <c r="B551">
        <v>11</v>
      </c>
      <c r="C551" t="s">
        <v>61</v>
      </c>
      <c r="D551" t="s">
        <v>22</v>
      </c>
      <c r="E551" t="s">
        <v>144</v>
      </c>
      <c r="F551" t="s">
        <v>38</v>
      </c>
      <c r="G551" t="s">
        <v>24</v>
      </c>
      <c r="H551" t="s">
        <v>25</v>
      </c>
      <c r="I551" t="s">
        <v>26</v>
      </c>
      <c r="J551" t="s">
        <v>25</v>
      </c>
      <c r="K551">
        <v>5</v>
      </c>
      <c r="L551">
        <v>0</v>
      </c>
      <c r="M551">
        <v>0</v>
      </c>
      <c r="N551">
        <v>0</v>
      </c>
      <c r="O551">
        <v>4</v>
      </c>
      <c r="P551">
        <v>3</v>
      </c>
      <c r="Q551">
        <v>3</v>
      </c>
      <c r="R551">
        <v>3</v>
      </c>
      <c r="S551">
        <v>0</v>
      </c>
      <c r="T551">
        <v>0</v>
      </c>
      <c r="U551">
        <v>0</v>
      </c>
      <c r="V551">
        <v>5</v>
      </c>
    </row>
    <row r="552" spans="1:22" x14ac:dyDescent="0.25">
      <c r="A552">
        <v>2025</v>
      </c>
      <c r="B552">
        <v>11</v>
      </c>
      <c r="C552" t="s">
        <v>61</v>
      </c>
      <c r="D552" t="s">
        <v>22</v>
      </c>
      <c r="E552" t="s">
        <v>144</v>
      </c>
      <c r="F552" t="s">
        <v>23</v>
      </c>
      <c r="G552" t="s">
        <v>24</v>
      </c>
      <c r="H552" t="s">
        <v>25</v>
      </c>
      <c r="I552" t="s">
        <v>26</v>
      </c>
      <c r="J552" t="s">
        <v>25</v>
      </c>
      <c r="K552">
        <v>162</v>
      </c>
      <c r="L552">
        <v>2</v>
      </c>
      <c r="M552">
        <v>0</v>
      </c>
      <c r="N552">
        <v>2</v>
      </c>
      <c r="O552">
        <v>66</v>
      </c>
      <c r="P552">
        <v>52</v>
      </c>
      <c r="Q552">
        <v>48</v>
      </c>
      <c r="R552">
        <v>38</v>
      </c>
      <c r="S552">
        <v>26</v>
      </c>
      <c r="T552">
        <v>12</v>
      </c>
      <c r="U552">
        <v>4</v>
      </c>
      <c r="V552">
        <v>160</v>
      </c>
    </row>
    <row r="553" spans="1:22" x14ac:dyDescent="0.25">
      <c r="A553">
        <v>2025</v>
      </c>
      <c r="B553">
        <v>11</v>
      </c>
      <c r="C553" t="s">
        <v>61</v>
      </c>
      <c r="D553" t="s">
        <v>22</v>
      </c>
      <c r="E553" t="s">
        <v>144</v>
      </c>
      <c r="F553" t="s">
        <v>39</v>
      </c>
      <c r="G553" t="s">
        <v>24</v>
      </c>
      <c r="H553" t="s">
        <v>26</v>
      </c>
      <c r="I553" t="s">
        <v>26</v>
      </c>
      <c r="J553" t="s">
        <v>25</v>
      </c>
      <c r="K553">
        <v>668</v>
      </c>
      <c r="L553">
        <v>9</v>
      </c>
      <c r="M553">
        <v>3</v>
      </c>
      <c r="N553">
        <v>12</v>
      </c>
      <c r="O553">
        <v>269</v>
      </c>
      <c r="P553">
        <v>223</v>
      </c>
      <c r="Q553">
        <v>214</v>
      </c>
      <c r="R553">
        <v>191</v>
      </c>
      <c r="S553">
        <v>160</v>
      </c>
      <c r="T553">
        <v>87</v>
      </c>
      <c r="U553">
        <v>35</v>
      </c>
      <c r="V553">
        <v>657</v>
      </c>
    </row>
    <row r="554" spans="1:22" x14ac:dyDescent="0.25">
      <c r="A554">
        <v>2025</v>
      </c>
      <c r="B554">
        <v>11</v>
      </c>
      <c r="C554" t="s">
        <v>61</v>
      </c>
      <c r="D554" t="s">
        <v>22</v>
      </c>
      <c r="E554" t="s">
        <v>144</v>
      </c>
      <c r="F554" t="s">
        <v>36</v>
      </c>
      <c r="G554" t="s">
        <v>24</v>
      </c>
      <c r="H554" t="s">
        <v>25</v>
      </c>
      <c r="I554" t="s">
        <v>26</v>
      </c>
      <c r="J554" t="s">
        <v>25</v>
      </c>
      <c r="K554">
        <v>129</v>
      </c>
      <c r="L554">
        <v>4</v>
      </c>
      <c r="M554">
        <v>1</v>
      </c>
      <c r="N554">
        <v>5</v>
      </c>
      <c r="O554">
        <v>47</v>
      </c>
      <c r="P554">
        <v>42</v>
      </c>
      <c r="Q554">
        <v>42</v>
      </c>
      <c r="R554">
        <v>32</v>
      </c>
      <c r="S554">
        <v>22</v>
      </c>
      <c r="T554">
        <v>9</v>
      </c>
      <c r="U554">
        <v>3</v>
      </c>
      <c r="V554">
        <v>124</v>
      </c>
    </row>
    <row r="555" spans="1:22" x14ac:dyDescent="0.25">
      <c r="A555">
        <v>2025</v>
      </c>
      <c r="B555">
        <v>11</v>
      </c>
      <c r="C555" t="s">
        <v>61</v>
      </c>
      <c r="D555" t="s">
        <v>22</v>
      </c>
      <c r="E555" t="s">
        <v>145</v>
      </c>
      <c r="F555" t="s">
        <v>32</v>
      </c>
      <c r="G555" t="s">
        <v>24</v>
      </c>
      <c r="H555" t="s">
        <v>25</v>
      </c>
      <c r="I555" t="s">
        <v>26</v>
      </c>
      <c r="J555" t="s">
        <v>25</v>
      </c>
      <c r="K555">
        <v>290</v>
      </c>
      <c r="L555">
        <v>2</v>
      </c>
      <c r="M555">
        <v>0</v>
      </c>
      <c r="N555">
        <v>2</v>
      </c>
      <c r="O555">
        <v>77</v>
      </c>
      <c r="P555">
        <v>58</v>
      </c>
      <c r="Q555">
        <v>45</v>
      </c>
      <c r="R555">
        <v>28</v>
      </c>
      <c r="S555">
        <v>20</v>
      </c>
      <c r="T555">
        <v>8</v>
      </c>
      <c r="U555">
        <v>1</v>
      </c>
      <c r="V555">
        <v>288</v>
      </c>
    </row>
    <row r="556" spans="1:22" x14ac:dyDescent="0.25">
      <c r="A556">
        <v>2025</v>
      </c>
      <c r="B556">
        <v>11</v>
      </c>
      <c r="C556" t="s">
        <v>61</v>
      </c>
      <c r="D556" t="s">
        <v>22</v>
      </c>
      <c r="E556" t="s">
        <v>147</v>
      </c>
      <c r="F556" t="s">
        <v>32</v>
      </c>
      <c r="G556" t="s">
        <v>24</v>
      </c>
      <c r="H556" t="s">
        <v>25</v>
      </c>
      <c r="I556" t="s">
        <v>26</v>
      </c>
      <c r="J556" t="s">
        <v>25</v>
      </c>
      <c r="K556">
        <v>56</v>
      </c>
      <c r="L556">
        <v>0</v>
      </c>
      <c r="M556">
        <v>0</v>
      </c>
      <c r="N556">
        <v>0</v>
      </c>
      <c r="O556">
        <v>35</v>
      </c>
      <c r="P556">
        <v>33</v>
      </c>
      <c r="Q556">
        <v>32</v>
      </c>
      <c r="R556">
        <v>29</v>
      </c>
      <c r="S556">
        <v>22</v>
      </c>
      <c r="T556">
        <v>14</v>
      </c>
      <c r="U556">
        <v>5</v>
      </c>
      <c r="V556">
        <v>56</v>
      </c>
    </row>
    <row r="557" spans="1:22" x14ac:dyDescent="0.25">
      <c r="A557">
        <v>2025</v>
      </c>
      <c r="B557">
        <v>11</v>
      </c>
      <c r="C557" t="s">
        <v>61</v>
      </c>
      <c r="D557" t="s">
        <v>22</v>
      </c>
      <c r="E557" t="s">
        <v>147</v>
      </c>
      <c r="F557" t="s">
        <v>36</v>
      </c>
      <c r="G557" t="s">
        <v>24</v>
      </c>
      <c r="H557" t="s">
        <v>25</v>
      </c>
      <c r="I557" t="s">
        <v>26</v>
      </c>
      <c r="J557" t="s">
        <v>25</v>
      </c>
      <c r="K557">
        <v>230</v>
      </c>
      <c r="L557">
        <v>0</v>
      </c>
      <c r="M557">
        <v>1</v>
      </c>
      <c r="N557">
        <v>1</v>
      </c>
      <c r="O557">
        <v>132</v>
      </c>
      <c r="P557">
        <v>114</v>
      </c>
      <c r="Q557">
        <v>105</v>
      </c>
      <c r="R557">
        <v>82</v>
      </c>
      <c r="S557">
        <v>66</v>
      </c>
      <c r="T557">
        <v>29</v>
      </c>
      <c r="U557">
        <v>7</v>
      </c>
      <c r="V557">
        <v>230</v>
      </c>
    </row>
    <row r="558" spans="1:22" x14ac:dyDescent="0.25">
      <c r="A558">
        <v>2025</v>
      </c>
      <c r="B558">
        <v>11</v>
      </c>
      <c r="C558" t="s">
        <v>61</v>
      </c>
      <c r="D558" t="s">
        <v>22</v>
      </c>
      <c r="E558" t="s">
        <v>149</v>
      </c>
      <c r="F558" t="s">
        <v>38</v>
      </c>
      <c r="G558" t="s">
        <v>24</v>
      </c>
      <c r="H558" t="s">
        <v>25</v>
      </c>
      <c r="I558" t="s">
        <v>26</v>
      </c>
      <c r="J558" t="s">
        <v>25</v>
      </c>
      <c r="K558">
        <v>1</v>
      </c>
      <c r="L558">
        <v>0</v>
      </c>
      <c r="M558">
        <v>0</v>
      </c>
      <c r="N558">
        <v>0</v>
      </c>
      <c r="O558">
        <v>1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1</v>
      </c>
    </row>
    <row r="559" spans="1:22" x14ac:dyDescent="0.25">
      <c r="A559">
        <v>2025</v>
      </c>
      <c r="B559">
        <v>11</v>
      </c>
      <c r="C559" t="s">
        <v>61</v>
      </c>
      <c r="D559" t="s">
        <v>22</v>
      </c>
      <c r="E559" t="s">
        <v>51</v>
      </c>
      <c r="F559" t="s">
        <v>34</v>
      </c>
      <c r="G559" t="s">
        <v>28</v>
      </c>
      <c r="H559" t="s">
        <v>25</v>
      </c>
      <c r="I559" t="s">
        <v>26</v>
      </c>
      <c r="J559" t="s">
        <v>26</v>
      </c>
      <c r="K559">
        <v>1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1</v>
      </c>
    </row>
    <row r="560" spans="1:22" x14ac:dyDescent="0.25">
      <c r="A560">
        <v>2025</v>
      </c>
      <c r="B560">
        <v>11</v>
      </c>
      <c r="C560" t="s">
        <v>61</v>
      </c>
      <c r="D560" t="s">
        <v>22</v>
      </c>
      <c r="E560" t="s">
        <v>51</v>
      </c>
      <c r="F560" t="s">
        <v>34</v>
      </c>
      <c r="G560" t="s">
        <v>24</v>
      </c>
      <c r="H560" t="s">
        <v>25</v>
      </c>
      <c r="I560" t="s">
        <v>26</v>
      </c>
      <c r="J560" t="s">
        <v>26</v>
      </c>
      <c r="K560">
        <v>27</v>
      </c>
      <c r="L560">
        <v>0</v>
      </c>
      <c r="M560">
        <v>1</v>
      </c>
      <c r="N560">
        <v>1</v>
      </c>
      <c r="O560">
        <v>3</v>
      </c>
      <c r="P560">
        <v>1</v>
      </c>
      <c r="Q560">
        <v>1</v>
      </c>
      <c r="R560">
        <v>1</v>
      </c>
      <c r="S560">
        <v>0</v>
      </c>
      <c r="T560">
        <v>0</v>
      </c>
      <c r="U560">
        <v>0</v>
      </c>
      <c r="V560">
        <v>26</v>
      </c>
    </row>
    <row r="561" spans="1:22" x14ac:dyDescent="0.25">
      <c r="A561">
        <v>2025</v>
      </c>
      <c r="B561">
        <v>11</v>
      </c>
      <c r="C561" t="s">
        <v>61</v>
      </c>
      <c r="D561" t="s">
        <v>22</v>
      </c>
      <c r="E561" t="s">
        <v>155</v>
      </c>
      <c r="F561" t="s">
        <v>34</v>
      </c>
      <c r="G561" t="s">
        <v>24</v>
      </c>
      <c r="H561" t="s">
        <v>25</v>
      </c>
      <c r="I561" t="s">
        <v>26</v>
      </c>
      <c r="J561" t="s">
        <v>26</v>
      </c>
      <c r="K561">
        <v>54</v>
      </c>
      <c r="L561">
        <v>0</v>
      </c>
      <c r="M561">
        <v>0</v>
      </c>
      <c r="N561">
        <v>0</v>
      </c>
      <c r="O561">
        <v>4</v>
      </c>
      <c r="P561">
        <v>4</v>
      </c>
      <c r="Q561">
        <v>4</v>
      </c>
      <c r="R561">
        <v>4</v>
      </c>
      <c r="S561">
        <v>3</v>
      </c>
      <c r="T561">
        <v>1</v>
      </c>
      <c r="U561">
        <v>0</v>
      </c>
      <c r="V561">
        <v>54</v>
      </c>
    </row>
    <row r="562" spans="1:22" x14ac:dyDescent="0.25">
      <c r="A562">
        <v>2025</v>
      </c>
      <c r="B562">
        <v>11</v>
      </c>
      <c r="C562" t="s">
        <v>61</v>
      </c>
      <c r="D562" t="s">
        <v>22</v>
      </c>
      <c r="E562" t="s">
        <v>152</v>
      </c>
      <c r="F562" t="s">
        <v>31</v>
      </c>
      <c r="G562" t="s">
        <v>24</v>
      </c>
      <c r="H562" t="s">
        <v>25</v>
      </c>
      <c r="I562" t="s">
        <v>26</v>
      </c>
      <c r="J562" t="s">
        <v>25</v>
      </c>
      <c r="K562">
        <v>170</v>
      </c>
      <c r="L562">
        <v>0</v>
      </c>
      <c r="M562">
        <v>0</v>
      </c>
      <c r="N562">
        <v>0</v>
      </c>
      <c r="O562">
        <v>75</v>
      </c>
      <c r="P562">
        <v>54</v>
      </c>
      <c r="Q562">
        <v>49</v>
      </c>
      <c r="R562">
        <v>38</v>
      </c>
      <c r="S562">
        <v>31</v>
      </c>
      <c r="T562">
        <v>8</v>
      </c>
      <c r="U562">
        <v>0</v>
      </c>
      <c r="V562">
        <v>170</v>
      </c>
    </row>
    <row r="563" spans="1:22" x14ac:dyDescent="0.25">
      <c r="A563">
        <v>2025</v>
      </c>
      <c r="B563">
        <v>11</v>
      </c>
      <c r="C563" t="s">
        <v>61</v>
      </c>
      <c r="D563" t="s">
        <v>22</v>
      </c>
      <c r="E563" t="s">
        <v>52</v>
      </c>
      <c r="F563" t="s">
        <v>34</v>
      </c>
      <c r="G563" t="s">
        <v>24</v>
      </c>
      <c r="H563" t="s">
        <v>25</v>
      </c>
      <c r="I563" t="s">
        <v>26</v>
      </c>
      <c r="J563" t="s">
        <v>26</v>
      </c>
      <c r="K563">
        <v>4</v>
      </c>
      <c r="L563">
        <v>0</v>
      </c>
      <c r="M563">
        <v>0</v>
      </c>
      <c r="N563">
        <v>0</v>
      </c>
      <c r="O563">
        <v>4</v>
      </c>
      <c r="P563">
        <v>4</v>
      </c>
      <c r="Q563">
        <v>3</v>
      </c>
      <c r="R563">
        <v>3</v>
      </c>
      <c r="S563">
        <v>3</v>
      </c>
      <c r="T563">
        <v>2</v>
      </c>
      <c r="U563">
        <v>1</v>
      </c>
      <c r="V563">
        <v>4</v>
      </c>
    </row>
    <row r="564" spans="1:22" x14ac:dyDescent="0.25">
      <c r="A564">
        <v>2025</v>
      </c>
      <c r="B564">
        <v>11</v>
      </c>
      <c r="C564" t="s">
        <v>61</v>
      </c>
      <c r="D564" t="s">
        <v>22</v>
      </c>
      <c r="E564" t="s">
        <v>163</v>
      </c>
      <c r="F564" t="s">
        <v>32</v>
      </c>
      <c r="G564" t="s">
        <v>24</v>
      </c>
      <c r="H564" t="s">
        <v>25</v>
      </c>
      <c r="I564" t="s">
        <v>26</v>
      </c>
      <c r="J564" t="s">
        <v>25</v>
      </c>
      <c r="K564">
        <v>195</v>
      </c>
      <c r="L564">
        <v>0</v>
      </c>
      <c r="M564">
        <v>0</v>
      </c>
      <c r="N564">
        <v>0</v>
      </c>
      <c r="O564">
        <v>57</v>
      </c>
      <c r="P564">
        <v>44</v>
      </c>
      <c r="Q564">
        <v>40</v>
      </c>
      <c r="R564">
        <v>34</v>
      </c>
      <c r="S564">
        <v>24</v>
      </c>
      <c r="T564">
        <v>10</v>
      </c>
      <c r="U564">
        <v>4</v>
      </c>
      <c r="V564">
        <v>195</v>
      </c>
    </row>
    <row r="565" spans="1:22" x14ac:dyDescent="0.25">
      <c r="A565">
        <v>2025</v>
      </c>
      <c r="B565">
        <v>11</v>
      </c>
      <c r="C565" t="s">
        <v>61</v>
      </c>
      <c r="D565" t="s">
        <v>22</v>
      </c>
      <c r="E565" t="s">
        <v>163</v>
      </c>
      <c r="F565" t="s">
        <v>34</v>
      </c>
      <c r="G565" t="s">
        <v>24</v>
      </c>
      <c r="H565" t="s">
        <v>25</v>
      </c>
      <c r="I565" t="s">
        <v>26</v>
      </c>
      <c r="J565" t="s">
        <v>26</v>
      </c>
      <c r="K565">
        <v>49</v>
      </c>
      <c r="L565">
        <v>0</v>
      </c>
      <c r="M565">
        <v>0</v>
      </c>
      <c r="N565">
        <v>0</v>
      </c>
      <c r="O565">
        <v>9</v>
      </c>
      <c r="P565">
        <v>8</v>
      </c>
      <c r="Q565">
        <v>7</v>
      </c>
      <c r="R565">
        <v>7</v>
      </c>
      <c r="S565">
        <v>6</v>
      </c>
      <c r="T565">
        <v>3</v>
      </c>
      <c r="U565">
        <v>2</v>
      </c>
      <c r="V565">
        <v>49</v>
      </c>
    </row>
    <row r="566" spans="1:22" x14ac:dyDescent="0.25">
      <c r="A566">
        <v>2025</v>
      </c>
      <c r="B566">
        <v>11</v>
      </c>
      <c r="C566" t="s">
        <v>61</v>
      </c>
      <c r="D566" t="s">
        <v>22</v>
      </c>
      <c r="E566" t="s">
        <v>163</v>
      </c>
      <c r="F566" t="s">
        <v>23</v>
      </c>
      <c r="G566" t="s">
        <v>24</v>
      </c>
      <c r="H566" t="s">
        <v>25</v>
      </c>
      <c r="I566" t="s">
        <v>26</v>
      </c>
      <c r="J566" t="s">
        <v>25</v>
      </c>
      <c r="K566">
        <v>86</v>
      </c>
      <c r="L566">
        <v>0</v>
      </c>
      <c r="M566">
        <v>0</v>
      </c>
      <c r="N566">
        <v>0</v>
      </c>
      <c r="O566">
        <v>6</v>
      </c>
      <c r="P566">
        <v>6</v>
      </c>
      <c r="Q566">
        <v>6</v>
      </c>
      <c r="R566">
        <v>5</v>
      </c>
      <c r="S566">
        <v>4</v>
      </c>
      <c r="T566">
        <v>2</v>
      </c>
      <c r="U566">
        <v>0</v>
      </c>
      <c r="V566">
        <v>86</v>
      </c>
    </row>
    <row r="567" spans="1:22" x14ac:dyDescent="0.25">
      <c r="A567">
        <v>2025</v>
      </c>
      <c r="B567">
        <v>11</v>
      </c>
      <c r="C567" t="s">
        <v>61</v>
      </c>
      <c r="D567" t="s">
        <v>22</v>
      </c>
      <c r="E567" t="s">
        <v>164</v>
      </c>
      <c r="F567" t="s">
        <v>23</v>
      </c>
      <c r="G567" t="s">
        <v>24</v>
      </c>
      <c r="H567" t="s">
        <v>25</v>
      </c>
      <c r="I567" t="s">
        <v>26</v>
      </c>
      <c r="J567" t="s">
        <v>25</v>
      </c>
      <c r="K567">
        <v>57</v>
      </c>
      <c r="L567">
        <v>0</v>
      </c>
      <c r="M567">
        <v>0</v>
      </c>
      <c r="N567">
        <v>0</v>
      </c>
      <c r="O567">
        <v>9</v>
      </c>
      <c r="P567">
        <v>9</v>
      </c>
      <c r="Q567">
        <v>8</v>
      </c>
      <c r="R567">
        <v>5</v>
      </c>
      <c r="S567">
        <v>4</v>
      </c>
      <c r="T567">
        <v>1</v>
      </c>
      <c r="U567">
        <v>0</v>
      </c>
      <c r="V567">
        <v>57</v>
      </c>
    </row>
    <row r="568" spans="1:22" x14ac:dyDescent="0.25">
      <c r="A568">
        <v>2025</v>
      </c>
      <c r="B568">
        <v>11</v>
      </c>
      <c r="C568" t="s">
        <v>61</v>
      </c>
      <c r="D568" t="s">
        <v>22</v>
      </c>
      <c r="E568" t="s">
        <v>165</v>
      </c>
      <c r="F568" t="s">
        <v>31</v>
      </c>
      <c r="G568" t="s">
        <v>24</v>
      </c>
      <c r="H568" t="s">
        <v>25</v>
      </c>
      <c r="I568" t="s">
        <v>26</v>
      </c>
      <c r="J568" t="s">
        <v>25</v>
      </c>
      <c r="K568">
        <v>27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27</v>
      </c>
    </row>
    <row r="569" spans="1:22" x14ac:dyDescent="0.25">
      <c r="A569">
        <v>2025</v>
      </c>
      <c r="B569">
        <v>11</v>
      </c>
      <c r="C569" t="s">
        <v>61</v>
      </c>
      <c r="D569" t="s">
        <v>22</v>
      </c>
      <c r="E569" t="s">
        <v>165</v>
      </c>
      <c r="F569" t="s">
        <v>32</v>
      </c>
      <c r="G569" t="s">
        <v>24</v>
      </c>
      <c r="H569" t="s">
        <v>25</v>
      </c>
      <c r="I569" t="s">
        <v>26</v>
      </c>
      <c r="J569" t="s">
        <v>25</v>
      </c>
      <c r="K569">
        <v>55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55</v>
      </c>
    </row>
    <row r="570" spans="1:22" x14ac:dyDescent="0.25">
      <c r="A570">
        <v>2025</v>
      </c>
      <c r="B570">
        <v>11</v>
      </c>
      <c r="C570" t="s">
        <v>61</v>
      </c>
      <c r="D570" t="s">
        <v>22</v>
      </c>
      <c r="E570" t="s">
        <v>61</v>
      </c>
      <c r="F570" t="s">
        <v>31</v>
      </c>
      <c r="G570" t="s">
        <v>28</v>
      </c>
      <c r="H570" t="s">
        <v>25</v>
      </c>
      <c r="I570" t="s">
        <v>26</v>
      </c>
      <c r="J570" t="s">
        <v>25</v>
      </c>
      <c r="K570">
        <v>400</v>
      </c>
      <c r="L570">
        <v>1</v>
      </c>
      <c r="M570">
        <v>0</v>
      </c>
      <c r="N570">
        <v>1</v>
      </c>
      <c r="O570">
        <v>89</v>
      </c>
      <c r="P570">
        <v>54</v>
      </c>
      <c r="Q570">
        <v>44</v>
      </c>
      <c r="R570">
        <v>27</v>
      </c>
      <c r="S570">
        <v>16</v>
      </c>
      <c r="T570">
        <v>5</v>
      </c>
      <c r="U570">
        <v>4</v>
      </c>
      <c r="V570">
        <v>399</v>
      </c>
    </row>
    <row r="571" spans="1:22" x14ac:dyDescent="0.25">
      <c r="A571">
        <v>2025</v>
      </c>
      <c r="B571">
        <v>11</v>
      </c>
      <c r="C571" t="s">
        <v>61</v>
      </c>
      <c r="D571" t="s">
        <v>22</v>
      </c>
      <c r="E571" t="s">
        <v>61</v>
      </c>
      <c r="F571" t="s">
        <v>32</v>
      </c>
      <c r="G571" t="s">
        <v>28</v>
      </c>
      <c r="H571" t="s">
        <v>25</v>
      </c>
      <c r="I571" t="s">
        <v>26</v>
      </c>
      <c r="J571" t="s">
        <v>25</v>
      </c>
      <c r="K571">
        <v>145</v>
      </c>
      <c r="L571">
        <v>0</v>
      </c>
      <c r="M571">
        <v>0</v>
      </c>
      <c r="N571">
        <v>0</v>
      </c>
      <c r="O571">
        <v>19</v>
      </c>
      <c r="P571">
        <v>11</v>
      </c>
      <c r="Q571">
        <v>11</v>
      </c>
      <c r="R571">
        <v>9</v>
      </c>
      <c r="S571">
        <v>7</v>
      </c>
      <c r="T571">
        <v>1</v>
      </c>
      <c r="U571">
        <v>0</v>
      </c>
      <c r="V571">
        <v>145</v>
      </c>
    </row>
    <row r="572" spans="1:22" x14ac:dyDescent="0.25">
      <c r="A572">
        <v>2025</v>
      </c>
      <c r="B572">
        <v>11</v>
      </c>
      <c r="C572" t="s">
        <v>61</v>
      </c>
      <c r="D572" t="s">
        <v>22</v>
      </c>
      <c r="E572" t="s">
        <v>61</v>
      </c>
      <c r="F572" t="s">
        <v>34</v>
      </c>
      <c r="G572" t="s">
        <v>28</v>
      </c>
      <c r="H572" t="s">
        <v>25</v>
      </c>
      <c r="I572" t="s">
        <v>26</v>
      </c>
      <c r="J572" t="s">
        <v>26</v>
      </c>
      <c r="K572">
        <v>2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2</v>
      </c>
    </row>
    <row r="573" spans="1:22" x14ac:dyDescent="0.25">
      <c r="A573">
        <v>2025</v>
      </c>
      <c r="B573">
        <v>11</v>
      </c>
      <c r="C573" t="s">
        <v>61</v>
      </c>
      <c r="D573" t="s">
        <v>22</v>
      </c>
      <c r="E573" t="s">
        <v>61</v>
      </c>
      <c r="F573" t="s">
        <v>34</v>
      </c>
      <c r="G573" t="s">
        <v>24</v>
      </c>
      <c r="H573" t="s">
        <v>25</v>
      </c>
      <c r="I573" t="s">
        <v>26</v>
      </c>
      <c r="J573" t="s">
        <v>26</v>
      </c>
      <c r="K573">
        <v>15</v>
      </c>
      <c r="L573">
        <v>0</v>
      </c>
      <c r="M573">
        <v>0</v>
      </c>
      <c r="N573">
        <v>0</v>
      </c>
      <c r="O573">
        <v>1</v>
      </c>
      <c r="P573">
        <v>1</v>
      </c>
      <c r="Q573">
        <v>1</v>
      </c>
      <c r="R573">
        <v>1</v>
      </c>
      <c r="S573">
        <v>1</v>
      </c>
      <c r="T573">
        <v>1</v>
      </c>
      <c r="U573">
        <v>1</v>
      </c>
      <c r="V573">
        <v>15</v>
      </c>
    </row>
    <row r="574" spans="1:22" x14ac:dyDescent="0.25">
      <c r="A574">
        <v>2025</v>
      </c>
      <c r="B574">
        <v>11</v>
      </c>
      <c r="C574" t="s">
        <v>61</v>
      </c>
      <c r="D574" t="s">
        <v>22</v>
      </c>
      <c r="E574" t="s">
        <v>61</v>
      </c>
      <c r="F574" t="s">
        <v>23</v>
      </c>
      <c r="G574" t="s">
        <v>28</v>
      </c>
      <c r="H574" t="s">
        <v>25</v>
      </c>
      <c r="I574" t="s">
        <v>26</v>
      </c>
      <c r="J574" t="s">
        <v>25</v>
      </c>
      <c r="K574">
        <v>1353</v>
      </c>
      <c r="L574">
        <v>3</v>
      </c>
      <c r="M574">
        <v>15</v>
      </c>
      <c r="N574">
        <v>18</v>
      </c>
      <c r="O574">
        <v>212</v>
      </c>
      <c r="P574">
        <v>137</v>
      </c>
      <c r="Q574">
        <v>114</v>
      </c>
      <c r="R574">
        <v>65</v>
      </c>
      <c r="S574">
        <v>39</v>
      </c>
      <c r="T574">
        <v>14</v>
      </c>
      <c r="U574">
        <v>8</v>
      </c>
      <c r="V574">
        <v>1343</v>
      </c>
    </row>
    <row r="575" spans="1:22" x14ac:dyDescent="0.25">
      <c r="A575">
        <v>2025</v>
      </c>
      <c r="B575">
        <v>11</v>
      </c>
      <c r="C575" t="s">
        <v>61</v>
      </c>
      <c r="D575" t="s">
        <v>22</v>
      </c>
      <c r="E575" t="s">
        <v>61</v>
      </c>
      <c r="F575" t="s">
        <v>39</v>
      </c>
      <c r="G575" t="s">
        <v>28</v>
      </c>
      <c r="H575" t="s">
        <v>26</v>
      </c>
      <c r="I575" t="s">
        <v>26</v>
      </c>
      <c r="J575" t="s">
        <v>25</v>
      </c>
      <c r="K575">
        <v>68</v>
      </c>
      <c r="L575">
        <v>1</v>
      </c>
      <c r="M575">
        <v>0</v>
      </c>
      <c r="N575">
        <v>1</v>
      </c>
      <c r="O575">
        <v>8</v>
      </c>
      <c r="P575">
        <v>7</v>
      </c>
      <c r="Q575">
        <v>5</v>
      </c>
      <c r="R575">
        <v>4</v>
      </c>
      <c r="S575">
        <v>3</v>
      </c>
      <c r="T575">
        <v>3</v>
      </c>
      <c r="U575">
        <v>0</v>
      </c>
      <c r="V575">
        <v>67</v>
      </c>
    </row>
    <row r="576" spans="1:22" x14ac:dyDescent="0.25">
      <c r="A576">
        <v>2025</v>
      </c>
      <c r="B576">
        <v>11</v>
      </c>
      <c r="C576" t="s">
        <v>61</v>
      </c>
      <c r="D576" t="s">
        <v>22</v>
      </c>
      <c r="E576" t="s">
        <v>61</v>
      </c>
      <c r="F576" t="s">
        <v>40</v>
      </c>
      <c r="G576" t="s">
        <v>28</v>
      </c>
      <c r="H576" t="s">
        <v>25</v>
      </c>
      <c r="I576" t="s">
        <v>26</v>
      </c>
      <c r="J576" t="s">
        <v>25</v>
      </c>
      <c r="K576">
        <v>320</v>
      </c>
      <c r="L576">
        <v>0</v>
      </c>
      <c r="M576">
        <v>0</v>
      </c>
      <c r="N576">
        <v>0</v>
      </c>
      <c r="O576">
        <v>22</v>
      </c>
      <c r="P576">
        <v>13</v>
      </c>
      <c r="Q576">
        <v>11</v>
      </c>
      <c r="R576">
        <v>8</v>
      </c>
      <c r="S576">
        <v>8</v>
      </c>
      <c r="T576">
        <v>4</v>
      </c>
      <c r="U576">
        <v>2</v>
      </c>
      <c r="V576">
        <v>320</v>
      </c>
    </row>
    <row r="577" spans="1:22" x14ac:dyDescent="0.25">
      <c r="A577">
        <v>2025</v>
      </c>
      <c r="B577">
        <v>11</v>
      </c>
      <c r="C577" t="s">
        <v>61</v>
      </c>
      <c r="D577" t="s">
        <v>22</v>
      </c>
      <c r="E577" t="s">
        <v>61</v>
      </c>
      <c r="F577" t="s">
        <v>35</v>
      </c>
      <c r="G577" t="s">
        <v>28</v>
      </c>
      <c r="H577" t="s">
        <v>25</v>
      </c>
      <c r="I577" t="s">
        <v>26</v>
      </c>
      <c r="J577" t="s">
        <v>26</v>
      </c>
      <c r="K577">
        <v>58</v>
      </c>
      <c r="L577">
        <v>1</v>
      </c>
      <c r="M577">
        <v>0</v>
      </c>
      <c r="N577">
        <v>1</v>
      </c>
      <c r="O577">
        <v>2</v>
      </c>
      <c r="P577">
        <v>2</v>
      </c>
      <c r="Q577">
        <v>2</v>
      </c>
      <c r="R577">
        <v>2</v>
      </c>
      <c r="S577">
        <v>2</v>
      </c>
      <c r="T577">
        <v>0</v>
      </c>
      <c r="U577">
        <v>0</v>
      </c>
      <c r="V577">
        <v>57</v>
      </c>
    </row>
    <row r="578" spans="1:22" x14ac:dyDescent="0.25">
      <c r="A578">
        <v>2025</v>
      </c>
      <c r="B578">
        <v>11</v>
      </c>
      <c r="C578" t="s">
        <v>61</v>
      </c>
      <c r="D578" t="s">
        <v>22</v>
      </c>
      <c r="E578" t="s">
        <v>61</v>
      </c>
      <c r="F578" t="s">
        <v>35</v>
      </c>
      <c r="G578" t="s">
        <v>24</v>
      </c>
      <c r="H578" t="s">
        <v>25</v>
      </c>
      <c r="I578" t="s">
        <v>26</v>
      </c>
      <c r="J578" t="s">
        <v>26</v>
      </c>
      <c r="K578">
        <v>685</v>
      </c>
      <c r="L578">
        <v>5</v>
      </c>
      <c r="M578">
        <v>3</v>
      </c>
      <c r="N578">
        <v>8</v>
      </c>
      <c r="O578">
        <v>318</v>
      </c>
      <c r="P578">
        <v>280</v>
      </c>
      <c r="Q578">
        <v>266</v>
      </c>
      <c r="R578">
        <v>217</v>
      </c>
      <c r="S578">
        <v>185</v>
      </c>
      <c r="T578">
        <v>137</v>
      </c>
      <c r="U578">
        <v>73</v>
      </c>
      <c r="V578">
        <v>677</v>
      </c>
    </row>
    <row r="579" spans="1:22" x14ac:dyDescent="0.25">
      <c r="A579">
        <v>2025</v>
      </c>
      <c r="B579">
        <v>11</v>
      </c>
      <c r="C579" t="s">
        <v>61</v>
      </c>
      <c r="D579" t="s">
        <v>22</v>
      </c>
      <c r="E579" t="s">
        <v>61</v>
      </c>
      <c r="F579" t="s">
        <v>36</v>
      </c>
      <c r="G579" t="s">
        <v>28</v>
      </c>
      <c r="H579" t="s">
        <v>25</v>
      </c>
      <c r="I579" t="s">
        <v>26</v>
      </c>
      <c r="J579" t="s">
        <v>25</v>
      </c>
      <c r="K579">
        <v>1637</v>
      </c>
      <c r="L579">
        <v>5</v>
      </c>
      <c r="M579">
        <v>85</v>
      </c>
      <c r="N579">
        <v>90</v>
      </c>
      <c r="O579">
        <v>347</v>
      </c>
      <c r="P579">
        <v>225</v>
      </c>
      <c r="Q579">
        <v>183</v>
      </c>
      <c r="R579">
        <v>92</v>
      </c>
      <c r="S579">
        <v>54</v>
      </c>
      <c r="T579">
        <v>21</v>
      </c>
      <c r="U579">
        <v>2</v>
      </c>
      <c r="V579">
        <v>1581</v>
      </c>
    </row>
    <row r="580" spans="1:22" x14ac:dyDescent="0.25">
      <c r="A580">
        <v>2025</v>
      </c>
      <c r="B580">
        <v>11</v>
      </c>
      <c r="C580" t="s">
        <v>61</v>
      </c>
      <c r="D580" t="s">
        <v>22</v>
      </c>
      <c r="E580" t="s">
        <v>61</v>
      </c>
      <c r="F580" t="s">
        <v>36</v>
      </c>
      <c r="G580" t="s">
        <v>24</v>
      </c>
      <c r="H580" t="s">
        <v>25</v>
      </c>
      <c r="I580" t="s">
        <v>26</v>
      </c>
      <c r="J580" t="s">
        <v>25</v>
      </c>
      <c r="K580">
        <v>115</v>
      </c>
      <c r="L580">
        <v>0</v>
      </c>
      <c r="M580">
        <v>3</v>
      </c>
      <c r="N580">
        <v>3</v>
      </c>
      <c r="O580">
        <v>46</v>
      </c>
      <c r="P580">
        <v>40</v>
      </c>
      <c r="Q580">
        <v>36</v>
      </c>
      <c r="R580">
        <v>27</v>
      </c>
      <c r="S580">
        <v>21</v>
      </c>
      <c r="T580">
        <v>13</v>
      </c>
      <c r="U580">
        <v>2</v>
      </c>
      <c r="V580">
        <v>112</v>
      </c>
    </row>
    <row r="581" spans="1:22" x14ac:dyDescent="0.25">
      <c r="A581">
        <v>2025</v>
      </c>
      <c r="B581">
        <v>11</v>
      </c>
      <c r="C581" t="s">
        <v>61</v>
      </c>
      <c r="D581" t="s">
        <v>22</v>
      </c>
      <c r="E581" t="s">
        <v>61</v>
      </c>
      <c r="F581" t="s">
        <v>41</v>
      </c>
      <c r="G581" t="s">
        <v>28</v>
      </c>
      <c r="H581" t="s">
        <v>26</v>
      </c>
      <c r="I581" t="s">
        <v>26</v>
      </c>
      <c r="J581" t="s">
        <v>25</v>
      </c>
      <c r="K581">
        <v>1027</v>
      </c>
      <c r="L581">
        <v>0</v>
      </c>
      <c r="M581">
        <v>25</v>
      </c>
      <c r="N581">
        <v>25</v>
      </c>
      <c r="O581">
        <v>485</v>
      </c>
      <c r="P581">
        <v>401</v>
      </c>
      <c r="Q581">
        <v>375</v>
      </c>
      <c r="R581">
        <v>300</v>
      </c>
      <c r="S581">
        <v>228</v>
      </c>
      <c r="T581">
        <v>87</v>
      </c>
      <c r="U581">
        <v>12</v>
      </c>
      <c r="V581">
        <v>1020</v>
      </c>
    </row>
    <row r="582" spans="1:22" x14ac:dyDescent="0.25">
      <c r="A582">
        <v>2025</v>
      </c>
      <c r="B582">
        <v>11</v>
      </c>
      <c r="C582" t="s">
        <v>61</v>
      </c>
      <c r="D582" t="s">
        <v>22</v>
      </c>
      <c r="E582" t="s">
        <v>61</v>
      </c>
      <c r="F582" t="s">
        <v>41</v>
      </c>
      <c r="G582" t="s">
        <v>24</v>
      </c>
      <c r="H582" t="s">
        <v>26</v>
      </c>
      <c r="I582" t="s">
        <v>26</v>
      </c>
      <c r="J582" t="s">
        <v>25</v>
      </c>
      <c r="K582">
        <v>914</v>
      </c>
      <c r="L582">
        <v>1</v>
      </c>
      <c r="M582">
        <v>4</v>
      </c>
      <c r="N582">
        <v>5</v>
      </c>
      <c r="O582">
        <v>529</v>
      </c>
      <c r="P582">
        <v>474</v>
      </c>
      <c r="Q582">
        <v>451</v>
      </c>
      <c r="R582">
        <v>371</v>
      </c>
      <c r="S582">
        <v>294</v>
      </c>
      <c r="T582">
        <v>127</v>
      </c>
      <c r="U582">
        <v>22</v>
      </c>
      <c r="V582">
        <v>913</v>
      </c>
    </row>
    <row r="583" spans="1:22" x14ac:dyDescent="0.25">
      <c r="A583">
        <v>2025</v>
      </c>
      <c r="B583">
        <v>11</v>
      </c>
      <c r="C583" t="s">
        <v>61</v>
      </c>
      <c r="D583" t="s">
        <v>22</v>
      </c>
      <c r="E583" t="s">
        <v>166</v>
      </c>
      <c r="F583" t="s">
        <v>32</v>
      </c>
      <c r="G583" t="s">
        <v>24</v>
      </c>
      <c r="H583" t="s">
        <v>25</v>
      </c>
      <c r="I583" t="s">
        <v>26</v>
      </c>
      <c r="J583" t="s">
        <v>25</v>
      </c>
      <c r="K583">
        <v>261</v>
      </c>
      <c r="L583">
        <v>1</v>
      </c>
      <c r="M583">
        <v>1</v>
      </c>
      <c r="N583">
        <v>2</v>
      </c>
      <c r="O583">
        <v>191</v>
      </c>
      <c r="P583">
        <v>161</v>
      </c>
      <c r="Q583">
        <v>149</v>
      </c>
      <c r="R583">
        <v>118</v>
      </c>
      <c r="S583">
        <v>79</v>
      </c>
      <c r="T583">
        <v>24</v>
      </c>
      <c r="U583">
        <v>7</v>
      </c>
      <c r="V583">
        <v>259</v>
      </c>
    </row>
    <row r="584" spans="1:22" x14ac:dyDescent="0.25">
      <c r="A584">
        <v>2025</v>
      </c>
      <c r="B584">
        <v>11</v>
      </c>
      <c r="C584" t="s">
        <v>61</v>
      </c>
      <c r="D584" t="s">
        <v>22</v>
      </c>
      <c r="E584" t="s">
        <v>168</v>
      </c>
      <c r="F584" t="s">
        <v>31</v>
      </c>
      <c r="G584" t="s">
        <v>24</v>
      </c>
      <c r="H584" t="s">
        <v>25</v>
      </c>
      <c r="I584" t="s">
        <v>26</v>
      </c>
      <c r="J584" t="s">
        <v>25</v>
      </c>
      <c r="K584">
        <v>515</v>
      </c>
      <c r="L584">
        <v>0</v>
      </c>
      <c r="M584">
        <v>0</v>
      </c>
      <c r="N584">
        <v>0</v>
      </c>
      <c r="O584">
        <v>88</v>
      </c>
      <c r="P584">
        <v>54</v>
      </c>
      <c r="Q584">
        <v>46</v>
      </c>
      <c r="R584">
        <v>31</v>
      </c>
      <c r="S584">
        <v>13</v>
      </c>
      <c r="T584">
        <v>4</v>
      </c>
      <c r="U584">
        <v>1</v>
      </c>
      <c r="V584">
        <v>515</v>
      </c>
    </row>
    <row r="585" spans="1:22" x14ac:dyDescent="0.25">
      <c r="A585">
        <v>2025</v>
      </c>
      <c r="B585">
        <v>11</v>
      </c>
      <c r="C585" t="s">
        <v>61</v>
      </c>
      <c r="D585" t="s">
        <v>22</v>
      </c>
      <c r="E585" t="s">
        <v>169</v>
      </c>
      <c r="F585" t="s">
        <v>32</v>
      </c>
      <c r="G585" t="s">
        <v>24</v>
      </c>
      <c r="H585" t="s">
        <v>25</v>
      </c>
      <c r="I585" t="s">
        <v>26</v>
      </c>
      <c r="J585" t="s">
        <v>25</v>
      </c>
      <c r="K585">
        <v>28</v>
      </c>
      <c r="L585">
        <v>0</v>
      </c>
      <c r="M585">
        <v>0</v>
      </c>
      <c r="N585">
        <v>0</v>
      </c>
      <c r="O585">
        <v>12</v>
      </c>
      <c r="P585">
        <v>5</v>
      </c>
      <c r="Q585">
        <v>3</v>
      </c>
      <c r="R585">
        <v>2</v>
      </c>
      <c r="S585">
        <v>0</v>
      </c>
      <c r="T585">
        <v>0</v>
      </c>
      <c r="U585">
        <v>0</v>
      </c>
      <c r="V585">
        <v>28</v>
      </c>
    </row>
    <row r="586" spans="1:22" x14ac:dyDescent="0.25">
      <c r="A586">
        <v>2025</v>
      </c>
      <c r="B586">
        <v>11</v>
      </c>
      <c r="C586" t="s">
        <v>61</v>
      </c>
      <c r="D586" t="s">
        <v>22</v>
      </c>
      <c r="E586" t="s">
        <v>157</v>
      </c>
      <c r="F586" t="s">
        <v>31</v>
      </c>
      <c r="G586" t="s">
        <v>24</v>
      </c>
      <c r="H586" t="s">
        <v>25</v>
      </c>
      <c r="I586" t="s">
        <v>26</v>
      </c>
      <c r="J586" t="s">
        <v>25</v>
      </c>
      <c r="K586">
        <v>115</v>
      </c>
      <c r="L586">
        <v>0</v>
      </c>
      <c r="M586">
        <v>0</v>
      </c>
      <c r="N586">
        <v>0</v>
      </c>
      <c r="O586">
        <v>42</v>
      </c>
      <c r="P586">
        <v>33</v>
      </c>
      <c r="Q586">
        <v>26</v>
      </c>
      <c r="R586">
        <v>16</v>
      </c>
      <c r="S586">
        <v>12</v>
      </c>
      <c r="T586">
        <v>10</v>
      </c>
      <c r="U586">
        <v>3</v>
      </c>
      <c r="V586">
        <v>115</v>
      </c>
    </row>
    <row r="587" spans="1:22" x14ac:dyDescent="0.25">
      <c r="A587">
        <v>2025</v>
      </c>
      <c r="B587">
        <v>11</v>
      </c>
      <c r="C587" t="s">
        <v>61</v>
      </c>
      <c r="D587" t="s">
        <v>22</v>
      </c>
      <c r="E587" t="s">
        <v>157</v>
      </c>
      <c r="F587" t="s">
        <v>32</v>
      </c>
      <c r="G587" t="s">
        <v>24</v>
      </c>
      <c r="H587" t="s">
        <v>25</v>
      </c>
      <c r="I587" t="s">
        <v>26</v>
      </c>
      <c r="J587" t="s">
        <v>25</v>
      </c>
      <c r="K587">
        <v>2</v>
      </c>
      <c r="L587">
        <v>0</v>
      </c>
      <c r="M587">
        <v>0</v>
      </c>
      <c r="N587">
        <v>0</v>
      </c>
      <c r="O587">
        <v>2</v>
      </c>
      <c r="P587">
        <v>2</v>
      </c>
      <c r="Q587">
        <v>2</v>
      </c>
      <c r="R587">
        <v>2</v>
      </c>
      <c r="S587">
        <v>0</v>
      </c>
      <c r="T587">
        <v>0</v>
      </c>
      <c r="U587">
        <v>0</v>
      </c>
      <c r="V587">
        <v>2</v>
      </c>
    </row>
    <row r="588" spans="1:22" x14ac:dyDescent="0.25">
      <c r="A588">
        <v>2025</v>
      </c>
      <c r="B588">
        <v>11</v>
      </c>
      <c r="C588" t="s">
        <v>61</v>
      </c>
      <c r="D588" t="s">
        <v>22</v>
      </c>
      <c r="E588" t="s">
        <v>157</v>
      </c>
      <c r="F588" t="s">
        <v>36</v>
      </c>
      <c r="G588" t="s">
        <v>24</v>
      </c>
      <c r="H588" t="s">
        <v>25</v>
      </c>
      <c r="I588" t="s">
        <v>26</v>
      </c>
      <c r="J588" t="s">
        <v>25</v>
      </c>
      <c r="K588">
        <v>2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2</v>
      </c>
    </row>
    <row r="589" spans="1:22" x14ac:dyDescent="0.25">
      <c r="A589">
        <v>2025</v>
      </c>
      <c r="B589">
        <v>11</v>
      </c>
      <c r="C589" t="s">
        <v>61</v>
      </c>
      <c r="D589" t="s">
        <v>22</v>
      </c>
      <c r="E589" t="s">
        <v>157</v>
      </c>
      <c r="F589" t="s">
        <v>41</v>
      </c>
      <c r="G589" t="s">
        <v>24</v>
      </c>
      <c r="H589" t="s">
        <v>26</v>
      </c>
      <c r="I589" t="s">
        <v>26</v>
      </c>
      <c r="J589" t="s">
        <v>25</v>
      </c>
      <c r="K589">
        <v>56</v>
      </c>
      <c r="L589">
        <v>0</v>
      </c>
      <c r="M589">
        <v>3</v>
      </c>
      <c r="N589">
        <v>3</v>
      </c>
      <c r="O589">
        <v>33</v>
      </c>
      <c r="P589">
        <v>32</v>
      </c>
      <c r="Q589">
        <v>31</v>
      </c>
      <c r="R589">
        <v>26</v>
      </c>
      <c r="S589">
        <v>14</v>
      </c>
      <c r="T589">
        <v>5</v>
      </c>
      <c r="U589">
        <v>1</v>
      </c>
      <c r="V589">
        <v>53</v>
      </c>
    </row>
    <row r="590" spans="1:22" x14ac:dyDescent="0.25">
      <c r="A590">
        <v>2025</v>
      </c>
      <c r="B590">
        <v>11</v>
      </c>
      <c r="C590" t="s">
        <v>61</v>
      </c>
      <c r="D590" t="s">
        <v>22</v>
      </c>
      <c r="E590" t="s">
        <v>66</v>
      </c>
      <c r="F590" t="s">
        <v>34</v>
      </c>
      <c r="G590" t="s">
        <v>24</v>
      </c>
      <c r="H590" t="s">
        <v>25</v>
      </c>
      <c r="I590" t="s">
        <v>26</v>
      </c>
      <c r="J590" t="s">
        <v>26</v>
      </c>
      <c r="K590">
        <v>1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1</v>
      </c>
    </row>
    <row r="591" spans="1:22" x14ac:dyDescent="0.25">
      <c r="A591">
        <v>2025</v>
      </c>
      <c r="B591">
        <v>12</v>
      </c>
      <c r="C591" t="s">
        <v>61</v>
      </c>
      <c r="D591" t="s">
        <v>22</v>
      </c>
      <c r="E591" t="s">
        <v>159</v>
      </c>
      <c r="F591" t="s">
        <v>31</v>
      </c>
      <c r="G591" t="s">
        <v>24</v>
      </c>
      <c r="H591" t="s">
        <v>25</v>
      </c>
      <c r="I591" t="s">
        <v>26</v>
      </c>
      <c r="J591" t="s">
        <v>25</v>
      </c>
      <c r="K591">
        <v>48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48</v>
      </c>
    </row>
    <row r="592" spans="1:22" x14ac:dyDescent="0.25">
      <c r="A592">
        <v>2025</v>
      </c>
      <c r="B592">
        <v>12</v>
      </c>
      <c r="C592" t="s">
        <v>61</v>
      </c>
      <c r="D592" t="s">
        <v>22</v>
      </c>
      <c r="E592" t="s">
        <v>129</v>
      </c>
      <c r="F592" t="s">
        <v>36</v>
      </c>
      <c r="G592" t="s">
        <v>24</v>
      </c>
      <c r="H592" t="s">
        <v>25</v>
      </c>
      <c r="I592" t="s">
        <v>26</v>
      </c>
      <c r="J592" t="s">
        <v>25</v>
      </c>
      <c r="K592">
        <v>18</v>
      </c>
      <c r="L592">
        <v>1</v>
      </c>
      <c r="M592">
        <v>0</v>
      </c>
      <c r="N592">
        <v>1</v>
      </c>
      <c r="O592">
        <v>14</v>
      </c>
      <c r="P592">
        <v>12</v>
      </c>
      <c r="Q592">
        <v>12</v>
      </c>
      <c r="R592">
        <v>9</v>
      </c>
      <c r="S592">
        <v>8</v>
      </c>
      <c r="T592">
        <v>2</v>
      </c>
      <c r="U592">
        <v>1</v>
      </c>
      <c r="V592">
        <v>17</v>
      </c>
    </row>
    <row r="593" spans="1:22" x14ac:dyDescent="0.25">
      <c r="A593">
        <v>2025</v>
      </c>
      <c r="B593">
        <v>12</v>
      </c>
      <c r="C593" t="s">
        <v>61</v>
      </c>
      <c r="D593" t="s">
        <v>22</v>
      </c>
      <c r="E593" t="s">
        <v>131</v>
      </c>
      <c r="F593" t="s">
        <v>34</v>
      </c>
      <c r="G593" t="s">
        <v>24</v>
      </c>
      <c r="H593" t="s">
        <v>25</v>
      </c>
      <c r="I593" t="s">
        <v>26</v>
      </c>
      <c r="J593" t="s">
        <v>26</v>
      </c>
      <c r="K593">
        <v>97</v>
      </c>
      <c r="L593">
        <v>0</v>
      </c>
      <c r="M593">
        <v>0</v>
      </c>
      <c r="N593">
        <v>0</v>
      </c>
      <c r="O593">
        <v>50</v>
      </c>
      <c r="P593">
        <v>30</v>
      </c>
      <c r="Q593">
        <v>26</v>
      </c>
      <c r="R593">
        <v>20</v>
      </c>
      <c r="S593">
        <v>18</v>
      </c>
      <c r="T593">
        <v>12</v>
      </c>
      <c r="U593">
        <v>7</v>
      </c>
      <c r="V593">
        <v>97</v>
      </c>
    </row>
    <row r="594" spans="1:22" x14ac:dyDescent="0.25">
      <c r="A594">
        <v>2025</v>
      </c>
      <c r="B594">
        <v>12</v>
      </c>
      <c r="C594" t="s">
        <v>61</v>
      </c>
      <c r="D594" t="s">
        <v>22</v>
      </c>
      <c r="E594" t="s">
        <v>160</v>
      </c>
      <c r="F594" t="s">
        <v>23</v>
      </c>
      <c r="G594" t="s">
        <v>24</v>
      </c>
      <c r="H594" t="s">
        <v>25</v>
      </c>
      <c r="I594" t="s">
        <v>26</v>
      </c>
      <c r="J594" t="s">
        <v>25</v>
      </c>
      <c r="K594">
        <v>185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185</v>
      </c>
    </row>
    <row r="595" spans="1:22" x14ac:dyDescent="0.25">
      <c r="A595">
        <v>2025</v>
      </c>
      <c r="B595">
        <v>12</v>
      </c>
      <c r="C595" t="s">
        <v>61</v>
      </c>
      <c r="D595" t="s">
        <v>22</v>
      </c>
      <c r="E595" t="s">
        <v>161</v>
      </c>
      <c r="F595" t="s">
        <v>32</v>
      </c>
      <c r="G595" t="s">
        <v>24</v>
      </c>
      <c r="H595" t="s">
        <v>25</v>
      </c>
      <c r="I595" t="s">
        <v>26</v>
      </c>
      <c r="J595" t="s">
        <v>25</v>
      </c>
      <c r="K595">
        <v>247</v>
      </c>
      <c r="L595">
        <v>0</v>
      </c>
      <c r="M595">
        <v>0</v>
      </c>
      <c r="N595">
        <v>0</v>
      </c>
      <c r="O595">
        <v>70</v>
      </c>
      <c r="P595">
        <v>39</v>
      </c>
      <c r="Q595">
        <v>30</v>
      </c>
      <c r="R595">
        <v>22</v>
      </c>
      <c r="S595">
        <v>16</v>
      </c>
      <c r="T595">
        <v>9</v>
      </c>
      <c r="U595">
        <v>2</v>
      </c>
      <c r="V595">
        <v>247</v>
      </c>
    </row>
    <row r="596" spans="1:22" x14ac:dyDescent="0.25">
      <c r="A596">
        <v>2025</v>
      </c>
      <c r="B596">
        <v>12</v>
      </c>
      <c r="C596" t="s">
        <v>61</v>
      </c>
      <c r="D596" t="s">
        <v>22</v>
      </c>
      <c r="E596" t="s">
        <v>161</v>
      </c>
      <c r="F596" t="s">
        <v>23</v>
      </c>
      <c r="G596" t="s">
        <v>24</v>
      </c>
      <c r="H596" t="s">
        <v>25</v>
      </c>
      <c r="I596" t="s">
        <v>26</v>
      </c>
      <c r="J596" t="s">
        <v>25</v>
      </c>
      <c r="K596">
        <v>30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30</v>
      </c>
    </row>
    <row r="597" spans="1:22" x14ac:dyDescent="0.25">
      <c r="A597">
        <v>2025</v>
      </c>
      <c r="B597">
        <v>12</v>
      </c>
      <c r="C597" t="s">
        <v>61</v>
      </c>
      <c r="D597" t="s">
        <v>22</v>
      </c>
      <c r="E597" t="s">
        <v>161</v>
      </c>
      <c r="F597" t="s">
        <v>36</v>
      </c>
      <c r="G597" t="s">
        <v>24</v>
      </c>
      <c r="H597" t="s">
        <v>25</v>
      </c>
      <c r="I597" t="s">
        <v>26</v>
      </c>
      <c r="J597" t="s">
        <v>25</v>
      </c>
      <c r="K597">
        <v>303</v>
      </c>
      <c r="L597">
        <v>0</v>
      </c>
      <c r="M597">
        <v>0</v>
      </c>
      <c r="N597">
        <v>0</v>
      </c>
      <c r="O597">
        <v>117</v>
      </c>
      <c r="P597">
        <v>88</v>
      </c>
      <c r="Q597">
        <v>75</v>
      </c>
      <c r="R597">
        <v>48</v>
      </c>
      <c r="S597">
        <v>38</v>
      </c>
      <c r="T597">
        <v>20</v>
      </c>
      <c r="U597">
        <v>11</v>
      </c>
      <c r="V597">
        <v>303</v>
      </c>
    </row>
    <row r="598" spans="1:22" x14ac:dyDescent="0.25">
      <c r="A598">
        <v>2025</v>
      </c>
      <c r="B598">
        <v>12</v>
      </c>
      <c r="C598" t="s">
        <v>61</v>
      </c>
      <c r="D598" t="s">
        <v>22</v>
      </c>
      <c r="E598" t="s">
        <v>162</v>
      </c>
      <c r="F598" t="s">
        <v>32</v>
      </c>
      <c r="G598" t="s">
        <v>24</v>
      </c>
      <c r="H598" t="s">
        <v>25</v>
      </c>
      <c r="I598" t="s">
        <v>26</v>
      </c>
      <c r="J598" t="s">
        <v>25</v>
      </c>
      <c r="K598">
        <v>307</v>
      </c>
      <c r="L598">
        <v>1</v>
      </c>
      <c r="M598">
        <v>1</v>
      </c>
      <c r="N598">
        <v>2</v>
      </c>
      <c r="O598">
        <v>83</v>
      </c>
      <c r="P598">
        <v>62</v>
      </c>
      <c r="Q598">
        <v>56</v>
      </c>
      <c r="R598">
        <v>37</v>
      </c>
      <c r="S598">
        <v>27</v>
      </c>
      <c r="T598">
        <v>10</v>
      </c>
      <c r="U598">
        <v>4</v>
      </c>
      <c r="V598">
        <v>306</v>
      </c>
    </row>
    <row r="599" spans="1:22" x14ac:dyDescent="0.25">
      <c r="A599">
        <v>2025</v>
      </c>
      <c r="B599">
        <v>12</v>
      </c>
      <c r="C599" t="s">
        <v>61</v>
      </c>
      <c r="D599" t="s">
        <v>22</v>
      </c>
      <c r="E599" t="s">
        <v>37</v>
      </c>
      <c r="F599" t="s">
        <v>23</v>
      </c>
      <c r="G599" t="s">
        <v>28</v>
      </c>
      <c r="H599" t="s">
        <v>25</v>
      </c>
      <c r="I599" t="s">
        <v>26</v>
      </c>
      <c r="J599" t="s">
        <v>25</v>
      </c>
      <c r="K599">
        <v>1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1</v>
      </c>
    </row>
    <row r="600" spans="1:22" x14ac:dyDescent="0.25">
      <c r="A600">
        <v>2025</v>
      </c>
      <c r="B600">
        <v>12</v>
      </c>
      <c r="C600" t="s">
        <v>61</v>
      </c>
      <c r="D600" t="s">
        <v>22</v>
      </c>
      <c r="E600" t="s">
        <v>37</v>
      </c>
      <c r="F600" t="s">
        <v>23</v>
      </c>
      <c r="G600" t="s">
        <v>24</v>
      </c>
      <c r="H600" t="s">
        <v>25</v>
      </c>
      <c r="I600" t="s">
        <v>26</v>
      </c>
      <c r="J600" t="s">
        <v>25</v>
      </c>
      <c r="K600">
        <v>1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1</v>
      </c>
    </row>
    <row r="601" spans="1:22" x14ac:dyDescent="0.25">
      <c r="A601">
        <v>2025</v>
      </c>
      <c r="B601">
        <v>12</v>
      </c>
      <c r="C601" t="s">
        <v>61</v>
      </c>
      <c r="D601" t="s">
        <v>22</v>
      </c>
      <c r="E601" t="s">
        <v>139</v>
      </c>
      <c r="F601" t="s">
        <v>32</v>
      </c>
      <c r="G601" t="s">
        <v>24</v>
      </c>
      <c r="H601" t="s">
        <v>25</v>
      </c>
      <c r="I601" t="s">
        <v>26</v>
      </c>
      <c r="J601" t="s">
        <v>25</v>
      </c>
      <c r="K601">
        <v>18</v>
      </c>
      <c r="L601">
        <v>0</v>
      </c>
      <c r="M601">
        <v>0</v>
      </c>
      <c r="N601">
        <v>0</v>
      </c>
      <c r="O601">
        <v>9</v>
      </c>
      <c r="P601">
        <v>7</v>
      </c>
      <c r="Q601">
        <v>6</v>
      </c>
      <c r="R601">
        <v>5</v>
      </c>
      <c r="S601">
        <v>4</v>
      </c>
      <c r="T601">
        <v>2</v>
      </c>
      <c r="U601">
        <v>0</v>
      </c>
      <c r="V601">
        <v>18</v>
      </c>
    </row>
    <row r="602" spans="1:22" x14ac:dyDescent="0.25">
      <c r="A602">
        <v>2025</v>
      </c>
      <c r="B602">
        <v>12</v>
      </c>
      <c r="C602" t="s">
        <v>61</v>
      </c>
      <c r="D602" t="s">
        <v>22</v>
      </c>
      <c r="E602" t="s">
        <v>139</v>
      </c>
      <c r="F602" t="s">
        <v>34</v>
      </c>
      <c r="G602" t="s">
        <v>24</v>
      </c>
      <c r="H602" t="s">
        <v>25</v>
      </c>
      <c r="I602" t="s">
        <v>26</v>
      </c>
      <c r="J602" t="s">
        <v>26</v>
      </c>
      <c r="K602">
        <v>61</v>
      </c>
      <c r="L602">
        <v>1</v>
      </c>
      <c r="M602">
        <v>0</v>
      </c>
      <c r="N602">
        <v>1</v>
      </c>
      <c r="O602">
        <v>15</v>
      </c>
      <c r="P602">
        <v>14</v>
      </c>
      <c r="Q602">
        <v>12</v>
      </c>
      <c r="R602">
        <v>11</v>
      </c>
      <c r="S602">
        <v>10</v>
      </c>
      <c r="T602">
        <v>5</v>
      </c>
      <c r="U602">
        <v>1</v>
      </c>
      <c r="V602">
        <v>60</v>
      </c>
    </row>
    <row r="603" spans="1:22" x14ac:dyDescent="0.25">
      <c r="A603">
        <v>2025</v>
      </c>
      <c r="B603">
        <v>12</v>
      </c>
      <c r="C603" t="s">
        <v>61</v>
      </c>
      <c r="D603" t="s">
        <v>22</v>
      </c>
      <c r="E603" t="s">
        <v>141</v>
      </c>
      <c r="F603" t="s">
        <v>34</v>
      </c>
      <c r="G603" t="s">
        <v>24</v>
      </c>
      <c r="H603" t="s">
        <v>25</v>
      </c>
      <c r="I603" t="s">
        <v>26</v>
      </c>
      <c r="J603" t="s">
        <v>26</v>
      </c>
      <c r="K603">
        <v>30</v>
      </c>
      <c r="L603">
        <v>0</v>
      </c>
      <c r="M603">
        <v>0</v>
      </c>
      <c r="N603">
        <v>0</v>
      </c>
      <c r="O603">
        <v>10</v>
      </c>
      <c r="P603">
        <v>9</v>
      </c>
      <c r="Q603">
        <v>5</v>
      </c>
      <c r="R603">
        <v>2</v>
      </c>
      <c r="S603">
        <v>1</v>
      </c>
      <c r="T603">
        <v>0</v>
      </c>
      <c r="U603">
        <v>0</v>
      </c>
      <c r="V603">
        <v>30</v>
      </c>
    </row>
    <row r="604" spans="1:22" x14ac:dyDescent="0.25">
      <c r="A604">
        <v>2025</v>
      </c>
      <c r="B604">
        <v>12</v>
      </c>
      <c r="C604" t="s">
        <v>61</v>
      </c>
      <c r="D604" t="s">
        <v>22</v>
      </c>
      <c r="E604" t="s">
        <v>142</v>
      </c>
      <c r="F604" t="s">
        <v>34</v>
      </c>
      <c r="G604" t="s">
        <v>24</v>
      </c>
      <c r="H604" t="s">
        <v>25</v>
      </c>
      <c r="I604" t="s">
        <v>26</v>
      </c>
      <c r="J604" t="s">
        <v>26</v>
      </c>
      <c r="K604">
        <v>31</v>
      </c>
      <c r="L604">
        <v>1</v>
      </c>
      <c r="M604">
        <v>0</v>
      </c>
      <c r="N604">
        <v>1</v>
      </c>
      <c r="O604">
        <v>3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30</v>
      </c>
    </row>
    <row r="605" spans="1:22" x14ac:dyDescent="0.25">
      <c r="A605">
        <v>2025</v>
      </c>
      <c r="B605">
        <v>12</v>
      </c>
      <c r="C605" t="s">
        <v>61</v>
      </c>
      <c r="D605" t="s">
        <v>22</v>
      </c>
      <c r="E605" t="s">
        <v>144</v>
      </c>
      <c r="F605" t="s">
        <v>32</v>
      </c>
      <c r="G605" t="s">
        <v>24</v>
      </c>
      <c r="H605" t="s">
        <v>25</v>
      </c>
      <c r="I605" t="s">
        <v>26</v>
      </c>
      <c r="J605" t="s">
        <v>25</v>
      </c>
      <c r="K605">
        <v>133</v>
      </c>
      <c r="L605">
        <v>0</v>
      </c>
      <c r="M605">
        <v>1</v>
      </c>
      <c r="N605">
        <v>1</v>
      </c>
      <c r="O605">
        <v>29</v>
      </c>
      <c r="P605">
        <v>23</v>
      </c>
      <c r="Q605">
        <v>19</v>
      </c>
      <c r="R605">
        <v>15</v>
      </c>
      <c r="S605">
        <v>11</v>
      </c>
      <c r="T605">
        <v>6</v>
      </c>
      <c r="U605">
        <v>3</v>
      </c>
      <c r="V605">
        <v>133</v>
      </c>
    </row>
    <row r="606" spans="1:22" x14ac:dyDescent="0.25">
      <c r="A606">
        <v>2025</v>
      </c>
      <c r="B606">
        <v>12</v>
      </c>
      <c r="C606" t="s">
        <v>61</v>
      </c>
      <c r="D606" t="s">
        <v>22</v>
      </c>
      <c r="E606" t="s">
        <v>144</v>
      </c>
      <c r="F606" t="s">
        <v>23</v>
      </c>
      <c r="G606" t="s">
        <v>24</v>
      </c>
      <c r="H606" t="s">
        <v>25</v>
      </c>
      <c r="I606" t="s">
        <v>26</v>
      </c>
      <c r="J606" t="s">
        <v>25</v>
      </c>
      <c r="K606">
        <v>121</v>
      </c>
      <c r="L606">
        <v>0</v>
      </c>
      <c r="M606">
        <v>0</v>
      </c>
      <c r="N606">
        <v>0</v>
      </c>
      <c r="O606">
        <v>59</v>
      </c>
      <c r="P606">
        <v>42</v>
      </c>
      <c r="Q606">
        <v>35</v>
      </c>
      <c r="R606">
        <v>27</v>
      </c>
      <c r="S606">
        <v>24</v>
      </c>
      <c r="T606">
        <v>10</v>
      </c>
      <c r="U606">
        <v>5</v>
      </c>
      <c r="V606">
        <v>121</v>
      </c>
    </row>
    <row r="607" spans="1:22" x14ac:dyDescent="0.25">
      <c r="A607">
        <v>2025</v>
      </c>
      <c r="B607">
        <v>12</v>
      </c>
      <c r="C607" t="s">
        <v>61</v>
      </c>
      <c r="D607" t="s">
        <v>22</v>
      </c>
      <c r="E607" t="s">
        <v>144</v>
      </c>
      <c r="F607" t="s">
        <v>39</v>
      </c>
      <c r="G607" t="s">
        <v>24</v>
      </c>
      <c r="H607" t="s">
        <v>26</v>
      </c>
      <c r="I607" t="s">
        <v>26</v>
      </c>
      <c r="J607" t="s">
        <v>25</v>
      </c>
      <c r="K607">
        <v>828</v>
      </c>
      <c r="L607">
        <v>9</v>
      </c>
      <c r="M607">
        <v>1</v>
      </c>
      <c r="N607">
        <v>10</v>
      </c>
      <c r="O607">
        <v>280</v>
      </c>
      <c r="P607">
        <v>235</v>
      </c>
      <c r="Q607">
        <v>222</v>
      </c>
      <c r="R607">
        <v>175</v>
      </c>
      <c r="S607">
        <v>152</v>
      </c>
      <c r="T607">
        <v>87</v>
      </c>
      <c r="U607">
        <v>28</v>
      </c>
      <c r="V607">
        <v>819</v>
      </c>
    </row>
    <row r="608" spans="1:22" x14ac:dyDescent="0.25">
      <c r="A608">
        <v>2025</v>
      </c>
      <c r="B608">
        <v>12</v>
      </c>
      <c r="C608" t="s">
        <v>61</v>
      </c>
      <c r="D608" t="s">
        <v>22</v>
      </c>
      <c r="E608" t="s">
        <v>144</v>
      </c>
      <c r="F608" t="s">
        <v>36</v>
      </c>
      <c r="G608" t="s">
        <v>24</v>
      </c>
      <c r="H608" t="s">
        <v>25</v>
      </c>
      <c r="I608" t="s">
        <v>26</v>
      </c>
      <c r="J608" t="s">
        <v>25</v>
      </c>
      <c r="K608">
        <v>240</v>
      </c>
      <c r="L608">
        <v>6</v>
      </c>
      <c r="M608">
        <v>2</v>
      </c>
      <c r="N608">
        <v>8</v>
      </c>
      <c r="O608">
        <v>53</v>
      </c>
      <c r="P608">
        <v>43</v>
      </c>
      <c r="Q608">
        <v>37</v>
      </c>
      <c r="R608">
        <v>26</v>
      </c>
      <c r="S608">
        <v>21</v>
      </c>
      <c r="T608">
        <v>16</v>
      </c>
      <c r="U608">
        <v>6</v>
      </c>
      <c r="V608">
        <v>232</v>
      </c>
    </row>
    <row r="609" spans="1:22" x14ac:dyDescent="0.25">
      <c r="A609">
        <v>2025</v>
      </c>
      <c r="B609">
        <v>12</v>
      </c>
      <c r="C609" t="s">
        <v>61</v>
      </c>
      <c r="D609" t="s">
        <v>22</v>
      </c>
      <c r="E609" t="s">
        <v>145</v>
      </c>
      <c r="F609" t="s">
        <v>32</v>
      </c>
      <c r="G609" t="s">
        <v>24</v>
      </c>
      <c r="H609" t="s">
        <v>25</v>
      </c>
      <c r="I609" t="s">
        <v>26</v>
      </c>
      <c r="J609" t="s">
        <v>25</v>
      </c>
      <c r="K609">
        <v>278</v>
      </c>
      <c r="L609">
        <v>5</v>
      </c>
      <c r="M609">
        <v>0</v>
      </c>
      <c r="N609">
        <v>5</v>
      </c>
      <c r="O609">
        <v>64</v>
      </c>
      <c r="P609">
        <v>42</v>
      </c>
      <c r="Q609">
        <v>34</v>
      </c>
      <c r="R609">
        <v>13</v>
      </c>
      <c r="S609">
        <v>6</v>
      </c>
      <c r="T609">
        <v>3</v>
      </c>
      <c r="U609">
        <v>0</v>
      </c>
      <c r="V609">
        <v>273</v>
      </c>
    </row>
    <row r="610" spans="1:22" x14ac:dyDescent="0.25">
      <c r="A610">
        <v>2025</v>
      </c>
      <c r="B610">
        <v>12</v>
      </c>
      <c r="C610" t="s">
        <v>61</v>
      </c>
      <c r="D610" t="s">
        <v>22</v>
      </c>
      <c r="E610" t="s">
        <v>147</v>
      </c>
      <c r="F610" t="s">
        <v>32</v>
      </c>
      <c r="G610" t="s">
        <v>24</v>
      </c>
      <c r="H610" t="s">
        <v>25</v>
      </c>
      <c r="I610" t="s">
        <v>26</v>
      </c>
      <c r="J610" t="s">
        <v>25</v>
      </c>
      <c r="K610">
        <v>62</v>
      </c>
      <c r="L610">
        <v>0</v>
      </c>
      <c r="M610">
        <v>1</v>
      </c>
      <c r="N610">
        <v>1</v>
      </c>
      <c r="O610">
        <v>30</v>
      </c>
      <c r="P610">
        <v>28</v>
      </c>
      <c r="Q610">
        <v>25</v>
      </c>
      <c r="R610">
        <v>17</v>
      </c>
      <c r="S610">
        <v>12</v>
      </c>
      <c r="T610">
        <v>5</v>
      </c>
      <c r="U610">
        <v>2</v>
      </c>
      <c r="V610">
        <v>61</v>
      </c>
    </row>
    <row r="611" spans="1:22" x14ac:dyDescent="0.25">
      <c r="A611">
        <v>2025</v>
      </c>
      <c r="B611">
        <v>12</v>
      </c>
      <c r="C611" t="s">
        <v>61</v>
      </c>
      <c r="D611" t="s">
        <v>22</v>
      </c>
      <c r="E611" t="s">
        <v>147</v>
      </c>
      <c r="F611" t="s">
        <v>36</v>
      </c>
      <c r="G611" t="s">
        <v>24</v>
      </c>
      <c r="H611" t="s">
        <v>25</v>
      </c>
      <c r="I611" t="s">
        <v>26</v>
      </c>
      <c r="J611" t="s">
        <v>25</v>
      </c>
      <c r="K611">
        <v>246</v>
      </c>
      <c r="L611">
        <v>4</v>
      </c>
      <c r="M611">
        <v>5</v>
      </c>
      <c r="N611">
        <v>9</v>
      </c>
      <c r="O611">
        <v>94</v>
      </c>
      <c r="P611">
        <v>70</v>
      </c>
      <c r="Q611">
        <v>64</v>
      </c>
      <c r="R611">
        <v>47</v>
      </c>
      <c r="S611">
        <v>36</v>
      </c>
      <c r="T611">
        <v>14</v>
      </c>
      <c r="U611">
        <v>1</v>
      </c>
      <c r="V611">
        <v>238</v>
      </c>
    </row>
    <row r="612" spans="1:22" x14ac:dyDescent="0.25">
      <c r="A612">
        <v>2025</v>
      </c>
      <c r="B612">
        <v>12</v>
      </c>
      <c r="C612" t="s">
        <v>61</v>
      </c>
      <c r="D612" t="s">
        <v>22</v>
      </c>
      <c r="E612" t="s">
        <v>51</v>
      </c>
      <c r="F612" t="s">
        <v>34</v>
      </c>
      <c r="G612" t="s">
        <v>24</v>
      </c>
      <c r="H612" t="s">
        <v>25</v>
      </c>
      <c r="I612" t="s">
        <v>26</v>
      </c>
      <c r="J612" t="s">
        <v>26</v>
      </c>
      <c r="K612">
        <v>31</v>
      </c>
      <c r="L612">
        <v>0</v>
      </c>
      <c r="M612">
        <v>1</v>
      </c>
      <c r="N612">
        <v>1</v>
      </c>
      <c r="O612">
        <v>3</v>
      </c>
      <c r="P612">
        <v>2</v>
      </c>
      <c r="Q612">
        <v>1</v>
      </c>
      <c r="R612">
        <v>1</v>
      </c>
      <c r="S612">
        <v>1</v>
      </c>
      <c r="T612">
        <v>1</v>
      </c>
      <c r="U612">
        <v>1</v>
      </c>
      <c r="V612">
        <v>30</v>
      </c>
    </row>
    <row r="613" spans="1:22" x14ac:dyDescent="0.25">
      <c r="A613">
        <v>2025</v>
      </c>
      <c r="B613">
        <v>12</v>
      </c>
      <c r="C613" t="s">
        <v>61</v>
      </c>
      <c r="D613" t="s">
        <v>22</v>
      </c>
      <c r="E613" t="s">
        <v>155</v>
      </c>
      <c r="F613" t="s">
        <v>34</v>
      </c>
      <c r="G613" t="s">
        <v>24</v>
      </c>
      <c r="H613" t="s">
        <v>25</v>
      </c>
      <c r="I613" t="s">
        <v>26</v>
      </c>
      <c r="J613" t="s">
        <v>26</v>
      </c>
      <c r="K613">
        <v>61</v>
      </c>
      <c r="L613">
        <v>0</v>
      </c>
      <c r="M613">
        <v>0</v>
      </c>
      <c r="N613">
        <v>0</v>
      </c>
      <c r="O613">
        <v>9</v>
      </c>
      <c r="P613">
        <v>7</v>
      </c>
      <c r="Q613">
        <v>7</v>
      </c>
      <c r="R613">
        <v>7</v>
      </c>
      <c r="S613">
        <v>4</v>
      </c>
      <c r="T613">
        <v>3</v>
      </c>
      <c r="U613">
        <v>0</v>
      </c>
      <c r="V613">
        <v>61</v>
      </c>
    </row>
    <row r="614" spans="1:22" x14ac:dyDescent="0.25">
      <c r="A614">
        <v>2025</v>
      </c>
      <c r="B614">
        <v>12</v>
      </c>
      <c r="C614" t="s">
        <v>61</v>
      </c>
      <c r="D614" t="s">
        <v>22</v>
      </c>
      <c r="E614" t="s">
        <v>152</v>
      </c>
      <c r="F614" t="s">
        <v>31</v>
      </c>
      <c r="G614" t="s">
        <v>24</v>
      </c>
      <c r="H614" t="s">
        <v>25</v>
      </c>
      <c r="I614" t="s">
        <v>26</v>
      </c>
      <c r="J614" t="s">
        <v>25</v>
      </c>
      <c r="K614">
        <v>77</v>
      </c>
      <c r="L614">
        <v>0</v>
      </c>
      <c r="M614">
        <v>0</v>
      </c>
      <c r="N614">
        <v>0</v>
      </c>
      <c r="O614">
        <v>37</v>
      </c>
      <c r="P614">
        <v>24</v>
      </c>
      <c r="Q614">
        <v>18</v>
      </c>
      <c r="R614">
        <v>13</v>
      </c>
      <c r="S614">
        <v>8</v>
      </c>
      <c r="T614">
        <v>0</v>
      </c>
      <c r="U614">
        <v>0</v>
      </c>
      <c r="V614">
        <v>77</v>
      </c>
    </row>
    <row r="615" spans="1:22" x14ac:dyDescent="0.25">
      <c r="A615">
        <v>2025</v>
      </c>
      <c r="B615">
        <v>12</v>
      </c>
      <c r="C615" t="s">
        <v>61</v>
      </c>
      <c r="D615" t="s">
        <v>22</v>
      </c>
      <c r="E615" t="s">
        <v>152</v>
      </c>
      <c r="F615" t="s">
        <v>32</v>
      </c>
      <c r="G615" t="s">
        <v>24</v>
      </c>
      <c r="H615" t="s">
        <v>25</v>
      </c>
      <c r="I615" t="s">
        <v>26</v>
      </c>
      <c r="J615" t="s">
        <v>25</v>
      </c>
      <c r="K615">
        <v>54</v>
      </c>
      <c r="L615">
        <v>0</v>
      </c>
      <c r="M615">
        <v>0</v>
      </c>
      <c r="N615">
        <v>0</v>
      </c>
      <c r="O615">
        <v>9</v>
      </c>
      <c r="P615">
        <v>6</v>
      </c>
      <c r="Q615">
        <v>5</v>
      </c>
      <c r="R615">
        <v>2</v>
      </c>
      <c r="S615">
        <v>2</v>
      </c>
      <c r="T615">
        <v>0</v>
      </c>
      <c r="U615">
        <v>0</v>
      </c>
      <c r="V615">
        <v>54</v>
      </c>
    </row>
    <row r="616" spans="1:22" x14ac:dyDescent="0.25">
      <c r="A616">
        <v>2025</v>
      </c>
      <c r="B616">
        <v>12</v>
      </c>
      <c r="C616" t="s">
        <v>61</v>
      </c>
      <c r="D616" t="s">
        <v>22</v>
      </c>
      <c r="E616" t="s">
        <v>52</v>
      </c>
      <c r="F616" t="s">
        <v>34</v>
      </c>
      <c r="G616" t="s">
        <v>24</v>
      </c>
      <c r="H616" t="s">
        <v>25</v>
      </c>
      <c r="I616" t="s">
        <v>26</v>
      </c>
      <c r="J616" t="s">
        <v>26</v>
      </c>
      <c r="K616">
        <v>1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1</v>
      </c>
    </row>
    <row r="617" spans="1:22" x14ac:dyDescent="0.25">
      <c r="A617">
        <v>2025</v>
      </c>
      <c r="B617">
        <v>12</v>
      </c>
      <c r="C617" t="s">
        <v>61</v>
      </c>
      <c r="D617" t="s">
        <v>22</v>
      </c>
      <c r="E617" t="s">
        <v>163</v>
      </c>
      <c r="F617" t="s">
        <v>31</v>
      </c>
      <c r="G617" t="s">
        <v>24</v>
      </c>
      <c r="H617" t="s">
        <v>25</v>
      </c>
      <c r="I617" t="s">
        <v>26</v>
      </c>
      <c r="J617" t="s">
        <v>25</v>
      </c>
      <c r="K617">
        <v>35</v>
      </c>
      <c r="L617">
        <v>0</v>
      </c>
      <c r="M617">
        <v>0</v>
      </c>
      <c r="N617">
        <v>0</v>
      </c>
      <c r="O617">
        <v>3</v>
      </c>
      <c r="P617">
        <v>2</v>
      </c>
      <c r="Q617">
        <v>2</v>
      </c>
      <c r="R617">
        <v>1</v>
      </c>
      <c r="S617">
        <v>1</v>
      </c>
      <c r="T617">
        <v>0</v>
      </c>
      <c r="U617">
        <v>0</v>
      </c>
      <c r="V617">
        <v>35</v>
      </c>
    </row>
    <row r="618" spans="1:22" x14ac:dyDescent="0.25">
      <c r="A618">
        <v>2025</v>
      </c>
      <c r="B618">
        <v>12</v>
      </c>
      <c r="C618" t="s">
        <v>61</v>
      </c>
      <c r="D618" t="s">
        <v>22</v>
      </c>
      <c r="E618" t="s">
        <v>163</v>
      </c>
      <c r="F618" t="s">
        <v>32</v>
      </c>
      <c r="G618" t="s">
        <v>24</v>
      </c>
      <c r="H618" t="s">
        <v>25</v>
      </c>
      <c r="I618" t="s">
        <v>26</v>
      </c>
      <c r="J618" t="s">
        <v>25</v>
      </c>
      <c r="K618">
        <v>345</v>
      </c>
      <c r="L618">
        <v>1</v>
      </c>
      <c r="M618">
        <v>1</v>
      </c>
      <c r="N618">
        <v>2</v>
      </c>
      <c r="O618">
        <v>66</v>
      </c>
      <c r="P618">
        <v>58</v>
      </c>
      <c r="Q618">
        <v>55</v>
      </c>
      <c r="R618">
        <v>39</v>
      </c>
      <c r="S618">
        <v>31</v>
      </c>
      <c r="T618">
        <v>20</v>
      </c>
      <c r="U618">
        <v>9</v>
      </c>
      <c r="V618">
        <v>343</v>
      </c>
    </row>
    <row r="619" spans="1:22" x14ac:dyDescent="0.25">
      <c r="A619">
        <v>2025</v>
      </c>
      <c r="B619">
        <v>12</v>
      </c>
      <c r="C619" t="s">
        <v>61</v>
      </c>
      <c r="D619" t="s">
        <v>22</v>
      </c>
      <c r="E619" t="s">
        <v>163</v>
      </c>
      <c r="F619" t="s">
        <v>34</v>
      </c>
      <c r="G619" t="s">
        <v>24</v>
      </c>
      <c r="H619" t="s">
        <v>25</v>
      </c>
      <c r="I619" t="s">
        <v>26</v>
      </c>
      <c r="J619" t="s">
        <v>26</v>
      </c>
      <c r="K619">
        <v>61</v>
      </c>
      <c r="L619">
        <v>0</v>
      </c>
      <c r="M619">
        <v>0</v>
      </c>
      <c r="N619">
        <v>0</v>
      </c>
      <c r="O619">
        <v>10</v>
      </c>
      <c r="P619">
        <v>9</v>
      </c>
      <c r="Q619">
        <v>9</v>
      </c>
      <c r="R619">
        <v>8</v>
      </c>
      <c r="S619">
        <v>6</v>
      </c>
      <c r="T619">
        <v>5</v>
      </c>
      <c r="U619">
        <v>3</v>
      </c>
      <c r="V619">
        <v>61</v>
      </c>
    </row>
    <row r="620" spans="1:22" x14ac:dyDescent="0.25">
      <c r="A620">
        <v>2025</v>
      </c>
      <c r="B620">
        <v>12</v>
      </c>
      <c r="C620" t="s">
        <v>61</v>
      </c>
      <c r="D620" t="s">
        <v>22</v>
      </c>
      <c r="E620" t="s">
        <v>163</v>
      </c>
      <c r="F620" t="s">
        <v>23</v>
      </c>
      <c r="G620" t="s">
        <v>24</v>
      </c>
      <c r="H620" t="s">
        <v>25</v>
      </c>
      <c r="I620" t="s">
        <v>26</v>
      </c>
      <c r="J620" t="s">
        <v>25</v>
      </c>
      <c r="K620">
        <v>75</v>
      </c>
      <c r="L620">
        <v>0</v>
      </c>
      <c r="M620">
        <v>0</v>
      </c>
      <c r="N620">
        <v>0</v>
      </c>
      <c r="O620">
        <v>4</v>
      </c>
      <c r="P620">
        <v>2</v>
      </c>
      <c r="Q620">
        <v>2</v>
      </c>
      <c r="R620">
        <v>2</v>
      </c>
      <c r="S620">
        <v>2</v>
      </c>
      <c r="T620">
        <v>2</v>
      </c>
      <c r="U620">
        <v>1</v>
      </c>
      <c r="V620">
        <v>75</v>
      </c>
    </row>
    <row r="621" spans="1:22" x14ac:dyDescent="0.25">
      <c r="A621">
        <v>2025</v>
      </c>
      <c r="B621">
        <v>12</v>
      </c>
      <c r="C621" t="s">
        <v>61</v>
      </c>
      <c r="D621" t="s">
        <v>22</v>
      </c>
      <c r="E621" t="s">
        <v>164</v>
      </c>
      <c r="F621" t="s">
        <v>23</v>
      </c>
      <c r="G621" t="s">
        <v>24</v>
      </c>
      <c r="H621" t="s">
        <v>25</v>
      </c>
      <c r="I621" t="s">
        <v>26</v>
      </c>
      <c r="J621" t="s">
        <v>25</v>
      </c>
      <c r="K621">
        <v>26</v>
      </c>
      <c r="L621">
        <v>0</v>
      </c>
      <c r="M621">
        <v>0</v>
      </c>
      <c r="N621">
        <v>0</v>
      </c>
      <c r="O621">
        <v>4</v>
      </c>
      <c r="P621">
        <v>4</v>
      </c>
      <c r="Q621">
        <v>3</v>
      </c>
      <c r="R621">
        <v>3</v>
      </c>
      <c r="S621">
        <v>3</v>
      </c>
      <c r="T621">
        <v>0</v>
      </c>
      <c r="U621">
        <v>0</v>
      </c>
      <c r="V621">
        <v>26</v>
      </c>
    </row>
    <row r="622" spans="1:22" x14ac:dyDescent="0.25">
      <c r="A622">
        <v>2025</v>
      </c>
      <c r="B622">
        <v>12</v>
      </c>
      <c r="C622" t="s">
        <v>61</v>
      </c>
      <c r="D622" t="s">
        <v>22</v>
      </c>
      <c r="E622" t="s">
        <v>165</v>
      </c>
      <c r="F622" t="s">
        <v>31</v>
      </c>
      <c r="G622" t="s">
        <v>24</v>
      </c>
      <c r="H622" t="s">
        <v>25</v>
      </c>
      <c r="I622" t="s">
        <v>26</v>
      </c>
      <c r="J622" t="s">
        <v>25</v>
      </c>
      <c r="K622">
        <v>30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30</v>
      </c>
    </row>
    <row r="623" spans="1:22" x14ac:dyDescent="0.25">
      <c r="A623">
        <v>2025</v>
      </c>
      <c r="B623">
        <v>12</v>
      </c>
      <c r="C623" t="s">
        <v>61</v>
      </c>
      <c r="D623" t="s">
        <v>22</v>
      </c>
      <c r="E623" t="s">
        <v>165</v>
      </c>
      <c r="F623" t="s">
        <v>32</v>
      </c>
      <c r="G623" t="s">
        <v>24</v>
      </c>
      <c r="H623" t="s">
        <v>25</v>
      </c>
      <c r="I623" t="s">
        <v>26</v>
      </c>
      <c r="J623" t="s">
        <v>25</v>
      </c>
      <c r="K623">
        <v>63</v>
      </c>
      <c r="L623">
        <v>0</v>
      </c>
      <c r="M623">
        <v>0</v>
      </c>
      <c r="N623">
        <v>0</v>
      </c>
      <c r="O623">
        <v>6</v>
      </c>
      <c r="P623">
        <v>6</v>
      </c>
      <c r="Q623">
        <v>6</v>
      </c>
      <c r="R623">
        <v>4</v>
      </c>
      <c r="S623">
        <v>4</v>
      </c>
      <c r="T623">
        <v>1</v>
      </c>
      <c r="U623">
        <v>0</v>
      </c>
      <c r="V623">
        <v>63</v>
      </c>
    </row>
    <row r="624" spans="1:22" x14ac:dyDescent="0.25">
      <c r="A624">
        <v>2025</v>
      </c>
      <c r="B624">
        <v>12</v>
      </c>
      <c r="C624" t="s">
        <v>61</v>
      </c>
      <c r="D624" t="s">
        <v>22</v>
      </c>
      <c r="E624" t="s">
        <v>61</v>
      </c>
      <c r="F624" t="s">
        <v>31</v>
      </c>
      <c r="G624" t="s">
        <v>28</v>
      </c>
      <c r="H624" t="s">
        <v>25</v>
      </c>
      <c r="I624" t="s">
        <v>26</v>
      </c>
      <c r="J624" t="s">
        <v>25</v>
      </c>
      <c r="K624">
        <v>327</v>
      </c>
      <c r="L624">
        <v>1</v>
      </c>
      <c r="M624">
        <v>1</v>
      </c>
      <c r="N624">
        <v>2</v>
      </c>
      <c r="O624">
        <v>80</v>
      </c>
      <c r="P624">
        <v>54</v>
      </c>
      <c r="Q624">
        <v>45</v>
      </c>
      <c r="R624">
        <v>32</v>
      </c>
      <c r="S624">
        <v>24</v>
      </c>
      <c r="T624">
        <v>7</v>
      </c>
      <c r="U624">
        <v>2</v>
      </c>
      <c r="V624">
        <v>325</v>
      </c>
    </row>
    <row r="625" spans="1:22" x14ac:dyDescent="0.25">
      <c r="A625">
        <v>2025</v>
      </c>
      <c r="B625">
        <v>12</v>
      </c>
      <c r="C625" t="s">
        <v>61</v>
      </c>
      <c r="D625" t="s">
        <v>22</v>
      </c>
      <c r="E625" t="s">
        <v>61</v>
      </c>
      <c r="F625" t="s">
        <v>31</v>
      </c>
      <c r="G625" t="s">
        <v>24</v>
      </c>
      <c r="H625" t="s">
        <v>25</v>
      </c>
      <c r="I625" t="s">
        <v>26</v>
      </c>
      <c r="J625" t="s">
        <v>25</v>
      </c>
      <c r="K625">
        <v>4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4</v>
      </c>
    </row>
    <row r="626" spans="1:22" x14ac:dyDescent="0.25">
      <c r="A626">
        <v>2025</v>
      </c>
      <c r="B626">
        <v>12</v>
      </c>
      <c r="C626" t="s">
        <v>61</v>
      </c>
      <c r="D626" t="s">
        <v>22</v>
      </c>
      <c r="E626" t="s">
        <v>61</v>
      </c>
      <c r="F626" t="s">
        <v>32</v>
      </c>
      <c r="G626" t="s">
        <v>28</v>
      </c>
      <c r="H626" t="s">
        <v>25</v>
      </c>
      <c r="I626" t="s">
        <v>26</v>
      </c>
      <c r="J626" t="s">
        <v>25</v>
      </c>
      <c r="K626">
        <v>26</v>
      </c>
      <c r="L626">
        <v>0</v>
      </c>
      <c r="M626">
        <v>0</v>
      </c>
      <c r="N626">
        <v>0</v>
      </c>
      <c r="O626">
        <v>5</v>
      </c>
      <c r="P626">
        <v>5</v>
      </c>
      <c r="Q626">
        <v>3</v>
      </c>
      <c r="R626">
        <v>1</v>
      </c>
      <c r="S626">
        <v>1</v>
      </c>
      <c r="T626">
        <v>0</v>
      </c>
      <c r="U626">
        <v>0</v>
      </c>
      <c r="V626">
        <v>26</v>
      </c>
    </row>
    <row r="627" spans="1:22" x14ac:dyDescent="0.25">
      <c r="A627">
        <v>2025</v>
      </c>
      <c r="B627">
        <v>12</v>
      </c>
      <c r="C627" t="s">
        <v>61</v>
      </c>
      <c r="D627" t="s">
        <v>22</v>
      </c>
      <c r="E627" t="s">
        <v>61</v>
      </c>
      <c r="F627" t="s">
        <v>34</v>
      </c>
      <c r="G627" t="s">
        <v>24</v>
      </c>
      <c r="H627" t="s">
        <v>25</v>
      </c>
      <c r="I627" t="s">
        <v>26</v>
      </c>
      <c r="J627" t="s">
        <v>26</v>
      </c>
      <c r="K627">
        <v>3</v>
      </c>
      <c r="L627">
        <v>0</v>
      </c>
      <c r="M627">
        <v>0</v>
      </c>
      <c r="N627">
        <v>0</v>
      </c>
      <c r="O627">
        <v>2</v>
      </c>
      <c r="P627">
        <v>1</v>
      </c>
      <c r="Q627">
        <v>1</v>
      </c>
      <c r="R627">
        <v>1</v>
      </c>
      <c r="S627">
        <v>1</v>
      </c>
      <c r="T627">
        <v>1</v>
      </c>
      <c r="U627">
        <v>0</v>
      </c>
      <c r="V627">
        <v>3</v>
      </c>
    </row>
    <row r="628" spans="1:22" x14ac:dyDescent="0.25">
      <c r="A628">
        <v>2025</v>
      </c>
      <c r="B628">
        <v>12</v>
      </c>
      <c r="C628" t="s">
        <v>61</v>
      </c>
      <c r="D628" t="s">
        <v>22</v>
      </c>
      <c r="E628" t="s">
        <v>61</v>
      </c>
      <c r="F628" t="s">
        <v>23</v>
      </c>
      <c r="G628" t="s">
        <v>28</v>
      </c>
      <c r="H628" t="s">
        <v>25</v>
      </c>
      <c r="I628" t="s">
        <v>26</v>
      </c>
      <c r="J628" t="s">
        <v>25</v>
      </c>
      <c r="K628">
        <v>1911</v>
      </c>
      <c r="L628">
        <v>8</v>
      </c>
      <c r="M628">
        <v>54</v>
      </c>
      <c r="N628">
        <v>62</v>
      </c>
      <c r="O628">
        <v>350</v>
      </c>
      <c r="P628">
        <v>232</v>
      </c>
      <c r="Q628">
        <v>196</v>
      </c>
      <c r="R628">
        <v>122</v>
      </c>
      <c r="S628">
        <v>82</v>
      </c>
      <c r="T628">
        <v>40</v>
      </c>
      <c r="U628">
        <v>20</v>
      </c>
      <c r="V628">
        <v>1876</v>
      </c>
    </row>
    <row r="629" spans="1:22" x14ac:dyDescent="0.25">
      <c r="A629">
        <v>2025</v>
      </c>
      <c r="B629">
        <v>12</v>
      </c>
      <c r="C629" t="s">
        <v>61</v>
      </c>
      <c r="D629" t="s">
        <v>22</v>
      </c>
      <c r="E629" t="s">
        <v>61</v>
      </c>
      <c r="F629" t="s">
        <v>23</v>
      </c>
      <c r="G629" t="s">
        <v>24</v>
      </c>
      <c r="H629" t="s">
        <v>25</v>
      </c>
      <c r="I629" t="s">
        <v>26</v>
      </c>
      <c r="J629" t="s">
        <v>25</v>
      </c>
      <c r="K629">
        <v>54</v>
      </c>
      <c r="L629">
        <v>0</v>
      </c>
      <c r="M629">
        <v>0</v>
      </c>
      <c r="N629">
        <v>0</v>
      </c>
      <c r="O629">
        <v>15</v>
      </c>
      <c r="P629">
        <v>11</v>
      </c>
      <c r="Q629">
        <v>7</v>
      </c>
      <c r="R629">
        <v>7</v>
      </c>
      <c r="S629">
        <v>7</v>
      </c>
      <c r="T629">
        <v>2</v>
      </c>
      <c r="U629">
        <v>1</v>
      </c>
      <c r="V629">
        <v>54</v>
      </c>
    </row>
    <row r="630" spans="1:22" x14ac:dyDescent="0.25">
      <c r="A630">
        <v>2025</v>
      </c>
      <c r="B630">
        <v>12</v>
      </c>
      <c r="C630" t="s">
        <v>61</v>
      </c>
      <c r="D630" t="s">
        <v>22</v>
      </c>
      <c r="E630" t="s">
        <v>61</v>
      </c>
      <c r="F630" t="s">
        <v>39</v>
      </c>
      <c r="G630" t="s">
        <v>28</v>
      </c>
      <c r="H630" t="s">
        <v>26</v>
      </c>
      <c r="I630" t="s">
        <v>26</v>
      </c>
      <c r="J630" t="s">
        <v>25</v>
      </c>
      <c r="K630">
        <v>17</v>
      </c>
      <c r="L630">
        <v>0</v>
      </c>
      <c r="M630">
        <v>0</v>
      </c>
      <c r="N630">
        <v>0</v>
      </c>
      <c r="O630">
        <v>3</v>
      </c>
      <c r="P630">
        <v>3</v>
      </c>
      <c r="Q630">
        <v>2</v>
      </c>
      <c r="R630">
        <v>1</v>
      </c>
      <c r="S630">
        <v>0</v>
      </c>
      <c r="T630">
        <v>0</v>
      </c>
      <c r="U630">
        <v>0</v>
      </c>
      <c r="V630">
        <v>17</v>
      </c>
    </row>
    <row r="631" spans="1:22" x14ac:dyDescent="0.25">
      <c r="A631">
        <v>2025</v>
      </c>
      <c r="B631">
        <v>12</v>
      </c>
      <c r="C631" t="s">
        <v>61</v>
      </c>
      <c r="D631" t="s">
        <v>22</v>
      </c>
      <c r="E631" t="s">
        <v>61</v>
      </c>
      <c r="F631" t="s">
        <v>40</v>
      </c>
      <c r="G631" t="s">
        <v>28</v>
      </c>
      <c r="H631" t="s">
        <v>25</v>
      </c>
      <c r="I631" t="s">
        <v>26</v>
      </c>
      <c r="J631" t="s">
        <v>25</v>
      </c>
      <c r="K631">
        <v>1763</v>
      </c>
      <c r="L631">
        <v>4</v>
      </c>
      <c r="M631">
        <v>7</v>
      </c>
      <c r="N631">
        <v>11</v>
      </c>
      <c r="O631">
        <v>206</v>
      </c>
      <c r="P631">
        <v>123</v>
      </c>
      <c r="Q631">
        <v>97</v>
      </c>
      <c r="R631">
        <v>64</v>
      </c>
      <c r="S631">
        <v>50</v>
      </c>
      <c r="T631">
        <v>11</v>
      </c>
      <c r="U631">
        <v>2</v>
      </c>
      <c r="V631">
        <v>1754</v>
      </c>
    </row>
    <row r="632" spans="1:22" x14ac:dyDescent="0.25">
      <c r="A632">
        <v>2025</v>
      </c>
      <c r="B632">
        <v>12</v>
      </c>
      <c r="C632" t="s">
        <v>61</v>
      </c>
      <c r="D632" t="s">
        <v>22</v>
      </c>
      <c r="E632" t="s">
        <v>61</v>
      </c>
      <c r="F632" t="s">
        <v>40</v>
      </c>
      <c r="G632" t="s">
        <v>24</v>
      </c>
      <c r="H632" t="s">
        <v>25</v>
      </c>
      <c r="I632" t="s">
        <v>26</v>
      </c>
      <c r="J632" t="s">
        <v>25</v>
      </c>
      <c r="K632">
        <v>432</v>
      </c>
      <c r="L632">
        <v>0</v>
      </c>
      <c r="M632">
        <v>0</v>
      </c>
      <c r="N632">
        <v>0</v>
      </c>
      <c r="O632">
        <v>49</v>
      </c>
      <c r="P632">
        <v>30</v>
      </c>
      <c r="Q632">
        <v>26</v>
      </c>
      <c r="R632">
        <v>17</v>
      </c>
      <c r="S632">
        <v>4</v>
      </c>
      <c r="T632">
        <v>1</v>
      </c>
      <c r="U632">
        <v>1</v>
      </c>
      <c r="V632">
        <v>432</v>
      </c>
    </row>
    <row r="633" spans="1:22" x14ac:dyDescent="0.25">
      <c r="A633">
        <v>2025</v>
      </c>
      <c r="B633">
        <v>12</v>
      </c>
      <c r="C633" t="s">
        <v>61</v>
      </c>
      <c r="D633" t="s">
        <v>22</v>
      </c>
      <c r="E633" t="s">
        <v>61</v>
      </c>
      <c r="F633" t="s">
        <v>35</v>
      </c>
      <c r="G633" t="s">
        <v>28</v>
      </c>
      <c r="H633" t="s">
        <v>25</v>
      </c>
      <c r="I633" t="s">
        <v>26</v>
      </c>
      <c r="J633" t="s">
        <v>26</v>
      </c>
      <c r="K633">
        <v>62</v>
      </c>
      <c r="L633">
        <v>0</v>
      </c>
      <c r="M633">
        <v>0</v>
      </c>
      <c r="N633">
        <v>0</v>
      </c>
      <c r="O633">
        <v>7</v>
      </c>
      <c r="P633">
        <v>3</v>
      </c>
      <c r="Q633">
        <v>2</v>
      </c>
      <c r="R633">
        <v>2</v>
      </c>
      <c r="S633">
        <v>1</v>
      </c>
      <c r="T633">
        <v>1</v>
      </c>
      <c r="U633">
        <v>0</v>
      </c>
      <c r="V633">
        <v>62</v>
      </c>
    </row>
    <row r="634" spans="1:22" x14ac:dyDescent="0.25">
      <c r="A634">
        <v>2025</v>
      </c>
      <c r="B634">
        <v>12</v>
      </c>
      <c r="C634" t="s">
        <v>61</v>
      </c>
      <c r="D634" t="s">
        <v>22</v>
      </c>
      <c r="E634" t="s">
        <v>61</v>
      </c>
      <c r="F634" t="s">
        <v>35</v>
      </c>
      <c r="G634" t="s">
        <v>24</v>
      </c>
      <c r="H634" t="s">
        <v>25</v>
      </c>
      <c r="I634" t="s">
        <v>26</v>
      </c>
      <c r="J634" t="s">
        <v>26</v>
      </c>
      <c r="K634">
        <v>697</v>
      </c>
      <c r="L634">
        <v>7</v>
      </c>
      <c r="M634">
        <v>1</v>
      </c>
      <c r="N634">
        <v>8</v>
      </c>
      <c r="O634">
        <v>231</v>
      </c>
      <c r="P634">
        <v>183</v>
      </c>
      <c r="Q634">
        <v>171</v>
      </c>
      <c r="R634">
        <v>136</v>
      </c>
      <c r="S634">
        <v>104</v>
      </c>
      <c r="T634">
        <v>67</v>
      </c>
      <c r="U634">
        <v>36</v>
      </c>
      <c r="V634">
        <v>689</v>
      </c>
    </row>
    <row r="635" spans="1:22" x14ac:dyDescent="0.25">
      <c r="A635">
        <v>2025</v>
      </c>
      <c r="B635">
        <v>12</v>
      </c>
      <c r="C635" t="s">
        <v>61</v>
      </c>
      <c r="D635" t="s">
        <v>22</v>
      </c>
      <c r="E635" t="s">
        <v>61</v>
      </c>
      <c r="F635" t="s">
        <v>36</v>
      </c>
      <c r="G635" t="s">
        <v>28</v>
      </c>
      <c r="H635" t="s">
        <v>25</v>
      </c>
      <c r="I635" t="s">
        <v>26</v>
      </c>
      <c r="J635" t="s">
        <v>25</v>
      </c>
      <c r="K635">
        <v>1403</v>
      </c>
      <c r="L635">
        <v>3</v>
      </c>
      <c r="M635">
        <v>57</v>
      </c>
      <c r="N635">
        <v>60</v>
      </c>
      <c r="O635">
        <v>293</v>
      </c>
      <c r="P635">
        <v>181</v>
      </c>
      <c r="Q635">
        <v>152</v>
      </c>
      <c r="R635">
        <v>83</v>
      </c>
      <c r="S635">
        <v>51</v>
      </c>
      <c r="T635">
        <v>28</v>
      </c>
      <c r="U635">
        <v>6</v>
      </c>
      <c r="V635">
        <v>1368</v>
      </c>
    </row>
    <row r="636" spans="1:22" x14ac:dyDescent="0.25">
      <c r="A636">
        <v>2025</v>
      </c>
      <c r="B636">
        <v>12</v>
      </c>
      <c r="C636" t="s">
        <v>61</v>
      </c>
      <c r="D636" t="s">
        <v>22</v>
      </c>
      <c r="E636" t="s">
        <v>61</v>
      </c>
      <c r="F636" t="s">
        <v>36</v>
      </c>
      <c r="G636" t="s">
        <v>24</v>
      </c>
      <c r="H636" t="s">
        <v>25</v>
      </c>
      <c r="I636" t="s">
        <v>26</v>
      </c>
      <c r="J636" t="s">
        <v>25</v>
      </c>
      <c r="K636">
        <v>52</v>
      </c>
      <c r="L636">
        <v>0</v>
      </c>
      <c r="M636">
        <v>0</v>
      </c>
      <c r="N636">
        <v>0</v>
      </c>
      <c r="O636">
        <v>23</v>
      </c>
      <c r="P636">
        <v>18</v>
      </c>
      <c r="Q636">
        <v>16</v>
      </c>
      <c r="R636">
        <v>13</v>
      </c>
      <c r="S636">
        <v>8</v>
      </c>
      <c r="T636">
        <v>4</v>
      </c>
      <c r="U636">
        <v>2</v>
      </c>
      <c r="V636">
        <v>52</v>
      </c>
    </row>
    <row r="637" spans="1:22" x14ac:dyDescent="0.25">
      <c r="A637">
        <v>2025</v>
      </c>
      <c r="B637">
        <v>12</v>
      </c>
      <c r="C637" t="s">
        <v>61</v>
      </c>
      <c r="D637" t="s">
        <v>22</v>
      </c>
      <c r="E637" t="s">
        <v>61</v>
      </c>
      <c r="F637" t="s">
        <v>36</v>
      </c>
      <c r="G637" t="s">
        <v>29</v>
      </c>
      <c r="H637" t="s">
        <v>25</v>
      </c>
      <c r="I637" t="s">
        <v>26</v>
      </c>
      <c r="J637" t="s">
        <v>25</v>
      </c>
      <c r="K637">
        <v>1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</row>
    <row r="638" spans="1:22" x14ac:dyDescent="0.25">
      <c r="A638">
        <v>2025</v>
      </c>
      <c r="B638">
        <v>12</v>
      </c>
      <c r="C638" t="s">
        <v>61</v>
      </c>
      <c r="D638" t="s">
        <v>22</v>
      </c>
      <c r="E638" t="s">
        <v>61</v>
      </c>
      <c r="F638" t="s">
        <v>41</v>
      </c>
      <c r="G638" t="s">
        <v>28</v>
      </c>
      <c r="H638" t="s">
        <v>26</v>
      </c>
      <c r="I638" t="s">
        <v>26</v>
      </c>
      <c r="J638" t="s">
        <v>25</v>
      </c>
      <c r="K638">
        <v>1057</v>
      </c>
      <c r="L638">
        <v>7</v>
      </c>
      <c r="M638">
        <v>21</v>
      </c>
      <c r="N638">
        <v>28</v>
      </c>
      <c r="O638">
        <v>459</v>
      </c>
      <c r="P638">
        <v>370</v>
      </c>
      <c r="Q638">
        <v>346</v>
      </c>
      <c r="R638">
        <v>251</v>
      </c>
      <c r="S638">
        <v>197</v>
      </c>
      <c r="T638">
        <v>90</v>
      </c>
      <c r="U638">
        <v>25</v>
      </c>
      <c r="V638">
        <v>1042</v>
      </c>
    </row>
    <row r="639" spans="1:22" x14ac:dyDescent="0.25">
      <c r="A639">
        <v>2025</v>
      </c>
      <c r="B639">
        <v>12</v>
      </c>
      <c r="C639" t="s">
        <v>61</v>
      </c>
      <c r="D639" t="s">
        <v>22</v>
      </c>
      <c r="E639" t="s">
        <v>61</v>
      </c>
      <c r="F639" t="s">
        <v>41</v>
      </c>
      <c r="G639" t="s">
        <v>24</v>
      </c>
      <c r="H639" t="s">
        <v>26</v>
      </c>
      <c r="I639" t="s">
        <v>26</v>
      </c>
      <c r="J639" t="s">
        <v>25</v>
      </c>
      <c r="K639">
        <v>1135</v>
      </c>
      <c r="L639">
        <v>0</v>
      </c>
      <c r="M639">
        <v>11</v>
      </c>
      <c r="N639">
        <v>11</v>
      </c>
      <c r="O639">
        <v>534</v>
      </c>
      <c r="P639">
        <v>435</v>
      </c>
      <c r="Q639">
        <v>398</v>
      </c>
      <c r="R639">
        <v>275</v>
      </c>
      <c r="S639">
        <v>203</v>
      </c>
      <c r="T639">
        <v>100</v>
      </c>
      <c r="U639">
        <v>19</v>
      </c>
      <c r="V639">
        <v>1132</v>
      </c>
    </row>
    <row r="640" spans="1:22" x14ac:dyDescent="0.25">
      <c r="A640">
        <v>2025</v>
      </c>
      <c r="B640">
        <v>12</v>
      </c>
      <c r="C640" t="s">
        <v>61</v>
      </c>
      <c r="D640" t="s">
        <v>22</v>
      </c>
      <c r="E640" t="s">
        <v>172</v>
      </c>
      <c r="F640" t="s">
        <v>23</v>
      </c>
      <c r="G640" t="s">
        <v>24</v>
      </c>
      <c r="H640" t="s">
        <v>25</v>
      </c>
      <c r="I640" t="s">
        <v>26</v>
      </c>
      <c r="J640" t="s">
        <v>25</v>
      </c>
      <c r="K640">
        <v>18</v>
      </c>
      <c r="L640">
        <v>0</v>
      </c>
      <c r="M640">
        <v>0</v>
      </c>
      <c r="N640">
        <v>0</v>
      </c>
      <c r="O640">
        <v>9</v>
      </c>
      <c r="P640">
        <v>4</v>
      </c>
      <c r="Q640">
        <v>4</v>
      </c>
      <c r="R640">
        <v>4</v>
      </c>
      <c r="S640">
        <v>4</v>
      </c>
      <c r="T640">
        <v>3</v>
      </c>
      <c r="U640">
        <v>1</v>
      </c>
      <c r="V640">
        <v>18</v>
      </c>
    </row>
    <row r="641" spans="1:22" x14ac:dyDescent="0.25">
      <c r="A641">
        <v>2025</v>
      </c>
      <c r="B641">
        <v>12</v>
      </c>
      <c r="C641" t="s">
        <v>61</v>
      </c>
      <c r="D641" t="s">
        <v>22</v>
      </c>
      <c r="E641" t="s">
        <v>166</v>
      </c>
      <c r="F641" t="s">
        <v>32</v>
      </c>
      <c r="G641" t="s">
        <v>24</v>
      </c>
      <c r="H641" t="s">
        <v>25</v>
      </c>
      <c r="I641" t="s">
        <v>26</v>
      </c>
      <c r="J641" t="s">
        <v>25</v>
      </c>
      <c r="K641">
        <v>290</v>
      </c>
      <c r="L641">
        <v>2</v>
      </c>
      <c r="M641">
        <v>0</v>
      </c>
      <c r="N641">
        <v>2</v>
      </c>
      <c r="O641">
        <v>197</v>
      </c>
      <c r="P641">
        <v>174</v>
      </c>
      <c r="Q641">
        <v>154</v>
      </c>
      <c r="R641">
        <v>110</v>
      </c>
      <c r="S641">
        <v>79</v>
      </c>
      <c r="T641">
        <v>23</v>
      </c>
      <c r="U641">
        <v>4</v>
      </c>
      <c r="V641">
        <v>288</v>
      </c>
    </row>
    <row r="642" spans="1:22" x14ac:dyDescent="0.25">
      <c r="A642">
        <v>2025</v>
      </c>
      <c r="B642">
        <v>12</v>
      </c>
      <c r="C642" t="s">
        <v>61</v>
      </c>
      <c r="D642" t="s">
        <v>22</v>
      </c>
      <c r="E642" t="s">
        <v>168</v>
      </c>
      <c r="F642" t="s">
        <v>31</v>
      </c>
      <c r="G642" t="s">
        <v>24</v>
      </c>
      <c r="H642" t="s">
        <v>25</v>
      </c>
      <c r="I642" t="s">
        <v>26</v>
      </c>
      <c r="J642" t="s">
        <v>25</v>
      </c>
      <c r="K642">
        <v>358</v>
      </c>
      <c r="L642">
        <v>0</v>
      </c>
      <c r="M642">
        <v>0</v>
      </c>
      <c r="N642">
        <v>0</v>
      </c>
      <c r="O642">
        <v>80</v>
      </c>
      <c r="P642">
        <v>44</v>
      </c>
      <c r="Q642">
        <v>36</v>
      </c>
      <c r="R642">
        <v>18</v>
      </c>
      <c r="S642">
        <v>5</v>
      </c>
      <c r="T642">
        <v>2</v>
      </c>
      <c r="U642">
        <v>0</v>
      </c>
      <c r="V642">
        <v>358</v>
      </c>
    </row>
    <row r="643" spans="1:22" x14ac:dyDescent="0.25">
      <c r="A643">
        <v>2025</v>
      </c>
      <c r="B643">
        <v>12</v>
      </c>
      <c r="C643" t="s">
        <v>61</v>
      </c>
      <c r="D643" t="s">
        <v>22</v>
      </c>
      <c r="E643" t="s">
        <v>168</v>
      </c>
      <c r="F643" t="s">
        <v>32</v>
      </c>
      <c r="G643" t="s">
        <v>24</v>
      </c>
      <c r="H643" t="s">
        <v>25</v>
      </c>
      <c r="I643" t="s">
        <v>26</v>
      </c>
      <c r="J643" t="s">
        <v>25</v>
      </c>
      <c r="K643">
        <v>36</v>
      </c>
      <c r="L643">
        <v>0</v>
      </c>
      <c r="M643">
        <v>0</v>
      </c>
      <c r="N643">
        <v>0</v>
      </c>
      <c r="O643">
        <v>22</v>
      </c>
      <c r="P643">
        <v>17</v>
      </c>
      <c r="Q643">
        <v>14</v>
      </c>
      <c r="R643">
        <v>10</v>
      </c>
      <c r="S643">
        <v>7</v>
      </c>
      <c r="T643">
        <v>5</v>
      </c>
      <c r="U643">
        <v>0</v>
      </c>
      <c r="V643">
        <v>36</v>
      </c>
    </row>
    <row r="644" spans="1:22" x14ac:dyDescent="0.25">
      <c r="A644">
        <v>2025</v>
      </c>
      <c r="B644">
        <v>12</v>
      </c>
      <c r="C644" t="s">
        <v>61</v>
      </c>
      <c r="D644" t="s">
        <v>22</v>
      </c>
      <c r="E644" t="s">
        <v>169</v>
      </c>
      <c r="F644" t="s">
        <v>32</v>
      </c>
      <c r="G644" t="s">
        <v>24</v>
      </c>
      <c r="H644" t="s">
        <v>25</v>
      </c>
      <c r="I644" t="s">
        <v>26</v>
      </c>
      <c r="J644" t="s">
        <v>25</v>
      </c>
      <c r="K644">
        <v>13</v>
      </c>
      <c r="L644">
        <v>0</v>
      </c>
      <c r="M644">
        <v>0</v>
      </c>
      <c r="N644">
        <v>0</v>
      </c>
      <c r="O644">
        <v>5</v>
      </c>
      <c r="P644">
        <v>2</v>
      </c>
      <c r="Q644">
        <v>1</v>
      </c>
      <c r="R644">
        <v>0</v>
      </c>
      <c r="S644">
        <v>0</v>
      </c>
      <c r="T644">
        <v>0</v>
      </c>
      <c r="U644">
        <v>0</v>
      </c>
      <c r="V644">
        <v>13</v>
      </c>
    </row>
    <row r="645" spans="1:22" x14ac:dyDescent="0.25">
      <c r="A645">
        <v>2025</v>
      </c>
      <c r="B645">
        <v>12</v>
      </c>
      <c r="C645" t="s">
        <v>61</v>
      </c>
      <c r="D645" t="s">
        <v>22</v>
      </c>
      <c r="E645" t="s">
        <v>157</v>
      </c>
      <c r="F645" t="s">
        <v>31</v>
      </c>
      <c r="G645" t="s">
        <v>24</v>
      </c>
      <c r="H645" t="s">
        <v>25</v>
      </c>
      <c r="I645" t="s">
        <v>26</v>
      </c>
      <c r="J645" t="s">
        <v>25</v>
      </c>
      <c r="K645">
        <v>124</v>
      </c>
      <c r="L645">
        <v>0</v>
      </c>
      <c r="M645">
        <v>0</v>
      </c>
      <c r="N645">
        <v>0</v>
      </c>
      <c r="O645">
        <v>29</v>
      </c>
      <c r="P645">
        <v>20</v>
      </c>
      <c r="Q645">
        <v>20</v>
      </c>
      <c r="R645">
        <v>15</v>
      </c>
      <c r="S645">
        <v>11</v>
      </c>
      <c r="T645">
        <v>7</v>
      </c>
      <c r="U645">
        <v>1</v>
      </c>
      <c r="V645">
        <v>124</v>
      </c>
    </row>
    <row r="646" spans="1:22" x14ac:dyDescent="0.25">
      <c r="A646">
        <v>2025</v>
      </c>
      <c r="B646">
        <v>12</v>
      </c>
      <c r="C646" t="s">
        <v>61</v>
      </c>
      <c r="D646" t="s">
        <v>22</v>
      </c>
      <c r="E646" t="s">
        <v>157</v>
      </c>
      <c r="F646" t="s">
        <v>35</v>
      </c>
      <c r="G646" t="s">
        <v>24</v>
      </c>
      <c r="H646" t="s">
        <v>25</v>
      </c>
      <c r="I646" t="s">
        <v>26</v>
      </c>
      <c r="J646" t="s">
        <v>26</v>
      </c>
      <c r="K646">
        <v>3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3</v>
      </c>
    </row>
    <row r="647" spans="1:22" x14ac:dyDescent="0.25">
      <c r="A647">
        <v>2025</v>
      </c>
      <c r="B647">
        <v>12</v>
      </c>
      <c r="C647" t="s">
        <v>61</v>
      </c>
      <c r="D647" t="s">
        <v>22</v>
      </c>
      <c r="E647" t="s">
        <v>157</v>
      </c>
      <c r="F647" t="s">
        <v>41</v>
      </c>
      <c r="G647" t="s">
        <v>24</v>
      </c>
      <c r="H647" t="s">
        <v>26</v>
      </c>
      <c r="I647" t="s">
        <v>26</v>
      </c>
      <c r="J647" t="s">
        <v>25</v>
      </c>
      <c r="K647">
        <v>57</v>
      </c>
      <c r="L647">
        <v>0</v>
      </c>
      <c r="M647">
        <v>0</v>
      </c>
      <c r="N647">
        <v>0</v>
      </c>
      <c r="O647">
        <v>35</v>
      </c>
      <c r="P647">
        <v>29</v>
      </c>
      <c r="Q647">
        <v>29</v>
      </c>
      <c r="R647">
        <v>25</v>
      </c>
      <c r="S647">
        <v>18</v>
      </c>
      <c r="T647">
        <v>8</v>
      </c>
      <c r="U647">
        <v>3</v>
      </c>
      <c r="V647">
        <v>57</v>
      </c>
    </row>
    <row r="648" spans="1:22" x14ac:dyDescent="0.25">
      <c r="A648">
        <v>2025</v>
      </c>
      <c r="B648">
        <v>12</v>
      </c>
      <c r="C648" t="s">
        <v>61</v>
      </c>
      <c r="D648" t="s">
        <v>22</v>
      </c>
      <c r="E648" t="s">
        <v>170</v>
      </c>
      <c r="F648" t="s">
        <v>32</v>
      </c>
      <c r="G648" t="s">
        <v>24</v>
      </c>
      <c r="H648" t="s">
        <v>25</v>
      </c>
      <c r="I648" t="s">
        <v>26</v>
      </c>
      <c r="J648" t="s">
        <v>25</v>
      </c>
      <c r="K648">
        <v>18</v>
      </c>
      <c r="L648">
        <v>0</v>
      </c>
      <c r="M648">
        <v>0</v>
      </c>
      <c r="N648">
        <v>0</v>
      </c>
      <c r="O648">
        <v>9</v>
      </c>
      <c r="P648">
        <v>6</v>
      </c>
      <c r="Q648">
        <v>6</v>
      </c>
      <c r="R648">
        <v>5</v>
      </c>
      <c r="S648">
        <v>5</v>
      </c>
      <c r="T648">
        <v>1</v>
      </c>
      <c r="U648">
        <v>0</v>
      </c>
      <c r="V648">
        <v>18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V402"/>
  <sheetViews>
    <sheetView workbookViewId="0">
      <selection activeCell="J25" sqref="J25"/>
    </sheetView>
  </sheetViews>
  <sheetFormatPr defaultRowHeight="15" x14ac:dyDescent="0.25"/>
  <sheetData>
    <row r="1" spans="1:2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122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</row>
    <row r="2" spans="1:22" x14ac:dyDescent="0.25">
      <c r="A2">
        <v>2025</v>
      </c>
      <c r="B2">
        <v>1</v>
      </c>
      <c r="C2" t="s">
        <v>69</v>
      </c>
      <c r="D2" t="s">
        <v>22</v>
      </c>
      <c r="E2" t="s">
        <v>33</v>
      </c>
      <c r="F2" t="s">
        <v>34</v>
      </c>
      <c r="G2" t="s">
        <v>24</v>
      </c>
      <c r="H2" t="s">
        <v>25</v>
      </c>
      <c r="I2" t="s">
        <v>26</v>
      </c>
      <c r="J2" t="s">
        <v>26</v>
      </c>
      <c r="K2">
        <v>12</v>
      </c>
      <c r="L2">
        <v>0</v>
      </c>
      <c r="M2">
        <v>0</v>
      </c>
      <c r="N2">
        <v>0</v>
      </c>
      <c r="O2">
        <v>3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12</v>
      </c>
    </row>
    <row r="3" spans="1:22" x14ac:dyDescent="0.25">
      <c r="A3">
        <v>2025</v>
      </c>
      <c r="B3">
        <v>1</v>
      </c>
      <c r="C3" t="s">
        <v>69</v>
      </c>
      <c r="D3" t="s">
        <v>22</v>
      </c>
      <c r="E3" t="s">
        <v>126</v>
      </c>
      <c r="F3" t="s">
        <v>34</v>
      </c>
      <c r="G3" t="s">
        <v>24</v>
      </c>
      <c r="H3" t="s">
        <v>25</v>
      </c>
      <c r="I3" t="s">
        <v>26</v>
      </c>
      <c r="J3" t="s">
        <v>26</v>
      </c>
      <c r="K3">
        <v>1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1</v>
      </c>
    </row>
    <row r="4" spans="1:22" x14ac:dyDescent="0.25">
      <c r="A4">
        <v>2025</v>
      </c>
      <c r="B4">
        <v>1</v>
      </c>
      <c r="C4" t="s">
        <v>69</v>
      </c>
      <c r="D4" t="s">
        <v>22</v>
      </c>
      <c r="E4" t="s">
        <v>132</v>
      </c>
      <c r="F4" t="s">
        <v>32</v>
      </c>
      <c r="G4" t="s">
        <v>24</v>
      </c>
      <c r="H4" t="s">
        <v>25</v>
      </c>
      <c r="I4" t="s">
        <v>26</v>
      </c>
      <c r="J4" t="s">
        <v>25</v>
      </c>
      <c r="K4">
        <v>58</v>
      </c>
      <c r="L4">
        <v>0</v>
      </c>
      <c r="M4">
        <v>0</v>
      </c>
      <c r="N4">
        <v>0</v>
      </c>
      <c r="O4">
        <v>14</v>
      </c>
      <c r="P4">
        <v>6</v>
      </c>
      <c r="Q4">
        <v>5</v>
      </c>
      <c r="R4">
        <v>5</v>
      </c>
      <c r="S4">
        <v>3</v>
      </c>
      <c r="T4">
        <v>3</v>
      </c>
      <c r="U4">
        <v>3</v>
      </c>
      <c r="V4">
        <v>58</v>
      </c>
    </row>
    <row r="5" spans="1:22" x14ac:dyDescent="0.25">
      <c r="A5">
        <v>2025</v>
      </c>
      <c r="B5">
        <v>1</v>
      </c>
      <c r="C5" t="s">
        <v>69</v>
      </c>
      <c r="D5" t="s">
        <v>22</v>
      </c>
      <c r="E5" t="s">
        <v>132</v>
      </c>
      <c r="F5" t="s">
        <v>34</v>
      </c>
      <c r="G5" t="s">
        <v>24</v>
      </c>
      <c r="H5" t="s">
        <v>25</v>
      </c>
      <c r="I5" t="s">
        <v>26</v>
      </c>
      <c r="J5" t="s">
        <v>26</v>
      </c>
      <c r="K5">
        <v>46</v>
      </c>
      <c r="L5">
        <v>0</v>
      </c>
      <c r="M5">
        <v>0</v>
      </c>
      <c r="N5">
        <v>0</v>
      </c>
      <c r="O5">
        <v>10</v>
      </c>
      <c r="P5">
        <v>6</v>
      </c>
      <c r="Q5">
        <v>5</v>
      </c>
      <c r="R5">
        <v>5</v>
      </c>
      <c r="S5">
        <v>3</v>
      </c>
      <c r="T5">
        <v>3</v>
      </c>
      <c r="U5">
        <v>3</v>
      </c>
      <c r="V5">
        <v>46</v>
      </c>
    </row>
    <row r="6" spans="1:22" x14ac:dyDescent="0.25">
      <c r="A6">
        <v>2025</v>
      </c>
      <c r="B6">
        <v>1</v>
      </c>
      <c r="C6" t="s">
        <v>69</v>
      </c>
      <c r="D6" t="s">
        <v>22</v>
      </c>
      <c r="E6" t="s">
        <v>37</v>
      </c>
      <c r="F6" t="s">
        <v>38</v>
      </c>
      <c r="G6" t="s">
        <v>28</v>
      </c>
      <c r="H6" t="s">
        <v>25</v>
      </c>
      <c r="I6" t="s">
        <v>26</v>
      </c>
      <c r="J6" t="s">
        <v>25</v>
      </c>
      <c r="K6">
        <v>1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1</v>
      </c>
    </row>
    <row r="7" spans="1:22" x14ac:dyDescent="0.25">
      <c r="A7">
        <v>2025</v>
      </c>
      <c r="B7">
        <v>1</v>
      </c>
      <c r="C7" t="s">
        <v>69</v>
      </c>
      <c r="D7" t="s">
        <v>22</v>
      </c>
      <c r="E7" t="s">
        <v>37</v>
      </c>
      <c r="F7" t="s">
        <v>38</v>
      </c>
      <c r="G7" t="s">
        <v>24</v>
      </c>
      <c r="H7" t="s">
        <v>25</v>
      </c>
      <c r="I7" t="s">
        <v>26</v>
      </c>
      <c r="J7" t="s">
        <v>25</v>
      </c>
      <c r="K7">
        <v>1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1</v>
      </c>
    </row>
    <row r="8" spans="1:22" x14ac:dyDescent="0.25">
      <c r="A8">
        <v>2025</v>
      </c>
      <c r="B8">
        <v>1</v>
      </c>
      <c r="C8" t="s">
        <v>69</v>
      </c>
      <c r="D8" t="s">
        <v>22</v>
      </c>
      <c r="E8" t="s">
        <v>37</v>
      </c>
      <c r="F8" t="s">
        <v>23</v>
      </c>
      <c r="G8" t="s">
        <v>24</v>
      </c>
      <c r="H8" t="s">
        <v>25</v>
      </c>
      <c r="I8" t="s">
        <v>26</v>
      </c>
      <c r="J8" t="s">
        <v>25</v>
      </c>
      <c r="K8">
        <v>167</v>
      </c>
      <c r="L8">
        <v>3</v>
      </c>
      <c r="M8">
        <v>1</v>
      </c>
      <c r="N8">
        <v>4</v>
      </c>
      <c r="O8">
        <v>30</v>
      </c>
      <c r="P8">
        <v>24</v>
      </c>
      <c r="Q8">
        <v>21</v>
      </c>
      <c r="R8">
        <v>13</v>
      </c>
      <c r="S8">
        <v>12</v>
      </c>
      <c r="T8">
        <v>6</v>
      </c>
      <c r="U8">
        <v>6</v>
      </c>
      <c r="V8">
        <v>163</v>
      </c>
    </row>
    <row r="9" spans="1:22" x14ac:dyDescent="0.25">
      <c r="A9">
        <v>2025</v>
      </c>
      <c r="B9">
        <v>1</v>
      </c>
      <c r="C9" t="s">
        <v>69</v>
      </c>
      <c r="D9" t="s">
        <v>22</v>
      </c>
      <c r="E9" t="s">
        <v>37</v>
      </c>
      <c r="F9" t="s">
        <v>23</v>
      </c>
      <c r="G9" t="s">
        <v>29</v>
      </c>
      <c r="H9" t="s">
        <v>25</v>
      </c>
      <c r="I9" t="s">
        <v>26</v>
      </c>
      <c r="J9" t="s">
        <v>25</v>
      </c>
      <c r="K9">
        <v>1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 x14ac:dyDescent="0.25">
      <c r="A10">
        <v>2025</v>
      </c>
      <c r="B10">
        <v>1</v>
      </c>
      <c r="C10" t="s">
        <v>69</v>
      </c>
      <c r="D10" t="s">
        <v>22</v>
      </c>
      <c r="E10" t="s">
        <v>37</v>
      </c>
      <c r="F10" t="s">
        <v>39</v>
      </c>
      <c r="G10" t="s">
        <v>28</v>
      </c>
      <c r="H10" t="s">
        <v>26</v>
      </c>
      <c r="I10" t="s">
        <v>26</v>
      </c>
      <c r="J10" t="s">
        <v>25</v>
      </c>
      <c r="K10">
        <v>2</v>
      </c>
      <c r="L10">
        <v>0</v>
      </c>
      <c r="M10">
        <v>0</v>
      </c>
      <c r="N10">
        <v>0</v>
      </c>
      <c r="O10">
        <v>1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2</v>
      </c>
    </row>
    <row r="11" spans="1:22" x14ac:dyDescent="0.25">
      <c r="A11">
        <v>2025</v>
      </c>
      <c r="B11">
        <v>1</v>
      </c>
      <c r="C11" t="s">
        <v>69</v>
      </c>
      <c r="D11" t="s">
        <v>22</v>
      </c>
      <c r="E11" t="s">
        <v>145</v>
      </c>
      <c r="F11" t="s">
        <v>32</v>
      </c>
      <c r="G11" t="s">
        <v>28</v>
      </c>
      <c r="H11" t="s">
        <v>25</v>
      </c>
      <c r="I11" t="s">
        <v>26</v>
      </c>
      <c r="J11" t="s">
        <v>25</v>
      </c>
      <c r="K11">
        <v>1</v>
      </c>
      <c r="L11">
        <v>0</v>
      </c>
      <c r="M11">
        <v>0</v>
      </c>
      <c r="N11">
        <v>0</v>
      </c>
      <c r="O11">
        <v>1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1</v>
      </c>
    </row>
    <row r="12" spans="1:22" x14ac:dyDescent="0.25">
      <c r="A12">
        <v>2025</v>
      </c>
      <c r="B12">
        <v>1</v>
      </c>
      <c r="C12" t="s">
        <v>69</v>
      </c>
      <c r="D12" t="s">
        <v>22</v>
      </c>
      <c r="E12" t="s">
        <v>145</v>
      </c>
      <c r="F12" t="s">
        <v>32</v>
      </c>
      <c r="G12" t="s">
        <v>24</v>
      </c>
      <c r="H12" t="s">
        <v>25</v>
      </c>
      <c r="I12" t="s">
        <v>26</v>
      </c>
      <c r="J12" t="s">
        <v>25</v>
      </c>
      <c r="K12">
        <v>277</v>
      </c>
      <c r="L12">
        <v>1</v>
      </c>
      <c r="M12">
        <v>4</v>
      </c>
      <c r="N12">
        <v>5</v>
      </c>
      <c r="O12">
        <v>34</v>
      </c>
      <c r="P12">
        <v>19</v>
      </c>
      <c r="Q12">
        <v>16</v>
      </c>
      <c r="R12">
        <v>6</v>
      </c>
      <c r="S12">
        <v>3</v>
      </c>
      <c r="T12">
        <v>1</v>
      </c>
      <c r="U12">
        <v>0</v>
      </c>
      <c r="V12">
        <v>275</v>
      </c>
    </row>
    <row r="13" spans="1:22" x14ac:dyDescent="0.25">
      <c r="A13">
        <v>2025</v>
      </c>
      <c r="B13">
        <v>1</v>
      </c>
      <c r="C13" t="s">
        <v>69</v>
      </c>
      <c r="D13" t="s">
        <v>22</v>
      </c>
      <c r="E13" t="s">
        <v>149</v>
      </c>
      <c r="F13" t="s">
        <v>32</v>
      </c>
      <c r="G13" t="s">
        <v>24</v>
      </c>
      <c r="H13" t="s">
        <v>25</v>
      </c>
      <c r="I13" t="s">
        <v>26</v>
      </c>
      <c r="J13" t="s">
        <v>25</v>
      </c>
      <c r="K13">
        <v>122</v>
      </c>
      <c r="L13">
        <v>5</v>
      </c>
      <c r="M13">
        <v>19</v>
      </c>
      <c r="N13">
        <v>24</v>
      </c>
      <c r="O13">
        <v>24</v>
      </c>
      <c r="P13">
        <v>16</v>
      </c>
      <c r="Q13">
        <v>15</v>
      </c>
      <c r="R13">
        <v>8</v>
      </c>
      <c r="S13">
        <v>6</v>
      </c>
      <c r="T13">
        <v>2</v>
      </c>
      <c r="U13">
        <v>0</v>
      </c>
      <c r="V13">
        <v>98</v>
      </c>
    </row>
    <row r="14" spans="1:22" x14ac:dyDescent="0.25">
      <c r="A14">
        <v>2025</v>
      </c>
      <c r="B14">
        <v>1</v>
      </c>
      <c r="C14" t="s">
        <v>69</v>
      </c>
      <c r="D14" t="s">
        <v>22</v>
      </c>
      <c r="E14" t="s">
        <v>149</v>
      </c>
      <c r="F14" t="s">
        <v>34</v>
      </c>
      <c r="G14" t="s">
        <v>24</v>
      </c>
      <c r="H14" t="s">
        <v>25</v>
      </c>
      <c r="I14" t="s">
        <v>26</v>
      </c>
      <c r="J14" t="s">
        <v>26</v>
      </c>
      <c r="K14">
        <v>1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1</v>
      </c>
    </row>
    <row r="15" spans="1:22" x14ac:dyDescent="0.25">
      <c r="A15">
        <v>2025</v>
      </c>
      <c r="B15">
        <v>1</v>
      </c>
      <c r="C15" t="s">
        <v>69</v>
      </c>
      <c r="D15" t="s">
        <v>22</v>
      </c>
      <c r="E15" t="s">
        <v>149</v>
      </c>
      <c r="F15" t="s">
        <v>23</v>
      </c>
      <c r="G15" t="s">
        <v>24</v>
      </c>
      <c r="H15" t="s">
        <v>25</v>
      </c>
      <c r="I15" t="s">
        <v>26</v>
      </c>
      <c r="J15" t="s">
        <v>25</v>
      </c>
      <c r="K15">
        <v>211</v>
      </c>
      <c r="L15">
        <v>1</v>
      </c>
      <c r="M15">
        <v>2</v>
      </c>
      <c r="N15">
        <v>3</v>
      </c>
      <c r="O15">
        <v>35</v>
      </c>
      <c r="P15">
        <v>27</v>
      </c>
      <c r="Q15">
        <v>18</v>
      </c>
      <c r="R15">
        <v>13</v>
      </c>
      <c r="S15">
        <v>10</v>
      </c>
      <c r="T15">
        <v>6</v>
      </c>
      <c r="U15">
        <v>3</v>
      </c>
      <c r="V15">
        <v>208</v>
      </c>
    </row>
    <row r="16" spans="1:22" x14ac:dyDescent="0.25">
      <c r="A16">
        <v>2025</v>
      </c>
      <c r="B16">
        <v>1</v>
      </c>
      <c r="C16" t="s">
        <v>69</v>
      </c>
      <c r="D16" t="s">
        <v>22</v>
      </c>
      <c r="E16" t="s">
        <v>149</v>
      </c>
      <c r="F16" t="s">
        <v>39</v>
      </c>
      <c r="G16" t="s">
        <v>28</v>
      </c>
      <c r="H16" t="s">
        <v>26</v>
      </c>
      <c r="I16" t="s">
        <v>26</v>
      </c>
      <c r="J16" t="s">
        <v>25</v>
      </c>
      <c r="K16">
        <v>15</v>
      </c>
      <c r="L16">
        <v>0</v>
      </c>
      <c r="M16">
        <v>0</v>
      </c>
      <c r="N16">
        <v>0</v>
      </c>
      <c r="O16">
        <v>2</v>
      </c>
      <c r="P16">
        <v>1</v>
      </c>
      <c r="Q16">
        <v>1</v>
      </c>
      <c r="R16">
        <v>1</v>
      </c>
      <c r="S16">
        <v>0</v>
      </c>
      <c r="T16">
        <v>0</v>
      </c>
      <c r="U16">
        <v>0</v>
      </c>
      <c r="V16">
        <v>15</v>
      </c>
    </row>
    <row r="17" spans="1:22" x14ac:dyDescent="0.25">
      <c r="A17">
        <v>2025</v>
      </c>
      <c r="B17">
        <v>1</v>
      </c>
      <c r="C17" t="s">
        <v>69</v>
      </c>
      <c r="D17" t="s">
        <v>22</v>
      </c>
      <c r="E17" t="s">
        <v>149</v>
      </c>
      <c r="F17" t="s">
        <v>39</v>
      </c>
      <c r="G17" t="s">
        <v>24</v>
      </c>
      <c r="H17" t="s">
        <v>26</v>
      </c>
      <c r="I17" t="s">
        <v>26</v>
      </c>
      <c r="J17" t="s">
        <v>25</v>
      </c>
      <c r="K17">
        <v>1193</v>
      </c>
      <c r="L17">
        <v>51</v>
      </c>
      <c r="M17">
        <v>90</v>
      </c>
      <c r="N17">
        <v>141</v>
      </c>
      <c r="O17">
        <v>211</v>
      </c>
      <c r="P17">
        <v>150</v>
      </c>
      <c r="Q17">
        <v>126</v>
      </c>
      <c r="R17">
        <v>76</v>
      </c>
      <c r="S17">
        <v>44</v>
      </c>
      <c r="T17">
        <v>11</v>
      </c>
      <c r="U17">
        <v>2</v>
      </c>
      <c r="V17">
        <v>1082</v>
      </c>
    </row>
    <row r="18" spans="1:22" x14ac:dyDescent="0.25">
      <c r="A18">
        <v>2025</v>
      </c>
      <c r="B18">
        <v>1</v>
      </c>
      <c r="C18" t="s">
        <v>69</v>
      </c>
      <c r="D18" t="s">
        <v>22</v>
      </c>
      <c r="E18" t="s">
        <v>150</v>
      </c>
      <c r="F18" t="s">
        <v>32</v>
      </c>
      <c r="G18" t="s">
        <v>24</v>
      </c>
      <c r="H18" t="s">
        <v>25</v>
      </c>
      <c r="I18" t="s">
        <v>26</v>
      </c>
      <c r="J18" t="s">
        <v>25</v>
      </c>
      <c r="K18">
        <v>31</v>
      </c>
      <c r="L18">
        <v>0</v>
      </c>
      <c r="M18">
        <v>3</v>
      </c>
      <c r="N18">
        <v>3</v>
      </c>
      <c r="O18">
        <v>16</v>
      </c>
      <c r="P18">
        <v>12</v>
      </c>
      <c r="Q18">
        <v>8</v>
      </c>
      <c r="R18">
        <v>4</v>
      </c>
      <c r="S18">
        <v>1</v>
      </c>
      <c r="T18">
        <v>0</v>
      </c>
      <c r="U18">
        <v>0</v>
      </c>
      <c r="V18">
        <v>29</v>
      </c>
    </row>
    <row r="19" spans="1:22" x14ac:dyDescent="0.25">
      <c r="A19">
        <v>2025</v>
      </c>
      <c r="B19">
        <v>1</v>
      </c>
      <c r="C19" t="s">
        <v>69</v>
      </c>
      <c r="D19" t="s">
        <v>22</v>
      </c>
      <c r="E19" t="s">
        <v>51</v>
      </c>
      <c r="F19" t="s">
        <v>34</v>
      </c>
      <c r="G19" t="s">
        <v>24</v>
      </c>
      <c r="H19" t="s">
        <v>25</v>
      </c>
      <c r="I19" t="s">
        <v>26</v>
      </c>
      <c r="J19" t="s">
        <v>26</v>
      </c>
      <c r="K19">
        <v>5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5</v>
      </c>
    </row>
    <row r="20" spans="1:22" x14ac:dyDescent="0.25">
      <c r="A20">
        <v>2025</v>
      </c>
      <c r="B20">
        <v>1</v>
      </c>
      <c r="C20" t="s">
        <v>69</v>
      </c>
      <c r="D20" t="s">
        <v>22</v>
      </c>
      <c r="E20" t="s">
        <v>155</v>
      </c>
      <c r="F20" t="s">
        <v>34</v>
      </c>
      <c r="G20" t="s">
        <v>24</v>
      </c>
      <c r="H20" t="s">
        <v>25</v>
      </c>
      <c r="I20" t="s">
        <v>26</v>
      </c>
      <c r="J20" t="s">
        <v>26</v>
      </c>
      <c r="K20">
        <v>20</v>
      </c>
      <c r="L20">
        <v>0</v>
      </c>
      <c r="M20">
        <v>0</v>
      </c>
      <c r="N20">
        <v>0</v>
      </c>
      <c r="O20">
        <v>1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20</v>
      </c>
    </row>
    <row r="21" spans="1:22" x14ac:dyDescent="0.25">
      <c r="A21">
        <v>2025</v>
      </c>
      <c r="B21">
        <v>1</v>
      </c>
      <c r="C21" t="s">
        <v>69</v>
      </c>
      <c r="D21" t="s">
        <v>22</v>
      </c>
      <c r="E21" t="s">
        <v>152</v>
      </c>
      <c r="F21" t="s">
        <v>34</v>
      </c>
      <c r="G21" t="s">
        <v>24</v>
      </c>
      <c r="H21" t="s">
        <v>25</v>
      </c>
      <c r="I21" t="s">
        <v>26</v>
      </c>
      <c r="J21" t="s">
        <v>26</v>
      </c>
      <c r="K21">
        <v>14</v>
      </c>
      <c r="L21">
        <v>0</v>
      </c>
      <c r="M21">
        <v>0</v>
      </c>
      <c r="N21">
        <v>0</v>
      </c>
      <c r="O21">
        <v>2</v>
      </c>
      <c r="P21">
        <v>2</v>
      </c>
      <c r="Q21">
        <v>2</v>
      </c>
      <c r="R21">
        <v>2</v>
      </c>
      <c r="S21">
        <v>2</v>
      </c>
      <c r="T21">
        <v>2</v>
      </c>
      <c r="U21">
        <v>2</v>
      </c>
      <c r="V21">
        <v>7</v>
      </c>
    </row>
    <row r="22" spans="1:22" x14ac:dyDescent="0.25">
      <c r="A22">
        <v>2025</v>
      </c>
      <c r="B22">
        <v>1</v>
      </c>
      <c r="C22" t="s">
        <v>69</v>
      </c>
      <c r="D22" t="s">
        <v>22</v>
      </c>
      <c r="E22" t="s">
        <v>52</v>
      </c>
      <c r="F22" t="s">
        <v>34</v>
      </c>
      <c r="G22" t="s">
        <v>24</v>
      </c>
      <c r="H22" t="s">
        <v>25</v>
      </c>
      <c r="I22" t="s">
        <v>26</v>
      </c>
      <c r="J22" t="s">
        <v>26</v>
      </c>
      <c r="K22">
        <v>12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12</v>
      </c>
    </row>
    <row r="23" spans="1:22" x14ac:dyDescent="0.25">
      <c r="A23">
        <v>2025</v>
      </c>
      <c r="B23">
        <v>1</v>
      </c>
      <c r="C23" t="s">
        <v>69</v>
      </c>
      <c r="D23" t="s">
        <v>22</v>
      </c>
      <c r="E23" t="s">
        <v>163</v>
      </c>
      <c r="F23" t="s">
        <v>34</v>
      </c>
      <c r="G23" t="s">
        <v>24</v>
      </c>
      <c r="H23" t="s">
        <v>25</v>
      </c>
      <c r="I23" t="s">
        <v>26</v>
      </c>
      <c r="J23" t="s">
        <v>26</v>
      </c>
      <c r="K23">
        <v>36</v>
      </c>
      <c r="L23">
        <v>0</v>
      </c>
      <c r="M23">
        <v>0</v>
      </c>
      <c r="N23">
        <v>0</v>
      </c>
      <c r="O23">
        <v>2</v>
      </c>
      <c r="P23">
        <v>2</v>
      </c>
      <c r="Q23">
        <v>2</v>
      </c>
      <c r="R23">
        <v>2</v>
      </c>
      <c r="S23">
        <v>2</v>
      </c>
      <c r="T23">
        <v>2</v>
      </c>
      <c r="U23">
        <v>0</v>
      </c>
      <c r="V23">
        <v>29</v>
      </c>
    </row>
    <row r="24" spans="1:22" x14ac:dyDescent="0.25">
      <c r="A24">
        <v>2025</v>
      </c>
      <c r="B24">
        <v>1</v>
      </c>
      <c r="C24" t="s">
        <v>69</v>
      </c>
      <c r="D24" t="s">
        <v>22</v>
      </c>
      <c r="E24" t="s">
        <v>61</v>
      </c>
      <c r="F24" t="s">
        <v>34</v>
      </c>
      <c r="G24" t="s">
        <v>28</v>
      </c>
      <c r="H24" t="s">
        <v>25</v>
      </c>
      <c r="I24" t="s">
        <v>26</v>
      </c>
      <c r="J24" t="s">
        <v>26</v>
      </c>
      <c r="K24">
        <v>2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2</v>
      </c>
    </row>
    <row r="25" spans="1:22" x14ac:dyDescent="0.25">
      <c r="A25">
        <v>2025</v>
      </c>
      <c r="B25">
        <v>1</v>
      </c>
      <c r="C25" t="s">
        <v>69</v>
      </c>
      <c r="D25" t="s">
        <v>22</v>
      </c>
      <c r="E25" t="s">
        <v>61</v>
      </c>
      <c r="F25" t="s">
        <v>34</v>
      </c>
      <c r="G25" t="s">
        <v>24</v>
      </c>
      <c r="H25" t="s">
        <v>25</v>
      </c>
      <c r="I25" t="s">
        <v>26</v>
      </c>
      <c r="J25" t="s">
        <v>26</v>
      </c>
      <c r="K25">
        <v>24</v>
      </c>
      <c r="L25">
        <v>0</v>
      </c>
      <c r="M25">
        <v>0</v>
      </c>
      <c r="N25">
        <v>0</v>
      </c>
      <c r="O25">
        <v>5</v>
      </c>
      <c r="P25">
        <v>4</v>
      </c>
      <c r="Q25">
        <v>4</v>
      </c>
      <c r="R25">
        <v>4</v>
      </c>
      <c r="S25">
        <v>4</v>
      </c>
      <c r="T25">
        <v>3</v>
      </c>
      <c r="U25">
        <v>0</v>
      </c>
      <c r="V25">
        <v>24</v>
      </c>
    </row>
    <row r="26" spans="1:22" x14ac:dyDescent="0.25">
      <c r="A26">
        <v>2025</v>
      </c>
      <c r="B26">
        <v>1</v>
      </c>
      <c r="C26" t="s">
        <v>69</v>
      </c>
      <c r="D26" t="s">
        <v>22</v>
      </c>
      <c r="E26" t="s">
        <v>61</v>
      </c>
      <c r="F26" t="s">
        <v>34</v>
      </c>
      <c r="G26" t="s">
        <v>29</v>
      </c>
      <c r="H26" t="s">
        <v>25</v>
      </c>
      <c r="I26" t="s">
        <v>26</v>
      </c>
      <c r="J26" t="s">
        <v>26</v>
      </c>
      <c r="K26">
        <v>1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 x14ac:dyDescent="0.25">
      <c r="A27">
        <v>2025</v>
      </c>
      <c r="B27">
        <v>1</v>
      </c>
      <c r="C27" t="s">
        <v>69</v>
      </c>
      <c r="D27" t="s">
        <v>22</v>
      </c>
      <c r="E27" t="s">
        <v>61</v>
      </c>
      <c r="F27" t="s">
        <v>35</v>
      </c>
      <c r="G27" t="s">
        <v>28</v>
      </c>
      <c r="H27" t="s">
        <v>25</v>
      </c>
      <c r="I27" t="s">
        <v>26</v>
      </c>
      <c r="J27" t="s">
        <v>26</v>
      </c>
      <c r="K27">
        <v>23</v>
      </c>
      <c r="L27">
        <v>0</v>
      </c>
      <c r="M27">
        <v>0</v>
      </c>
      <c r="N27">
        <v>0</v>
      </c>
      <c r="O27">
        <v>6</v>
      </c>
      <c r="P27">
        <v>6</v>
      </c>
      <c r="Q27">
        <v>6</v>
      </c>
      <c r="R27">
        <v>4</v>
      </c>
      <c r="S27">
        <v>4</v>
      </c>
      <c r="T27">
        <v>4</v>
      </c>
      <c r="U27">
        <v>2</v>
      </c>
      <c r="V27">
        <v>23</v>
      </c>
    </row>
    <row r="28" spans="1:22" x14ac:dyDescent="0.25">
      <c r="A28">
        <v>2025</v>
      </c>
      <c r="B28">
        <v>1</v>
      </c>
      <c r="C28" t="s">
        <v>69</v>
      </c>
      <c r="D28" t="s">
        <v>22</v>
      </c>
      <c r="E28" t="s">
        <v>61</v>
      </c>
      <c r="F28" t="s">
        <v>35</v>
      </c>
      <c r="G28" t="s">
        <v>24</v>
      </c>
      <c r="H28" t="s">
        <v>25</v>
      </c>
      <c r="I28" t="s">
        <v>26</v>
      </c>
      <c r="J28" t="s">
        <v>26</v>
      </c>
      <c r="K28">
        <v>274</v>
      </c>
      <c r="L28">
        <v>2</v>
      </c>
      <c r="M28">
        <v>0</v>
      </c>
      <c r="N28">
        <v>2</v>
      </c>
      <c r="O28">
        <v>65</v>
      </c>
      <c r="P28">
        <v>47</v>
      </c>
      <c r="Q28">
        <v>38</v>
      </c>
      <c r="R28">
        <v>30</v>
      </c>
      <c r="S28">
        <v>25</v>
      </c>
      <c r="T28">
        <v>22</v>
      </c>
      <c r="U28">
        <v>14</v>
      </c>
      <c r="V28">
        <v>272</v>
      </c>
    </row>
    <row r="29" spans="1:22" x14ac:dyDescent="0.25">
      <c r="A29">
        <v>2025</v>
      </c>
      <c r="B29">
        <v>1</v>
      </c>
      <c r="C29" t="s">
        <v>69</v>
      </c>
      <c r="D29" t="s">
        <v>22</v>
      </c>
      <c r="E29" t="s">
        <v>61</v>
      </c>
      <c r="F29" t="s">
        <v>35</v>
      </c>
      <c r="G29" t="s">
        <v>29</v>
      </c>
      <c r="H29" t="s">
        <v>25</v>
      </c>
      <c r="I29" t="s">
        <v>26</v>
      </c>
      <c r="J29" t="s">
        <v>26</v>
      </c>
      <c r="K29">
        <v>3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 x14ac:dyDescent="0.25">
      <c r="A30">
        <v>2025</v>
      </c>
      <c r="B30">
        <v>1</v>
      </c>
      <c r="C30" t="s">
        <v>69</v>
      </c>
      <c r="D30" t="s">
        <v>22</v>
      </c>
      <c r="E30" t="s">
        <v>61</v>
      </c>
      <c r="F30" t="s">
        <v>41</v>
      </c>
      <c r="G30" t="s">
        <v>24</v>
      </c>
      <c r="H30" t="s">
        <v>26</v>
      </c>
      <c r="I30" t="s">
        <v>26</v>
      </c>
      <c r="J30" t="s">
        <v>25</v>
      </c>
      <c r="K30">
        <v>343</v>
      </c>
      <c r="L30">
        <v>0</v>
      </c>
      <c r="M30">
        <v>0</v>
      </c>
      <c r="N30">
        <v>0</v>
      </c>
      <c r="O30">
        <v>15</v>
      </c>
      <c r="P30">
        <v>11</v>
      </c>
      <c r="Q30">
        <v>11</v>
      </c>
      <c r="R30">
        <v>8</v>
      </c>
      <c r="S30">
        <v>7</v>
      </c>
      <c r="T30">
        <v>2</v>
      </c>
      <c r="U30">
        <v>0</v>
      </c>
      <c r="V30">
        <v>322</v>
      </c>
    </row>
    <row r="31" spans="1:22" x14ac:dyDescent="0.25">
      <c r="A31">
        <v>2025</v>
      </c>
      <c r="B31">
        <v>1</v>
      </c>
      <c r="C31" t="s">
        <v>69</v>
      </c>
      <c r="D31" t="s">
        <v>22</v>
      </c>
      <c r="E31" t="s">
        <v>166</v>
      </c>
      <c r="F31" t="s">
        <v>32</v>
      </c>
      <c r="G31" t="s">
        <v>24</v>
      </c>
      <c r="H31" t="s">
        <v>25</v>
      </c>
      <c r="I31" t="s">
        <v>26</v>
      </c>
      <c r="J31" t="s">
        <v>25</v>
      </c>
      <c r="K31">
        <v>171</v>
      </c>
      <c r="L31">
        <v>0</v>
      </c>
      <c r="M31">
        <v>2</v>
      </c>
      <c r="N31">
        <v>2</v>
      </c>
      <c r="O31">
        <v>72</v>
      </c>
      <c r="P31">
        <v>62</v>
      </c>
      <c r="Q31">
        <v>52</v>
      </c>
      <c r="R31">
        <v>37</v>
      </c>
      <c r="S31">
        <v>19</v>
      </c>
      <c r="T31">
        <v>8</v>
      </c>
      <c r="U31">
        <v>1</v>
      </c>
      <c r="V31">
        <v>169</v>
      </c>
    </row>
    <row r="32" spans="1:22" x14ac:dyDescent="0.25">
      <c r="A32">
        <v>2025</v>
      </c>
      <c r="B32">
        <v>1</v>
      </c>
      <c r="C32" t="s">
        <v>69</v>
      </c>
      <c r="D32" t="s">
        <v>22</v>
      </c>
      <c r="E32" t="s">
        <v>166</v>
      </c>
      <c r="F32" t="s">
        <v>38</v>
      </c>
      <c r="G32" t="s">
        <v>24</v>
      </c>
      <c r="H32" t="s">
        <v>25</v>
      </c>
      <c r="I32" t="s">
        <v>25</v>
      </c>
      <c r="J32" t="s">
        <v>25</v>
      </c>
      <c r="K32">
        <v>132</v>
      </c>
      <c r="L32">
        <v>0</v>
      </c>
      <c r="M32">
        <v>0</v>
      </c>
      <c r="N32">
        <v>0</v>
      </c>
      <c r="O32">
        <v>92</v>
      </c>
      <c r="P32">
        <v>73</v>
      </c>
      <c r="Q32">
        <v>67</v>
      </c>
      <c r="R32">
        <v>48</v>
      </c>
      <c r="S32">
        <v>21</v>
      </c>
      <c r="T32">
        <v>7</v>
      </c>
      <c r="U32">
        <v>2</v>
      </c>
      <c r="V32">
        <v>132</v>
      </c>
    </row>
    <row r="33" spans="1:22" x14ac:dyDescent="0.25">
      <c r="A33">
        <v>2025</v>
      </c>
      <c r="B33">
        <v>1</v>
      </c>
      <c r="C33" t="s">
        <v>69</v>
      </c>
      <c r="D33" t="s">
        <v>22</v>
      </c>
      <c r="E33" t="s">
        <v>167</v>
      </c>
      <c r="F33" t="s">
        <v>32</v>
      </c>
      <c r="G33" t="s">
        <v>24</v>
      </c>
      <c r="H33" t="s">
        <v>25</v>
      </c>
      <c r="I33" t="s">
        <v>26</v>
      </c>
      <c r="J33" t="s">
        <v>25</v>
      </c>
      <c r="K33">
        <v>7</v>
      </c>
      <c r="L33">
        <v>0</v>
      </c>
      <c r="M33">
        <v>0</v>
      </c>
      <c r="N33">
        <v>0</v>
      </c>
      <c r="O33">
        <v>5</v>
      </c>
      <c r="P33">
        <v>5</v>
      </c>
      <c r="Q33">
        <v>5</v>
      </c>
      <c r="R33">
        <v>4</v>
      </c>
      <c r="S33">
        <v>4</v>
      </c>
      <c r="T33">
        <v>0</v>
      </c>
      <c r="U33">
        <v>0</v>
      </c>
      <c r="V33">
        <v>7</v>
      </c>
    </row>
    <row r="34" spans="1:22" x14ac:dyDescent="0.25">
      <c r="A34">
        <v>2025</v>
      </c>
      <c r="B34">
        <v>1</v>
      </c>
      <c r="C34" t="s">
        <v>69</v>
      </c>
      <c r="D34" t="s">
        <v>22</v>
      </c>
      <c r="E34" t="s">
        <v>170</v>
      </c>
      <c r="F34" t="s">
        <v>41</v>
      </c>
      <c r="G34" t="s">
        <v>24</v>
      </c>
      <c r="H34" t="s">
        <v>26</v>
      </c>
      <c r="I34" t="s">
        <v>26</v>
      </c>
      <c r="J34" t="s">
        <v>25</v>
      </c>
      <c r="K34">
        <v>14</v>
      </c>
      <c r="L34">
        <v>0</v>
      </c>
      <c r="M34">
        <v>0</v>
      </c>
      <c r="N34">
        <v>0</v>
      </c>
      <c r="O34">
        <v>4</v>
      </c>
      <c r="P34">
        <v>4</v>
      </c>
      <c r="Q34">
        <v>4</v>
      </c>
      <c r="R34">
        <v>4</v>
      </c>
      <c r="S34">
        <v>4</v>
      </c>
      <c r="T34">
        <v>1</v>
      </c>
      <c r="U34">
        <v>0</v>
      </c>
      <c r="V34">
        <v>14</v>
      </c>
    </row>
    <row r="35" spans="1:22" x14ac:dyDescent="0.25">
      <c r="A35">
        <v>2025</v>
      </c>
      <c r="B35">
        <v>1</v>
      </c>
      <c r="C35" t="s">
        <v>69</v>
      </c>
      <c r="D35" t="s">
        <v>22</v>
      </c>
      <c r="E35" t="s">
        <v>69</v>
      </c>
      <c r="F35" t="s">
        <v>32</v>
      </c>
      <c r="G35" t="s">
        <v>28</v>
      </c>
      <c r="H35" t="s">
        <v>25</v>
      </c>
      <c r="I35" t="s">
        <v>26</v>
      </c>
      <c r="J35" t="s">
        <v>25</v>
      </c>
      <c r="K35">
        <v>46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46</v>
      </c>
    </row>
    <row r="36" spans="1:22" x14ac:dyDescent="0.25">
      <c r="A36">
        <v>2025</v>
      </c>
      <c r="B36">
        <v>1</v>
      </c>
      <c r="C36" t="s">
        <v>69</v>
      </c>
      <c r="D36" t="s">
        <v>22</v>
      </c>
      <c r="E36" t="s">
        <v>69</v>
      </c>
      <c r="F36" t="s">
        <v>32</v>
      </c>
      <c r="G36" t="s">
        <v>29</v>
      </c>
      <c r="H36" t="s">
        <v>25</v>
      </c>
      <c r="I36" t="s">
        <v>26</v>
      </c>
      <c r="J36" t="s">
        <v>25</v>
      </c>
      <c r="K36">
        <v>1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 x14ac:dyDescent="0.25">
      <c r="A37">
        <v>2025</v>
      </c>
      <c r="B37">
        <v>1</v>
      </c>
      <c r="C37" t="s">
        <v>69</v>
      </c>
      <c r="D37" t="s">
        <v>22</v>
      </c>
      <c r="E37" t="s">
        <v>69</v>
      </c>
      <c r="F37" t="s">
        <v>38</v>
      </c>
      <c r="G37" t="s">
        <v>24</v>
      </c>
      <c r="H37" t="s">
        <v>25</v>
      </c>
      <c r="I37" t="s">
        <v>25</v>
      </c>
      <c r="J37" t="s">
        <v>25</v>
      </c>
      <c r="K37">
        <v>97</v>
      </c>
      <c r="L37">
        <v>0</v>
      </c>
      <c r="M37">
        <v>0</v>
      </c>
      <c r="N37">
        <v>0</v>
      </c>
      <c r="O37">
        <v>64</v>
      </c>
      <c r="P37">
        <v>54</v>
      </c>
      <c r="Q37">
        <v>46</v>
      </c>
      <c r="R37">
        <v>32</v>
      </c>
      <c r="S37">
        <v>14</v>
      </c>
      <c r="T37">
        <v>4</v>
      </c>
      <c r="U37">
        <v>4</v>
      </c>
      <c r="V37">
        <v>97</v>
      </c>
    </row>
    <row r="38" spans="1:22" x14ac:dyDescent="0.25">
      <c r="A38">
        <v>2025</v>
      </c>
      <c r="B38">
        <v>1</v>
      </c>
      <c r="C38" t="s">
        <v>69</v>
      </c>
      <c r="D38" t="s">
        <v>22</v>
      </c>
      <c r="E38" t="s">
        <v>69</v>
      </c>
      <c r="F38" t="s">
        <v>34</v>
      </c>
      <c r="G38" t="s">
        <v>29</v>
      </c>
      <c r="H38" t="s">
        <v>25</v>
      </c>
      <c r="I38" t="s">
        <v>26</v>
      </c>
      <c r="J38" t="s">
        <v>26</v>
      </c>
      <c r="K38">
        <v>1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 x14ac:dyDescent="0.25">
      <c r="A39">
        <v>2025</v>
      </c>
      <c r="B39">
        <v>1</v>
      </c>
      <c r="C39" t="s">
        <v>69</v>
      </c>
      <c r="D39" t="s">
        <v>22</v>
      </c>
      <c r="E39" t="s">
        <v>69</v>
      </c>
      <c r="F39" t="s">
        <v>23</v>
      </c>
      <c r="G39" t="s">
        <v>28</v>
      </c>
      <c r="H39" t="s">
        <v>25</v>
      </c>
      <c r="I39" t="s">
        <v>26</v>
      </c>
      <c r="J39" t="s">
        <v>25</v>
      </c>
      <c r="K39">
        <v>11323</v>
      </c>
      <c r="L39">
        <v>25</v>
      </c>
      <c r="M39">
        <v>89</v>
      </c>
      <c r="N39">
        <v>114</v>
      </c>
      <c r="O39">
        <v>49</v>
      </c>
      <c r="P39">
        <v>42</v>
      </c>
      <c r="Q39">
        <v>38</v>
      </c>
      <c r="R39">
        <v>25</v>
      </c>
      <c r="S39">
        <v>13</v>
      </c>
      <c r="T39">
        <v>2</v>
      </c>
      <c r="U39">
        <v>0</v>
      </c>
      <c r="V39">
        <v>11210</v>
      </c>
    </row>
    <row r="40" spans="1:22" x14ac:dyDescent="0.25">
      <c r="A40">
        <v>2025</v>
      </c>
      <c r="B40">
        <v>1</v>
      </c>
      <c r="C40" t="s">
        <v>69</v>
      </c>
      <c r="D40" t="s">
        <v>22</v>
      </c>
      <c r="E40" t="s">
        <v>69</v>
      </c>
      <c r="F40" t="s">
        <v>23</v>
      </c>
      <c r="G40" t="s">
        <v>24</v>
      </c>
      <c r="H40" t="s">
        <v>25</v>
      </c>
      <c r="I40" t="s">
        <v>26</v>
      </c>
      <c r="J40" t="s">
        <v>25</v>
      </c>
      <c r="K40">
        <v>727</v>
      </c>
      <c r="L40">
        <v>7</v>
      </c>
      <c r="M40">
        <v>9</v>
      </c>
      <c r="N40">
        <v>16</v>
      </c>
      <c r="O40">
        <v>86</v>
      </c>
      <c r="P40">
        <v>60</v>
      </c>
      <c r="Q40">
        <v>55</v>
      </c>
      <c r="R40">
        <v>44</v>
      </c>
      <c r="S40">
        <v>34</v>
      </c>
      <c r="T40">
        <v>3</v>
      </c>
      <c r="U40">
        <v>0</v>
      </c>
      <c r="V40">
        <v>714</v>
      </c>
    </row>
    <row r="41" spans="1:22" x14ac:dyDescent="0.25">
      <c r="A41">
        <v>2025</v>
      </c>
      <c r="B41">
        <v>1</v>
      </c>
      <c r="C41" t="s">
        <v>69</v>
      </c>
      <c r="D41" t="s">
        <v>22</v>
      </c>
      <c r="E41" t="s">
        <v>69</v>
      </c>
      <c r="F41" t="s">
        <v>23</v>
      </c>
      <c r="G41" t="s">
        <v>29</v>
      </c>
      <c r="H41" t="s">
        <v>25</v>
      </c>
      <c r="I41" t="s">
        <v>26</v>
      </c>
      <c r="J41" t="s">
        <v>25</v>
      </c>
      <c r="K41">
        <v>3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 x14ac:dyDescent="0.25">
      <c r="A42">
        <v>2025</v>
      </c>
      <c r="B42">
        <v>1</v>
      </c>
      <c r="C42" t="s">
        <v>69</v>
      </c>
      <c r="D42" t="s">
        <v>22</v>
      </c>
      <c r="E42" t="s">
        <v>69</v>
      </c>
      <c r="F42" t="s">
        <v>39</v>
      </c>
      <c r="G42" t="s">
        <v>28</v>
      </c>
      <c r="H42" t="s">
        <v>26</v>
      </c>
      <c r="I42" t="s">
        <v>26</v>
      </c>
      <c r="J42" t="s">
        <v>25</v>
      </c>
      <c r="K42">
        <v>14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14</v>
      </c>
    </row>
    <row r="43" spans="1:22" x14ac:dyDescent="0.25">
      <c r="A43">
        <v>2025</v>
      </c>
      <c r="B43">
        <v>1</v>
      </c>
      <c r="C43" t="s">
        <v>69</v>
      </c>
      <c r="D43" t="s">
        <v>22</v>
      </c>
      <c r="E43" t="s">
        <v>69</v>
      </c>
      <c r="F43" t="s">
        <v>39</v>
      </c>
      <c r="G43" t="s">
        <v>29</v>
      </c>
      <c r="H43" t="s">
        <v>26</v>
      </c>
      <c r="I43" t="s">
        <v>26</v>
      </c>
      <c r="J43" t="s">
        <v>25</v>
      </c>
      <c r="K43">
        <v>1</v>
      </c>
      <c r="L43">
        <v>1</v>
      </c>
      <c r="M43">
        <v>0</v>
      </c>
      <c r="N43">
        <v>1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 x14ac:dyDescent="0.25">
      <c r="A44">
        <v>2025</v>
      </c>
      <c r="B44">
        <v>1</v>
      </c>
      <c r="C44" t="s">
        <v>69</v>
      </c>
      <c r="D44" t="s">
        <v>22</v>
      </c>
      <c r="E44" t="s">
        <v>69</v>
      </c>
      <c r="F44" t="s">
        <v>40</v>
      </c>
      <c r="G44" t="s">
        <v>28</v>
      </c>
      <c r="H44" t="s">
        <v>25</v>
      </c>
      <c r="I44" t="s">
        <v>26</v>
      </c>
      <c r="J44" t="s">
        <v>25</v>
      </c>
      <c r="K44">
        <v>12672</v>
      </c>
      <c r="L44">
        <v>31</v>
      </c>
      <c r="M44">
        <v>103</v>
      </c>
      <c r="N44">
        <v>134</v>
      </c>
      <c r="O44">
        <v>24</v>
      </c>
      <c r="P44">
        <v>20</v>
      </c>
      <c r="Q44">
        <v>19</v>
      </c>
      <c r="R44">
        <v>13</v>
      </c>
      <c r="S44">
        <v>5</v>
      </c>
      <c r="T44">
        <v>0</v>
      </c>
      <c r="U44">
        <v>0</v>
      </c>
      <c r="V44">
        <v>12459</v>
      </c>
    </row>
    <row r="45" spans="1:22" x14ac:dyDescent="0.25">
      <c r="A45">
        <v>2025</v>
      </c>
      <c r="B45">
        <v>1</v>
      </c>
      <c r="C45" t="s">
        <v>69</v>
      </c>
      <c r="D45" t="s">
        <v>22</v>
      </c>
      <c r="E45" t="s">
        <v>69</v>
      </c>
      <c r="F45" t="s">
        <v>40</v>
      </c>
      <c r="G45" t="s">
        <v>24</v>
      </c>
      <c r="H45" t="s">
        <v>25</v>
      </c>
      <c r="I45" t="s">
        <v>26</v>
      </c>
      <c r="J45" t="s">
        <v>25</v>
      </c>
      <c r="K45">
        <v>972</v>
      </c>
      <c r="L45">
        <v>3</v>
      </c>
      <c r="M45">
        <v>16</v>
      </c>
      <c r="N45">
        <v>19</v>
      </c>
      <c r="O45">
        <v>39</v>
      </c>
      <c r="P45">
        <v>16</v>
      </c>
      <c r="Q45">
        <v>12</v>
      </c>
      <c r="R45">
        <v>8</v>
      </c>
      <c r="S45">
        <v>1</v>
      </c>
      <c r="T45">
        <v>0</v>
      </c>
      <c r="U45">
        <v>0</v>
      </c>
      <c r="V45">
        <v>936</v>
      </c>
    </row>
    <row r="46" spans="1:22" x14ac:dyDescent="0.25">
      <c r="A46">
        <v>2025</v>
      </c>
      <c r="B46">
        <v>1</v>
      </c>
      <c r="C46" t="s">
        <v>69</v>
      </c>
      <c r="D46" t="s">
        <v>22</v>
      </c>
      <c r="E46" t="s">
        <v>124</v>
      </c>
      <c r="F46" t="s">
        <v>70</v>
      </c>
      <c r="G46" t="s">
        <v>28</v>
      </c>
      <c r="H46" t="s">
        <v>26</v>
      </c>
      <c r="I46" t="s">
        <v>26</v>
      </c>
      <c r="J46" t="s">
        <v>25</v>
      </c>
      <c r="K46">
        <v>2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2</v>
      </c>
    </row>
    <row r="47" spans="1:22" x14ac:dyDescent="0.25">
      <c r="A47">
        <v>2025</v>
      </c>
      <c r="B47">
        <v>1</v>
      </c>
      <c r="C47" t="s">
        <v>69</v>
      </c>
      <c r="D47" t="s">
        <v>22</v>
      </c>
      <c r="E47" t="s">
        <v>124</v>
      </c>
      <c r="F47" t="s">
        <v>70</v>
      </c>
      <c r="G47" t="s">
        <v>24</v>
      </c>
      <c r="H47" t="s">
        <v>26</v>
      </c>
      <c r="I47" t="s">
        <v>26</v>
      </c>
      <c r="J47" t="s">
        <v>25</v>
      </c>
      <c r="K47">
        <v>791</v>
      </c>
      <c r="L47">
        <v>10</v>
      </c>
      <c r="M47">
        <v>14</v>
      </c>
      <c r="N47">
        <v>24</v>
      </c>
      <c r="O47">
        <v>161</v>
      </c>
      <c r="P47">
        <v>127</v>
      </c>
      <c r="Q47">
        <v>123</v>
      </c>
      <c r="R47">
        <v>101</v>
      </c>
      <c r="S47">
        <v>81</v>
      </c>
      <c r="T47">
        <v>42</v>
      </c>
      <c r="U47">
        <v>15</v>
      </c>
      <c r="V47">
        <v>776</v>
      </c>
    </row>
    <row r="48" spans="1:22" x14ac:dyDescent="0.25">
      <c r="A48">
        <v>2025</v>
      </c>
      <c r="B48">
        <v>1</v>
      </c>
      <c r="C48" t="s">
        <v>69</v>
      </c>
      <c r="D48" t="s">
        <v>22</v>
      </c>
      <c r="E48" t="s">
        <v>124</v>
      </c>
      <c r="F48" t="s">
        <v>70</v>
      </c>
      <c r="G48" t="s">
        <v>29</v>
      </c>
      <c r="H48" t="s">
        <v>26</v>
      </c>
      <c r="I48" t="s">
        <v>26</v>
      </c>
      <c r="J48" t="s">
        <v>25</v>
      </c>
      <c r="K48">
        <v>6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 x14ac:dyDescent="0.25">
      <c r="A49">
        <v>2025</v>
      </c>
      <c r="B49">
        <v>1</v>
      </c>
      <c r="C49" t="s">
        <v>69</v>
      </c>
      <c r="D49" t="s">
        <v>22</v>
      </c>
      <c r="E49" t="s">
        <v>173</v>
      </c>
      <c r="F49" t="s">
        <v>32</v>
      </c>
      <c r="G49" t="s">
        <v>24</v>
      </c>
      <c r="H49" t="s">
        <v>25</v>
      </c>
      <c r="I49" t="s">
        <v>26</v>
      </c>
      <c r="J49" t="s">
        <v>25</v>
      </c>
      <c r="K49">
        <v>893</v>
      </c>
      <c r="L49">
        <v>6</v>
      </c>
      <c r="M49">
        <v>17</v>
      </c>
      <c r="N49">
        <v>23</v>
      </c>
      <c r="O49">
        <v>17</v>
      </c>
      <c r="P49">
        <v>16</v>
      </c>
      <c r="Q49">
        <v>16</v>
      </c>
      <c r="R49">
        <v>13</v>
      </c>
      <c r="S49">
        <v>12</v>
      </c>
      <c r="T49">
        <v>4</v>
      </c>
      <c r="U49">
        <v>2</v>
      </c>
      <c r="V49">
        <v>881</v>
      </c>
    </row>
    <row r="50" spans="1:22" x14ac:dyDescent="0.25">
      <c r="A50">
        <v>2025</v>
      </c>
      <c r="B50">
        <v>1</v>
      </c>
      <c r="C50" t="s">
        <v>69</v>
      </c>
      <c r="D50" t="s">
        <v>22</v>
      </c>
      <c r="E50" t="s">
        <v>173</v>
      </c>
      <c r="F50" t="s">
        <v>38</v>
      </c>
      <c r="G50" t="s">
        <v>24</v>
      </c>
      <c r="H50" t="s">
        <v>25</v>
      </c>
      <c r="I50" t="s">
        <v>25</v>
      </c>
      <c r="J50" t="s">
        <v>25</v>
      </c>
      <c r="K50">
        <v>54</v>
      </c>
      <c r="L50">
        <v>1</v>
      </c>
      <c r="M50">
        <v>1</v>
      </c>
      <c r="N50">
        <v>2</v>
      </c>
      <c r="O50">
        <v>9</v>
      </c>
      <c r="P50">
        <v>6</v>
      </c>
      <c r="Q50">
        <v>6</v>
      </c>
      <c r="R50">
        <v>4</v>
      </c>
      <c r="S50">
        <v>1</v>
      </c>
      <c r="T50">
        <v>1</v>
      </c>
      <c r="U50">
        <v>0</v>
      </c>
      <c r="V50">
        <v>53</v>
      </c>
    </row>
    <row r="51" spans="1:22" x14ac:dyDescent="0.25">
      <c r="A51">
        <v>2025</v>
      </c>
      <c r="B51">
        <v>2</v>
      </c>
      <c r="C51" t="s">
        <v>69</v>
      </c>
      <c r="D51" t="s">
        <v>22</v>
      </c>
      <c r="E51" t="s">
        <v>33</v>
      </c>
      <c r="F51" t="s">
        <v>34</v>
      </c>
      <c r="G51" t="s">
        <v>24</v>
      </c>
      <c r="H51" t="s">
        <v>25</v>
      </c>
      <c r="I51" t="s">
        <v>26</v>
      </c>
      <c r="J51" t="s">
        <v>26</v>
      </c>
      <c r="K51">
        <v>1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1</v>
      </c>
    </row>
    <row r="52" spans="1:22" x14ac:dyDescent="0.25">
      <c r="A52">
        <v>2025</v>
      </c>
      <c r="B52">
        <v>2</v>
      </c>
      <c r="C52" t="s">
        <v>69</v>
      </c>
      <c r="D52" t="s">
        <v>22</v>
      </c>
      <c r="E52" t="s">
        <v>126</v>
      </c>
      <c r="F52" t="s">
        <v>34</v>
      </c>
      <c r="G52" t="s">
        <v>24</v>
      </c>
      <c r="H52" t="s">
        <v>25</v>
      </c>
      <c r="I52" t="s">
        <v>26</v>
      </c>
      <c r="J52" t="s">
        <v>26</v>
      </c>
      <c r="K52">
        <v>9</v>
      </c>
      <c r="L52">
        <v>0</v>
      </c>
      <c r="M52">
        <v>0</v>
      </c>
      <c r="N52">
        <v>0</v>
      </c>
      <c r="O52">
        <v>3</v>
      </c>
      <c r="P52">
        <v>1</v>
      </c>
      <c r="Q52">
        <v>1</v>
      </c>
      <c r="R52">
        <v>1</v>
      </c>
      <c r="S52">
        <v>1</v>
      </c>
      <c r="T52">
        <v>1</v>
      </c>
      <c r="U52">
        <v>0</v>
      </c>
      <c r="V52">
        <v>9</v>
      </c>
    </row>
    <row r="53" spans="1:22" x14ac:dyDescent="0.25">
      <c r="A53">
        <v>2025</v>
      </c>
      <c r="B53">
        <v>2</v>
      </c>
      <c r="C53" t="s">
        <v>69</v>
      </c>
      <c r="D53" t="s">
        <v>22</v>
      </c>
      <c r="E53" t="s">
        <v>132</v>
      </c>
      <c r="F53" t="s">
        <v>32</v>
      </c>
      <c r="G53" t="s">
        <v>24</v>
      </c>
      <c r="H53" t="s">
        <v>25</v>
      </c>
      <c r="I53" t="s">
        <v>26</v>
      </c>
      <c r="J53" t="s">
        <v>25</v>
      </c>
      <c r="K53">
        <v>53</v>
      </c>
      <c r="L53">
        <v>0</v>
      </c>
      <c r="M53">
        <v>0</v>
      </c>
      <c r="N53">
        <v>0</v>
      </c>
      <c r="O53">
        <v>19</v>
      </c>
      <c r="P53">
        <v>13</v>
      </c>
      <c r="Q53">
        <v>9</v>
      </c>
      <c r="R53">
        <v>6</v>
      </c>
      <c r="S53">
        <v>4</v>
      </c>
      <c r="T53">
        <v>3</v>
      </c>
      <c r="U53">
        <v>1</v>
      </c>
      <c r="V53">
        <v>53</v>
      </c>
    </row>
    <row r="54" spans="1:22" x14ac:dyDescent="0.25">
      <c r="A54">
        <v>2025</v>
      </c>
      <c r="B54">
        <v>2</v>
      </c>
      <c r="C54" t="s">
        <v>69</v>
      </c>
      <c r="D54" t="s">
        <v>22</v>
      </c>
      <c r="E54" t="s">
        <v>132</v>
      </c>
      <c r="F54" t="s">
        <v>34</v>
      </c>
      <c r="G54" t="s">
        <v>24</v>
      </c>
      <c r="H54" t="s">
        <v>25</v>
      </c>
      <c r="I54" t="s">
        <v>26</v>
      </c>
      <c r="J54" t="s">
        <v>26</v>
      </c>
      <c r="K54">
        <v>44</v>
      </c>
      <c r="L54">
        <v>0</v>
      </c>
      <c r="M54">
        <v>0</v>
      </c>
      <c r="N54">
        <v>0</v>
      </c>
      <c r="O54">
        <v>15</v>
      </c>
      <c r="P54">
        <v>12</v>
      </c>
      <c r="Q54">
        <v>6</v>
      </c>
      <c r="R54">
        <v>5</v>
      </c>
      <c r="S54">
        <v>3</v>
      </c>
      <c r="T54">
        <v>2</v>
      </c>
      <c r="U54">
        <v>1</v>
      </c>
      <c r="V54">
        <v>44</v>
      </c>
    </row>
    <row r="55" spans="1:22" x14ac:dyDescent="0.25">
      <c r="A55">
        <v>2025</v>
      </c>
      <c r="B55">
        <v>2</v>
      </c>
      <c r="C55" t="s">
        <v>69</v>
      </c>
      <c r="D55" t="s">
        <v>22</v>
      </c>
      <c r="E55" t="s">
        <v>37</v>
      </c>
      <c r="F55" t="s">
        <v>38</v>
      </c>
      <c r="G55" t="s">
        <v>24</v>
      </c>
      <c r="H55" t="s">
        <v>25</v>
      </c>
      <c r="I55" t="s">
        <v>26</v>
      </c>
      <c r="J55" t="s">
        <v>25</v>
      </c>
      <c r="K55">
        <v>1</v>
      </c>
      <c r="L55">
        <v>0</v>
      </c>
      <c r="M55">
        <v>0</v>
      </c>
      <c r="N55">
        <v>0</v>
      </c>
      <c r="O55">
        <v>1</v>
      </c>
      <c r="P55">
        <v>1</v>
      </c>
      <c r="Q55">
        <v>1</v>
      </c>
      <c r="R55">
        <v>1</v>
      </c>
      <c r="S55">
        <v>1</v>
      </c>
      <c r="T55">
        <v>0</v>
      </c>
      <c r="U55">
        <v>0</v>
      </c>
      <c r="V55">
        <v>1</v>
      </c>
    </row>
    <row r="56" spans="1:22" x14ac:dyDescent="0.25">
      <c r="A56">
        <v>2025</v>
      </c>
      <c r="B56">
        <v>2</v>
      </c>
      <c r="C56" t="s">
        <v>69</v>
      </c>
      <c r="D56" t="s">
        <v>22</v>
      </c>
      <c r="E56" t="s">
        <v>37</v>
      </c>
      <c r="F56" t="s">
        <v>23</v>
      </c>
      <c r="G56" t="s">
        <v>24</v>
      </c>
      <c r="H56" t="s">
        <v>25</v>
      </c>
      <c r="I56" t="s">
        <v>26</v>
      </c>
      <c r="J56" t="s">
        <v>25</v>
      </c>
      <c r="K56">
        <v>4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4</v>
      </c>
    </row>
    <row r="57" spans="1:22" x14ac:dyDescent="0.25">
      <c r="A57">
        <v>2025</v>
      </c>
      <c r="B57">
        <v>2</v>
      </c>
      <c r="C57" t="s">
        <v>69</v>
      </c>
      <c r="D57" t="s">
        <v>22</v>
      </c>
      <c r="E57" t="s">
        <v>145</v>
      </c>
      <c r="F57" t="s">
        <v>32</v>
      </c>
      <c r="G57" t="s">
        <v>24</v>
      </c>
      <c r="H57" t="s">
        <v>25</v>
      </c>
      <c r="I57" t="s">
        <v>26</v>
      </c>
      <c r="J57" t="s">
        <v>25</v>
      </c>
      <c r="K57">
        <v>266</v>
      </c>
      <c r="L57">
        <v>1</v>
      </c>
      <c r="M57">
        <v>5</v>
      </c>
      <c r="N57">
        <v>6</v>
      </c>
      <c r="O57">
        <v>41</v>
      </c>
      <c r="P57">
        <v>19</v>
      </c>
      <c r="Q57">
        <v>14</v>
      </c>
      <c r="R57">
        <v>6</v>
      </c>
      <c r="S57">
        <v>2</v>
      </c>
      <c r="T57">
        <v>1</v>
      </c>
      <c r="U57">
        <v>0</v>
      </c>
      <c r="V57">
        <v>265</v>
      </c>
    </row>
    <row r="58" spans="1:22" x14ac:dyDescent="0.25">
      <c r="A58">
        <v>2025</v>
      </c>
      <c r="B58">
        <v>2</v>
      </c>
      <c r="C58" t="s">
        <v>69</v>
      </c>
      <c r="D58" t="s">
        <v>22</v>
      </c>
      <c r="E58" t="s">
        <v>149</v>
      </c>
      <c r="F58" t="s">
        <v>32</v>
      </c>
      <c r="G58" t="s">
        <v>24</v>
      </c>
      <c r="H58" t="s">
        <v>25</v>
      </c>
      <c r="I58" t="s">
        <v>26</v>
      </c>
      <c r="J58" t="s">
        <v>25</v>
      </c>
      <c r="K58">
        <v>125</v>
      </c>
      <c r="L58">
        <v>3</v>
      </c>
      <c r="M58">
        <v>33</v>
      </c>
      <c r="N58">
        <v>36</v>
      </c>
      <c r="O58">
        <v>27</v>
      </c>
      <c r="P58">
        <v>21</v>
      </c>
      <c r="Q58">
        <v>19</v>
      </c>
      <c r="R58">
        <v>13</v>
      </c>
      <c r="S58">
        <v>8</v>
      </c>
      <c r="T58">
        <v>3</v>
      </c>
      <c r="U58">
        <v>1</v>
      </c>
      <c r="V58">
        <v>90</v>
      </c>
    </row>
    <row r="59" spans="1:22" x14ac:dyDescent="0.25">
      <c r="A59">
        <v>2025</v>
      </c>
      <c r="B59">
        <v>2</v>
      </c>
      <c r="C59" t="s">
        <v>69</v>
      </c>
      <c r="D59" t="s">
        <v>22</v>
      </c>
      <c r="E59" t="s">
        <v>149</v>
      </c>
      <c r="F59" t="s">
        <v>34</v>
      </c>
      <c r="G59" t="s">
        <v>24</v>
      </c>
      <c r="H59" t="s">
        <v>25</v>
      </c>
      <c r="I59" t="s">
        <v>26</v>
      </c>
      <c r="J59" t="s">
        <v>26</v>
      </c>
      <c r="K59">
        <v>2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2</v>
      </c>
    </row>
    <row r="60" spans="1:22" x14ac:dyDescent="0.25">
      <c r="A60">
        <v>2025</v>
      </c>
      <c r="B60">
        <v>2</v>
      </c>
      <c r="C60" t="s">
        <v>69</v>
      </c>
      <c r="D60" t="s">
        <v>22</v>
      </c>
      <c r="E60" t="s">
        <v>149</v>
      </c>
      <c r="F60" t="s">
        <v>23</v>
      </c>
      <c r="G60" t="s">
        <v>24</v>
      </c>
      <c r="H60" t="s">
        <v>25</v>
      </c>
      <c r="I60" t="s">
        <v>26</v>
      </c>
      <c r="J60" t="s">
        <v>25</v>
      </c>
      <c r="K60">
        <v>381</v>
      </c>
      <c r="L60">
        <v>6</v>
      </c>
      <c r="M60">
        <v>3</v>
      </c>
      <c r="N60">
        <v>9</v>
      </c>
      <c r="O60">
        <v>56</v>
      </c>
      <c r="P60">
        <v>41</v>
      </c>
      <c r="Q60">
        <v>33</v>
      </c>
      <c r="R60">
        <v>25</v>
      </c>
      <c r="S60">
        <v>18</v>
      </c>
      <c r="T60">
        <v>10</v>
      </c>
      <c r="U60">
        <v>4</v>
      </c>
      <c r="V60">
        <v>373</v>
      </c>
    </row>
    <row r="61" spans="1:22" x14ac:dyDescent="0.25">
      <c r="A61">
        <v>2025</v>
      </c>
      <c r="B61">
        <v>2</v>
      </c>
      <c r="C61" t="s">
        <v>69</v>
      </c>
      <c r="D61" t="s">
        <v>22</v>
      </c>
      <c r="E61" t="s">
        <v>149</v>
      </c>
      <c r="F61" t="s">
        <v>39</v>
      </c>
      <c r="G61" t="s">
        <v>24</v>
      </c>
      <c r="H61" t="s">
        <v>26</v>
      </c>
      <c r="I61" t="s">
        <v>26</v>
      </c>
      <c r="J61" t="s">
        <v>25</v>
      </c>
      <c r="K61">
        <v>1068</v>
      </c>
      <c r="L61">
        <v>44</v>
      </c>
      <c r="M61">
        <v>159</v>
      </c>
      <c r="N61">
        <v>203</v>
      </c>
      <c r="O61">
        <v>224</v>
      </c>
      <c r="P61">
        <v>175</v>
      </c>
      <c r="Q61">
        <v>146</v>
      </c>
      <c r="R61">
        <v>100</v>
      </c>
      <c r="S61">
        <v>76</v>
      </c>
      <c r="T61">
        <v>29</v>
      </c>
      <c r="U61">
        <v>8</v>
      </c>
      <c r="V61">
        <v>929</v>
      </c>
    </row>
    <row r="62" spans="1:22" x14ac:dyDescent="0.25">
      <c r="A62">
        <v>2025</v>
      </c>
      <c r="B62">
        <v>2</v>
      </c>
      <c r="C62" t="s">
        <v>69</v>
      </c>
      <c r="D62" t="s">
        <v>22</v>
      </c>
      <c r="E62" t="s">
        <v>150</v>
      </c>
      <c r="F62" t="s">
        <v>32</v>
      </c>
      <c r="G62" t="s">
        <v>24</v>
      </c>
      <c r="H62" t="s">
        <v>25</v>
      </c>
      <c r="I62" t="s">
        <v>26</v>
      </c>
      <c r="J62" t="s">
        <v>25</v>
      </c>
      <c r="K62">
        <v>22</v>
      </c>
      <c r="L62">
        <v>0</v>
      </c>
      <c r="M62">
        <v>0</v>
      </c>
      <c r="N62">
        <v>0</v>
      </c>
      <c r="O62">
        <v>11</v>
      </c>
      <c r="P62">
        <v>7</v>
      </c>
      <c r="Q62">
        <v>6</v>
      </c>
      <c r="R62">
        <v>2</v>
      </c>
      <c r="S62">
        <v>1</v>
      </c>
      <c r="T62">
        <v>0</v>
      </c>
      <c r="U62">
        <v>0</v>
      </c>
      <c r="V62">
        <v>22</v>
      </c>
    </row>
    <row r="63" spans="1:22" x14ac:dyDescent="0.25">
      <c r="A63">
        <v>2025</v>
      </c>
      <c r="B63">
        <v>2</v>
      </c>
      <c r="C63" t="s">
        <v>69</v>
      </c>
      <c r="D63" t="s">
        <v>22</v>
      </c>
      <c r="E63" t="s">
        <v>155</v>
      </c>
      <c r="F63" t="s">
        <v>34</v>
      </c>
      <c r="G63" t="s">
        <v>24</v>
      </c>
      <c r="H63" t="s">
        <v>25</v>
      </c>
      <c r="I63" t="s">
        <v>26</v>
      </c>
      <c r="J63" t="s">
        <v>26</v>
      </c>
      <c r="K63">
        <v>54</v>
      </c>
      <c r="L63">
        <v>0</v>
      </c>
      <c r="M63">
        <v>0</v>
      </c>
      <c r="N63">
        <v>0</v>
      </c>
      <c r="O63">
        <v>5</v>
      </c>
      <c r="P63">
        <v>3</v>
      </c>
      <c r="Q63">
        <v>3</v>
      </c>
      <c r="R63">
        <v>2</v>
      </c>
      <c r="S63">
        <v>1</v>
      </c>
      <c r="T63">
        <v>1</v>
      </c>
      <c r="U63">
        <v>0</v>
      </c>
      <c r="V63">
        <v>54</v>
      </c>
    </row>
    <row r="64" spans="1:22" x14ac:dyDescent="0.25">
      <c r="A64">
        <v>2025</v>
      </c>
      <c r="B64">
        <v>2</v>
      </c>
      <c r="C64" t="s">
        <v>69</v>
      </c>
      <c r="D64" t="s">
        <v>22</v>
      </c>
      <c r="E64" t="s">
        <v>52</v>
      </c>
      <c r="F64" t="s">
        <v>34</v>
      </c>
      <c r="G64" t="s">
        <v>24</v>
      </c>
      <c r="H64" t="s">
        <v>25</v>
      </c>
      <c r="I64" t="s">
        <v>26</v>
      </c>
      <c r="J64" t="s">
        <v>26</v>
      </c>
      <c r="K64">
        <v>1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1</v>
      </c>
    </row>
    <row r="65" spans="1:22" x14ac:dyDescent="0.25">
      <c r="A65">
        <v>2025</v>
      </c>
      <c r="B65">
        <v>2</v>
      </c>
      <c r="C65" t="s">
        <v>69</v>
      </c>
      <c r="D65" t="s">
        <v>22</v>
      </c>
      <c r="E65" t="s">
        <v>163</v>
      </c>
      <c r="F65" t="s">
        <v>34</v>
      </c>
      <c r="G65" t="s">
        <v>24</v>
      </c>
      <c r="H65" t="s">
        <v>25</v>
      </c>
      <c r="I65" t="s">
        <v>26</v>
      </c>
      <c r="J65" t="s">
        <v>26</v>
      </c>
      <c r="K65">
        <v>51</v>
      </c>
      <c r="L65">
        <v>0</v>
      </c>
      <c r="M65">
        <v>0</v>
      </c>
      <c r="N65">
        <v>0</v>
      </c>
      <c r="O65">
        <v>1</v>
      </c>
      <c r="P65">
        <v>1</v>
      </c>
      <c r="Q65">
        <v>1</v>
      </c>
      <c r="R65">
        <v>1</v>
      </c>
      <c r="S65">
        <v>1</v>
      </c>
      <c r="T65">
        <v>0</v>
      </c>
      <c r="U65">
        <v>0</v>
      </c>
      <c r="V65">
        <v>51</v>
      </c>
    </row>
    <row r="66" spans="1:22" x14ac:dyDescent="0.25">
      <c r="A66">
        <v>2025</v>
      </c>
      <c r="B66">
        <v>2</v>
      </c>
      <c r="C66" t="s">
        <v>69</v>
      </c>
      <c r="D66" t="s">
        <v>22</v>
      </c>
      <c r="E66" t="s">
        <v>61</v>
      </c>
      <c r="F66" t="s">
        <v>34</v>
      </c>
      <c r="G66" t="s">
        <v>24</v>
      </c>
      <c r="H66" t="s">
        <v>25</v>
      </c>
      <c r="I66" t="s">
        <v>26</v>
      </c>
      <c r="J66" t="s">
        <v>26</v>
      </c>
      <c r="K66">
        <v>4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4</v>
      </c>
    </row>
    <row r="67" spans="1:22" x14ac:dyDescent="0.25">
      <c r="A67">
        <v>2025</v>
      </c>
      <c r="B67">
        <v>2</v>
      </c>
      <c r="C67" t="s">
        <v>69</v>
      </c>
      <c r="D67" t="s">
        <v>22</v>
      </c>
      <c r="E67" t="s">
        <v>61</v>
      </c>
      <c r="F67" t="s">
        <v>35</v>
      </c>
      <c r="G67" t="s">
        <v>24</v>
      </c>
      <c r="H67" t="s">
        <v>25</v>
      </c>
      <c r="I67" t="s">
        <v>26</v>
      </c>
      <c r="J67" t="s">
        <v>26</v>
      </c>
      <c r="K67">
        <v>279</v>
      </c>
      <c r="L67">
        <v>0</v>
      </c>
      <c r="M67">
        <v>2</v>
      </c>
      <c r="N67">
        <v>2</v>
      </c>
      <c r="O67">
        <v>63</v>
      </c>
      <c r="P67">
        <v>50</v>
      </c>
      <c r="Q67">
        <v>40</v>
      </c>
      <c r="R67">
        <v>29</v>
      </c>
      <c r="S67">
        <v>23</v>
      </c>
      <c r="T67">
        <v>16</v>
      </c>
      <c r="U67">
        <v>5</v>
      </c>
      <c r="V67">
        <v>278</v>
      </c>
    </row>
    <row r="68" spans="1:22" x14ac:dyDescent="0.25">
      <c r="A68">
        <v>2025</v>
      </c>
      <c r="B68">
        <v>2</v>
      </c>
      <c r="C68" t="s">
        <v>69</v>
      </c>
      <c r="D68" t="s">
        <v>22</v>
      </c>
      <c r="E68" t="s">
        <v>61</v>
      </c>
      <c r="F68" t="s">
        <v>41</v>
      </c>
      <c r="G68" t="s">
        <v>24</v>
      </c>
      <c r="H68" t="s">
        <v>26</v>
      </c>
      <c r="I68" t="s">
        <v>26</v>
      </c>
      <c r="J68" t="s">
        <v>25</v>
      </c>
      <c r="K68">
        <v>317</v>
      </c>
      <c r="L68">
        <v>0</v>
      </c>
      <c r="M68">
        <v>0</v>
      </c>
      <c r="N68">
        <v>0</v>
      </c>
      <c r="O68">
        <v>27</v>
      </c>
      <c r="P68">
        <v>19</v>
      </c>
      <c r="Q68">
        <v>16</v>
      </c>
      <c r="R68">
        <v>12</v>
      </c>
      <c r="S68">
        <v>10</v>
      </c>
      <c r="T68">
        <v>2</v>
      </c>
      <c r="U68">
        <v>1</v>
      </c>
      <c r="V68">
        <v>317</v>
      </c>
    </row>
    <row r="69" spans="1:22" x14ac:dyDescent="0.25">
      <c r="A69">
        <v>2025</v>
      </c>
      <c r="B69">
        <v>2</v>
      </c>
      <c r="C69" t="s">
        <v>69</v>
      </c>
      <c r="D69" t="s">
        <v>22</v>
      </c>
      <c r="E69" t="s">
        <v>166</v>
      </c>
      <c r="F69" t="s">
        <v>32</v>
      </c>
      <c r="G69" t="s">
        <v>24</v>
      </c>
      <c r="H69" t="s">
        <v>25</v>
      </c>
      <c r="I69" t="s">
        <v>26</v>
      </c>
      <c r="J69" t="s">
        <v>25</v>
      </c>
      <c r="K69">
        <v>252</v>
      </c>
      <c r="L69">
        <v>0</v>
      </c>
      <c r="M69">
        <v>5</v>
      </c>
      <c r="N69">
        <v>5</v>
      </c>
      <c r="O69">
        <v>132</v>
      </c>
      <c r="P69">
        <v>101</v>
      </c>
      <c r="Q69">
        <v>84</v>
      </c>
      <c r="R69">
        <v>53</v>
      </c>
      <c r="S69">
        <v>30</v>
      </c>
      <c r="T69">
        <v>12</v>
      </c>
      <c r="U69">
        <v>4</v>
      </c>
      <c r="V69">
        <v>247</v>
      </c>
    </row>
    <row r="70" spans="1:22" x14ac:dyDescent="0.25">
      <c r="A70">
        <v>2025</v>
      </c>
      <c r="B70">
        <v>2</v>
      </c>
      <c r="C70" t="s">
        <v>69</v>
      </c>
      <c r="D70" t="s">
        <v>22</v>
      </c>
      <c r="E70" t="s">
        <v>166</v>
      </c>
      <c r="F70" t="s">
        <v>38</v>
      </c>
      <c r="G70" t="s">
        <v>24</v>
      </c>
      <c r="H70" t="s">
        <v>25</v>
      </c>
      <c r="I70" t="s">
        <v>25</v>
      </c>
      <c r="J70" t="s">
        <v>25</v>
      </c>
      <c r="K70">
        <v>196</v>
      </c>
      <c r="L70">
        <v>0</v>
      </c>
      <c r="M70">
        <v>1</v>
      </c>
      <c r="N70">
        <v>1</v>
      </c>
      <c r="O70">
        <v>149</v>
      </c>
      <c r="P70">
        <v>116</v>
      </c>
      <c r="Q70">
        <v>105</v>
      </c>
      <c r="R70">
        <v>54</v>
      </c>
      <c r="S70">
        <v>25</v>
      </c>
      <c r="T70">
        <v>9</v>
      </c>
      <c r="U70">
        <v>2</v>
      </c>
      <c r="V70">
        <v>196</v>
      </c>
    </row>
    <row r="71" spans="1:22" x14ac:dyDescent="0.25">
      <c r="A71">
        <v>2025</v>
      </c>
      <c r="B71">
        <v>2</v>
      </c>
      <c r="C71" t="s">
        <v>69</v>
      </c>
      <c r="D71" t="s">
        <v>22</v>
      </c>
      <c r="E71" t="s">
        <v>170</v>
      </c>
      <c r="F71" t="s">
        <v>41</v>
      </c>
      <c r="G71" t="s">
        <v>24</v>
      </c>
      <c r="H71" t="s">
        <v>26</v>
      </c>
      <c r="I71" t="s">
        <v>26</v>
      </c>
      <c r="J71" t="s">
        <v>25</v>
      </c>
      <c r="K71">
        <v>19</v>
      </c>
      <c r="L71">
        <v>0</v>
      </c>
      <c r="M71">
        <v>1</v>
      </c>
      <c r="N71">
        <v>1</v>
      </c>
      <c r="O71">
        <v>4</v>
      </c>
      <c r="P71">
        <v>1</v>
      </c>
      <c r="Q71">
        <v>1</v>
      </c>
      <c r="R71">
        <v>1</v>
      </c>
      <c r="S71">
        <v>1</v>
      </c>
      <c r="T71">
        <v>1</v>
      </c>
      <c r="U71">
        <v>0</v>
      </c>
      <c r="V71">
        <v>18</v>
      </c>
    </row>
    <row r="72" spans="1:22" x14ac:dyDescent="0.25">
      <c r="A72">
        <v>2025</v>
      </c>
      <c r="B72">
        <v>2</v>
      </c>
      <c r="C72" t="s">
        <v>69</v>
      </c>
      <c r="D72" t="s">
        <v>22</v>
      </c>
      <c r="E72" t="s">
        <v>69</v>
      </c>
      <c r="F72" t="s">
        <v>32</v>
      </c>
      <c r="G72" t="s">
        <v>28</v>
      </c>
      <c r="H72" t="s">
        <v>25</v>
      </c>
      <c r="I72" t="s">
        <v>26</v>
      </c>
      <c r="J72" t="s">
        <v>25</v>
      </c>
      <c r="K72">
        <v>43</v>
      </c>
      <c r="L72">
        <v>2</v>
      </c>
      <c r="M72">
        <v>0</v>
      </c>
      <c r="N72">
        <v>2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41</v>
      </c>
    </row>
    <row r="73" spans="1:22" x14ac:dyDescent="0.25">
      <c r="A73">
        <v>2025</v>
      </c>
      <c r="B73">
        <v>2</v>
      </c>
      <c r="C73" t="s">
        <v>69</v>
      </c>
      <c r="D73" t="s">
        <v>22</v>
      </c>
      <c r="E73" t="s">
        <v>69</v>
      </c>
      <c r="F73" t="s">
        <v>38</v>
      </c>
      <c r="G73" t="s">
        <v>24</v>
      </c>
      <c r="H73" t="s">
        <v>25</v>
      </c>
      <c r="I73" t="s">
        <v>25</v>
      </c>
      <c r="J73" t="s">
        <v>25</v>
      </c>
      <c r="K73">
        <v>5</v>
      </c>
      <c r="L73">
        <v>1</v>
      </c>
      <c r="M73">
        <v>1</v>
      </c>
      <c r="N73">
        <v>2</v>
      </c>
      <c r="O73">
        <v>2</v>
      </c>
      <c r="P73">
        <v>2</v>
      </c>
      <c r="Q73">
        <v>2</v>
      </c>
      <c r="R73">
        <v>2</v>
      </c>
      <c r="S73">
        <v>0</v>
      </c>
      <c r="T73">
        <v>0</v>
      </c>
      <c r="U73">
        <v>0</v>
      </c>
      <c r="V73">
        <v>3</v>
      </c>
    </row>
    <row r="74" spans="1:22" x14ac:dyDescent="0.25">
      <c r="A74">
        <v>2025</v>
      </c>
      <c r="B74">
        <v>2</v>
      </c>
      <c r="C74" t="s">
        <v>69</v>
      </c>
      <c r="D74" t="s">
        <v>22</v>
      </c>
      <c r="E74" t="s">
        <v>69</v>
      </c>
      <c r="F74" t="s">
        <v>23</v>
      </c>
      <c r="G74" t="s">
        <v>28</v>
      </c>
      <c r="H74" t="s">
        <v>25</v>
      </c>
      <c r="I74" t="s">
        <v>26</v>
      </c>
      <c r="J74" t="s">
        <v>25</v>
      </c>
      <c r="K74">
        <v>10618</v>
      </c>
      <c r="L74">
        <v>25</v>
      </c>
      <c r="M74">
        <v>221</v>
      </c>
      <c r="N74">
        <v>246</v>
      </c>
      <c r="O74">
        <v>13</v>
      </c>
      <c r="P74">
        <v>7</v>
      </c>
      <c r="Q74">
        <v>5</v>
      </c>
      <c r="R74">
        <v>4</v>
      </c>
      <c r="S74">
        <v>4</v>
      </c>
      <c r="T74">
        <v>2</v>
      </c>
      <c r="U74">
        <v>1</v>
      </c>
      <c r="V74">
        <v>10414</v>
      </c>
    </row>
    <row r="75" spans="1:22" x14ac:dyDescent="0.25">
      <c r="A75">
        <v>2025</v>
      </c>
      <c r="B75">
        <v>2</v>
      </c>
      <c r="C75" t="s">
        <v>69</v>
      </c>
      <c r="D75" t="s">
        <v>22</v>
      </c>
      <c r="E75" t="s">
        <v>69</v>
      </c>
      <c r="F75" t="s">
        <v>23</v>
      </c>
      <c r="G75" t="s">
        <v>24</v>
      </c>
      <c r="H75" t="s">
        <v>25</v>
      </c>
      <c r="I75" t="s">
        <v>26</v>
      </c>
      <c r="J75" t="s">
        <v>25</v>
      </c>
      <c r="K75">
        <v>683</v>
      </c>
      <c r="L75">
        <v>10</v>
      </c>
      <c r="M75">
        <v>10</v>
      </c>
      <c r="N75">
        <v>20</v>
      </c>
      <c r="O75">
        <v>60</v>
      </c>
      <c r="P75">
        <v>44</v>
      </c>
      <c r="Q75">
        <v>41</v>
      </c>
      <c r="R75">
        <v>33</v>
      </c>
      <c r="S75">
        <v>22</v>
      </c>
      <c r="T75">
        <v>1</v>
      </c>
      <c r="U75">
        <v>0</v>
      </c>
      <c r="V75">
        <v>669</v>
      </c>
    </row>
    <row r="76" spans="1:22" x14ac:dyDescent="0.25">
      <c r="A76">
        <v>2025</v>
      </c>
      <c r="B76">
        <v>2</v>
      </c>
      <c r="C76" t="s">
        <v>69</v>
      </c>
      <c r="D76" t="s">
        <v>22</v>
      </c>
      <c r="E76" t="s">
        <v>69</v>
      </c>
      <c r="F76" t="s">
        <v>39</v>
      </c>
      <c r="G76" t="s">
        <v>28</v>
      </c>
      <c r="H76" t="s">
        <v>26</v>
      </c>
      <c r="I76" t="s">
        <v>26</v>
      </c>
      <c r="J76" t="s">
        <v>25</v>
      </c>
      <c r="K76">
        <v>56</v>
      </c>
      <c r="L76">
        <v>0</v>
      </c>
      <c r="M76">
        <v>1</v>
      </c>
      <c r="N76">
        <v>1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56</v>
      </c>
    </row>
    <row r="77" spans="1:22" x14ac:dyDescent="0.25">
      <c r="A77">
        <v>2025</v>
      </c>
      <c r="B77">
        <v>2</v>
      </c>
      <c r="C77" t="s">
        <v>69</v>
      </c>
      <c r="D77" t="s">
        <v>22</v>
      </c>
      <c r="E77" t="s">
        <v>69</v>
      </c>
      <c r="F77" t="s">
        <v>40</v>
      </c>
      <c r="G77" t="s">
        <v>28</v>
      </c>
      <c r="H77" t="s">
        <v>25</v>
      </c>
      <c r="I77" t="s">
        <v>26</v>
      </c>
      <c r="J77" t="s">
        <v>25</v>
      </c>
      <c r="K77">
        <v>11916</v>
      </c>
      <c r="L77">
        <v>34</v>
      </c>
      <c r="M77">
        <v>130</v>
      </c>
      <c r="N77">
        <v>164</v>
      </c>
      <c r="O77">
        <v>19</v>
      </c>
      <c r="P77">
        <v>12</v>
      </c>
      <c r="Q77">
        <v>11</v>
      </c>
      <c r="R77">
        <v>7</v>
      </c>
      <c r="S77">
        <v>4</v>
      </c>
      <c r="T77">
        <v>2</v>
      </c>
      <c r="U77">
        <v>2</v>
      </c>
      <c r="V77">
        <v>11787</v>
      </c>
    </row>
    <row r="78" spans="1:22" x14ac:dyDescent="0.25">
      <c r="A78">
        <v>2025</v>
      </c>
      <c r="B78">
        <v>2</v>
      </c>
      <c r="C78" t="s">
        <v>69</v>
      </c>
      <c r="D78" t="s">
        <v>22</v>
      </c>
      <c r="E78" t="s">
        <v>69</v>
      </c>
      <c r="F78" t="s">
        <v>40</v>
      </c>
      <c r="G78" t="s">
        <v>24</v>
      </c>
      <c r="H78" t="s">
        <v>25</v>
      </c>
      <c r="I78" t="s">
        <v>26</v>
      </c>
      <c r="J78" t="s">
        <v>25</v>
      </c>
      <c r="K78">
        <v>965</v>
      </c>
      <c r="L78">
        <v>0</v>
      </c>
      <c r="M78">
        <v>18</v>
      </c>
      <c r="N78">
        <v>18</v>
      </c>
      <c r="O78">
        <v>36</v>
      </c>
      <c r="P78">
        <v>11</v>
      </c>
      <c r="Q78">
        <v>11</v>
      </c>
      <c r="R78">
        <v>10</v>
      </c>
      <c r="S78">
        <v>2</v>
      </c>
      <c r="T78">
        <v>0</v>
      </c>
      <c r="U78">
        <v>0</v>
      </c>
      <c r="V78">
        <v>951</v>
      </c>
    </row>
    <row r="79" spans="1:22" x14ac:dyDescent="0.25">
      <c r="A79">
        <v>2025</v>
      </c>
      <c r="B79">
        <v>2</v>
      </c>
      <c r="C79" t="s">
        <v>69</v>
      </c>
      <c r="D79" t="s">
        <v>22</v>
      </c>
      <c r="E79" t="s">
        <v>69</v>
      </c>
      <c r="F79" t="s">
        <v>40</v>
      </c>
      <c r="G79" t="s">
        <v>29</v>
      </c>
      <c r="H79" t="s">
        <v>25</v>
      </c>
      <c r="I79" t="s">
        <v>26</v>
      </c>
      <c r="J79" t="s">
        <v>25</v>
      </c>
      <c r="K79">
        <v>4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</row>
    <row r="80" spans="1:22" x14ac:dyDescent="0.25">
      <c r="A80">
        <v>2025</v>
      </c>
      <c r="B80">
        <v>2</v>
      </c>
      <c r="C80" t="s">
        <v>69</v>
      </c>
      <c r="D80" t="s">
        <v>22</v>
      </c>
      <c r="E80" t="s">
        <v>124</v>
      </c>
      <c r="F80" t="s">
        <v>70</v>
      </c>
      <c r="G80" t="s">
        <v>28</v>
      </c>
      <c r="H80" t="s">
        <v>26</v>
      </c>
      <c r="I80" t="s">
        <v>26</v>
      </c>
      <c r="J80" t="s">
        <v>25</v>
      </c>
      <c r="K80">
        <v>3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3</v>
      </c>
    </row>
    <row r="81" spans="1:22" x14ac:dyDescent="0.25">
      <c r="A81">
        <v>2025</v>
      </c>
      <c r="B81">
        <v>2</v>
      </c>
      <c r="C81" t="s">
        <v>69</v>
      </c>
      <c r="D81" t="s">
        <v>22</v>
      </c>
      <c r="E81" t="s">
        <v>124</v>
      </c>
      <c r="F81" t="s">
        <v>70</v>
      </c>
      <c r="G81" t="s">
        <v>24</v>
      </c>
      <c r="H81" t="s">
        <v>26</v>
      </c>
      <c r="I81" t="s">
        <v>26</v>
      </c>
      <c r="J81" t="s">
        <v>25</v>
      </c>
      <c r="K81">
        <v>805</v>
      </c>
      <c r="L81">
        <v>3</v>
      </c>
      <c r="M81">
        <v>16</v>
      </c>
      <c r="N81">
        <v>19</v>
      </c>
      <c r="O81">
        <v>116</v>
      </c>
      <c r="P81">
        <v>78</v>
      </c>
      <c r="Q81">
        <v>74</v>
      </c>
      <c r="R81">
        <v>59</v>
      </c>
      <c r="S81">
        <v>46</v>
      </c>
      <c r="T81">
        <v>22</v>
      </c>
      <c r="U81">
        <v>6</v>
      </c>
      <c r="V81">
        <v>795</v>
      </c>
    </row>
    <row r="82" spans="1:22" x14ac:dyDescent="0.25">
      <c r="A82">
        <v>2025</v>
      </c>
      <c r="B82">
        <v>2</v>
      </c>
      <c r="C82" t="s">
        <v>69</v>
      </c>
      <c r="D82" t="s">
        <v>22</v>
      </c>
      <c r="E82" t="s">
        <v>124</v>
      </c>
      <c r="F82" t="s">
        <v>70</v>
      </c>
      <c r="G82" t="s">
        <v>29</v>
      </c>
      <c r="H82" t="s">
        <v>26</v>
      </c>
      <c r="I82" t="s">
        <v>26</v>
      </c>
      <c r="J82" t="s">
        <v>25</v>
      </c>
      <c r="K82">
        <v>9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</row>
    <row r="83" spans="1:22" x14ac:dyDescent="0.25">
      <c r="A83">
        <v>2025</v>
      </c>
      <c r="B83">
        <v>2</v>
      </c>
      <c r="C83" t="s">
        <v>69</v>
      </c>
      <c r="D83" t="s">
        <v>22</v>
      </c>
      <c r="E83" t="s">
        <v>173</v>
      </c>
      <c r="F83" t="s">
        <v>32</v>
      </c>
      <c r="G83" t="s">
        <v>24</v>
      </c>
      <c r="H83" t="s">
        <v>25</v>
      </c>
      <c r="I83" t="s">
        <v>26</v>
      </c>
      <c r="J83" t="s">
        <v>25</v>
      </c>
      <c r="K83">
        <v>1003</v>
      </c>
      <c r="L83">
        <v>1</v>
      </c>
      <c r="M83">
        <v>14</v>
      </c>
      <c r="N83">
        <v>15</v>
      </c>
      <c r="O83">
        <v>11</v>
      </c>
      <c r="P83">
        <v>10</v>
      </c>
      <c r="Q83">
        <v>9</v>
      </c>
      <c r="R83">
        <v>6</v>
      </c>
      <c r="S83">
        <v>5</v>
      </c>
      <c r="T83">
        <v>0</v>
      </c>
      <c r="U83">
        <v>0</v>
      </c>
      <c r="V83">
        <v>994</v>
      </c>
    </row>
    <row r="84" spans="1:22" x14ac:dyDescent="0.25">
      <c r="A84">
        <v>2025</v>
      </c>
      <c r="B84">
        <v>2</v>
      </c>
      <c r="C84" t="s">
        <v>69</v>
      </c>
      <c r="D84" t="s">
        <v>22</v>
      </c>
      <c r="E84" t="s">
        <v>173</v>
      </c>
      <c r="F84" t="s">
        <v>38</v>
      </c>
      <c r="G84" t="s">
        <v>24</v>
      </c>
      <c r="H84" t="s">
        <v>25</v>
      </c>
      <c r="I84" t="s">
        <v>25</v>
      </c>
      <c r="J84" t="s">
        <v>25</v>
      </c>
      <c r="K84">
        <v>50</v>
      </c>
      <c r="L84">
        <v>1</v>
      </c>
      <c r="M84">
        <v>2</v>
      </c>
      <c r="N84">
        <v>3</v>
      </c>
      <c r="O84">
        <v>12</v>
      </c>
      <c r="P84">
        <v>11</v>
      </c>
      <c r="Q84">
        <v>10</v>
      </c>
      <c r="R84">
        <v>9</v>
      </c>
      <c r="S84">
        <v>7</v>
      </c>
      <c r="T84">
        <v>2</v>
      </c>
      <c r="U84">
        <v>1</v>
      </c>
      <c r="V84">
        <v>49</v>
      </c>
    </row>
    <row r="85" spans="1:22" x14ac:dyDescent="0.25">
      <c r="A85">
        <v>2025</v>
      </c>
      <c r="B85">
        <v>3</v>
      </c>
      <c r="C85" t="s">
        <v>69</v>
      </c>
      <c r="D85" t="s">
        <v>22</v>
      </c>
      <c r="E85" t="s">
        <v>132</v>
      </c>
      <c r="F85" t="s">
        <v>32</v>
      </c>
      <c r="G85" t="s">
        <v>24</v>
      </c>
      <c r="H85" t="s">
        <v>25</v>
      </c>
      <c r="I85" t="s">
        <v>26</v>
      </c>
      <c r="J85" t="s">
        <v>25</v>
      </c>
      <c r="K85">
        <v>60</v>
      </c>
      <c r="L85">
        <v>0</v>
      </c>
      <c r="M85">
        <v>0</v>
      </c>
      <c r="N85">
        <v>0</v>
      </c>
      <c r="O85">
        <v>28</v>
      </c>
      <c r="P85">
        <v>25</v>
      </c>
      <c r="Q85">
        <v>22</v>
      </c>
      <c r="R85">
        <v>21</v>
      </c>
      <c r="S85">
        <v>18</v>
      </c>
      <c r="T85">
        <v>16</v>
      </c>
      <c r="U85">
        <v>8</v>
      </c>
      <c r="V85">
        <v>60</v>
      </c>
    </row>
    <row r="86" spans="1:22" x14ac:dyDescent="0.25">
      <c r="A86">
        <v>2025</v>
      </c>
      <c r="B86">
        <v>3</v>
      </c>
      <c r="C86" t="s">
        <v>69</v>
      </c>
      <c r="D86" t="s">
        <v>22</v>
      </c>
      <c r="E86" t="s">
        <v>132</v>
      </c>
      <c r="F86" t="s">
        <v>34</v>
      </c>
      <c r="G86" t="s">
        <v>24</v>
      </c>
      <c r="H86" t="s">
        <v>25</v>
      </c>
      <c r="I86" t="s">
        <v>26</v>
      </c>
      <c r="J86" t="s">
        <v>26</v>
      </c>
      <c r="K86">
        <v>60</v>
      </c>
      <c r="L86">
        <v>1</v>
      </c>
      <c r="M86">
        <v>0</v>
      </c>
      <c r="N86">
        <v>1</v>
      </c>
      <c r="O86">
        <v>25</v>
      </c>
      <c r="P86">
        <v>23</v>
      </c>
      <c r="Q86">
        <v>21</v>
      </c>
      <c r="R86">
        <v>20</v>
      </c>
      <c r="S86">
        <v>17</v>
      </c>
      <c r="T86">
        <v>15</v>
      </c>
      <c r="U86">
        <v>8</v>
      </c>
      <c r="V86">
        <v>59</v>
      </c>
    </row>
    <row r="87" spans="1:22" x14ac:dyDescent="0.25">
      <c r="A87">
        <v>2025</v>
      </c>
      <c r="B87">
        <v>3</v>
      </c>
      <c r="C87" t="s">
        <v>69</v>
      </c>
      <c r="D87" t="s">
        <v>22</v>
      </c>
      <c r="E87" t="s">
        <v>37</v>
      </c>
      <c r="F87" t="s">
        <v>38</v>
      </c>
      <c r="G87" t="s">
        <v>24</v>
      </c>
      <c r="H87" t="s">
        <v>25</v>
      </c>
      <c r="I87" t="s">
        <v>25</v>
      </c>
      <c r="J87" t="s">
        <v>25</v>
      </c>
      <c r="K87">
        <v>2</v>
      </c>
      <c r="L87">
        <v>0</v>
      </c>
      <c r="M87">
        <v>0</v>
      </c>
      <c r="N87">
        <v>0</v>
      </c>
      <c r="O87">
        <v>1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2</v>
      </c>
    </row>
    <row r="88" spans="1:22" x14ac:dyDescent="0.25">
      <c r="A88">
        <v>2025</v>
      </c>
      <c r="B88">
        <v>3</v>
      </c>
      <c r="C88" t="s">
        <v>69</v>
      </c>
      <c r="D88" t="s">
        <v>22</v>
      </c>
      <c r="E88" t="s">
        <v>37</v>
      </c>
      <c r="F88" t="s">
        <v>38</v>
      </c>
      <c r="G88" t="s">
        <v>24</v>
      </c>
      <c r="H88" t="s">
        <v>25</v>
      </c>
      <c r="I88" t="s">
        <v>26</v>
      </c>
      <c r="J88" t="s">
        <v>25</v>
      </c>
      <c r="K88">
        <v>1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1</v>
      </c>
    </row>
    <row r="89" spans="1:22" x14ac:dyDescent="0.25">
      <c r="A89">
        <v>2025</v>
      </c>
      <c r="B89">
        <v>3</v>
      </c>
      <c r="C89" t="s">
        <v>69</v>
      </c>
      <c r="D89" t="s">
        <v>22</v>
      </c>
      <c r="E89" t="s">
        <v>37</v>
      </c>
      <c r="F89" t="s">
        <v>23</v>
      </c>
      <c r="G89" t="s">
        <v>24</v>
      </c>
      <c r="H89" t="s">
        <v>25</v>
      </c>
      <c r="I89" t="s">
        <v>26</v>
      </c>
      <c r="J89" t="s">
        <v>25</v>
      </c>
      <c r="K89">
        <v>2</v>
      </c>
      <c r="L89">
        <v>0</v>
      </c>
      <c r="M89">
        <v>0</v>
      </c>
      <c r="N89">
        <v>0</v>
      </c>
      <c r="O89">
        <v>1</v>
      </c>
      <c r="P89">
        <v>1</v>
      </c>
      <c r="Q89">
        <v>1</v>
      </c>
      <c r="R89">
        <v>1</v>
      </c>
      <c r="S89">
        <v>1</v>
      </c>
      <c r="T89">
        <v>0</v>
      </c>
      <c r="U89">
        <v>0</v>
      </c>
      <c r="V89">
        <v>2</v>
      </c>
    </row>
    <row r="90" spans="1:22" x14ac:dyDescent="0.25">
      <c r="A90">
        <v>2025</v>
      </c>
      <c r="B90">
        <v>3</v>
      </c>
      <c r="C90" t="s">
        <v>69</v>
      </c>
      <c r="D90" t="s">
        <v>22</v>
      </c>
      <c r="E90" t="s">
        <v>145</v>
      </c>
      <c r="F90" t="s">
        <v>32</v>
      </c>
      <c r="G90" t="s">
        <v>24</v>
      </c>
      <c r="H90" t="s">
        <v>25</v>
      </c>
      <c r="I90" t="s">
        <v>26</v>
      </c>
      <c r="J90" t="s">
        <v>25</v>
      </c>
      <c r="K90">
        <v>295</v>
      </c>
      <c r="L90">
        <v>5</v>
      </c>
      <c r="M90">
        <v>4</v>
      </c>
      <c r="N90">
        <v>9</v>
      </c>
      <c r="O90">
        <v>38</v>
      </c>
      <c r="P90">
        <v>24</v>
      </c>
      <c r="Q90">
        <v>22</v>
      </c>
      <c r="R90">
        <v>10</v>
      </c>
      <c r="S90">
        <v>6</v>
      </c>
      <c r="T90">
        <v>2</v>
      </c>
      <c r="U90">
        <v>0</v>
      </c>
      <c r="V90">
        <v>290</v>
      </c>
    </row>
    <row r="91" spans="1:22" x14ac:dyDescent="0.25">
      <c r="A91">
        <v>2025</v>
      </c>
      <c r="B91">
        <v>3</v>
      </c>
      <c r="C91" t="s">
        <v>69</v>
      </c>
      <c r="D91" t="s">
        <v>22</v>
      </c>
      <c r="E91" t="s">
        <v>149</v>
      </c>
      <c r="F91" t="s">
        <v>32</v>
      </c>
      <c r="G91" t="s">
        <v>24</v>
      </c>
      <c r="H91" t="s">
        <v>25</v>
      </c>
      <c r="I91" t="s">
        <v>26</v>
      </c>
      <c r="J91" t="s">
        <v>25</v>
      </c>
      <c r="K91">
        <v>124</v>
      </c>
      <c r="L91">
        <v>9</v>
      </c>
      <c r="M91">
        <v>33</v>
      </c>
      <c r="N91">
        <v>42</v>
      </c>
      <c r="O91">
        <v>24</v>
      </c>
      <c r="P91">
        <v>20</v>
      </c>
      <c r="Q91">
        <v>18</v>
      </c>
      <c r="R91">
        <v>11</v>
      </c>
      <c r="S91">
        <v>6</v>
      </c>
      <c r="T91">
        <v>1</v>
      </c>
      <c r="U91">
        <v>0</v>
      </c>
      <c r="V91">
        <v>84</v>
      </c>
    </row>
    <row r="92" spans="1:22" x14ac:dyDescent="0.25">
      <c r="A92">
        <v>2025</v>
      </c>
      <c r="B92">
        <v>3</v>
      </c>
      <c r="C92" t="s">
        <v>69</v>
      </c>
      <c r="D92" t="s">
        <v>22</v>
      </c>
      <c r="E92" t="s">
        <v>149</v>
      </c>
      <c r="F92" t="s">
        <v>23</v>
      </c>
      <c r="G92" t="s">
        <v>24</v>
      </c>
      <c r="H92" t="s">
        <v>25</v>
      </c>
      <c r="I92" t="s">
        <v>26</v>
      </c>
      <c r="J92" t="s">
        <v>25</v>
      </c>
      <c r="K92">
        <v>425</v>
      </c>
      <c r="L92">
        <v>10</v>
      </c>
      <c r="M92">
        <v>4</v>
      </c>
      <c r="N92">
        <v>14</v>
      </c>
      <c r="O92">
        <v>104</v>
      </c>
      <c r="P92">
        <v>76</v>
      </c>
      <c r="Q92">
        <v>72</v>
      </c>
      <c r="R92">
        <v>56</v>
      </c>
      <c r="S92">
        <v>40</v>
      </c>
      <c r="T92">
        <v>31</v>
      </c>
      <c r="U92">
        <v>17</v>
      </c>
      <c r="V92">
        <v>411</v>
      </c>
    </row>
    <row r="93" spans="1:22" x14ac:dyDescent="0.25">
      <c r="A93">
        <v>2025</v>
      </c>
      <c r="B93">
        <v>3</v>
      </c>
      <c r="C93" t="s">
        <v>69</v>
      </c>
      <c r="D93" t="s">
        <v>22</v>
      </c>
      <c r="E93" t="s">
        <v>149</v>
      </c>
      <c r="F93" t="s">
        <v>39</v>
      </c>
      <c r="G93" t="s">
        <v>24</v>
      </c>
      <c r="H93" t="s">
        <v>26</v>
      </c>
      <c r="I93" t="s">
        <v>26</v>
      </c>
      <c r="J93" t="s">
        <v>25</v>
      </c>
      <c r="K93">
        <v>1146</v>
      </c>
      <c r="L93">
        <v>59</v>
      </c>
      <c r="M93">
        <v>144</v>
      </c>
      <c r="N93">
        <v>203</v>
      </c>
      <c r="O93">
        <v>206</v>
      </c>
      <c r="P93">
        <v>158</v>
      </c>
      <c r="Q93">
        <v>133</v>
      </c>
      <c r="R93">
        <v>86</v>
      </c>
      <c r="S93">
        <v>53</v>
      </c>
      <c r="T93">
        <v>20</v>
      </c>
      <c r="U93">
        <v>3</v>
      </c>
      <c r="V93">
        <v>996</v>
      </c>
    </row>
    <row r="94" spans="1:22" x14ac:dyDescent="0.25">
      <c r="A94">
        <v>2025</v>
      </c>
      <c r="B94">
        <v>3</v>
      </c>
      <c r="C94" t="s">
        <v>69</v>
      </c>
      <c r="D94" t="s">
        <v>22</v>
      </c>
      <c r="E94" t="s">
        <v>150</v>
      </c>
      <c r="F94" t="s">
        <v>32</v>
      </c>
      <c r="G94" t="s">
        <v>24</v>
      </c>
      <c r="H94" t="s">
        <v>25</v>
      </c>
      <c r="I94" t="s">
        <v>26</v>
      </c>
      <c r="J94" t="s">
        <v>25</v>
      </c>
      <c r="K94">
        <v>31</v>
      </c>
      <c r="L94">
        <v>0</v>
      </c>
      <c r="M94">
        <v>4</v>
      </c>
      <c r="N94">
        <v>4</v>
      </c>
      <c r="O94">
        <v>15</v>
      </c>
      <c r="P94">
        <v>14</v>
      </c>
      <c r="Q94">
        <v>9</v>
      </c>
      <c r="R94">
        <v>5</v>
      </c>
      <c r="S94">
        <v>1</v>
      </c>
      <c r="T94">
        <v>0</v>
      </c>
      <c r="U94">
        <v>0</v>
      </c>
      <c r="V94">
        <v>28</v>
      </c>
    </row>
    <row r="95" spans="1:22" x14ac:dyDescent="0.25">
      <c r="A95">
        <v>2025</v>
      </c>
      <c r="B95">
        <v>3</v>
      </c>
      <c r="C95" t="s">
        <v>69</v>
      </c>
      <c r="D95" t="s">
        <v>22</v>
      </c>
      <c r="E95" t="s">
        <v>155</v>
      </c>
      <c r="F95" t="s">
        <v>34</v>
      </c>
      <c r="G95" t="s">
        <v>24</v>
      </c>
      <c r="H95" t="s">
        <v>25</v>
      </c>
      <c r="I95" t="s">
        <v>26</v>
      </c>
      <c r="J95" t="s">
        <v>26</v>
      </c>
      <c r="K95">
        <v>62</v>
      </c>
      <c r="L95">
        <v>0</v>
      </c>
      <c r="M95">
        <v>0</v>
      </c>
      <c r="N95">
        <v>0</v>
      </c>
      <c r="O95">
        <v>5</v>
      </c>
      <c r="P95">
        <v>2</v>
      </c>
      <c r="Q95">
        <v>2</v>
      </c>
      <c r="R95">
        <v>2</v>
      </c>
      <c r="S95">
        <v>2</v>
      </c>
      <c r="T95">
        <v>1</v>
      </c>
      <c r="U95">
        <v>1</v>
      </c>
      <c r="V95">
        <v>62</v>
      </c>
    </row>
    <row r="96" spans="1:22" x14ac:dyDescent="0.25">
      <c r="A96">
        <v>2025</v>
      </c>
      <c r="B96">
        <v>3</v>
      </c>
      <c r="C96" t="s">
        <v>69</v>
      </c>
      <c r="D96" t="s">
        <v>22</v>
      </c>
      <c r="E96" t="s">
        <v>163</v>
      </c>
      <c r="F96" t="s">
        <v>34</v>
      </c>
      <c r="G96" t="s">
        <v>24</v>
      </c>
      <c r="H96" t="s">
        <v>25</v>
      </c>
      <c r="I96" t="s">
        <v>26</v>
      </c>
      <c r="J96" t="s">
        <v>26</v>
      </c>
      <c r="K96">
        <v>62</v>
      </c>
      <c r="L96">
        <v>0</v>
      </c>
      <c r="M96">
        <v>0</v>
      </c>
      <c r="N96">
        <v>0</v>
      </c>
      <c r="O96">
        <v>6</v>
      </c>
      <c r="P96">
        <v>6</v>
      </c>
      <c r="Q96">
        <v>6</v>
      </c>
      <c r="R96">
        <v>6</v>
      </c>
      <c r="S96">
        <v>5</v>
      </c>
      <c r="T96">
        <v>5</v>
      </c>
      <c r="U96">
        <v>1</v>
      </c>
      <c r="V96">
        <v>62</v>
      </c>
    </row>
    <row r="97" spans="1:22" x14ac:dyDescent="0.25">
      <c r="A97">
        <v>2025</v>
      </c>
      <c r="B97">
        <v>3</v>
      </c>
      <c r="C97" t="s">
        <v>69</v>
      </c>
      <c r="D97" t="s">
        <v>22</v>
      </c>
      <c r="E97" t="s">
        <v>61</v>
      </c>
      <c r="F97" t="s">
        <v>35</v>
      </c>
      <c r="G97" t="s">
        <v>24</v>
      </c>
      <c r="H97" t="s">
        <v>25</v>
      </c>
      <c r="I97" t="s">
        <v>26</v>
      </c>
      <c r="J97" t="s">
        <v>26</v>
      </c>
      <c r="K97">
        <v>304</v>
      </c>
      <c r="L97">
        <v>8</v>
      </c>
      <c r="M97">
        <v>1</v>
      </c>
      <c r="N97">
        <v>9</v>
      </c>
      <c r="O97">
        <v>91</v>
      </c>
      <c r="P97">
        <v>71</v>
      </c>
      <c r="Q97">
        <v>66</v>
      </c>
      <c r="R97">
        <v>57</v>
      </c>
      <c r="S97">
        <v>47</v>
      </c>
      <c r="T97">
        <v>39</v>
      </c>
      <c r="U97">
        <v>25</v>
      </c>
      <c r="V97">
        <v>295</v>
      </c>
    </row>
    <row r="98" spans="1:22" x14ac:dyDescent="0.25">
      <c r="A98">
        <v>2025</v>
      </c>
      <c r="B98">
        <v>3</v>
      </c>
      <c r="C98" t="s">
        <v>69</v>
      </c>
      <c r="D98" t="s">
        <v>22</v>
      </c>
      <c r="E98" t="s">
        <v>61</v>
      </c>
      <c r="F98" t="s">
        <v>41</v>
      </c>
      <c r="G98" t="s">
        <v>24</v>
      </c>
      <c r="H98" t="s">
        <v>26</v>
      </c>
      <c r="I98" t="s">
        <v>26</v>
      </c>
      <c r="J98" t="s">
        <v>25</v>
      </c>
      <c r="K98">
        <v>372</v>
      </c>
      <c r="L98">
        <v>0</v>
      </c>
      <c r="M98">
        <v>3</v>
      </c>
      <c r="N98">
        <v>3</v>
      </c>
      <c r="O98">
        <v>26</v>
      </c>
      <c r="P98">
        <v>19</v>
      </c>
      <c r="Q98">
        <v>18</v>
      </c>
      <c r="R98">
        <v>11</v>
      </c>
      <c r="S98">
        <v>10</v>
      </c>
      <c r="T98">
        <v>6</v>
      </c>
      <c r="U98">
        <v>0</v>
      </c>
      <c r="V98">
        <v>371</v>
      </c>
    </row>
    <row r="99" spans="1:22" x14ac:dyDescent="0.25">
      <c r="A99">
        <v>2025</v>
      </c>
      <c r="B99">
        <v>3</v>
      </c>
      <c r="C99" t="s">
        <v>69</v>
      </c>
      <c r="D99" t="s">
        <v>22</v>
      </c>
      <c r="E99" t="s">
        <v>166</v>
      </c>
      <c r="F99" t="s">
        <v>32</v>
      </c>
      <c r="G99" t="s">
        <v>24</v>
      </c>
      <c r="H99" t="s">
        <v>25</v>
      </c>
      <c r="I99" t="s">
        <v>26</v>
      </c>
      <c r="J99" t="s">
        <v>25</v>
      </c>
      <c r="K99">
        <v>279</v>
      </c>
      <c r="L99">
        <v>1</v>
      </c>
      <c r="M99">
        <v>3</v>
      </c>
      <c r="N99">
        <v>4</v>
      </c>
      <c r="O99">
        <v>145</v>
      </c>
      <c r="P99">
        <v>104</v>
      </c>
      <c r="Q99">
        <v>85</v>
      </c>
      <c r="R99">
        <v>39</v>
      </c>
      <c r="S99">
        <v>23</v>
      </c>
      <c r="T99">
        <v>13</v>
      </c>
      <c r="U99">
        <v>3</v>
      </c>
      <c r="V99">
        <v>275</v>
      </c>
    </row>
    <row r="100" spans="1:22" x14ac:dyDescent="0.25">
      <c r="A100">
        <v>2025</v>
      </c>
      <c r="B100">
        <v>3</v>
      </c>
      <c r="C100" t="s">
        <v>69</v>
      </c>
      <c r="D100" t="s">
        <v>22</v>
      </c>
      <c r="E100" t="s">
        <v>166</v>
      </c>
      <c r="F100" t="s">
        <v>38</v>
      </c>
      <c r="G100" t="s">
        <v>24</v>
      </c>
      <c r="H100" t="s">
        <v>25</v>
      </c>
      <c r="I100" t="s">
        <v>25</v>
      </c>
      <c r="J100" t="s">
        <v>25</v>
      </c>
      <c r="K100">
        <v>217</v>
      </c>
      <c r="L100">
        <v>1</v>
      </c>
      <c r="M100">
        <v>0</v>
      </c>
      <c r="N100">
        <v>1</v>
      </c>
      <c r="O100">
        <v>127</v>
      </c>
      <c r="P100">
        <v>86</v>
      </c>
      <c r="Q100">
        <v>69</v>
      </c>
      <c r="R100">
        <v>23</v>
      </c>
      <c r="S100">
        <v>13</v>
      </c>
      <c r="T100">
        <v>3</v>
      </c>
      <c r="U100">
        <v>0</v>
      </c>
      <c r="V100">
        <v>216</v>
      </c>
    </row>
    <row r="101" spans="1:22" x14ac:dyDescent="0.25">
      <c r="A101">
        <v>2025</v>
      </c>
      <c r="B101">
        <v>3</v>
      </c>
      <c r="C101" t="s">
        <v>69</v>
      </c>
      <c r="D101" t="s">
        <v>22</v>
      </c>
      <c r="E101" t="s">
        <v>69</v>
      </c>
      <c r="F101" t="s">
        <v>32</v>
      </c>
      <c r="G101" t="s">
        <v>28</v>
      </c>
      <c r="H101" t="s">
        <v>25</v>
      </c>
      <c r="I101" t="s">
        <v>26</v>
      </c>
      <c r="J101" t="s">
        <v>25</v>
      </c>
      <c r="K101">
        <v>2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2</v>
      </c>
    </row>
    <row r="102" spans="1:22" x14ac:dyDescent="0.25">
      <c r="A102">
        <v>2025</v>
      </c>
      <c r="B102">
        <v>3</v>
      </c>
      <c r="C102" t="s">
        <v>69</v>
      </c>
      <c r="D102" t="s">
        <v>22</v>
      </c>
      <c r="E102" t="s">
        <v>69</v>
      </c>
      <c r="F102" t="s">
        <v>23</v>
      </c>
      <c r="G102" t="s">
        <v>28</v>
      </c>
      <c r="H102" t="s">
        <v>25</v>
      </c>
      <c r="I102" t="s">
        <v>26</v>
      </c>
      <c r="J102" t="s">
        <v>25</v>
      </c>
      <c r="K102">
        <v>11765</v>
      </c>
      <c r="L102">
        <v>25</v>
      </c>
      <c r="M102">
        <v>188</v>
      </c>
      <c r="N102">
        <v>213</v>
      </c>
      <c r="O102">
        <v>26</v>
      </c>
      <c r="P102">
        <v>19</v>
      </c>
      <c r="Q102">
        <v>13</v>
      </c>
      <c r="R102">
        <v>6</v>
      </c>
      <c r="S102">
        <v>6</v>
      </c>
      <c r="T102">
        <v>3</v>
      </c>
      <c r="U102">
        <v>1</v>
      </c>
      <c r="V102">
        <v>11589</v>
      </c>
    </row>
    <row r="103" spans="1:22" x14ac:dyDescent="0.25">
      <c r="A103">
        <v>2025</v>
      </c>
      <c r="B103">
        <v>3</v>
      </c>
      <c r="C103" t="s">
        <v>69</v>
      </c>
      <c r="D103" t="s">
        <v>22</v>
      </c>
      <c r="E103" t="s">
        <v>69</v>
      </c>
      <c r="F103" t="s">
        <v>23</v>
      </c>
      <c r="G103" t="s">
        <v>24</v>
      </c>
      <c r="H103" t="s">
        <v>25</v>
      </c>
      <c r="I103" t="s">
        <v>26</v>
      </c>
      <c r="J103" t="s">
        <v>25</v>
      </c>
      <c r="K103">
        <v>760</v>
      </c>
      <c r="L103">
        <v>13</v>
      </c>
      <c r="M103">
        <v>15</v>
      </c>
      <c r="N103">
        <v>28</v>
      </c>
      <c r="O103">
        <v>80</v>
      </c>
      <c r="P103">
        <v>46</v>
      </c>
      <c r="Q103">
        <v>43</v>
      </c>
      <c r="R103">
        <v>28</v>
      </c>
      <c r="S103">
        <v>17</v>
      </c>
      <c r="T103">
        <v>4</v>
      </c>
      <c r="U103">
        <v>0</v>
      </c>
      <c r="V103">
        <v>740</v>
      </c>
    </row>
    <row r="104" spans="1:22" x14ac:dyDescent="0.25">
      <c r="A104">
        <v>2025</v>
      </c>
      <c r="B104">
        <v>3</v>
      </c>
      <c r="C104" t="s">
        <v>69</v>
      </c>
      <c r="D104" t="s">
        <v>22</v>
      </c>
      <c r="E104" t="s">
        <v>69</v>
      </c>
      <c r="F104" t="s">
        <v>23</v>
      </c>
      <c r="G104" t="s">
        <v>29</v>
      </c>
      <c r="H104" t="s">
        <v>25</v>
      </c>
      <c r="I104" t="s">
        <v>26</v>
      </c>
      <c r="J104" t="s">
        <v>25</v>
      </c>
      <c r="K104">
        <v>1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</row>
    <row r="105" spans="1:22" x14ac:dyDescent="0.25">
      <c r="A105">
        <v>2025</v>
      </c>
      <c r="B105">
        <v>3</v>
      </c>
      <c r="C105" t="s">
        <v>69</v>
      </c>
      <c r="D105" t="s">
        <v>22</v>
      </c>
      <c r="E105" t="s">
        <v>69</v>
      </c>
      <c r="F105" t="s">
        <v>39</v>
      </c>
      <c r="G105" t="s">
        <v>28</v>
      </c>
      <c r="H105" t="s">
        <v>26</v>
      </c>
      <c r="I105" t="s">
        <v>26</v>
      </c>
      <c r="J105" t="s">
        <v>25</v>
      </c>
      <c r="K105">
        <v>57</v>
      </c>
      <c r="L105">
        <v>1</v>
      </c>
      <c r="M105">
        <v>0</v>
      </c>
      <c r="N105">
        <v>1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56</v>
      </c>
    </row>
    <row r="106" spans="1:22" x14ac:dyDescent="0.25">
      <c r="A106">
        <v>2025</v>
      </c>
      <c r="B106">
        <v>3</v>
      </c>
      <c r="C106" t="s">
        <v>69</v>
      </c>
      <c r="D106" t="s">
        <v>22</v>
      </c>
      <c r="E106" t="s">
        <v>69</v>
      </c>
      <c r="F106" t="s">
        <v>40</v>
      </c>
      <c r="G106" t="s">
        <v>28</v>
      </c>
      <c r="H106" t="s">
        <v>25</v>
      </c>
      <c r="I106" t="s">
        <v>26</v>
      </c>
      <c r="J106" t="s">
        <v>25</v>
      </c>
      <c r="K106">
        <v>13244</v>
      </c>
      <c r="L106">
        <v>41</v>
      </c>
      <c r="M106">
        <v>242</v>
      </c>
      <c r="N106">
        <v>283</v>
      </c>
      <c r="O106">
        <v>34</v>
      </c>
      <c r="P106">
        <v>21</v>
      </c>
      <c r="Q106">
        <v>16</v>
      </c>
      <c r="R106">
        <v>9</v>
      </c>
      <c r="S106">
        <v>4</v>
      </c>
      <c r="T106">
        <v>2</v>
      </c>
      <c r="U106">
        <v>0</v>
      </c>
      <c r="V106">
        <v>13037</v>
      </c>
    </row>
    <row r="107" spans="1:22" x14ac:dyDescent="0.25">
      <c r="A107">
        <v>2025</v>
      </c>
      <c r="B107">
        <v>3</v>
      </c>
      <c r="C107" t="s">
        <v>69</v>
      </c>
      <c r="D107" t="s">
        <v>22</v>
      </c>
      <c r="E107" t="s">
        <v>69</v>
      </c>
      <c r="F107" t="s">
        <v>40</v>
      </c>
      <c r="G107" t="s">
        <v>24</v>
      </c>
      <c r="H107" t="s">
        <v>25</v>
      </c>
      <c r="I107" t="s">
        <v>26</v>
      </c>
      <c r="J107" t="s">
        <v>25</v>
      </c>
      <c r="K107">
        <v>1046</v>
      </c>
      <c r="L107">
        <v>0</v>
      </c>
      <c r="M107">
        <v>42</v>
      </c>
      <c r="N107">
        <v>42</v>
      </c>
      <c r="O107">
        <v>39</v>
      </c>
      <c r="P107">
        <v>12</v>
      </c>
      <c r="Q107">
        <v>9</v>
      </c>
      <c r="R107">
        <v>6</v>
      </c>
      <c r="S107">
        <v>3</v>
      </c>
      <c r="T107">
        <v>0</v>
      </c>
      <c r="U107">
        <v>0</v>
      </c>
      <c r="V107">
        <v>1017</v>
      </c>
    </row>
    <row r="108" spans="1:22" x14ac:dyDescent="0.25">
      <c r="A108">
        <v>2025</v>
      </c>
      <c r="B108">
        <v>3</v>
      </c>
      <c r="C108" t="s">
        <v>69</v>
      </c>
      <c r="D108" t="s">
        <v>22</v>
      </c>
      <c r="E108" t="s">
        <v>69</v>
      </c>
      <c r="F108" t="s">
        <v>40</v>
      </c>
      <c r="G108" t="s">
        <v>29</v>
      </c>
      <c r="H108" t="s">
        <v>25</v>
      </c>
      <c r="I108" t="s">
        <v>26</v>
      </c>
      <c r="J108" t="s">
        <v>25</v>
      </c>
      <c r="K108">
        <v>4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</row>
    <row r="109" spans="1:22" x14ac:dyDescent="0.25">
      <c r="A109">
        <v>2025</v>
      </c>
      <c r="B109">
        <v>3</v>
      </c>
      <c r="C109" t="s">
        <v>69</v>
      </c>
      <c r="D109" t="s">
        <v>22</v>
      </c>
      <c r="E109" t="s">
        <v>124</v>
      </c>
      <c r="F109" t="s">
        <v>70</v>
      </c>
      <c r="G109" t="s">
        <v>28</v>
      </c>
      <c r="H109" t="s">
        <v>26</v>
      </c>
      <c r="I109" t="s">
        <v>26</v>
      </c>
      <c r="J109" t="s">
        <v>25</v>
      </c>
      <c r="K109">
        <v>52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52</v>
      </c>
    </row>
    <row r="110" spans="1:22" x14ac:dyDescent="0.25">
      <c r="A110">
        <v>2025</v>
      </c>
      <c r="B110">
        <v>3</v>
      </c>
      <c r="C110" t="s">
        <v>69</v>
      </c>
      <c r="D110" t="s">
        <v>22</v>
      </c>
      <c r="E110" t="s">
        <v>124</v>
      </c>
      <c r="F110" t="s">
        <v>70</v>
      </c>
      <c r="G110" t="s">
        <v>24</v>
      </c>
      <c r="H110" t="s">
        <v>26</v>
      </c>
      <c r="I110" t="s">
        <v>26</v>
      </c>
      <c r="J110" t="s">
        <v>25</v>
      </c>
      <c r="K110">
        <v>847</v>
      </c>
      <c r="L110">
        <v>1</v>
      </c>
      <c r="M110">
        <v>13</v>
      </c>
      <c r="N110">
        <v>14</v>
      </c>
      <c r="O110">
        <v>127</v>
      </c>
      <c r="P110">
        <v>93</v>
      </c>
      <c r="Q110">
        <v>89</v>
      </c>
      <c r="R110">
        <v>74</v>
      </c>
      <c r="S110">
        <v>63</v>
      </c>
      <c r="T110">
        <v>32</v>
      </c>
      <c r="U110">
        <v>9</v>
      </c>
      <c r="V110">
        <v>839</v>
      </c>
    </row>
    <row r="111" spans="1:22" x14ac:dyDescent="0.25">
      <c r="A111">
        <v>2025</v>
      </c>
      <c r="B111">
        <v>3</v>
      </c>
      <c r="C111" t="s">
        <v>69</v>
      </c>
      <c r="D111" t="s">
        <v>22</v>
      </c>
      <c r="E111" t="s">
        <v>124</v>
      </c>
      <c r="F111" t="s">
        <v>70</v>
      </c>
      <c r="G111" t="s">
        <v>29</v>
      </c>
      <c r="H111" t="s">
        <v>26</v>
      </c>
      <c r="I111" t="s">
        <v>26</v>
      </c>
      <c r="J111" t="s">
        <v>25</v>
      </c>
      <c r="K111">
        <v>13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</row>
    <row r="112" spans="1:22" x14ac:dyDescent="0.25">
      <c r="A112">
        <v>2025</v>
      </c>
      <c r="B112">
        <v>3</v>
      </c>
      <c r="C112" t="s">
        <v>69</v>
      </c>
      <c r="D112" t="s">
        <v>22</v>
      </c>
      <c r="E112" t="s">
        <v>173</v>
      </c>
      <c r="F112" t="s">
        <v>32</v>
      </c>
      <c r="G112" t="s">
        <v>24</v>
      </c>
      <c r="H112" t="s">
        <v>25</v>
      </c>
      <c r="I112" t="s">
        <v>26</v>
      </c>
      <c r="J112" t="s">
        <v>25</v>
      </c>
      <c r="K112">
        <v>1128</v>
      </c>
      <c r="L112">
        <v>1</v>
      </c>
      <c r="M112">
        <v>27</v>
      </c>
      <c r="N112">
        <v>28</v>
      </c>
      <c r="O112">
        <v>14</v>
      </c>
      <c r="P112">
        <v>12</v>
      </c>
      <c r="Q112">
        <v>12</v>
      </c>
      <c r="R112">
        <v>9</v>
      </c>
      <c r="S112">
        <v>8</v>
      </c>
      <c r="T112">
        <v>7</v>
      </c>
      <c r="U112">
        <v>3</v>
      </c>
      <c r="V112">
        <v>1110</v>
      </c>
    </row>
    <row r="113" spans="1:22" x14ac:dyDescent="0.25">
      <c r="A113">
        <v>2025</v>
      </c>
      <c r="B113">
        <v>3</v>
      </c>
      <c r="C113" t="s">
        <v>69</v>
      </c>
      <c r="D113" t="s">
        <v>22</v>
      </c>
      <c r="E113" t="s">
        <v>173</v>
      </c>
      <c r="F113" t="s">
        <v>38</v>
      </c>
      <c r="G113" t="s">
        <v>24</v>
      </c>
      <c r="H113" t="s">
        <v>25</v>
      </c>
      <c r="I113" t="s">
        <v>25</v>
      </c>
      <c r="J113" t="s">
        <v>25</v>
      </c>
      <c r="K113">
        <v>62</v>
      </c>
      <c r="L113">
        <v>3</v>
      </c>
      <c r="M113">
        <v>6</v>
      </c>
      <c r="N113">
        <v>9</v>
      </c>
      <c r="O113">
        <v>11</v>
      </c>
      <c r="P113">
        <v>10</v>
      </c>
      <c r="Q113">
        <v>10</v>
      </c>
      <c r="R113">
        <v>4</v>
      </c>
      <c r="S113">
        <v>3</v>
      </c>
      <c r="T113">
        <v>1</v>
      </c>
      <c r="U113">
        <v>0</v>
      </c>
      <c r="V113">
        <v>59</v>
      </c>
    </row>
    <row r="114" spans="1:22" x14ac:dyDescent="0.25">
      <c r="A114">
        <v>2025</v>
      </c>
      <c r="B114">
        <v>4</v>
      </c>
      <c r="C114" t="s">
        <v>69</v>
      </c>
      <c r="D114" t="s">
        <v>22</v>
      </c>
      <c r="E114" t="s">
        <v>126</v>
      </c>
      <c r="F114" t="s">
        <v>34</v>
      </c>
      <c r="G114" t="s">
        <v>24</v>
      </c>
      <c r="H114" t="s">
        <v>25</v>
      </c>
      <c r="I114" t="s">
        <v>26</v>
      </c>
      <c r="J114" t="s">
        <v>26</v>
      </c>
      <c r="K114">
        <v>3</v>
      </c>
      <c r="L114">
        <v>0</v>
      </c>
      <c r="M114">
        <v>0</v>
      </c>
      <c r="N114">
        <v>0</v>
      </c>
      <c r="O114">
        <v>1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3</v>
      </c>
    </row>
    <row r="115" spans="1:22" x14ac:dyDescent="0.25">
      <c r="A115">
        <v>2025</v>
      </c>
      <c r="B115">
        <v>4</v>
      </c>
      <c r="C115" t="s">
        <v>69</v>
      </c>
      <c r="D115" t="s">
        <v>22</v>
      </c>
      <c r="E115" t="s">
        <v>132</v>
      </c>
      <c r="F115" t="s">
        <v>32</v>
      </c>
      <c r="G115" t="s">
        <v>24</v>
      </c>
      <c r="H115" t="s">
        <v>25</v>
      </c>
      <c r="I115" t="s">
        <v>26</v>
      </c>
      <c r="J115" t="s">
        <v>25</v>
      </c>
      <c r="K115">
        <v>25</v>
      </c>
      <c r="L115">
        <v>0</v>
      </c>
      <c r="M115">
        <v>0</v>
      </c>
      <c r="N115">
        <v>0</v>
      </c>
      <c r="O115">
        <v>9</v>
      </c>
      <c r="P115">
        <v>7</v>
      </c>
      <c r="Q115">
        <v>7</v>
      </c>
      <c r="R115">
        <v>4</v>
      </c>
      <c r="S115">
        <v>4</v>
      </c>
      <c r="T115">
        <v>4</v>
      </c>
      <c r="U115">
        <v>2</v>
      </c>
      <c r="V115">
        <v>25</v>
      </c>
    </row>
    <row r="116" spans="1:22" x14ac:dyDescent="0.25">
      <c r="A116">
        <v>2025</v>
      </c>
      <c r="B116">
        <v>4</v>
      </c>
      <c r="C116" t="s">
        <v>69</v>
      </c>
      <c r="D116" t="s">
        <v>22</v>
      </c>
      <c r="E116" t="s">
        <v>132</v>
      </c>
      <c r="F116" t="s">
        <v>34</v>
      </c>
      <c r="G116" t="s">
        <v>24</v>
      </c>
      <c r="H116" t="s">
        <v>25</v>
      </c>
      <c r="I116" t="s">
        <v>26</v>
      </c>
      <c r="J116" t="s">
        <v>26</v>
      </c>
      <c r="K116">
        <v>22</v>
      </c>
      <c r="L116">
        <v>0</v>
      </c>
      <c r="M116">
        <v>0</v>
      </c>
      <c r="N116">
        <v>0</v>
      </c>
      <c r="O116">
        <v>7</v>
      </c>
      <c r="P116">
        <v>7</v>
      </c>
      <c r="Q116">
        <v>7</v>
      </c>
      <c r="R116">
        <v>4</v>
      </c>
      <c r="S116">
        <v>4</v>
      </c>
      <c r="T116">
        <v>4</v>
      </c>
      <c r="U116">
        <v>2</v>
      </c>
      <c r="V116">
        <v>22</v>
      </c>
    </row>
    <row r="117" spans="1:22" x14ac:dyDescent="0.25">
      <c r="A117">
        <v>2025</v>
      </c>
      <c r="B117">
        <v>4</v>
      </c>
      <c r="C117" t="s">
        <v>69</v>
      </c>
      <c r="D117" t="s">
        <v>22</v>
      </c>
      <c r="E117" t="s">
        <v>37</v>
      </c>
      <c r="F117" t="s">
        <v>38</v>
      </c>
      <c r="G117" t="s">
        <v>24</v>
      </c>
      <c r="H117" t="s">
        <v>25</v>
      </c>
      <c r="I117" t="s">
        <v>26</v>
      </c>
      <c r="J117" t="s">
        <v>25</v>
      </c>
      <c r="K117">
        <v>2</v>
      </c>
      <c r="L117">
        <v>1</v>
      </c>
      <c r="M117">
        <v>0</v>
      </c>
      <c r="N117">
        <v>1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1</v>
      </c>
    </row>
    <row r="118" spans="1:22" x14ac:dyDescent="0.25">
      <c r="A118">
        <v>2025</v>
      </c>
      <c r="B118">
        <v>4</v>
      </c>
      <c r="C118" t="s">
        <v>69</v>
      </c>
      <c r="D118" t="s">
        <v>22</v>
      </c>
      <c r="E118" t="s">
        <v>37</v>
      </c>
      <c r="F118" t="s">
        <v>23</v>
      </c>
      <c r="G118" t="s">
        <v>28</v>
      </c>
      <c r="H118" t="s">
        <v>25</v>
      </c>
      <c r="I118" t="s">
        <v>26</v>
      </c>
      <c r="J118" t="s">
        <v>25</v>
      </c>
      <c r="K118">
        <v>3</v>
      </c>
      <c r="L118">
        <v>1</v>
      </c>
      <c r="M118">
        <v>0</v>
      </c>
      <c r="N118">
        <v>1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2</v>
      </c>
    </row>
    <row r="119" spans="1:22" x14ac:dyDescent="0.25">
      <c r="A119">
        <v>2025</v>
      </c>
      <c r="B119">
        <v>4</v>
      </c>
      <c r="C119" t="s">
        <v>69</v>
      </c>
      <c r="D119" t="s">
        <v>22</v>
      </c>
      <c r="E119" t="s">
        <v>37</v>
      </c>
      <c r="F119" t="s">
        <v>23</v>
      </c>
      <c r="G119" t="s">
        <v>24</v>
      </c>
      <c r="H119" t="s">
        <v>25</v>
      </c>
      <c r="I119" t="s">
        <v>26</v>
      </c>
      <c r="J119" t="s">
        <v>25</v>
      </c>
      <c r="K119">
        <v>2</v>
      </c>
      <c r="L119">
        <v>0</v>
      </c>
      <c r="M119">
        <v>0</v>
      </c>
      <c r="N119">
        <v>0</v>
      </c>
      <c r="O119">
        <v>2</v>
      </c>
      <c r="P119">
        <v>1</v>
      </c>
      <c r="Q119">
        <v>1</v>
      </c>
      <c r="R119">
        <v>0</v>
      </c>
      <c r="S119">
        <v>0</v>
      </c>
      <c r="T119">
        <v>0</v>
      </c>
      <c r="U119">
        <v>0</v>
      </c>
      <c r="V119">
        <v>2</v>
      </c>
    </row>
    <row r="120" spans="1:22" x14ac:dyDescent="0.25">
      <c r="A120">
        <v>2025</v>
      </c>
      <c r="B120">
        <v>4</v>
      </c>
      <c r="C120" t="s">
        <v>69</v>
      </c>
      <c r="D120" t="s">
        <v>22</v>
      </c>
      <c r="E120" t="s">
        <v>145</v>
      </c>
      <c r="F120" t="s">
        <v>32</v>
      </c>
      <c r="G120" t="s">
        <v>24</v>
      </c>
      <c r="H120" t="s">
        <v>25</v>
      </c>
      <c r="I120" t="s">
        <v>26</v>
      </c>
      <c r="J120" t="s">
        <v>25</v>
      </c>
      <c r="K120">
        <v>262</v>
      </c>
      <c r="L120">
        <v>3</v>
      </c>
      <c r="M120">
        <v>1</v>
      </c>
      <c r="N120">
        <v>4</v>
      </c>
      <c r="O120">
        <v>44</v>
      </c>
      <c r="P120">
        <v>27</v>
      </c>
      <c r="Q120">
        <v>25</v>
      </c>
      <c r="R120">
        <v>16</v>
      </c>
      <c r="S120">
        <v>14</v>
      </c>
      <c r="T120">
        <v>6</v>
      </c>
      <c r="U120">
        <v>2</v>
      </c>
      <c r="V120">
        <v>259</v>
      </c>
    </row>
    <row r="121" spans="1:22" x14ac:dyDescent="0.25">
      <c r="A121">
        <v>2025</v>
      </c>
      <c r="B121">
        <v>4</v>
      </c>
      <c r="C121" t="s">
        <v>69</v>
      </c>
      <c r="D121" t="s">
        <v>22</v>
      </c>
      <c r="E121" t="s">
        <v>154</v>
      </c>
      <c r="F121" t="s">
        <v>32</v>
      </c>
      <c r="G121" t="s">
        <v>24</v>
      </c>
      <c r="H121" t="s">
        <v>25</v>
      </c>
      <c r="I121" t="s">
        <v>26</v>
      </c>
      <c r="J121" t="s">
        <v>25</v>
      </c>
      <c r="K121">
        <v>12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12</v>
      </c>
    </row>
    <row r="122" spans="1:22" x14ac:dyDescent="0.25">
      <c r="A122">
        <v>2025</v>
      </c>
      <c r="B122">
        <v>4</v>
      </c>
      <c r="C122" t="s">
        <v>69</v>
      </c>
      <c r="D122" t="s">
        <v>22</v>
      </c>
      <c r="E122" t="s">
        <v>149</v>
      </c>
      <c r="F122" t="s">
        <v>32</v>
      </c>
      <c r="G122" t="s">
        <v>24</v>
      </c>
      <c r="H122" t="s">
        <v>25</v>
      </c>
      <c r="I122" t="s">
        <v>26</v>
      </c>
      <c r="J122" t="s">
        <v>25</v>
      </c>
      <c r="K122">
        <v>88</v>
      </c>
      <c r="L122">
        <v>4</v>
      </c>
      <c r="M122">
        <v>29</v>
      </c>
      <c r="N122">
        <v>33</v>
      </c>
      <c r="O122">
        <v>24</v>
      </c>
      <c r="P122">
        <v>20</v>
      </c>
      <c r="Q122">
        <v>17</v>
      </c>
      <c r="R122">
        <v>11</v>
      </c>
      <c r="S122">
        <v>6</v>
      </c>
      <c r="T122">
        <v>3</v>
      </c>
      <c r="U122">
        <v>1</v>
      </c>
      <c r="V122">
        <v>55</v>
      </c>
    </row>
    <row r="123" spans="1:22" x14ac:dyDescent="0.25">
      <c r="A123">
        <v>2025</v>
      </c>
      <c r="B123">
        <v>4</v>
      </c>
      <c r="C123" t="s">
        <v>69</v>
      </c>
      <c r="D123" t="s">
        <v>22</v>
      </c>
      <c r="E123" t="s">
        <v>149</v>
      </c>
      <c r="F123" t="s">
        <v>34</v>
      </c>
      <c r="G123" t="s">
        <v>24</v>
      </c>
      <c r="H123" t="s">
        <v>25</v>
      </c>
      <c r="I123" t="s">
        <v>26</v>
      </c>
      <c r="J123" t="s">
        <v>26</v>
      </c>
      <c r="K123">
        <v>3</v>
      </c>
      <c r="L123">
        <v>0</v>
      </c>
      <c r="M123">
        <v>0</v>
      </c>
      <c r="N123">
        <v>0</v>
      </c>
      <c r="O123">
        <v>3</v>
      </c>
      <c r="P123">
        <v>3</v>
      </c>
      <c r="Q123">
        <v>3</v>
      </c>
      <c r="R123">
        <v>1</v>
      </c>
      <c r="S123">
        <v>0</v>
      </c>
      <c r="T123">
        <v>0</v>
      </c>
      <c r="U123">
        <v>0</v>
      </c>
      <c r="V123">
        <v>3</v>
      </c>
    </row>
    <row r="124" spans="1:22" x14ac:dyDescent="0.25">
      <c r="A124">
        <v>2025</v>
      </c>
      <c r="B124">
        <v>4</v>
      </c>
      <c r="C124" t="s">
        <v>69</v>
      </c>
      <c r="D124" t="s">
        <v>22</v>
      </c>
      <c r="E124" t="s">
        <v>149</v>
      </c>
      <c r="F124" t="s">
        <v>23</v>
      </c>
      <c r="G124" t="s">
        <v>24</v>
      </c>
      <c r="H124" t="s">
        <v>25</v>
      </c>
      <c r="I124" t="s">
        <v>26</v>
      </c>
      <c r="J124" t="s">
        <v>25</v>
      </c>
      <c r="K124">
        <v>331</v>
      </c>
      <c r="L124">
        <v>20</v>
      </c>
      <c r="M124">
        <v>7</v>
      </c>
      <c r="N124">
        <v>27</v>
      </c>
      <c r="O124">
        <v>105</v>
      </c>
      <c r="P124">
        <v>89</v>
      </c>
      <c r="Q124">
        <v>87</v>
      </c>
      <c r="R124">
        <v>65</v>
      </c>
      <c r="S124">
        <v>36</v>
      </c>
      <c r="T124">
        <v>14</v>
      </c>
      <c r="U124">
        <v>8</v>
      </c>
      <c r="V124">
        <v>305</v>
      </c>
    </row>
    <row r="125" spans="1:22" x14ac:dyDescent="0.25">
      <c r="A125">
        <v>2025</v>
      </c>
      <c r="B125">
        <v>4</v>
      </c>
      <c r="C125" t="s">
        <v>69</v>
      </c>
      <c r="D125" t="s">
        <v>22</v>
      </c>
      <c r="E125" t="s">
        <v>149</v>
      </c>
      <c r="F125" t="s">
        <v>39</v>
      </c>
      <c r="G125" t="s">
        <v>24</v>
      </c>
      <c r="H125" t="s">
        <v>26</v>
      </c>
      <c r="I125" t="s">
        <v>26</v>
      </c>
      <c r="J125" t="s">
        <v>25</v>
      </c>
      <c r="K125">
        <v>990</v>
      </c>
      <c r="L125">
        <v>59</v>
      </c>
      <c r="M125">
        <v>110</v>
      </c>
      <c r="N125">
        <v>169</v>
      </c>
      <c r="O125">
        <v>194</v>
      </c>
      <c r="P125">
        <v>144</v>
      </c>
      <c r="Q125">
        <v>129</v>
      </c>
      <c r="R125">
        <v>89</v>
      </c>
      <c r="S125">
        <v>59</v>
      </c>
      <c r="T125">
        <v>28</v>
      </c>
      <c r="U125">
        <v>8</v>
      </c>
      <c r="V125">
        <v>864</v>
      </c>
    </row>
    <row r="126" spans="1:22" x14ac:dyDescent="0.25">
      <c r="A126">
        <v>2025</v>
      </c>
      <c r="B126">
        <v>4</v>
      </c>
      <c r="C126" t="s">
        <v>69</v>
      </c>
      <c r="D126" t="s">
        <v>22</v>
      </c>
      <c r="E126" t="s">
        <v>150</v>
      </c>
      <c r="F126" t="s">
        <v>32</v>
      </c>
      <c r="G126" t="s">
        <v>24</v>
      </c>
      <c r="H126" t="s">
        <v>25</v>
      </c>
      <c r="I126" t="s">
        <v>26</v>
      </c>
      <c r="J126" t="s">
        <v>25</v>
      </c>
      <c r="K126">
        <v>20</v>
      </c>
      <c r="L126">
        <v>0</v>
      </c>
      <c r="M126">
        <v>0</v>
      </c>
      <c r="N126">
        <v>0</v>
      </c>
      <c r="O126">
        <v>13</v>
      </c>
      <c r="P126">
        <v>7</v>
      </c>
      <c r="Q126">
        <v>7</v>
      </c>
      <c r="R126">
        <v>7</v>
      </c>
      <c r="S126">
        <v>5</v>
      </c>
      <c r="T126">
        <v>2</v>
      </c>
      <c r="U126">
        <v>0</v>
      </c>
      <c r="V126">
        <v>20</v>
      </c>
    </row>
    <row r="127" spans="1:22" x14ac:dyDescent="0.25">
      <c r="A127">
        <v>2025</v>
      </c>
      <c r="B127">
        <v>4</v>
      </c>
      <c r="C127" t="s">
        <v>69</v>
      </c>
      <c r="D127" t="s">
        <v>22</v>
      </c>
      <c r="E127" t="s">
        <v>155</v>
      </c>
      <c r="F127" t="s">
        <v>34</v>
      </c>
      <c r="G127" t="s">
        <v>24</v>
      </c>
      <c r="H127" t="s">
        <v>25</v>
      </c>
      <c r="I127" t="s">
        <v>26</v>
      </c>
      <c r="J127" t="s">
        <v>26</v>
      </c>
      <c r="K127">
        <v>31</v>
      </c>
      <c r="L127">
        <v>0</v>
      </c>
      <c r="M127">
        <v>0</v>
      </c>
      <c r="N127">
        <v>0</v>
      </c>
      <c r="O127">
        <v>3</v>
      </c>
      <c r="P127">
        <v>3</v>
      </c>
      <c r="Q127">
        <v>3</v>
      </c>
      <c r="R127">
        <v>3</v>
      </c>
      <c r="S127">
        <v>3</v>
      </c>
      <c r="T127">
        <v>2</v>
      </c>
      <c r="U127">
        <v>1</v>
      </c>
      <c r="V127">
        <v>31</v>
      </c>
    </row>
    <row r="128" spans="1:22" x14ac:dyDescent="0.25">
      <c r="A128">
        <v>2025</v>
      </c>
      <c r="B128">
        <v>4</v>
      </c>
      <c r="C128" t="s">
        <v>69</v>
      </c>
      <c r="D128" t="s">
        <v>22</v>
      </c>
      <c r="E128" t="s">
        <v>163</v>
      </c>
      <c r="F128" t="s">
        <v>34</v>
      </c>
      <c r="G128" t="s">
        <v>24</v>
      </c>
      <c r="H128" t="s">
        <v>25</v>
      </c>
      <c r="I128" t="s">
        <v>26</v>
      </c>
      <c r="J128" t="s">
        <v>26</v>
      </c>
      <c r="K128">
        <v>52</v>
      </c>
      <c r="L128">
        <v>0</v>
      </c>
      <c r="M128">
        <v>0</v>
      </c>
      <c r="N128">
        <v>0</v>
      </c>
      <c r="O128">
        <v>5</v>
      </c>
      <c r="P128">
        <v>5</v>
      </c>
      <c r="Q128">
        <v>5</v>
      </c>
      <c r="R128">
        <v>4</v>
      </c>
      <c r="S128">
        <v>3</v>
      </c>
      <c r="T128">
        <v>3</v>
      </c>
      <c r="U128">
        <v>0</v>
      </c>
      <c r="V128">
        <v>52</v>
      </c>
    </row>
    <row r="129" spans="1:22" x14ac:dyDescent="0.25">
      <c r="A129">
        <v>2025</v>
      </c>
      <c r="B129">
        <v>4</v>
      </c>
      <c r="C129" t="s">
        <v>69</v>
      </c>
      <c r="D129" t="s">
        <v>22</v>
      </c>
      <c r="E129" t="s">
        <v>61</v>
      </c>
      <c r="F129" t="s">
        <v>34</v>
      </c>
      <c r="G129" t="s">
        <v>24</v>
      </c>
      <c r="H129" t="s">
        <v>25</v>
      </c>
      <c r="I129" t="s">
        <v>26</v>
      </c>
      <c r="J129" t="s">
        <v>26</v>
      </c>
      <c r="K129">
        <v>7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7</v>
      </c>
    </row>
    <row r="130" spans="1:22" x14ac:dyDescent="0.25">
      <c r="A130">
        <v>2025</v>
      </c>
      <c r="B130">
        <v>4</v>
      </c>
      <c r="C130" t="s">
        <v>69</v>
      </c>
      <c r="D130" t="s">
        <v>22</v>
      </c>
      <c r="E130" t="s">
        <v>61</v>
      </c>
      <c r="F130" t="s">
        <v>35</v>
      </c>
      <c r="G130" t="s">
        <v>28</v>
      </c>
      <c r="H130" t="s">
        <v>25</v>
      </c>
      <c r="I130" t="s">
        <v>26</v>
      </c>
      <c r="J130" t="s">
        <v>26</v>
      </c>
      <c r="K130">
        <v>5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5</v>
      </c>
    </row>
    <row r="131" spans="1:22" x14ac:dyDescent="0.25">
      <c r="A131">
        <v>2025</v>
      </c>
      <c r="B131">
        <v>4</v>
      </c>
      <c r="C131" t="s">
        <v>69</v>
      </c>
      <c r="D131" t="s">
        <v>22</v>
      </c>
      <c r="E131" t="s">
        <v>61</v>
      </c>
      <c r="F131" t="s">
        <v>35</v>
      </c>
      <c r="G131" t="s">
        <v>24</v>
      </c>
      <c r="H131" t="s">
        <v>25</v>
      </c>
      <c r="I131" t="s">
        <v>26</v>
      </c>
      <c r="J131" t="s">
        <v>26</v>
      </c>
      <c r="K131">
        <v>213</v>
      </c>
      <c r="L131">
        <v>3</v>
      </c>
      <c r="M131">
        <v>3</v>
      </c>
      <c r="N131">
        <v>6</v>
      </c>
      <c r="O131">
        <v>58</v>
      </c>
      <c r="P131">
        <v>49</v>
      </c>
      <c r="Q131">
        <v>47</v>
      </c>
      <c r="R131">
        <v>37</v>
      </c>
      <c r="S131">
        <v>31</v>
      </c>
      <c r="T131">
        <v>23</v>
      </c>
      <c r="U131">
        <v>11</v>
      </c>
      <c r="V131">
        <v>208</v>
      </c>
    </row>
    <row r="132" spans="1:22" x14ac:dyDescent="0.25">
      <c r="A132">
        <v>2025</v>
      </c>
      <c r="B132">
        <v>4</v>
      </c>
      <c r="C132" t="s">
        <v>69</v>
      </c>
      <c r="D132" t="s">
        <v>22</v>
      </c>
      <c r="E132" t="s">
        <v>61</v>
      </c>
      <c r="F132" t="s">
        <v>35</v>
      </c>
      <c r="G132" t="s">
        <v>29</v>
      </c>
      <c r="H132" t="s">
        <v>25</v>
      </c>
      <c r="I132" t="s">
        <v>26</v>
      </c>
      <c r="J132" t="s">
        <v>26</v>
      </c>
      <c r="K132">
        <v>1</v>
      </c>
      <c r="L132">
        <v>1</v>
      </c>
      <c r="M132">
        <v>0</v>
      </c>
      <c r="N132">
        <v>1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</row>
    <row r="133" spans="1:22" x14ac:dyDescent="0.25">
      <c r="A133">
        <v>2025</v>
      </c>
      <c r="B133">
        <v>4</v>
      </c>
      <c r="C133" t="s">
        <v>69</v>
      </c>
      <c r="D133" t="s">
        <v>22</v>
      </c>
      <c r="E133" t="s">
        <v>61</v>
      </c>
      <c r="F133" t="s">
        <v>41</v>
      </c>
      <c r="G133" t="s">
        <v>24</v>
      </c>
      <c r="H133" t="s">
        <v>26</v>
      </c>
      <c r="I133" t="s">
        <v>26</v>
      </c>
      <c r="J133" t="s">
        <v>25</v>
      </c>
      <c r="K133">
        <v>283</v>
      </c>
      <c r="L133">
        <v>0</v>
      </c>
      <c r="M133">
        <v>1</v>
      </c>
      <c r="N133">
        <v>1</v>
      </c>
      <c r="O133">
        <v>20</v>
      </c>
      <c r="P133">
        <v>13</v>
      </c>
      <c r="Q133">
        <v>11</v>
      </c>
      <c r="R133">
        <v>8</v>
      </c>
      <c r="S133">
        <v>8</v>
      </c>
      <c r="T133">
        <v>4</v>
      </c>
      <c r="U133">
        <v>1</v>
      </c>
      <c r="V133">
        <v>283</v>
      </c>
    </row>
    <row r="134" spans="1:22" x14ac:dyDescent="0.25">
      <c r="A134">
        <v>2025</v>
      </c>
      <c r="B134">
        <v>4</v>
      </c>
      <c r="C134" t="s">
        <v>69</v>
      </c>
      <c r="D134" t="s">
        <v>22</v>
      </c>
      <c r="E134" t="s">
        <v>61</v>
      </c>
      <c r="F134" t="s">
        <v>41</v>
      </c>
      <c r="G134" t="s">
        <v>29</v>
      </c>
      <c r="H134" t="s">
        <v>26</v>
      </c>
      <c r="I134" t="s">
        <v>26</v>
      </c>
      <c r="J134" t="s">
        <v>25</v>
      </c>
      <c r="K134">
        <v>5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</row>
    <row r="135" spans="1:22" x14ac:dyDescent="0.25">
      <c r="A135">
        <v>2025</v>
      </c>
      <c r="B135">
        <v>4</v>
      </c>
      <c r="C135" t="s">
        <v>69</v>
      </c>
      <c r="D135" t="s">
        <v>22</v>
      </c>
      <c r="E135" t="s">
        <v>166</v>
      </c>
      <c r="F135" t="s">
        <v>32</v>
      </c>
      <c r="G135" t="s">
        <v>24</v>
      </c>
      <c r="H135" t="s">
        <v>25</v>
      </c>
      <c r="I135" t="s">
        <v>26</v>
      </c>
      <c r="J135" t="s">
        <v>25</v>
      </c>
      <c r="K135">
        <v>251</v>
      </c>
      <c r="L135">
        <v>3</v>
      </c>
      <c r="M135">
        <v>0</v>
      </c>
      <c r="N135">
        <v>3</v>
      </c>
      <c r="O135">
        <v>100</v>
      </c>
      <c r="P135">
        <v>96</v>
      </c>
      <c r="Q135">
        <v>95</v>
      </c>
      <c r="R135">
        <v>71</v>
      </c>
      <c r="S135">
        <v>44</v>
      </c>
      <c r="T135">
        <v>33</v>
      </c>
      <c r="U135">
        <v>5</v>
      </c>
      <c r="V135">
        <v>248</v>
      </c>
    </row>
    <row r="136" spans="1:22" x14ac:dyDescent="0.25">
      <c r="A136">
        <v>2025</v>
      </c>
      <c r="B136">
        <v>4</v>
      </c>
      <c r="C136" t="s">
        <v>69</v>
      </c>
      <c r="D136" t="s">
        <v>22</v>
      </c>
      <c r="E136" t="s">
        <v>166</v>
      </c>
      <c r="F136" t="s">
        <v>38</v>
      </c>
      <c r="G136" t="s">
        <v>24</v>
      </c>
      <c r="H136" t="s">
        <v>25</v>
      </c>
      <c r="I136" t="s">
        <v>25</v>
      </c>
      <c r="J136" t="s">
        <v>25</v>
      </c>
      <c r="K136">
        <v>195</v>
      </c>
      <c r="L136">
        <v>1</v>
      </c>
      <c r="M136">
        <v>2</v>
      </c>
      <c r="N136">
        <v>3</v>
      </c>
      <c r="O136">
        <v>136</v>
      </c>
      <c r="P136">
        <v>98</v>
      </c>
      <c r="Q136">
        <v>84</v>
      </c>
      <c r="R136">
        <v>32</v>
      </c>
      <c r="S136">
        <v>13</v>
      </c>
      <c r="T136">
        <v>2</v>
      </c>
      <c r="U136">
        <v>1</v>
      </c>
      <c r="V136">
        <v>192</v>
      </c>
    </row>
    <row r="137" spans="1:22" x14ac:dyDescent="0.25">
      <c r="A137">
        <v>2025</v>
      </c>
      <c r="B137">
        <v>4</v>
      </c>
      <c r="C137" t="s">
        <v>69</v>
      </c>
      <c r="D137" t="s">
        <v>22</v>
      </c>
      <c r="E137" t="s">
        <v>69</v>
      </c>
      <c r="F137" t="s">
        <v>32</v>
      </c>
      <c r="G137" t="s">
        <v>28</v>
      </c>
      <c r="H137" t="s">
        <v>25</v>
      </c>
      <c r="I137" t="s">
        <v>26</v>
      </c>
      <c r="J137" t="s">
        <v>25</v>
      </c>
      <c r="K137">
        <v>42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42</v>
      </c>
    </row>
    <row r="138" spans="1:22" x14ac:dyDescent="0.25">
      <c r="A138">
        <v>2025</v>
      </c>
      <c r="B138">
        <v>4</v>
      </c>
      <c r="C138" t="s">
        <v>69</v>
      </c>
      <c r="D138" t="s">
        <v>22</v>
      </c>
      <c r="E138" t="s">
        <v>69</v>
      </c>
      <c r="F138" t="s">
        <v>23</v>
      </c>
      <c r="G138" t="s">
        <v>28</v>
      </c>
      <c r="H138" t="s">
        <v>25</v>
      </c>
      <c r="I138" t="s">
        <v>26</v>
      </c>
      <c r="J138" t="s">
        <v>25</v>
      </c>
      <c r="K138">
        <v>10631</v>
      </c>
      <c r="L138">
        <v>15</v>
      </c>
      <c r="M138">
        <v>139</v>
      </c>
      <c r="N138">
        <v>154</v>
      </c>
      <c r="O138">
        <v>13</v>
      </c>
      <c r="P138">
        <v>11</v>
      </c>
      <c r="Q138">
        <v>10</v>
      </c>
      <c r="R138">
        <v>7</v>
      </c>
      <c r="S138">
        <v>5</v>
      </c>
      <c r="T138">
        <v>1</v>
      </c>
      <c r="U138">
        <v>0</v>
      </c>
      <c r="V138">
        <v>10489</v>
      </c>
    </row>
    <row r="139" spans="1:22" x14ac:dyDescent="0.25">
      <c r="A139">
        <v>2025</v>
      </c>
      <c r="B139">
        <v>4</v>
      </c>
      <c r="C139" t="s">
        <v>69</v>
      </c>
      <c r="D139" t="s">
        <v>22</v>
      </c>
      <c r="E139" t="s">
        <v>69</v>
      </c>
      <c r="F139" t="s">
        <v>23</v>
      </c>
      <c r="G139" t="s">
        <v>24</v>
      </c>
      <c r="H139" t="s">
        <v>25</v>
      </c>
      <c r="I139" t="s">
        <v>26</v>
      </c>
      <c r="J139" t="s">
        <v>25</v>
      </c>
      <c r="K139">
        <v>693</v>
      </c>
      <c r="L139">
        <v>39</v>
      </c>
      <c r="M139">
        <v>11</v>
      </c>
      <c r="N139">
        <v>50</v>
      </c>
      <c r="O139">
        <v>144</v>
      </c>
      <c r="P139">
        <v>107</v>
      </c>
      <c r="Q139">
        <v>103</v>
      </c>
      <c r="R139">
        <v>86</v>
      </c>
      <c r="S139">
        <v>59</v>
      </c>
      <c r="T139">
        <v>4</v>
      </c>
      <c r="U139">
        <v>0</v>
      </c>
      <c r="V139">
        <v>651</v>
      </c>
    </row>
    <row r="140" spans="1:22" x14ac:dyDescent="0.25">
      <c r="A140">
        <v>2025</v>
      </c>
      <c r="B140">
        <v>4</v>
      </c>
      <c r="C140" t="s">
        <v>69</v>
      </c>
      <c r="D140" t="s">
        <v>22</v>
      </c>
      <c r="E140" t="s">
        <v>69</v>
      </c>
      <c r="F140" t="s">
        <v>23</v>
      </c>
      <c r="G140" t="s">
        <v>29</v>
      </c>
      <c r="H140" t="s">
        <v>25</v>
      </c>
      <c r="I140" t="s">
        <v>26</v>
      </c>
      <c r="J140" t="s">
        <v>25</v>
      </c>
      <c r="K140">
        <v>8</v>
      </c>
      <c r="L140">
        <v>1</v>
      </c>
      <c r="M140">
        <v>0</v>
      </c>
      <c r="N140">
        <v>1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</row>
    <row r="141" spans="1:22" x14ac:dyDescent="0.25">
      <c r="A141">
        <v>2025</v>
      </c>
      <c r="B141">
        <v>4</v>
      </c>
      <c r="C141" t="s">
        <v>69</v>
      </c>
      <c r="D141" t="s">
        <v>22</v>
      </c>
      <c r="E141" t="s">
        <v>69</v>
      </c>
      <c r="F141" t="s">
        <v>39</v>
      </c>
      <c r="G141" t="s">
        <v>28</v>
      </c>
      <c r="H141" t="s">
        <v>26</v>
      </c>
      <c r="I141" t="s">
        <v>26</v>
      </c>
      <c r="J141" t="s">
        <v>25</v>
      </c>
      <c r="K141">
        <v>28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28</v>
      </c>
    </row>
    <row r="142" spans="1:22" x14ac:dyDescent="0.25">
      <c r="A142">
        <v>2025</v>
      </c>
      <c r="B142">
        <v>4</v>
      </c>
      <c r="C142" t="s">
        <v>69</v>
      </c>
      <c r="D142" t="s">
        <v>22</v>
      </c>
      <c r="E142" t="s">
        <v>69</v>
      </c>
      <c r="F142" t="s">
        <v>40</v>
      </c>
      <c r="G142" t="s">
        <v>28</v>
      </c>
      <c r="H142" t="s">
        <v>25</v>
      </c>
      <c r="I142" t="s">
        <v>26</v>
      </c>
      <c r="J142" t="s">
        <v>25</v>
      </c>
      <c r="K142">
        <v>12067</v>
      </c>
      <c r="L142">
        <v>28</v>
      </c>
      <c r="M142">
        <v>147</v>
      </c>
      <c r="N142">
        <v>175</v>
      </c>
      <c r="O142">
        <v>13</v>
      </c>
      <c r="P142">
        <v>9</v>
      </c>
      <c r="Q142">
        <v>7</v>
      </c>
      <c r="R142">
        <v>5</v>
      </c>
      <c r="S142">
        <v>3</v>
      </c>
      <c r="T142">
        <v>2</v>
      </c>
      <c r="U142">
        <v>1</v>
      </c>
      <c r="V142">
        <v>11928</v>
      </c>
    </row>
    <row r="143" spans="1:22" x14ac:dyDescent="0.25">
      <c r="A143">
        <v>2025</v>
      </c>
      <c r="B143">
        <v>4</v>
      </c>
      <c r="C143" t="s">
        <v>69</v>
      </c>
      <c r="D143" t="s">
        <v>22</v>
      </c>
      <c r="E143" t="s">
        <v>69</v>
      </c>
      <c r="F143" t="s">
        <v>40</v>
      </c>
      <c r="G143" t="s">
        <v>24</v>
      </c>
      <c r="H143" t="s">
        <v>25</v>
      </c>
      <c r="I143" t="s">
        <v>26</v>
      </c>
      <c r="J143" t="s">
        <v>25</v>
      </c>
      <c r="K143">
        <v>791</v>
      </c>
      <c r="L143">
        <v>0</v>
      </c>
      <c r="M143">
        <v>15</v>
      </c>
      <c r="N143">
        <v>15</v>
      </c>
      <c r="O143">
        <v>24</v>
      </c>
      <c r="P143">
        <v>16</v>
      </c>
      <c r="Q143">
        <v>13</v>
      </c>
      <c r="R143">
        <v>5</v>
      </c>
      <c r="S143">
        <v>3</v>
      </c>
      <c r="T143">
        <v>0</v>
      </c>
      <c r="U143">
        <v>0</v>
      </c>
      <c r="V143">
        <v>780</v>
      </c>
    </row>
    <row r="144" spans="1:22" x14ac:dyDescent="0.25">
      <c r="A144">
        <v>2025</v>
      </c>
      <c r="B144">
        <v>4</v>
      </c>
      <c r="C144" t="s">
        <v>69</v>
      </c>
      <c r="D144" t="s">
        <v>22</v>
      </c>
      <c r="E144" t="s">
        <v>69</v>
      </c>
      <c r="F144" t="s">
        <v>40</v>
      </c>
      <c r="G144" t="s">
        <v>29</v>
      </c>
      <c r="H144" t="s">
        <v>25</v>
      </c>
      <c r="I144" t="s">
        <v>26</v>
      </c>
      <c r="J144" t="s">
        <v>25</v>
      </c>
      <c r="K144">
        <v>4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</row>
    <row r="145" spans="1:22" x14ac:dyDescent="0.25">
      <c r="A145">
        <v>2025</v>
      </c>
      <c r="B145">
        <v>4</v>
      </c>
      <c r="C145" t="s">
        <v>69</v>
      </c>
      <c r="D145" t="s">
        <v>22</v>
      </c>
      <c r="E145" t="s">
        <v>124</v>
      </c>
      <c r="F145" t="s">
        <v>70</v>
      </c>
      <c r="G145" t="s">
        <v>28</v>
      </c>
      <c r="H145" t="s">
        <v>26</v>
      </c>
      <c r="I145" t="s">
        <v>26</v>
      </c>
      <c r="J145" t="s">
        <v>25</v>
      </c>
      <c r="K145">
        <v>52</v>
      </c>
      <c r="L145">
        <v>0</v>
      </c>
      <c r="M145">
        <v>0</v>
      </c>
      <c r="N145">
        <v>0</v>
      </c>
      <c r="O145">
        <v>1</v>
      </c>
      <c r="P145">
        <v>1</v>
      </c>
      <c r="Q145">
        <v>1</v>
      </c>
      <c r="R145">
        <v>0</v>
      </c>
      <c r="S145">
        <v>0</v>
      </c>
      <c r="T145">
        <v>0</v>
      </c>
      <c r="U145">
        <v>0</v>
      </c>
      <c r="V145">
        <v>52</v>
      </c>
    </row>
    <row r="146" spans="1:22" x14ac:dyDescent="0.25">
      <c r="A146">
        <v>2025</v>
      </c>
      <c r="B146">
        <v>4</v>
      </c>
      <c r="C146" t="s">
        <v>69</v>
      </c>
      <c r="D146" t="s">
        <v>22</v>
      </c>
      <c r="E146" t="s">
        <v>124</v>
      </c>
      <c r="F146" t="s">
        <v>70</v>
      </c>
      <c r="G146" t="s">
        <v>24</v>
      </c>
      <c r="H146" t="s">
        <v>26</v>
      </c>
      <c r="I146" t="s">
        <v>26</v>
      </c>
      <c r="J146" t="s">
        <v>25</v>
      </c>
      <c r="K146">
        <v>855</v>
      </c>
      <c r="L146">
        <v>1</v>
      </c>
      <c r="M146">
        <v>3</v>
      </c>
      <c r="N146">
        <v>4</v>
      </c>
      <c r="O146">
        <v>108</v>
      </c>
      <c r="P146">
        <v>57</v>
      </c>
      <c r="Q146">
        <v>52</v>
      </c>
      <c r="R146">
        <v>38</v>
      </c>
      <c r="S146">
        <v>30</v>
      </c>
      <c r="T146">
        <v>12</v>
      </c>
      <c r="U146">
        <v>2</v>
      </c>
      <c r="V146">
        <v>853</v>
      </c>
    </row>
    <row r="147" spans="1:22" x14ac:dyDescent="0.25">
      <c r="A147">
        <v>2025</v>
      </c>
      <c r="B147">
        <v>4</v>
      </c>
      <c r="C147" t="s">
        <v>69</v>
      </c>
      <c r="D147" t="s">
        <v>22</v>
      </c>
      <c r="E147" t="s">
        <v>124</v>
      </c>
      <c r="F147" t="s">
        <v>70</v>
      </c>
      <c r="G147" t="s">
        <v>29</v>
      </c>
      <c r="H147" t="s">
        <v>26</v>
      </c>
      <c r="I147" t="s">
        <v>26</v>
      </c>
      <c r="J147" t="s">
        <v>25</v>
      </c>
      <c r="K147">
        <v>5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</row>
    <row r="148" spans="1:22" x14ac:dyDescent="0.25">
      <c r="A148">
        <v>2025</v>
      </c>
      <c r="B148">
        <v>4</v>
      </c>
      <c r="C148" t="s">
        <v>69</v>
      </c>
      <c r="D148" t="s">
        <v>22</v>
      </c>
      <c r="E148" t="s">
        <v>173</v>
      </c>
      <c r="F148" t="s">
        <v>32</v>
      </c>
      <c r="G148" t="s">
        <v>24</v>
      </c>
      <c r="H148" t="s">
        <v>25</v>
      </c>
      <c r="I148" t="s">
        <v>26</v>
      </c>
      <c r="J148" t="s">
        <v>25</v>
      </c>
      <c r="K148">
        <v>1031</v>
      </c>
      <c r="L148">
        <v>7</v>
      </c>
      <c r="M148">
        <v>14</v>
      </c>
      <c r="N148">
        <v>21</v>
      </c>
      <c r="O148">
        <v>34</v>
      </c>
      <c r="P148">
        <v>29</v>
      </c>
      <c r="Q148">
        <v>25</v>
      </c>
      <c r="R148">
        <v>18</v>
      </c>
      <c r="S148">
        <v>14</v>
      </c>
      <c r="T148">
        <v>4</v>
      </c>
      <c r="U148">
        <v>1</v>
      </c>
      <c r="V148">
        <v>1015</v>
      </c>
    </row>
    <row r="149" spans="1:22" x14ac:dyDescent="0.25">
      <c r="A149">
        <v>2025</v>
      </c>
      <c r="B149">
        <v>4</v>
      </c>
      <c r="C149" t="s">
        <v>69</v>
      </c>
      <c r="D149" t="s">
        <v>22</v>
      </c>
      <c r="E149" t="s">
        <v>173</v>
      </c>
      <c r="F149" t="s">
        <v>38</v>
      </c>
      <c r="G149" t="s">
        <v>24</v>
      </c>
      <c r="H149" t="s">
        <v>25</v>
      </c>
      <c r="I149" t="s">
        <v>25</v>
      </c>
      <c r="J149" t="s">
        <v>25</v>
      </c>
      <c r="K149">
        <v>40</v>
      </c>
      <c r="L149">
        <v>0</v>
      </c>
      <c r="M149">
        <v>0</v>
      </c>
      <c r="N149">
        <v>0</v>
      </c>
      <c r="O149">
        <v>13</v>
      </c>
      <c r="P149">
        <v>12</v>
      </c>
      <c r="Q149">
        <v>8</v>
      </c>
      <c r="R149">
        <v>5</v>
      </c>
      <c r="S149">
        <v>1</v>
      </c>
      <c r="T149">
        <v>0</v>
      </c>
      <c r="U149">
        <v>0</v>
      </c>
      <c r="V149">
        <v>40</v>
      </c>
    </row>
    <row r="150" spans="1:22" x14ac:dyDescent="0.25">
      <c r="A150">
        <v>2025</v>
      </c>
      <c r="B150">
        <v>5</v>
      </c>
      <c r="C150" t="s">
        <v>69</v>
      </c>
      <c r="D150" t="s">
        <v>22</v>
      </c>
      <c r="E150" t="s">
        <v>132</v>
      </c>
      <c r="F150" t="s">
        <v>32</v>
      </c>
      <c r="G150" t="s">
        <v>24</v>
      </c>
      <c r="H150" t="s">
        <v>25</v>
      </c>
      <c r="I150" t="s">
        <v>26</v>
      </c>
      <c r="J150" t="s">
        <v>25</v>
      </c>
      <c r="K150">
        <v>60</v>
      </c>
      <c r="L150">
        <v>0</v>
      </c>
      <c r="M150">
        <v>0</v>
      </c>
      <c r="N150">
        <v>0</v>
      </c>
      <c r="O150">
        <v>22</v>
      </c>
      <c r="P150">
        <v>17</v>
      </c>
      <c r="Q150">
        <v>14</v>
      </c>
      <c r="R150">
        <v>11</v>
      </c>
      <c r="S150">
        <v>9</v>
      </c>
      <c r="T150">
        <v>4</v>
      </c>
      <c r="U150">
        <v>1</v>
      </c>
      <c r="V150">
        <v>60</v>
      </c>
    </row>
    <row r="151" spans="1:22" x14ac:dyDescent="0.25">
      <c r="A151">
        <v>2025</v>
      </c>
      <c r="B151">
        <v>5</v>
      </c>
      <c r="C151" t="s">
        <v>69</v>
      </c>
      <c r="D151" t="s">
        <v>22</v>
      </c>
      <c r="E151" t="s">
        <v>132</v>
      </c>
      <c r="F151" t="s">
        <v>34</v>
      </c>
      <c r="G151" t="s">
        <v>24</v>
      </c>
      <c r="H151" t="s">
        <v>25</v>
      </c>
      <c r="I151" t="s">
        <v>26</v>
      </c>
      <c r="J151" t="s">
        <v>26</v>
      </c>
      <c r="K151">
        <v>60</v>
      </c>
      <c r="L151">
        <v>0</v>
      </c>
      <c r="M151">
        <v>0</v>
      </c>
      <c r="N151">
        <v>0</v>
      </c>
      <c r="O151">
        <v>19</v>
      </c>
      <c r="P151">
        <v>16</v>
      </c>
      <c r="Q151">
        <v>13</v>
      </c>
      <c r="R151">
        <v>11</v>
      </c>
      <c r="S151">
        <v>9</v>
      </c>
      <c r="T151">
        <v>4</v>
      </c>
      <c r="U151">
        <v>1</v>
      </c>
      <c r="V151">
        <v>60</v>
      </c>
    </row>
    <row r="152" spans="1:22" x14ac:dyDescent="0.25">
      <c r="A152">
        <v>2025</v>
      </c>
      <c r="B152">
        <v>5</v>
      </c>
      <c r="C152" t="s">
        <v>69</v>
      </c>
      <c r="D152" t="s">
        <v>22</v>
      </c>
      <c r="E152" t="s">
        <v>145</v>
      </c>
      <c r="F152" t="s">
        <v>32</v>
      </c>
      <c r="G152" t="s">
        <v>24</v>
      </c>
      <c r="H152" t="s">
        <v>25</v>
      </c>
      <c r="I152" t="s">
        <v>26</v>
      </c>
      <c r="J152" t="s">
        <v>25</v>
      </c>
      <c r="K152">
        <v>312</v>
      </c>
      <c r="L152">
        <v>2</v>
      </c>
      <c r="M152">
        <v>6</v>
      </c>
      <c r="N152">
        <v>8</v>
      </c>
      <c r="O152">
        <v>88</v>
      </c>
      <c r="P152">
        <v>53</v>
      </c>
      <c r="Q152">
        <v>43</v>
      </c>
      <c r="R152">
        <v>24</v>
      </c>
      <c r="S152">
        <v>18</v>
      </c>
      <c r="T152">
        <v>6</v>
      </c>
      <c r="U152">
        <v>3</v>
      </c>
      <c r="V152">
        <v>308</v>
      </c>
    </row>
    <row r="153" spans="1:22" x14ac:dyDescent="0.25">
      <c r="A153">
        <v>2025</v>
      </c>
      <c r="B153">
        <v>5</v>
      </c>
      <c r="C153" t="s">
        <v>69</v>
      </c>
      <c r="D153" t="s">
        <v>22</v>
      </c>
      <c r="E153" t="s">
        <v>145</v>
      </c>
      <c r="F153" t="s">
        <v>39</v>
      </c>
      <c r="G153" t="s">
        <v>24</v>
      </c>
      <c r="H153" t="s">
        <v>26</v>
      </c>
      <c r="I153" t="s">
        <v>26</v>
      </c>
      <c r="J153" t="s">
        <v>25</v>
      </c>
      <c r="K153">
        <v>1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1</v>
      </c>
    </row>
    <row r="154" spans="1:22" x14ac:dyDescent="0.25">
      <c r="A154">
        <v>2025</v>
      </c>
      <c r="B154">
        <v>5</v>
      </c>
      <c r="C154" t="s">
        <v>69</v>
      </c>
      <c r="D154" t="s">
        <v>22</v>
      </c>
      <c r="E154" t="s">
        <v>154</v>
      </c>
      <c r="F154" t="s">
        <v>32</v>
      </c>
      <c r="G154" t="s">
        <v>24</v>
      </c>
      <c r="H154" t="s">
        <v>25</v>
      </c>
      <c r="I154" t="s">
        <v>26</v>
      </c>
      <c r="J154" t="s">
        <v>25</v>
      </c>
      <c r="K154">
        <v>18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18</v>
      </c>
    </row>
    <row r="155" spans="1:22" x14ac:dyDescent="0.25">
      <c r="A155">
        <v>2025</v>
      </c>
      <c r="B155">
        <v>5</v>
      </c>
      <c r="C155" t="s">
        <v>69</v>
      </c>
      <c r="D155" t="s">
        <v>22</v>
      </c>
      <c r="E155" t="s">
        <v>149</v>
      </c>
      <c r="F155" t="s">
        <v>32</v>
      </c>
      <c r="G155" t="s">
        <v>24</v>
      </c>
      <c r="H155" t="s">
        <v>25</v>
      </c>
      <c r="I155" t="s">
        <v>26</v>
      </c>
      <c r="J155" t="s">
        <v>25</v>
      </c>
      <c r="K155">
        <v>91</v>
      </c>
      <c r="L155">
        <v>7</v>
      </c>
      <c r="M155">
        <v>12</v>
      </c>
      <c r="N155">
        <v>19</v>
      </c>
      <c r="O155">
        <v>49</v>
      </c>
      <c r="P155">
        <v>44</v>
      </c>
      <c r="Q155">
        <v>43</v>
      </c>
      <c r="R155">
        <v>32</v>
      </c>
      <c r="S155">
        <v>23</v>
      </c>
      <c r="T155">
        <v>15</v>
      </c>
      <c r="U155">
        <v>6</v>
      </c>
      <c r="V155">
        <v>72</v>
      </c>
    </row>
    <row r="156" spans="1:22" x14ac:dyDescent="0.25">
      <c r="A156">
        <v>2025</v>
      </c>
      <c r="B156">
        <v>5</v>
      </c>
      <c r="C156" t="s">
        <v>69</v>
      </c>
      <c r="D156" t="s">
        <v>22</v>
      </c>
      <c r="E156" t="s">
        <v>149</v>
      </c>
      <c r="F156" t="s">
        <v>23</v>
      </c>
      <c r="G156" t="s">
        <v>24</v>
      </c>
      <c r="H156" t="s">
        <v>25</v>
      </c>
      <c r="I156" t="s">
        <v>26</v>
      </c>
      <c r="J156" t="s">
        <v>25</v>
      </c>
      <c r="K156">
        <v>429</v>
      </c>
      <c r="L156">
        <v>7</v>
      </c>
      <c r="M156">
        <v>6</v>
      </c>
      <c r="N156">
        <v>13</v>
      </c>
      <c r="O156">
        <v>122</v>
      </c>
      <c r="P156">
        <v>101</v>
      </c>
      <c r="Q156">
        <v>93</v>
      </c>
      <c r="R156">
        <v>72</v>
      </c>
      <c r="S156">
        <v>46</v>
      </c>
      <c r="T156">
        <v>19</v>
      </c>
      <c r="U156">
        <v>10</v>
      </c>
      <c r="V156">
        <v>416</v>
      </c>
    </row>
    <row r="157" spans="1:22" x14ac:dyDescent="0.25">
      <c r="A157">
        <v>2025</v>
      </c>
      <c r="B157">
        <v>5</v>
      </c>
      <c r="C157" t="s">
        <v>69</v>
      </c>
      <c r="D157" t="s">
        <v>22</v>
      </c>
      <c r="E157" t="s">
        <v>149</v>
      </c>
      <c r="F157" t="s">
        <v>39</v>
      </c>
      <c r="G157" t="s">
        <v>24</v>
      </c>
      <c r="H157" t="s">
        <v>26</v>
      </c>
      <c r="I157" t="s">
        <v>26</v>
      </c>
      <c r="J157" t="s">
        <v>25</v>
      </c>
      <c r="K157">
        <v>1341</v>
      </c>
      <c r="L157">
        <v>70</v>
      </c>
      <c r="M157">
        <v>218</v>
      </c>
      <c r="N157">
        <v>288</v>
      </c>
      <c r="O157">
        <v>367</v>
      </c>
      <c r="P157">
        <v>273</v>
      </c>
      <c r="Q157">
        <v>238</v>
      </c>
      <c r="R157">
        <v>172</v>
      </c>
      <c r="S157">
        <v>122</v>
      </c>
      <c r="T157">
        <v>46</v>
      </c>
      <c r="U157">
        <v>8</v>
      </c>
      <c r="V157">
        <v>1134</v>
      </c>
    </row>
    <row r="158" spans="1:22" x14ac:dyDescent="0.25">
      <c r="A158">
        <v>2025</v>
      </c>
      <c r="B158">
        <v>5</v>
      </c>
      <c r="C158" t="s">
        <v>69</v>
      </c>
      <c r="D158" t="s">
        <v>22</v>
      </c>
      <c r="E158" t="s">
        <v>150</v>
      </c>
      <c r="F158" t="s">
        <v>32</v>
      </c>
      <c r="G158" t="s">
        <v>24</v>
      </c>
      <c r="H158" t="s">
        <v>25</v>
      </c>
      <c r="I158" t="s">
        <v>26</v>
      </c>
      <c r="J158" t="s">
        <v>25</v>
      </c>
      <c r="K158">
        <v>28</v>
      </c>
      <c r="L158">
        <v>0</v>
      </c>
      <c r="M158">
        <v>0</v>
      </c>
      <c r="N158">
        <v>0</v>
      </c>
      <c r="O158">
        <v>20</v>
      </c>
      <c r="P158">
        <v>16</v>
      </c>
      <c r="Q158">
        <v>13</v>
      </c>
      <c r="R158">
        <v>6</v>
      </c>
      <c r="S158">
        <v>3</v>
      </c>
      <c r="T158">
        <v>2</v>
      </c>
      <c r="U158">
        <v>0</v>
      </c>
      <c r="V158">
        <v>28</v>
      </c>
    </row>
    <row r="159" spans="1:22" x14ac:dyDescent="0.25">
      <c r="A159">
        <v>2025</v>
      </c>
      <c r="B159">
        <v>5</v>
      </c>
      <c r="C159" t="s">
        <v>69</v>
      </c>
      <c r="D159" t="s">
        <v>22</v>
      </c>
      <c r="E159" t="s">
        <v>155</v>
      </c>
      <c r="F159" t="s">
        <v>34</v>
      </c>
      <c r="G159" t="s">
        <v>24</v>
      </c>
      <c r="H159" t="s">
        <v>25</v>
      </c>
      <c r="I159" t="s">
        <v>26</v>
      </c>
      <c r="J159" t="s">
        <v>26</v>
      </c>
      <c r="K159">
        <v>62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62</v>
      </c>
    </row>
    <row r="160" spans="1:22" x14ac:dyDescent="0.25">
      <c r="A160">
        <v>2025</v>
      </c>
      <c r="B160">
        <v>5</v>
      </c>
      <c r="C160" t="s">
        <v>69</v>
      </c>
      <c r="D160" t="s">
        <v>22</v>
      </c>
      <c r="E160" t="s">
        <v>163</v>
      </c>
      <c r="F160" t="s">
        <v>34</v>
      </c>
      <c r="G160" t="s">
        <v>24</v>
      </c>
      <c r="H160" t="s">
        <v>25</v>
      </c>
      <c r="I160" t="s">
        <v>26</v>
      </c>
      <c r="J160" t="s">
        <v>26</v>
      </c>
      <c r="K160">
        <v>57</v>
      </c>
      <c r="L160">
        <v>0</v>
      </c>
      <c r="M160">
        <v>0</v>
      </c>
      <c r="N160">
        <v>0</v>
      </c>
      <c r="O160">
        <v>5</v>
      </c>
      <c r="P160">
        <v>5</v>
      </c>
      <c r="Q160">
        <v>5</v>
      </c>
      <c r="R160">
        <v>5</v>
      </c>
      <c r="S160">
        <v>4</v>
      </c>
      <c r="T160">
        <v>3</v>
      </c>
      <c r="U160">
        <v>0</v>
      </c>
      <c r="V160">
        <v>57</v>
      </c>
    </row>
    <row r="161" spans="1:22" x14ac:dyDescent="0.25">
      <c r="A161">
        <v>2025</v>
      </c>
      <c r="B161">
        <v>5</v>
      </c>
      <c r="C161" t="s">
        <v>69</v>
      </c>
      <c r="D161" t="s">
        <v>22</v>
      </c>
      <c r="E161" t="s">
        <v>61</v>
      </c>
      <c r="F161" t="s">
        <v>34</v>
      </c>
      <c r="G161" t="s">
        <v>24</v>
      </c>
      <c r="H161" t="s">
        <v>25</v>
      </c>
      <c r="I161" t="s">
        <v>26</v>
      </c>
      <c r="J161" t="s">
        <v>26</v>
      </c>
      <c r="K161">
        <v>2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2</v>
      </c>
    </row>
    <row r="162" spans="1:22" x14ac:dyDescent="0.25">
      <c r="A162">
        <v>2025</v>
      </c>
      <c r="B162">
        <v>5</v>
      </c>
      <c r="C162" t="s">
        <v>69</v>
      </c>
      <c r="D162" t="s">
        <v>22</v>
      </c>
      <c r="E162" t="s">
        <v>61</v>
      </c>
      <c r="F162" t="s">
        <v>35</v>
      </c>
      <c r="G162" t="s">
        <v>28</v>
      </c>
      <c r="H162" t="s">
        <v>25</v>
      </c>
      <c r="I162" t="s">
        <v>26</v>
      </c>
      <c r="J162" t="s">
        <v>26</v>
      </c>
      <c r="K162">
        <v>3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3</v>
      </c>
    </row>
    <row r="163" spans="1:22" x14ac:dyDescent="0.25">
      <c r="A163">
        <v>2025</v>
      </c>
      <c r="B163">
        <v>5</v>
      </c>
      <c r="C163" t="s">
        <v>69</v>
      </c>
      <c r="D163" t="s">
        <v>22</v>
      </c>
      <c r="E163" t="s">
        <v>61</v>
      </c>
      <c r="F163" t="s">
        <v>35</v>
      </c>
      <c r="G163" t="s">
        <v>24</v>
      </c>
      <c r="H163" t="s">
        <v>25</v>
      </c>
      <c r="I163" t="s">
        <v>26</v>
      </c>
      <c r="J163" t="s">
        <v>26</v>
      </c>
      <c r="K163">
        <v>305</v>
      </c>
      <c r="L163">
        <v>2</v>
      </c>
      <c r="M163">
        <v>1</v>
      </c>
      <c r="N163">
        <v>3</v>
      </c>
      <c r="O163">
        <v>79</v>
      </c>
      <c r="P163">
        <v>66</v>
      </c>
      <c r="Q163">
        <v>58</v>
      </c>
      <c r="R163">
        <v>47</v>
      </c>
      <c r="S163">
        <v>36</v>
      </c>
      <c r="T163">
        <v>22</v>
      </c>
      <c r="U163">
        <v>11</v>
      </c>
      <c r="V163">
        <v>302</v>
      </c>
    </row>
    <row r="164" spans="1:22" x14ac:dyDescent="0.25">
      <c r="A164">
        <v>2025</v>
      </c>
      <c r="B164">
        <v>5</v>
      </c>
      <c r="C164" t="s">
        <v>69</v>
      </c>
      <c r="D164" t="s">
        <v>22</v>
      </c>
      <c r="E164" t="s">
        <v>61</v>
      </c>
      <c r="F164" t="s">
        <v>41</v>
      </c>
      <c r="G164" t="s">
        <v>24</v>
      </c>
      <c r="H164" t="s">
        <v>26</v>
      </c>
      <c r="I164" t="s">
        <v>26</v>
      </c>
      <c r="J164" t="s">
        <v>25</v>
      </c>
      <c r="K164">
        <v>372</v>
      </c>
      <c r="L164">
        <v>0</v>
      </c>
      <c r="M164">
        <v>0</v>
      </c>
      <c r="N164">
        <v>0</v>
      </c>
      <c r="O164">
        <v>24</v>
      </c>
      <c r="P164">
        <v>10</v>
      </c>
      <c r="Q164">
        <v>7</v>
      </c>
      <c r="R164">
        <v>5</v>
      </c>
      <c r="S164">
        <v>5</v>
      </c>
      <c r="T164">
        <v>3</v>
      </c>
      <c r="U164">
        <v>2</v>
      </c>
      <c r="V164">
        <v>372</v>
      </c>
    </row>
    <row r="165" spans="1:22" x14ac:dyDescent="0.25">
      <c r="A165">
        <v>2025</v>
      </c>
      <c r="B165">
        <v>5</v>
      </c>
      <c r="C165" t="s">
        <v>69</v>
      </c>
      <c r="D165" t="s">
        <v>22</v>
      </c>
      <c r="E165" t="s">
        <v>166</v>
      </c>
      <c r="F165" t="s">
        <v>32</v>
      </c>
      <c r="G165" t="s">
        <v>24</v>
      </c>
      <c r="H165" t="s">
        <v>25</v>
      </c>
      <c r="I165" t="s">
        <v>26</v>
      </c>
      <c r="J165" t="s">
        <v>25</v>
      </c>
      <c r="K165">
        <v>257</v>
      </c>
      <c r="L165">
        <v>4</v>
      </c>
      <c r="M165">
        <v>7</v>
      </c>
      <c r="N165">
        <v>11</v>
      </c>
      <c r="O165">
        <v>158</v>
      </c>
      <c r="P165">
        <v>150</v>
      </c>
      <c r="Q165">
        <v>144</v>
      </c>
      <c r="R165">
        <v>133</v>
      </c>
      <c r="S165">
        <v>126</v>
      </c>
      <c r="T165">
        <v>94</v>
      </c>
      <c r="U165">
        <v>7</v>
      </c>
      <c r="V165">
        <v>251</v>
      </c>
    </row>
    <row r="166" spans="1:22" x14ac:dyDescent="0.25">
      <c r="A166">
        <v>2025</v>
      </c>
      <c r="B166">
        <v>5</v>
      </c>
      <c r="C166" t="s">
        <v>69</v>
      </c>
      <c r="D166" t="s">
        <v>22</v>
      </c>
      <c r="E166" t="s">
        <v>166</v>
      </c>
      <c r="F166" t="s">
        <v>38</v>
      </c>
      <c r="G166" t="s">
        <v>24</v>
      </c>
      <c r="H166" t="s">
        <v>25</v>
      </c>
      <c r="I166" t="s">
        <v>25</v>
      </c>
      <c r="J166" t="s">
        <v>25</v>
      </c>
      <c r="K166">
        <v>195</v>
      </c>
      <c r="L166">
        <v>3</v>
      </c>
      <c r="M166">
        <v>5</v>
      </c>
      <c r="N166">
        <v>8</v>
      </c>
      <c r="O166">
        <v>177</v>
      </c>
      <c r="P166">
        <v>166</v>
      </c>
      <c r="Q166">
        <v>157</v>
      </c>
      <c r="R166">
        <v>117</v>
      </c>
      <c r="S166">
        <v>61</v>
      </c>
      <c r="T166">
        <v>12</v>
      </c>
      <c r="U166">
        <v>8</v>
      </c>
      <c r="V166">
        <v>190</v>
      </c>
    </row>
    <row r="167" spans="1:22" x14ac:dyDescent="0.25">
      <c r="A167">
        <v>2025</v>
      </c>
      <c r="B167">
        <v>5</v>
      </c>
      <c r="C167" t="s">
        <v>69</v>
      </c>
      <c r="D167" t="s">
        <v>22</v>
      </c>
      <c r="E167" t="s">
        <v>69</v>
      </c>
      <c r="F167" t="s">
        <v>32</v>
      </c>
      <c r="G167" t="s">
        <v>28</v>
      </c>
      <c r="H167" t="s">
        <v>25</v>
      </c>
      <c r="I167" t="s">
        <v>26</v>
      </c>
      <c r="J167" t="s">
        <v>25</v>
      </c>
      <c r="K167">
        <v>106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106</v>
      </c>
    </row>
    <row r="168" spans="1:22" x14ac:dyDescent="0.25">
      <c r="A168">
        <v>2025</v>
      </c>
      <c r="B168">
        <v>5</v>
      </c>
      <c r="C168" t="s">
        <v>69</v>
      </c>
      <c r="D168" t="s">
        <v>22</v>
      </c>
      <c r="E168" t="s">
        <v>69</v>
      </c>
      <c r="F168" t="s">
        <v>38</v>
      </c>
      <c r="G168" t="s">
        <v>24</v>
      </c>
      <c r="H168" t="s">
        <v>25</v>
      </c>
      <c r="I168" t="s">
        <v>25</v>
      </c>
      <c r="J168" t="s">
        <v>25</v>
      </c>
      <c r="K168">
        <v>6</v>
      </c>
      <c r="L168">
        <v>2</v>
      </c>
      <c r="M168">
        <v>2</v>
      </c>
      <c r="N168">
        <v>4</v>
      </c>
      <c r="O168">
        <v>2</v>
      </c>
      <c r="P168">
        <v>2</v>
      </c>
      <c r="Q168">
        <v>2</v>
      </c>
      <c r="R168">
        <v>2</v>
      </c>
      <c r="S168">
        <v>1</v>
      </c>
      <c r="T168">
        <v>0</v>
      </c>
      <c r="U168">
        <v>0</v>
      </c>
      <c r="V168">
        <v>2</v>
      </c>
    </row>
    <row r="169" spans="1:22" x14ac:dyDescent="0.25">
      <c r="A169">
        <v>2025</v>
      </c>
      <c r="B169">
        <v>5</v>
      </c>
      <c r="C169" t="s">
        <v>69</v>
      </c>
      <c r="D169" t="s">
        <v>22</v>
      </c>
      <c r="E169" t="s">
        <v>69</v>
      </c>
      <c r="F169" t="s">
        <v>23</v>
      </c>
      <c r="G169" t="s">
        <v>28</v>
      </c>
      <c r="H169" t="s">
        <v>25</v>
      </c>
      <c r="I169" t="s">
        <v>26</v>
      </c>
      <c r="J169" t="s">
        <v>25</v>
      </c>
      <c r="K169">
        <v>11663</v>
      </c>
      <c r="L169">
        <v>1</v>
      </c>
      <c r="M169">
        <v>4</v>
      </c>
      <c r="N169">
        <v>5</v>
      </c>
      <c r="O169">
        <v>3</v>
      </c>
      <c r="P169">
        <v>2</v>
      </c>
      <c r="Q169">
        <v>1</v>
      </c>
      <c r="R169">
        <v>1</v>
      </c>
      <c r="S169">
        <v>1</v>
      </c>
      <c r="T169">
        <v>0</v>
      </c>
      <c r="U169">
        <v>0</v>
      </c>
      <c r="V169">
        <v>11658</v>
      </c>
    </row>
    <row r="170" spans="1:22" x14ac:dyDescent="0.25">
      <c r="A170">
        <v>2025</v>
      </c>
      <c r="B170">
        <v>5</v>
      </c>
      <c r="C170" t="s">
        <v>69</v>
      </c>
      <c r="D170" t="s">
        <v>22</v>
      </c>
      <c r="E170" t="s">
        <v>69</v>
      </c>
      <c r="F170" t="s">
        <v>23</v>
      </c>
      <c r="G170" t="s">
        <v>24</v>
      </c>
      <c r="H170" t="s">
        <v>25</v>
      </c>
      <c r="I170" t="s">
        <v>26</v>
      </c>
      <c r="J170" t="s">
        <v>25</v>
      </c>
      <c r="K170">
        <v>755</v>
      </c>
      <c r="L170">
        <v>13</v>
      </c>
      <c r="M170">
        <v>13</v>
      </c>
      <c r="N170">
        <v>26</v>
      </c>
      <c r="O170">
        <v>129</v>
      </c>
      <c r="P170">
        <v>104</v>
      </c>
      <c r="Q170">
        <v>98</v>
      </c>
      <c r="R170">
        <v>78</v>
      </c>
      <c r="S170">
        <v>46</v>
      </c>
      <c r="T170">
        <v>5</v>
      </c>
      <c r="U170">
        <v>0</v>
      </c>
      <c r="V170">
        <v>738</v>
      </c>
    </row>
    <row r="171" spans="1:22" x14ac:dyDescent="0.25">
      <c r="A171">
        <v>2025</v>
      </c>
      <c r="B171">
        <v>5</v>
      </c>
      <c r="C171" t="s">
        <v>69</v>
      </c>
      <c r="D171" t="s">
        <v>22</v>
      </c>
      <c r="E171" t="s">
        <v>69</v>
      </c>
      <c r="F171" t="s">
        <v>39</v>
      </c>
      <c r="G171" t="s">
        <v>28</v>
      </c>
      <c r="H171" t="s">
        <v>26</v>
      </c>
      <c r="I171" t="s">
        <v>26</v>
      </c>
      <c r="J171" t="s">
        <v>25</v>
      </c>
      <c r="K171">
        <v>59</v>
      </c>
      <c r="L171">
        <v>1</v>
      </c>
      <c r="M171">
        <v>0</v>
      </c>
      <c r="N171">
        <v>1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58</v>
      </c>
    </row>
    <row r="172" spans="1:22" x14ac:dyDescent="0.25">
      <c r="A172">
        <v>2025</v>
      </c>
      <c r="B172">
        <v>5</v>
      </c>
      <c r="C172" t="s">
        <v>69</v>
      </c>
      <c r="D172" t="s">
        <v>22</v>
      </c>
      <c r="E172" t="s">
        <v>69</v>
      </c>
      <c r="F172" t="s">
        <v>40</v>
      </c>
      <c r="G172" t="s">
        <v>28</v>
      </c>
      <c r="H172" t="s">
        <v>25</v>
      </c>
      <c r="I172" t="s">
        <v>26</v>
      </c>
      <c r="J172" t="s">
        <v>25</v>
      </c>
      <c r="K172">
        <v>13774</v>
      </c>
      <c r="L172">
        <v>2</v>
      </c>
      <c r="M172">
        <v>0</v>
      </c>
      <c r="N172">
        <v>2</v>
      </c>
      <c r="O172">
        <v>1</v>
      </c>
      <c r="P172">
        <v>1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13772</v>
      </c>
    </row>
    <row r="173" spans="1:22" x14ac:dyDescent="0.25">
      <c r="A173">
        <v>2025</v>
      </c>
      <c r="B173">
        <v>5</v>
      </c>
      <c r="C173" t="s">
        <v>69</v>
      </c>
      <c r="D173" t="s">
        <v>22</v>
      </c>
      <c r="E173" t="s">
        <v>69</v>
      </c>
      <c r="F173" t="s">
        <v>40</v>
      </c>
      <c r="G173" t="s">
        <v>24</v>
      </c>
      <c r="H173" t="s">
        <v>25</v>
      </c>
      <c r="I173" t="s">
        <v>26</v>
      </c>
      <c r="J173" t="s">
        <v>25</v>
      </c>
      <c r="K173">
        <v>517</v>
      </c>
      <c r="L173">
        <v>0</v>
      </c>
      <c r="M173">
        <v>3</v>
      </c>
      <c r="N173">
        <v>3</v>
      </c>
      <c r="O173">
        <v>6</v>
      </c>
      <c r="P173">
        <v>5</v>
      </c>
      <c r="Q173">
        <v>4</v>
      </c>
      <c r="R173">
        <v>1</v>
      </c>
      <c r="S173">
        <v>0</v>
      </c>
      <c r="T173">
        <v>0</v>
      </c>
      <c r="U173">
        <v>0</v>
      </c>
      <c r="V173">
        <v>515</v>
      </c>
    </row>
    <row r="174" spans="1:22" x14ac:dyDescent="0.25">
      <c r="A174">
        <v>2025</v>
      </c>
      <c r="B174">
        <v>5</v>
      </c>
      <c r="C174" t="s">
        <v>69</v>
      </c>
      <c r="D174" t="s">
        <v>22</v>
      </c>
      <c r="E174" t="s">
        <v>69</v>
      </c>
      <c r="F174" t="s">
        <v>40</v>
      </c>
      <c r="G174" t="s">
        <v>29</v>
      </c>
      <c r="H174" t="s">
        <v>25</v>
      </c>
      <c r="I174" t="s">
        <v>26</v>
      </c>
      <c r="J174" t="s">
        <v>25</v>
      </c>
      <c r="K174">
        <v>3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</row>
    <row r="175" spans="1:22" x14ac:dyDescent="0.25">
      <c r="A175">
        <v>2025</v>
      </c>
      <c r="B175">
        <v>5</v>
      </c>
      <c r="C175" t="s">
        <v>69</v>
      </c>
      <c r="D175" t="s">
        <v>22</v>
      </c>
      <c r="E175" t="s">
        <v>124</v>
      </c>
      <c r="F175" t="s">
        <v>70</v>
      </c>
      <c r="G175" t="s">
        <v>28</v>
      </c>
      <c r="H175" t="s">
        <v>26</v>
      </c>
      <c r="I175" t="s">
        <v>26</v>
      </c>
      <c r="J175" t="s">
        <v>25</v>
      </c>
      <c r="K175">
        <v>332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332</v>
      </c>
    </row>
    <row r="176" spans="1:22" x14ac:dyDescent="0.25">
      <c r="A176">
        <v>2025</v>
      </c>
      <c r="B176">
        <v>5</v>
      </c>
      <c r="C176" t="s">
        <v>69</v>
      </c>
      <c r="D176" t="s">
        <v>22</v>
      </c>
      <c r="E176" t="s">
        <v>124</v>
      </c>
      <c r="F176" t="s">
        <v>70</v>
      </c>
      <c r="G176" t="s">
        <v>24</v>
      </c>
      <c r="H176" t="s">
        <v>26</v>
      </c>
      <c r="I176" t="s">
        <v>26</v>
      </c>
      <c r="J176" t="s">
        <v>25</v>
      </c>
      <c r="K176">
        <v>757</v>
      </c>
      <c r="L176">
        <v>0</v>
      </c>
      <c r="M176">
        <v>1</v>
      </c>
      <c r="N176">
        <v>1</v>
      </c>
      <c r="O176">
        <v>72</v>
      </c>
      <c r="P176">
        <v>31</v>
      </c>
      <c r="Q176">
        <v>30</v>
      </c>
      <c r="R176">
        <v>16</v>
      </c>
      <c r="S176">
        <v>12</v>
      </c>
      <c r="T176">
        <v>3</v>
      </c>
      <c r="U176">
        <v>2</v>
      </c>
      <c r="V176">
        <v>757</v>
      </c>
    </row>
    <row r="177" spans="1:22" x14ac:dyDescent="0.25">
      <c r="A177">
        <v>2025</v>
      </c>
      <c r="B177">
        <v>5</v>
      </c>
      <c r="C177" t="s">
        <v>69</v>
      </c>
      <c r="D177" t="s">
        <v>22</v>
      </c>
      <c r="E177" t="s">
        <v>124</v>
      </c>
      <c r="F177" t="s">
        <v>70</v>
      </c>
      <c r="G177" t="s">
        <v>29</v>
      </c>
      <c r="H177" t="s">
        <v>26</v>
      </c>
      <c r="I177" t="s">
        <v>26</v>
      </c>
      <c r="J177" t="s">
        <v>25</v>
      </c>
      <c r="K177">
        <v>7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</row>
    <row r="178" spans="1:22" x14ac:dyDescent="0.25">
      <c r="A178">
        <v>2025</v>
      </c>
      <c r="B178">
        <v>5</v>
      </c>
      <c r="C178" t="s">
        <v>69</v>
      </c>
      <c r="D178" t="s">
        <v>22</v>
      </c>
      <c r="E178" t="s">
        <v>173</v>
      </c>
      <c r="F178" t="s">
        <v>32</v>
      </c>
      <c r="G178" t="s">
        <v>24</v>
      </c>
      <c r="H178" t="s">
        <v>25</v>
      </c>
      <c r="I178" t="s">
        <v>26</v>
      </c>
      <c r="J178" t="s">
        <v>25</v>
      </c>
      <c r="K178">
        <v>1097</v>
      </c>
      <c r="L178">
        <v>0</v>
      </c>
      <c r="M178">
        <v>3</v>
      </c>
      <c r="N178">
        <v>3</v>
      </c>
      <c r="O178">
        <v>46</v>
      </c>
      <c r="P178">
        <v>35</v>
      </c>
      <c r="Q178">
        <v>32</v>
      </c>
      <c r="R178">
        <v>24</v>
      </c>
      <c r="S178">
        <v>14</v>
      </c>
      <c r="T178">
        <v>8</v>
      </c>
      <c r="U178">
        <v>4</v>
      </c>
      <c r="V178">
        <v>1097</v>
      </c>
    </row>
    <row r="179" spans="1:22" x14ac:dyDescent="0.25">
      <c r="A179">
        <v>2025</v>
      </c>
      <c r="B179">
        <v>5</v>
      </c>
      <c r="C179" t="s">
        <v>69</v>
      </c>
      <c r="D179" t="s">
        <v>22</v>
      </c>
      <c r="E179" t="s">
        <v>173</v>
      </c>
      <c r="F179" t="s">
        <v>38</v>
      </c>
      <c r="G179" t="s">
        <v>24</v>
      </c>
      <c r="H179" t="s">
        <v>25</v>
      </c>
      <c r="I179" t="s">
        <v>25</v>
      </c>
      <c r="J179" t="s">
        <v>25</v>
      </c>
      <c r="K179">
        <v>54</v>
      </c>
      <c r="L179">
        <v>0</v>
      </c>
      <c r="M179">
        <v>2</v>
      </c>
      <c r="N179">
        <v>2</v>
      </c>
      <c r="O179">
        <v>11</v>
      </c>
      <c r="P179">
        <v>7</v>
      </c>
      <c r="Q179">
        <v>6</v>
      </c>
      <c r="R179">
        <v>5</v>
      </c>
      <c r="S179">
        <v>3</v>
      </c>
      <c r="T179">
        <v>1</v>
      </c>
      <c r="U179">
        <v>1</v>
      </c>
      <c r="V179">
        <v>54</v>
      </c>
    </row>
    <row r="180" spans="1:22" x14ac:dyDescent="0.25">
      <c r="A180">
        <v>2025</v>
      </c>
      <c r="B180">
        <v>5</v>
      </c>
      <c r="C180" t="s">
        <v>69</v>
      </c>
      <c r="D180" t="s">
        <v>22</v>
      </c>
      <c r="E180" t="s">
        <v>80</v>
      </c>
      <c r="F180" t="s">
        <v>76</v>
      </c>
      <c r="G180" t="s">
        <v>24</v>
      </c>
      <c r="H180" t="s">
        <v>25</v>
      </c>
      <c r="I180" t="s">
        <v>26</v>
      </c>
      <c r="J180" t="s">
        <v>25</v>
      </c>
      <c r="K180">
        <v>1</v>
      </c>
      <c r="L180">
        <v>0</v>
      </c>
      <c r="M180">
        <v>0</v>
      </c>
      <c r="N180">
        <v>0</v>
      </c>
      <c r="O180">
        <v>1</v>
      </c>
      <c r="P180">
        <v>1</v>
      </c>
      <c r="Q180">
        <v>1</v>
      </c>
      <c r="R180">
        <v>1</v>
      </c>
      <c r="S180">
        <v>1</v>
      </c>
      <c r="T180">
        <v>1</v>
      </c>
      <c r="U180">
        <v>0</v>
      </c>
      <c r="V180">
        <v>1</v>
      </c>
    </row>
    <row r="181" spans="1:22" x14ac:dyDescent="0.25">
      <c r="A181">
        <v>2025</v>
      </c>
      <c r="B181">
        <v>6</v>
      </c>
      <c r="C181" t="s">
        <v>69</v>
      </c>
      <c r="D181" t="s">
        <v>22</v>
      </c>
      <c r="E181" t="s">
        <v>132</v>
      </c>
      <c r="F181" t="s">
        <v>32</v>
      </c>
      <c r="G181" t="s">
        <v>24</v>
      </c>
      <c r="H181" t="s">
        <v>25</v>
      </c>
      <c r="I181" t="s">
        <v>26</v>
      </c>
      <c r="J181" t="s">
        <v>25</v>
      </c>
      <c r="K181">
        <v>60</v>
      </c>
      <c r="L181">
        <v>0</v>
      </c>
      <c r="M181">
        <v>0</v>
      </c>
      <c r="N181">
        <v>0</v>
      </c>
      <c r="O181">
        <v>32</v>
      </c>
      <c r="P181">
        <v>24</v>
      </c>
      <c r="Q181">
        <v>20</v>
      </c>
      <c r="R181">
        <v>15</v>
      </c>
      <c r="S181">
        <v>13</v>
      </c>
      <c r="T181">
        <v>8</v>
      </c>
      <c r="U181">
        <v>4</v>
      </c>
      <c r="V181">
        <v>60</v>
      </c>
    </row>
    <row r="182" spans="1:22" x14ac:dyDescent="0.25">
      <c r="A182">
        <v>2025</v>
      </c>
      <c r="B182">
        <v>6</v>
      </c>
      <c r="C182" t="s">
        <v>69</v>
      </c>
      <c r="D182" t="s">
        <v>22</v>
      </c>
      <c r="E182" t="s">
        <v>132</v>
      </c>
      <c r="F182" t="s">
        <v>34</v>
      </c>
      <c r="G182" t="s">
        <v>24</v>
      </c>
      <c r="H182" t="s">
        <v>25</v>
      </c>
      <c r="I182" t="s">
        <v>26</v>
      </c>
      <c r="J182" t="s">
        <v>26</v>
      </c>
      <c r="K182">
        <v>60</v>
      </c>
      <c r="L182">
        <v>0</v>
      </c>
      <c r="M182">
        <v>0</v>
      </c>
      <c r="N182">
        <v>0</v>
      </c>
      <c r="O182">
        <v>30</v>
      </c>
      <c r="P182">
        <v>23</v>
      </c>
      <c r="Q182">
        <v>19</v>
      </c>
      <c r="R182">
        <v>15</v>
      </c>
      <c r="S182">
        <v>13</v>
      </c>
      <c r="T182">
        <v>8</v>
      </c>
      <c r="U182">
        <v>4</v>
      </c>
      <c r="V182">
        <v>60</v>
      </c>
    </row>
    <row r="183" spans="1:22" x14ac:dyDescent="0.25">
      <c r="A183">
        <v>2025</v>
      </c>
      <c r="B183">
        <v>6</v>
      </c>
      <c r="C183" t="s">
        <v>69</v>
      </c>
      <c r="D183" t="s">
        <v>22</v>
      </c>
      <c r="E183" t="s">
        <v>145</v>
      </c>
      <c r="F183" t="s">
        <v>32</v>
      </c>
      <c r="G183" t="s">
        <v>24</v>
      </c>
      <c r="H183" t="s">
        <v>25</v>
      </c>
      <c r="I183" t="s">
        <v>26</v>
      </c>
      <c r="J183" t="s">
        <v>25</v>
      </c>
      <c r="K183">
        <v>273</v>
      </c>
      <c r="L183">
        <v>6</v>
      </c>
      <c r="M183">
        <v>5</v>
      </c>
      <c r="N183">
        <v>11</v>
      </c>
      <c r="O183">
        <v>58</v>
      </c>
      <c r="P183">
        <v>28</v>
      </c>
      <c r="Q183">
        <v>23</v>
      </c>
      <c r="R183">
        <v>17</v>
      </c>
      <c r="S183">
        <v>16</v>
      </c>
      <c r="T183">
        <v>3</v>
      </c>
      <c r="U183">
        <v>1</v>
      </c>
      <c r="V183">
        <v>267</v>
      </c>
    </row>
    <row r="184" spans="1:22" x14ac:dyDescent="0.25">
      <c r="A184">
        <v>2025</v>
      </c>
      <c r="B184">
        <v>6</v>
      </c>
      <c r="C184" t="s">
        <v>69</v>
      </c>
      <c r="D184" t="s">
        <v>22</v>
      </c>
      <c r="E184" t="s">
        <v>154</v>
      </c>
      <c r="F184" t="s">
        <v>32</v>
      </c>
      <c r="G184" t="s">
        <v>24</v>
      </c>
      <c r="H184" t="s">
        <v>25</v>
      </c>
      <c r="I184" t="s">
        <v>26</v>
      </c>
      <c r="J184" t="s">
        <v>25</v>
      </c>
      <c r="K184">
        <v>18</v>
      </c>
      <c r="L184">
        <v>0</v>
      </c>
      <c r="M184">
        <v>0</v>
      </c>
      <c r="N184">
        <v>0</v>
      </c>
      <c r="O184">
        <v>1</v>
      </c>
      <c r="P184">
        <v>1</v>
      </c>
      <c r="Q184">
        <v>1</v>
      </c>
      <c r="R184">
        <v>1</v>
      </c>
      <c r="S184">
        <v>1</v>
      </c>
      <c r="T184">
        <v>1</v>
      </c>
      <c r="U184">
        <v>0</v>
      </c>
      <c r="V184">
        <v>18</v>
      </c>
    </row>
    <row r="185" spans="1:22" x14ac:dyDescent="0.25">
      <c r="A185">
        <v>2025</v>
      </c>
      <c r="B185">
        <v>6</v>
      </c>
      <c r="C185" t="s">
        <v>69</v>
      </c>
      <c r="D185" t="s">
        <v>22</v>
      </c>
      <c r="E185" t="s">
        <v>149</v>
      </c>
      <c r="F185" t="s">
        <v>32</v>
      </c>
      <c r="G185" t="s">
        <v>24</v>
      </c>
      <c r="H185" t="s">
        <v>25</v>
      </c>
      <c r="I185" t="s">
        <v>26</v>
      </c>
      <c r="J185" t="s">
        <v>25</v>
      </c>
      <c r="K185">
        <v>112</v>
      </c>
      <c r="L185">
        <v>2</v>
      </c>
      <c r="M185">
        <v>1</v>
      </c>
      <c r="N185">
        <v>3</v>
      </c>
      <c r="O185">
        <v>81</v>
      </c>
      <c r="P185">
        <v>69</v>
      </c>
      <c r="Q185">
        <v>68</v>
      </c>
      <c r="R185">
        <v>57</v>
      </c>
      <c r="S185">
        <v>50</v>
      </c>
      <c r="T185">
        <v>36</v>
      </c>
      <c r="U185">
        <v>6</v>
      </c>
      <c r="V185">
        <v>109</v>
      </c>
    </row>
    <row r="186" spans="1:22" x14ac:dyDescent="0.25">
      <c r="A186">
        <v>2025</v>
      </c>
      <c r="B186">
        <v>6</v>
      </c>
      <c r="C186" t="s">
        <v>69</v>
      </c>
      <c r="D186" t="s">
        <v>22</v>
      </c>
      <c r="E186" t="s">
        <v>149</v>
      </c>
      <c r="F186" t="s">
        <v>23</v>
      </c>
      <c r="G186" t="s">
        <v>24</v>
      </c>
      <c r="H186" t="s">
        <v>25</v>
      </c>
      <c r="I186" t="s">
        <v>26</v>
      </c>
      <c r="J186" t="s">
        <v>25</v>
      </c>
      <c r="K186">
        <v>439</v>
      </c>
      <c r="L186">
        <v>47</v>
      </c>
      <c r="M186">
        <v>12</v>
      </c>
      <c r="N186">
        <v>59</v>
      </c>
      <c r="O186">
        <v>148</v>
      </c>
      <c r="P186">
        <v>114</v>
      </c>
      <c r="Q186">
        <v>102</v>
      </c>
      <c r="R186">
        <v>76</v>
      </c>
      <c r="S186">
        <v>56</v>
      </c>
      <c r="T186">
        <v>28</v>
      </c>
      <c r="U186">
        <v>8</v>
      </c>
      <c r="V186">
        <v>383</v>
      </c>
    </row>
    <row r="187" spans="1:22" x14ac:dyDescent="0.25">
      <c r="A187">
        <v>2025</v>
      </c>
      <c r="B187">
        <v>6</v>
      </c>
      <c r="C187" t="s">
        <v>69</v>
      </c>
      <c r="D187" t="s">
        <v>22</v>
      </c>
      <c r="E187" t="s">
        <v>149</v>
      </c>
      <c r="F187" t="s">
        <v>39</v>
      </c>
      <c r="G187" t="s">
        <v>24</v>
      </c>
      <c r="H187" t="s">
        <v>26</v>
      </c>
      <c r="I187" t="s">
        <v>26</v>
      </c>
      <c r="J187" t="s">
        <v>25</v>
      </c>
      <c r="K187">
        <v>1162</v>
      </c>
      <c r="L187">
        <v>84</v>
      </c>
      <c r="M187">
        <v>195</v>
      </c>
      <c r="N187">
        <v>279</v>
      </c>
      <c r="O187">
        <v>314</v>
      </c>
      <c r="P187">
        <v>245</v>
      </c>
      <c r="Q187">
        <v>216</v>
      </c>
      <c r="R187">
        <v>150</v>
      </c>
      <c r="S187">
        <v>109</v>
      </c>
      <c r="T187">
        <v>48</v>
      </c>
      <c r="U187">
        <v>10</v>
      </c>
      <c r="V187">
        <v>956</v>
      </c>
    </row>
    <row r="188" spans="1:22" x14ac:dyDescent="0.25">
      <c r="A188">
        <v>2025</v>
      </c>
      <c r="B188">
        <v>6</v>
      </c>
      <c r="C188" t="s">
        <v>69</v>
      </c>
      <c r="D188" t="s">
        <v>22</v>
      </c>
      <c r="E188" t="s">
        <v>150</v>
      </c>
      <c r="F188" t="s">
        <v>32</v>
      </c>
      <c r="G188" t="s">
        <v>24</v>
      </c>
      <c r="H188" t="s">
        <v>25</v>
      </c>
      <c r="I188" t="s">
        <v>26</v>
      </c>
      <c r="J188" t="s">
        <v>25</v>
      </c>
      <c r="K188">
        <v>21</v>
      </c>
      <c r="L188">
        <v>0</v>
      </c>
      <c r="M188">
        <v>1</v>
      </c>
      <c r="N188">
        <v>1</v>
      </c>
      <c r="O188">
        <v>11</v>
      </c>
      <c r="P188">
        <v>8</v>
      </c>
      <c r="Q188">
        <v>8</v>
      </c>
      <c r="R188">
        <v>6</v>
      </c>
      <c r="S188">
        <v>5</v>
      </c>
      <c r="T188">
        <v>1</v>
      </c>
      <c r="U188">
        <v>0</v>
      </c>
      <c r="V188">
        <v>20</v>
      </c>
    </row>
    <row r="189" spans="1:22" x14ac:dyDescent="0.25">
      <c r="A189">
        <v>2025</v>
      </c>
      <c r="B189">
        <v>6</v>
      </c>
      <c r="C189" t="s">
        <v>69</v>
      </c>
      <c r="D189" t="s">
        <v>22</v>
      </c>
      <c r="E189" t="s">
        <v>155</v>
      </c>
      <c r="F189" t="s">
        <v>34</v>
      </c>
      <c r="G189" t="s">
        <v>24</v>
      </c>
      <c r="H189" t="s">
        <v>25</v>
      </c>
      <c r="I189" t="s">
        <v>26</v>
      </c>
      <c r="J189" t="s">
        <v>26</v>
      </c>
      <c r="K189">
        <v>60</v>
      </c>
      <c r="L189">
        <v>0</v>
      </c>
      <c r="M189">
        <v>0</v>
      </c>
      <c r="N189">
        <v>0</v>
      </c>
      <c r="O189">
        <v>4</v>
      </c>
      <c r="P189">
        <v>4</v>
      </c>
      <c r="Q189">
        <v>4</v>
      </c>
      <c r="R189">
        <v>4</v>
      </c>
      <c r="S189">
        <v>4</v>
      </c>
      <c r="T189">
        <v>4</v>
      </c>
      <c r="U189">
        <v>1</v>
      </c>
      <c r="V189">
        <v>60</v>
      </c>
    </row>
    <row r="190" spans="1:22" x14ac:dyDescent="0.25">
      <c r="A190">
        <v>2025</v>
      </c>
      <c r="B190">
        <v>6</v>
      </c>
      <c r="C190" t="s">
        <v>69</v>
      </c>
      <c r="D190" t="s">
        <v>22</v>
      </c>
      <c r="E190" t="s">
        <v>163</v>
      </c>
      <c r="F190" t="s">
        <v>34</v>
      </c>
      <c r="G190" t="s">
        <v>24</v>
      </c>
      <c r="H190" t="s">
        <v>25</v>
      </c>
      <c r="I190" t="s">
        <v>26</v>
      </c>
      <c r="J190" t="s">
        <v>26</v>
      </c>
      <c r="K190">
        <v>60</v>
      </c>
      <c r="L190">
        <v>0</v>
      </c>
      <c r="M190">
        <v>0</v>
      </c>
      <c r="N190">
        <v>0</v>
      </c>
      <c r="O190">
        <v>6</v>
      </c>
      <c r="P190">
        <v>6</v>
      </c>
      <c r="Q190">
        <v>6</v>
      </c>
      <c r="R190">
        <v>5</v>
      </c>
      <c r="S190">
        <v>4</v>
      </c>
      <c r="T190">
        <v>4</v>
      </c>
      <c r="U190">
        <v>2</v>
      </c>
      <c r="V190">
        <v>60</v>
      </c>
    </row>
    <row r="191" spans="1:22" x14ac:dyDescent="0.25">
      <c r="A191">
        <v>2025</v>
      </c>
      <c r="B191">
        <v>6</v>
      </c>
      <c r="C191" t="s">
        <v>69</v>
      </c>
      <c r="D191" t="s">
        <v>22</v>
      </c>
      <c r="E191" t="s">
        <v>61</v>
      </c>
      <c r="F191" t="s">
        <v>35</v>
      </c>
      <c r="G191" t="s">
        <v>24</v>
      </c>
      <c r="H191" t="s">
        <v>25</v>
      </c>
      <c r="I191" t="s">
        <v>26</v>
      </c>
      <c r="J191" t="s">
        <v>26</v>
      </c>
      <c r="K191">
        <v>300</v>
      </c>
      <c r="L191">
        <v>0</v>
      </c>
      <c r="M191">
        <v>1</v>
      </c>
      <c r="N191">
        <v>1</v>
      </c>
      <c r="O191">
        <v>100</v>
      </c>
      <c r="P191">
        <v>82</v>
      </c>
      <c r="Q191">
        <v>70</v>
      </c>
      <c r="R191">
        <v>53</v>
      </c>
      <c r="S191">
        <v>42</v>
      </c>
      <c r="T191">
        <v>28</v>
      </c>
      <c r="U191">
        <v>11</v>
      </c>
      <c r="V191">
        <v>299</v>
      </c>
    </row>
    <row r="192" spans="1:22" x14ac:dyDescent="0.25">
      <c r="A192">
        <v>2025</v>
      </c>
      <c r="B192">
        <v>6</v>
      </c>
      <c r="C192" t="s">
        <v>69</v>
      </c>
      <c r="D192" t="s">
        <v>22</v>
      </c>
      <c r="E192" t="s">
        <v>61</v>
      </c>
      <c r="F192" t="s">
        <v>41</v>
      </c>
      <c r="G192" t="s">
        <v>24</v>
      </c>
      <c r="H192" t="s">
        <v>26</v>
      </c>
      <c r="I192" t="s">
        <v>26</v>
      </c>
      <c r="J192" t="s">
        <v>25</v>
      </c>
      <c r="K192">
        <v>360</v>
      </c>
      <c r="L192">
        <v>0</v>
      </c>
      <c r="M192">
        <v>10</v>
      </c>
      <c r="N192">
        <v>10</v>
      </c>
      <c r="O192">
        <v>72</v>
      </c>
      <c r="P192">
        <v>53</v>
      </c>
      <c r="Q192">
        <v>50</v>
      </c>
      <c r="R192">
        <v>48</v>
      </c>
      <c r="S192">
        <v>47</v>
      </c>
      <c r="T192">
        <v>34</v>
      </c>
      <c r="U192">
        <v>4</v>
      </c>
      <c r="V192">
        <v>355</v>
      </c>
    </row>
    <row r="193" spans="1:22" x14ac:dyDescent="0.25">
      <c r="A193">
        <v>2025</v>
      </c>
      <c r="B193">
        <v>6</v>
      </c>
      <c r="C193" t="s">
        <v>69</v>
      </c>
      <c r="D193" t="s">
        <v>22</v>
      </c>
      <c r="E193" t="s">
        <v>166</v>
      </c>
      <c r="F193" t="s">
        <v>32</v>
      </c>
      <c r="G193" t="s">
        <v>24</v>
      </c>
      <c r="H193" t="s">
        <v>25</v>
      </c>
      <c r="I193" t="s">
        <v>26</v>
      </c>
      <c r="J193" t="s">
        <v>25</v>
      </c>
      <c r="K193">
        <v>270</v>
      </c>
      <c r="L193">
        <v>7</v>
      </c>
      <c r="M193">
        <v>6</v>
      </c>
      <c r="N193">
        <v>13</v>
      </c>
      <c r="O193">
        <v>198</v>
      </c>
      <c r="P193">
        <v>189</v>
      </c>
      <c r="Q193">
        <v>187</v>
      </c>
      <c r="R193">
        <v>171</v>
      </c>
      <c r="S193">
        <v>151</v>
      </c>
      <c r="T193">
        <v>97</v>
      </c>
      <c r="U193">
        <v>9</v>
      </c>
      <c r="V193">
        <v>257</v>
      </c>
    </row>
    <row r="194" spans="1:22" x14ac:dyDescent="0.25">
      <c r="A194">
        <v>2025</v>
      </c>
      <c r="B194">
        <v>6</v>
      </c>
      <c r="C194" t="s">
        <v>69</v>
      </c>
      <c r="D194" t="s">
        <v>22</v>
      </c>
      <c r="E194" t="s">
        <v>166</v>
      </c>
      <c r="F194" t="s">
        <v>38</v>
      </c>
      <c r="G194" t="s">
        <v>24</v>
      </c>
      <c r="H194" t="s">
        <v>25</v>
      </c>
      <c r="I194" t="s">
        <v>25</v>
      </c>
      <c r="J194" t="s">
        <v>25</v>
      </c>
      <c r="K194">
        <v>210</v>
      </c>
      <c r="L194">
        <v>3</v>
      </c>
      <c r="M194">
        <v>3</v>
      </c>
      <c r="N194">
        <v>6</v>
      </c>
      <c r="O194">
        <v>196</v>
      </c>
      <c r="P194">
        <v>191</v>
      </c>
      <c r="Q194">
        <v>183</v>
      </c>
      <c r="R194">
        <v>147</v>
      </c>
      <c r="S194">
        <v>82</v>
      </c>
      <c r="T194">
        <v>21</v>
      </c>
      <c r="U194">
        <v>7</v>
      </c>
      <c r="V194">
        <v>206</v>
      </c>
    </row>
    <row r="195" spans="1:22" x14ac:dyDescent="0.25">
      <c r="A195">
        <v>2025</v>
      </c>
      <c r="B195">
        <v>6</v>
      </c>
      <c r="C195" t="s">
        <v>69</v>
      </c>
      <c r="D195" t="s">
        <v>22</v>
      </c>
      <c r="E195" t="s">
        <v>69</v>
      </c>
      <c r="F195" t="s">
        <v>32</v>
      </c>
      <c r="G195" t="s">
        <v>28</v>
      </c>
      <c r="H195" t="s">
        <v>25</v>
      </c>
      <c r="I195" t="s">
        <v>26</v>
      </c>
      <c r="J195" t="s">
        <v>25</v>
      </c>
      <c r="K195">
        <v>98</v>
      </c>
      <c r="L195">
        <v>1</v>
      </c>
      <c r="M195">
        <v>1</v>
      </c>
      <c r="N195">
        <v>2</v>
      </c>
      <c r="O195">
        <v>1</v>
      </c>
      <c r="P195">
        <v>1</v>
      </c>
      <c r="Q195">
        <v>1</v>
      </c>
      <c r="R195">
        <v>0</v>
      </c>
      <c r="S195">
        <v>0</v>
      </c>
      <c r="T195">
        <v>0</v>
      </c>
      <c r="U195">
        <v>0</v>
      </c>
      <c r="V195">
        <v>96</v>
      </c>
    </row>
    <row r="196" spans="1:22" x14ac:dyDescent="0.25">
      <c r="A196">
        <v>2025</v>
      </c>
      <c r="B196">
        <v>6</v>
      </c>
      <c r="C196" t="s">
        <v>69</v>
      </c>
      <c r="D196" t="s">
        <v>22</v>
      </c>
      <c r="E196" t="s">
        <v>69</v>
      </c>
      <c r="F196" t="s">
        <v>38</v>
      </c>
      <c r="G196" t="s">
        <v>24</v>
      </c>
      <c r="H196" t="s">
        <v>25</v>
      </c>
      <c r="I196" t="s">
        <v>25</v>
      </c>
      <c r="J196" t="s">
        <v>25</v>
      </c>
      <c r="K196">
        <v>3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3</v>
      </c>
    </row>
    <row r="197" spans="1:22" x14ac:dyDescent="0.25">
      <c r="A197">
        <v>2025</v>
      </c>
      <c r="B197">
        <v>6</v>
      </c>
      <c r="C197" t="s">
        <v>69</v>
      </c>
      <c r="D197" t="s">
        <v>22</v>
      </c>
      <c r="E197" t="s">
        <v>69</v>
      </c>
      <c r="F197" t="s">
        <v>23</v>
      </c>
      <c r="G197" t="s">
        <v>28</v>
      </c>
      <c r="H197" t="s">
        <v>25</v>
      </c>
      <c r="I197" t="s">
        <v>26</v>
      </c>
      <c r="J197" t="s">
        <v>25</v>
      </c>
      <c r="K197">
        <v>11425</v>
      </c>
      <c r="L197">
        <v>40</v>
      </c>
      <c r="M197">
        <v>214</v>
      </c>
      <c r="N197">
        <v>254</v>
      </c>
      <c r="O197">
        <v>23</v>
      </c>
      <c r="P197">
        <v>19</v>
      </c>
      <c r="Q197">
        <v>17</v>
      </c>
      <c r="R197">
        <v>12</v>
      </c>
      <c r="S197">
        <v>8</v>
      </c>
      <c r="T197">
        <v>3</v>
      </c>
      <c r="U197">
        <v>3</v>
      </c>
      <c r="V197">
        <v>11206</v>
      </c>
    </row>
    <row r="198" spans="1:22" x14ac:dyDescent="0.25">
      <c r="A198">
        <v>2025</v>
      </c>
      <c r="B198">
        <v>6</v>
      </c>
      <c r="C198" t="s">
        <v>69</v>
      </c>
      <c r="D198" t="s">
        <v>22</v>
      </c>
      <c r="E198" t="s">
        <v>69</v>
      </c>
      <c r="F198" t="s">
        <v>23</v>
      </c>
      <c r="G198" t="s">
        <v>24</v>
      </c>
      <c r="H198" t="s">
        <v>25</v>
      </c>
      <c r="I198" t="s">
        <v>26</v>
      </c>
      <c r="J198" t="s">
        <v>25</v>
      </c>
      <c r="K198">
        <v>749</v>
      </c>
      <c r="L198">
        <v>153</v>
      </c>
      <c r="M198">
        <v>27</v>
      </c>
      <c r="N198">
        <v>180</v>
      </c>
      <c r="O198">
        <v>152</v>
      </c>
      <c r="P198">
        <v>127</v>
      </c>
      <c r="Q198">
        <v>120</v>
      </c>
      <c r="R198">
        <v>101</v>
      </c>
      <c r="S198">
        <v>82</v>
      </c>
      <c r="T198">
        <v>15</v>
      </c>
      <c r="U198">
        <v>3</v>
      </c>
      <c r="V198">
        <v>588</v>
      </c>
    </row>
    <row r="199" spans="1:22" x14ac:dyDescent="0.25">
      <c r="A199">
        <v>2025</v>
      </c>
      <c r="B199">
        <v>6</v>
      </c>
      <c r="C199" t="s">
        <v>69</v>
      </c>
      <c r="D199" t="s">
        <v>22</v>
      </c>
      <c r="E199" t="s">
        <v>69</v>
      </c>
      <c r="F199" t="s">
        <v>39</v>
      </c>
      <c r="G199" t="s">
        <v>28</v>
      </c>
      <c r="H199" t="s">
        <v>26</v>
      </c>
      <c r="I199" t="s">
        <v>26</v>
      </c>
      <c r="J199" t="s">
        <v>25</v>
      </c>
      <c r="K199">
        <v>47</v>
      </c>
      <c r="L199">
        <v>1</v>
      </c>
      <c r="M199">
        <v>0</v>
      </c>
      <c r="N199">
        <v>1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46</v>
      </c>
    </row>
    <row r="200" spans="1:22" x14ac:dyDescent="0.25">
      <c r="A200">
        <v>2025</v>
      </c>
      <c r="B200">
        <v>6</v>
      </c>
      <c r="C200" t="s">
        <v>69</v>
      </c>
      <c r="D200" t="s">
        <v>22</v>
      </c>
      <c r="E200" t="s">
        <v>69</v>
      </c>
      <c r="F200" t="s">
        <v>40</v>
      </c>
      <c r="G200" t="s">
        <v>28</v>
      </c>
      <c r="H200" t="s">
        <v>25</v>
      </c>
      <c r="I200" t="s">
        <v>26</v>
      </c>
      <c r="J200" t="s">
        <v>25</v>
      </c>
      <c r="K200">
        <v>12796</v>
      </c>
      <c r="L200">
        <v>46</v>
      </c>
      <c r="M200">
        <v>118</v>
      </c>
      <c r="N200">
        <v>164</v>
      </c>
      <c r="O200">
        <v>6</v>
      </c>
      <c r="P200">
        <v>3</v>
      </c>
      <c r="Q200">
        <v>3</v>
      </c>
      <c r="R200">
        <v>2</v>
      </c>
      <c r="S200">
        <v>2</v>
      </c>
      <c r="T200">
        <v>0</v>
      </c>
      <c r="U200">
        <v>0</v>
      </c>
      <c r="V200">
        <v>12673</v>
      </c>
    </row>
    <row r="201" spans="1:22" x14ac:dyDescent="0.25">
      <c r="A201">
        <v>2025</v>
      </c>
      <c r="B201">
        <v>6</v>
      </c>
      <c r="C201" t="s">
        <v>69</v>
      </c>
      <c r="D201" t="s">
        <v>22</v>
      </c>
      <c r="E201" t="s">
        <v>69</v>
      </c>
      <c r="F201" t="s">
        <v>40</v>
      </c>
      <c r="G201" t="s">
        <v>24</v>
      </c>
      <c r="H201" t="s">
        <v>25</v>
      </c>
      <c r="I201" t="s">
        <v>26</v>
      </c>
      <c r="J201" t="s">
        <v>25</v>
      </c>
      <c r="K201">
        <v>1043</v>
      </c>
      <c r="L201">
        <v>3</v>
      </c>
      <c r="M201">
        <v>29</v>
      </c>
      <c r="N201">
        <v>32</v>
      </c>
      <c r="O201">
        <v>29</v>
      </c>
      <c r="P201">
        <v>20</v>
      </c>
      <c r="Q201">
        <v>16</v>
      </c>
      <c r="R201">
        <v>8</v>
      </c>
      <c r="S201">
        <v>1</v>
      </c>
      <c r="T201">
        <v>0</v>
      </c>
      <c r="U201">
        <v>0</v>
      </c>
      <c r="V201">
        <v>1014</v>
      </c>
    </row>
    <row r="202" spans="1:22" x14ac:dyDescent="0.25">
      <c r="A202">
        <v>2025</v>
      </c>
      <c r="B202">
        <v>6</v>
      </c>
      <c r="C202" t="s">
        <v>69</v>
      </c>
      <c r="D202" t="s">
        <v>22</v>
      </c>
      <c r="E202" t="s">
        <v>69</v>
      </c>
      <c r="F202" t="s">
        <v>40</v>
      </c>
      <c r="G202" t="s">
        <v>29</v>
      </c>
      <c r="H202" t="s">
        <v>25</v>
      </c>
      <c r="I202" t="s">
        <v>26</v>
      </c>
      <c r="J202" t="s">
        <v>25</v>
      </c>
      <c r="K202">
        <v>2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</row>
    <row r="203" spans="1:22" x14ac:dyDescent="0.25">
      <c r="A203">
        <v>2025</v>
      </c>
      <c r="B203">
        <v>6</v>
      </c>
      <c r="C203" t="s">
        <v>69</v>
      </c>
      <c r="D203" t="s">
        <v>22</v>
      </c>
      <c r="E203" t="s">
        <v>124</v>
      </c>
      <c r="F203" t="s">
        <v>70</v>
      </c>
      <c r="G203" t="s">
        <v>28</v>
      </c>
      <c r="H203" t="s">
        <v>26</v>
      </c>
      <c r="I203" t="s">
        <v>26</v>
      </c>
      <c r="J203" t="s">
        <v>25</v>
      </c>
      <c r="K203">
        <v>102</v>
      </c>
      <c r="L203">
        <v>1</v>
      </c>
      <c r="M203">
        <v>0</v>
      </c>
      <c r="N203">
        <v>1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101</v>
      </c>
    </row>
    <row r="204" spans="1:22" x14ac:dyDescent="0.25">
      <c r="A204">
        <v>2025</v>
      </c>
      <c r="B204">
        <v>6</v>
      </c>
      <c r="C204" t="s">
        <v>69</v>
      </c>
      <c r="D204" t="s">
        <v>22</v>
      </c>
      <c r="E204" t="s">
        <v>124</v>
      </c>
      <c r="F204" t="s">
        <v>70</v>
      </c>
      <c r="G204" t="s">
        <v>24</v>
      </c>
      <c r="H204" t="s">
        <v>26</v>
      </c>
      <c r="I204" t="s">
        <v>26</v>
      </c>
      <c r="J204" t="s">
        <v>25</v>
      </c>
      <c r="K204">
        <v>786</v>
      </c>
      <c r="L204">
        <v>1</v>
      </c>
      <c r="M204">
        <v>24</v>
      </c>
      <c r="N204">
        <v>25</v>
      </c>
      <c r="O204">
        <v>144</v>
      </c>
      <c r="P204">
        <v>112</v>
      </c>
      <c r="Q204">
        <v>105</v>
      </c>
      <c r="R204">
        <v>82</v>
      </c>
      <c r="S204">
        <v>65</v>
      </c>
      <c r="T204">
        <v>32</v>
      </c>
      <c r="U204">
        <v>6</v>
      </c>
      <c r="V204">
        <v>774</v>
      </c>
    </row>
    <row r="205" spans="1:22" x14ac:dyDescent="0.25">
      <c r="A205">
        <v>2025</v>
      </c>
      <c r="B205">
        <v>6</v>
      </c>
      <c r="C205" t="s">
        <v>69</v>
      </c>
      <c r="D205" t="s">
        <v>22</v>
      </c>
      <c r="E205" t="s">
        <v>124</v>
      </c>
      <c r="F205" t="s">
        <v>70</v>
      </c>
      <c r="G205" t="s">
        <v>29</v>
      </c>
      <c r="H205" t="s">
        <v>26</v>
      </c>
      <c r="I205" t="s">
        <v>26</v>
      </c>
      <c r="J205" t="s">
        <v>25</v>
      </c>
      <c r="K205">
        <v>4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</row>
    <row r="206" spans="1:22" x14ac:dyDescent="0.25">
      <c r="A206">
        <v>2025</v>
      </c>
      <c r="B206">
        <v>6</v>
      </c>
      <c r="C206" t="s">
        <v>69</v>
      </c>
      <c r="D206" t="s">
        <v>22</v>
      </c>
      <c r="E206" t="s">
        <v>173</v>
      </c>
      <c r="F206" t="s">
        <v>32</v>
      </c>
      <c r="G206" t="s">
        <v>24</v>
      </c>
      <c r="H206" t="s">
        <v>25</v>
      </c>
      <c r="I206" t="s">
        <v>26</v>
      </c>
      <c r="J206" t="s">
        <v>25</v>
      </c>
      <c r="K206">
        <v>939</v>
      </c>
      <c r="L206">
        <v>0</v>
      </c>
      <c r="M206">
        <v>22</v>
      </c>
      <c r="N206">
        <v>22</v>
      </c>
      <c r="O206">
        <v>21</v>
      </c>
      <c r="P206">
        <v>16</v>
      </c>
      <c r="Q206">
        <v>16</v>
      </c>
      <c r="R206">
        <v>11</v>
      </c>
      <c r="S206">
        <v>7</v>
      </c>
      <c r="T206">
        <v>2</v>
      </c>
      <c r="U206">
        <v>2</v>
      </c>
      <c r="V206">
        <v>932</v>
      </c>
    </row>
    <row r="207" spans="1:22" x14ac:dyDescent="0.25">
      <c r="A207">
        <v>2025</v>
      </c>
      <c r="B207">
        <v>6</v>
      </c>
      <c r="C207" t="s">
        <v>69</v>
      </c>
      <c r="D207" t="s">
        <v>22</v>
      </c>
      <c r="E207" t="s">
        <v>173</v>
      </c>
      <c r="F207" t="s">
        <v>38</v>
      </c>
      <c r="G207" t="s">
        <v>24</v>
      </c>
      <c r="H207" t="s">
        <v>25</v>
      </c>
      <c r="I207" t="s">
        <v>25</v>
      </c>
      <c r="J207" t="s">
        <v>25</v>
      </c>
      <c r="K207">
        <v>50</v>
      </c>
      <c r="L207">
        <v>0</v>
      </c>
      <c r="M207">
        <v>0</v>
      </c>
      <c r="N207">
        <v>0</v>
      </c>
      <c r="O207">
        <v>12</v>
      </c>
      <c r="P207">
        <v>11</v>
      </c>
      <c r="Q207">
        <v>9</v>
      </c>
      <c r="R207">
        <v>8</v>
      </c>
      <c r="S207">
        <v>4</v>
      </c>
      <c r="T207">
        <v>1</v>
      </c>
      <c r="U207">
        <v>0</v>
      </c>
      <c r="V207">
        <v>50</v>
      </c>
    </row>
    <row r="208" spans="1:22" x14ac:dyDescent="0.25">
      <c r="A208">
        <v>2025</v>
      </c>
      <c r="B208">
        <v>7</v>
      </c>
      <c r="C208" t="s">
        <v>69</v>
      </c>
      <c r="D208" t="s">
        <v>22</v>
      </c>
      <c r="E208" t="s">
        <v>132</v>
      </c>
      <c r="F208" t="s">
        <v>32</v>
      </c>
      <c r="G208" t="s">
        <v>24</v>
      </c>
      <c r="H208" t="s">
        <v>25</v>
      </c>
      <c r="I208" t="s">
        <v>26</v>
      </c>
      <c r="J208" t="s">
        <v>25</v>
      </c>
      <c r="K208">
        <v>62</v>
      </c>
      <c r="L208">
        <v>0</v>
      </c>
      <c r="M208">
        <v>0</v>
      </c>
      <c r="N208">
        <v>0</v>
      </c>
      <c r="O208">
        <v>19</v>
      </c>
      <c r="P208">
        <v>15</v>
      </c>
      <c r="Q208">
        <v>14</v>
      </c>
      <c r="R208">
        <v>8</v>
      </c>
      <c r="S208">
        <v>6</v>
      </c>
      <c r="T208">
        <v>5</v>
      </c>
      <c r="U208">
        <v>0</v>
      </c>
      <c r="V208">
        <v>62</v>
      </c>
    </row>
    <row r="209" spans="1:22" x14ac:dyDescent="0.25">
      <c r="A209">
        <v>2025</v>
      </c>
      <c r="B209">
        <v>7</v>
      </c>
      <c r="C209" t="s">
        <v>69</v>
      </c>
      <c r="D209" t="s">
        <v>22</v>
      </c>
      <c r="E209" t="s">
        <v>132</v>
      </c>
      <c r="F209" t="s">
        <v>34</v>
      </c>
      <c r="G209" t="s">
        <v>24</v>
      </c>
      <c r="H209" t="s">
        <v>25</v>
      </c>
      <c r="I209" t="s">
        <v>26</v>
      </c>
      <c r="J209" t="s">
        <v>26</v>
      </c>
      <c r="K209">
        <v>62</v>
      </c>
      <c r="L209">
        <v>0</v>
      </c>
      <c r="M209">
        <v>0</v>
      </c>
      <c r="N209">
        <v>0</v>
      </c>
      <c r="O209">
        <v>20</v>
      </c>
      <c r="P209">
        <v>14</v>
      </c>
      <c r="Q209">
        <v>12</v>
      </c>
      <c r="R209">
        <v>8</v>
      </c>
      <c r="S209">
        <v>7</v>
      </c>
      <c r="T209">
        <v>5</v>
      </c>
      <c r="U209">
        <v>0</v>
      </c>
      <c r="V209">
        <v>62</v>
      </c>
    </row>
    <row r="210" spans="1:22" x14ac:dyDescent="0.25">
      <c r="A210">
        <v>2025</v>
      </c>
      <c r="B210">
        <v>7</v>
      </c>
      <c r="C210" t="s">
        <v>69</v>
      </c>
      <c r="D210" t="s">
        <v>22</v>
      </c>
      <c r="E210" t="s">
        <v>37</v>
      </c>
      <c r="F210" t="s">
        <v>23</v>
      </c>
      <c r="G210" t="s">
        <v>24</v>
      </c>
      <c r="H210" t="s">
        <v>25</v>
      </c>
      <c r="I210" t="s">
        <v>26</v>
      </c>
      <c r="J210" t="s">
        <v>25</v>
      </c>
      <c r="K210">
        <v>1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1</v>
      </c>
    </row>
    <row r="211" spans="1:22" x14ac:dyDescent="0.25">
      <c r="A211">
        <v>2025</v>
      </c>
      <c r="B211">
        <v>7</v>
      </c>
      <c r="C211" t="s">
        <v>69</v>
      </c>
      <c r="D211" t="s">
        <v>22</v>
      </c>
      <c r="E211" t="s">
        <v>145</v>
      </c>
      <c r="F211" t="s">
        <v>32</v>
      </c>
      <c r="G211" t="s">
        <v>24</v>
      </c>
      <c r="H211" t="s">
        <v>25</v>
      </c>
      <c r="I211" t="s">
        <v>26</v>
      </c>
      <c r="J211" t="s">
        <v>25</v>
      </c>
      <c r="K211">
        <v>299</v>
      </c>
      <c r="L211">
        <v>3</v>
      </c>
      <c r="M211">
        <v>5</v>
      </c>
      <c r="N211">
        <v>8</v>
      </c>
      <c r="O211">
        <v>71</v>
      </c>
      <c r="P211">
        <v>46</v>
      </c>
      <c r="Q211">
        <v>37</v>
      </c>
      <c r="R211">
        <v>23</v>
      </c>
      <c r="S211">
        <v>15</v>
      </c>
      <c r="T211">
        <v>6</v>
      </c>
      <c r="U211">
        <v>1</v>
      </c>
      <c r="V211">
        <v>296</v>
      </c>
    </row>
    <row r="212" spans="1:22" x14ac:dyDescent="0.25">
      <c r="A212">
        <v>2025</v>
      </c>
      <c r="B212">
        <v>7</v>
      </c>
      <c r="C212" t="s">
        <v>69</v>
      </c>
      <c r="D212" t="s">
        <v>22</v>
      </c>
      <c r="E212" t="s">
        <v>154</v>
      </c>
      <c r="F212" t="s">
        <v>32</v>
      </c>
      <c r="G212" t="s">
        <v>24</v>
      </c>
      <c r="H212" t="s">
        <v>25</v>
      </c>
      <c r="I212" t="s">
        <v>26</v>
      </c>
      <c r="J212" t="s">
        <v>25</v>
      </c>
      <c r="K212">
        <v>16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16</v>
      </c>
    </row>
    <row r="213" spans="1:22" x14ac:dyDescent="0.25">
      <c r="A213">
        <v>2025</v>
      </c>
      <c r="B213">
        <v>7</v>
      </c>
      <c r="C213" t="s">
        <v>69</v>
      </c>
      <c r="D213" t="s">
        <v>22</v>
      </c>
      <c r="E213" t="s">
        <v>149</v>
      </c>
      <c r="F213" t="s">
        <v>32</v>
      </c>
      <c r="G213" t="s">
        <v>24</v>
      </c>
      <c r="H213" t="s">
        <v>25</v>
      </c>
      <c r="I213" t="s">
        <v>26</v>
      </c>
      <c r="J213" t="s">
        <v>25</v>
      </c>
      <c r="K213">
        <v>130</v>
      </c>
      <c r="L213">
        <v>14</v>
      </c>
      <c r="M213">
        <v>8</v>
      </c>
      <c r="N213">
        <v>22</v>
      </c>
      <c r="O213">
        <v>68</v>
      </c>
      <c r="P213">
        <v>60</v>
      </c>
      <c r="Q213">
        <v>58</v>
      </c>
      <c r="R213">
        <v>51</v>
      </c>
      <c r="S213">
        <v>45</v>
      </c>
      <c r="T213">
        <v>36</v>
      </c>
      <c r="U213">
        <v>17</v>
      </c>
      <c r="V213">
        <v>110</v>
      </c>
    </row>
    <row r="214" spans="1:22" x14ac:dyDescent="0.25">
      <c r="A214">
        <v>2025</v>
      </c>
      <c r="B214">
        <v>7</v>
      </c>
      <c r="C214" t="s">
        <v>69</v>
      </c>
      <c r="D214" t="s">
        <v>22</v>
      </c>
      <c r="E214" t="s">
        <v>149</v>
      </c>
      <c r="F214" t="s">
        <v>23</v>
      </c>
      <c r="G214" t="s">
        <v>24</v>
      </c>
      <c r="H214" t="s">
        <v>25</v>
      </c>
      <c r="I214" t="s">
        <v>26</v>
      </c>
      <c r="J214" t="s">
        <v>25</v>
      </c>
      <c r="K214">
        <v>454</v>
      </c>
      <c r="L214">
        <v>32</v>
      </c>
      <c r="M214">
        <v>10</v>
      </c>
      <c r="N214">
        <v>42</v>
      </c>
      <c r="O214">
        <v>136</v>
      </c>
      <c r="P214">
        <v>110</v>
      </c>
      <c r="Q214">
        <v>97</v>
      </c>
      <c r="R214">
        <v>72</v>
      </c>
      <c r="S214">
        <v>54</v>
      </c>
      <c r="T214">
        <v>22</v>
      </c>
      <c r="U214">
        <v>5</v>
      </c>
      <c r="V214">
        <v>412</v>
      </c>
    </row>
    <row r="215" spans="1:22" x14ac:dyDescent="0.25">
      <c r="A215">
        <v>2025</v>
      </c>
      <c r="B215">
        <v>7</v>
      </c>
      <c r="C215" t="s">
        <v>69</v>
      </c>
      <c r="D215" t="s">
        <v>22</v>
      </c>
      <c r="E215" t="s">
        <v>149</v>
      </c>
      <c r="F215" t="s">
        <v>39</v>
      </c>
      <c r="G215" t="s">
        <v>24</v>
      </c>
      <c r="H215" t="s">
        <v>26</v>
      </c>
      <c r="I215" t="s">
        <v>26</v>
      </c>
      <c r="J215" t="s">
        <v>25</v>
      </c>
      <c r="K215">
        <v>1349</v>
      </c>
      <c r="L215">
        <v>89</v>
      </c>
      <c r="M215">
        <v>233</v>
      </c>
      <c r="N215">
        <v>322</v>
      </c>
      <c r="O215">
        <v>316</v>
      </c>
      <c r="P215">
        <v>243</v>
      </c>
      <c r="Q215">
        <v>219</v>
      </c>
      <c r="R215">
        <v>138</v>
      </c>
      <c r="S215">
        <v>109</v>
      </c>
      <c r="T215">
        <v>40</v>
      </c>
      <c r="U215">
        <v>9</v>
      </c>
      <c r="V215">
        <v>1122</v>
      </c>
    </row>
    <row r="216" spans="1:22" x14ac:dyDescent="0.25">
      <c r="A216">
        <v>2025</v>
      </c>
      <c r="B216">
        <v>7</v>
      </c>
      <c r="C216" t="s">
        <v>69</v>
      </c>
      <c r="D216" t="s">
        <v>22</v>
      </c>
      <c r="E216" t="s">
        <v>150</v>
      </c>
      <c r="F216" t="s">
        <v>32</v>
      </c>
      <c r="G216" t="s">
        <v>24</v>
      </c>
      <c r="H216" t="s">
        <v>25</v>
      </c>
      <c r="I216" t="s">
        <v>26</v>
      </c>
      <c r="J216" t="s">
        <v>25</v>
      </c>
      <c r="K216">
        <v>25</v>
      </c>
      <c r="L216">
        <v>0</v>
      </c>
      <c r="M216">
        <v>3</v>
      </c>
      <c r="N216">
        <v>3</v>
      </c>
      <c r="O216">
        <v>10</v>
      </c>
      <c r="P216">
        <v>7</v>
      </c>
      <c r="Q216">
        <v>7</v>
      </c>
      <c r="R216">
        <v>6</v>
      </c>
      <c r="S216">
        <v>4</v>
      </c>
      <c r="T216">
        <v>1</v>
      </c>
      <c r="U216">
        <v>0</v>
      </c>
      <c r="V216">
        <v>22</v>
      </c>
    </row>
    <row r="217" spans="1:22" x14ac:dyDescent="0.25">
      <c r="A217">
        <v>2025</v>
      </c>
      <c r="B217">
        <v>7</v>
      </c>
      <c r="C217" t="s">
        <v>69</v>
      </c>
      <c r="D217" t="s">
        <v>22</v>
      </c>
      <c r="E217" t="s">
        <v>155</v>
      </c>
      <c r="F217" t="s">
        <v>34</v>
      </c>
      <c r="G217" t="s">
        <v>24</v>
      </c>
      <c r="H217" t="s">
        <v>25</v>
      </c>
      <c r="I217" t="s">
        <v>26</v>
      </c>
      <c r="J217" t="s">
        <v>26</v>
      </c>
      <c r="K217">
        <v>62</v>
      </c>
      <c r="L217">
        <v>0</v>
      </c>
      <c r="M217">
        <v>0</v>
      </c>
      <c r="N217">
        <v>0</v>
      </c>
      <c r="O217">
        <v>2</v>
      </c>
      <c r="P217">
        <v>2</v>
      </c>
      <c r="Q217">
        <v>2</v>
      </c>
      <c r="R217">
        <v>2</v>
      </c>
      <c r="S217">
        <v>2</v>
      </c>
      <c r="T217">
        <v>1</v>
      </c>
      <c r="U217">
        <v>1</v>
      </c>
      <c r="V217">
        <v>62</v>
      </c>
    </row>
    <row r="218" spans="1:22" x14ac:dyDescent="0.25">
      <c r="A218">
        <v>2025</v>
      </c>
      <c r="B218">
        <v>7</v>
      </c>
      <c r="C218" t="s">
        <v>69</v>
      </c>
      <c r="D218" t="s">
        <v>22</v>
      </c>
      <c r="E218" t="s">
        <v>163</v>
      </c>
      <c r="F218" t="s">
        <v>34</v>
      </c>
      <c r="G218" t="s">
        <v>24</v>
      </c>
      <c r="H218" t="s">
        <v>25</v>
      </c>
      <c r="I218" t="s">
        <v>26</v>
      </c>
      <c r="J218" t="s">
        <v>26</v>
      </c>
      <c r="K218">
        <v>59</v>
      </c>
      <c r="L218">
        <v>0</v>
      </c>
      <c r="M218">
        <v>0</v>
      </c>
      <c r="N218">
        <v>0</v>
      </c>
      <c r="O218">
        <v>11</v>
      </c>
      <c r="P218">
        <v>11</v>
      </c>
      <c r="Q218">
        <v>11</v>
      </c>
      <c r="R218">
        <v>11</v>
      </c>
      <c r="S218">
        <v>11</v>
      </c>
      <c r="T218">
        <v>11</v>
      </c>
      <c r="U218">
        <v>2</v>
      </c>
      <c r="V218">
        <v>59</v>
      </c>
    </row>
    <row r="219" spans="1:22" x14ac:dyDescent="0.25">
      <c r="A219">
        <v>2025</v>
      </c>
      <c r="B219">
        <v>7</v>
      </c>
      <c r="C219" t="s">
        <v>69</v>
      </c>
      <c r="D219" t="s">
        <v>22</v>
      </c>
      <c r="E219" t="s">
        <v>61</v>
      </c>
      <c r="F219" t="s">
        <v>35</v>
      </c>
      <c r="G219" t="s">
        <v>24</v>
      </c>
      <c r="H219" t="s">
        <v>25</v>
      </c>
      <c r="I219" t="s">
        <v>26</v>
      </c>
      <c r="J219" t="s">
        <v>26</v>
      </c>
      <c r="K219">
        <v>310</v>
      </c>
      <c r="L219">
        <v>2</v>
      </c>
      <c r="M219">
        <v>0</v>
      </c>
      <c r="N219">
        <v>2</v>
      </c>
      <c r="O219">
        <v>102</v>
      </c>
      <c r="P219">
        <v>85</v>
      </c>
      <c r="Q219">
        <v>77</v>
      </c>
      <c r="R219">
        <v>59</v>
      </c>
      <c r="S219">
        <v>51</v>
      </c>
      <c r="T219">
        <v>37</v>
      </c>
      <c r="U219">
        <v>17</v>
      </c>
      <c r="V219">
        <v>308</v>
      </c>
    </row>
    <row r="220" spans="1:22" x14ac:dyDescent="0.25">
      <c r="A220">
        <v>2025</v>
      </c>
      <c r="B220">
        <v>7</v>
      </c>
      <c r="C220" t="s">
        <v>69</v>
      </c>
      <c r="D220" t="s">
        <v>22</v>
      </c>
      <c r="E220" t="s">
        <v>61</v>
      </c>
      <c r="F220" t="s">
        <v>41</v>
      </c>
      <c r="G220" t="s">
        <v>24</v>
      </c>
      <c r="H220" t="s">
        <v>26</v>
      </c>
      <c r="I220" t="s">
        <v>26</v>
      </c>
      <c r="J220" t="s">
        <v>25</v>
      </c>
      <c r="K220">
        <v>372</v>
      </c>
      <c r="L220">
        <v>0</v>
      </c>
      <c r="M220">
        <v>4</v>
      </c>
      <c r="N220">
        <v>4</v>
      </c>
      <c r="O220">
        <v>70</v>
      </c>
      <c r="P220">
        <v>51</v>
      </c>
      <c r="Q220">
        <v>48</v>
      </c>
      <c r="R220">
        <v>43</v>
      </c>
      <c r="S220">
        <v>42</v>
      </c>
      <c r="T220">
        <v>24</v>
      </c>
      <c r="U220">
        <v>6</v>
      </c>
      <c r="V220">
        <v>370</v>
      </c>
    </row>
    <row r="221" spans="1:22" x14ac:dyDescent="0.25">
      <c r="A221">
        <v>2025</v>
      </c>
      <c r="B221">
        <v>7</v>
      </c>
      <c r="C221" t="s">
        <v>69</v>
      </c>
      <c r="D221" t="s">
        <v>22</v>
      </c>
      <c r="E221" t="s">
        <v>166</v>
      </c>
      <c r="F221" t="s">
        <v>32</v>
      </c>
      <c r="G221" t="s">
        <v>24</v>
      </c>
      <c r="H221" t="s">
        <v>25</v>
      </c>
      <c r="I221" t="s">
        <v>26</v>
      </c>
      <c r="J221" t="s">
        <v>25</v>
      </c>
      <c r="K221">
        <v>278</v>
      </c>
      <c r="L221">
        <v>2</v>
      </c>
      <c r="M221">
        <v>7</v>
      </c>
      <c r="N221">
        <v>9</v>
      </c>
      <c r="O221">
        <v>174</v>
      </c>
      <c r="P221">
        <v>163</v>
      </c>
      <c r="Q221">
        <v>158</v>
      </c>
      <c r="R221">
        <v>139</v>
      </c>
      <c r="S221">
        <v>111</v>
      </c>
      <c r="T221">
        <v>76</v>
      </c>
      <c r="U221">
        <v>6</v>
      </c>
      <c r="V221">
        <v>269</v>
      </c>
    </row>
    <row r="222" spans="1:22" x14ac:dyDescent="0.25">
      <c r="A222">
        <v>2025</v>
      </c>
      <c r="B222">
        <v>7</v>
      </c>
      <c r="C222" t="s">
        <v>69</v>
      </c>
      <c r="D222" t="s">
        <v>22</v>
      </c>
      <c r="E222" t="s">
        <v>166</v>
      </c>
      <c r="F222" t="s">
        <v>38</v>
      </c>
      <c r="G222" t="s">
        <v>24</v>
      </c>
      <c r="H222" t="s">
        <v>25</v>
      </c>
      <c r="I222" t="s">
        <v>25</v>
      </c>
      <c r="J222" t="s">
        <v>25</v>
      </c>
      <c r="K222">
        <v>216</v>
      </c>
      <c r="L222">
        <v>3</v>
      </c>
      <c r="M222">
        <v>0</v>
      </c>
      <c r="N222">
        <v>3</v>
      </c>
      <c r="O222">
        <v>201</v>
      </c>
      <c r="P222">
        <v>174</v>
      </c>
      <c r="Q222">
        <v>164</v>
      </c>
      <c r="R222">
        <v>108</v>
      </c>
      <c r="S222">
        <v>40</v>
      </c>
      <c r="T222">
        <v>8</v>
      </c>
      <c r="U222">
        <v>5</v>
      </c>
      <c r="V222">
        <v>213</v>
      </c>
    </row>
    <row r="223" spans="1:22" x14ac:dyDescent="0.25">
      <c r="A223">
        <v>2025</v>
      </c>
      <c r="B223">
        <v>7</v>
      </c>
      <c r="C223" t="s">
        <v>69</v>
      </c>
      <c r="D223" t="s">
        <v>22</v>
      </c>
      <c r="E223" t="s">
        <v>69</v>
      </c>
      <c r="F223" t="s">
        <v>32</v>
      </c>
      <c r="G223" t="s">
        <v>28</v>
      </c>
      <c r="H223" t="s">
        <v>25</v>
      </c>
      <c r="I223" t="s">
        <v>26</v>
      </c>
      <c r="J223" t="s">
        <v>25</v>
      </c>
      <c r="K223">
        <v>143</v>
      </c>
      <c r="L223">
        <v>0</v>
      </c>
      <c r="M223">
        <v>2</v>
      </c>
      <c r="N223">
        <v>2</v>
      </c>
      <c r="O223">
        <v>6</v>
      </c>
      <c r="P223">
        <v>5</v>
      </c>
      <c r="Q223">
        <v>5</v>
      </c>
      <c r="R223">
        <v>3</v>
      </c>
      <c r="S223">
        <v>2</v>
      </c>
      <c r="T223">
        <v>1</v>
      </c>
      <c r="U223">
        <v>0</v>
      </c>
      <c r="V223">
        <v>143</v>
      </c>
    </row>
    <row r="224" spans="1:22" x14ac:dyDescent="0.25">
      <c r="A224">
        <v>2025</v>
      </c>
      <c r="B224">
        <v>7</v>
      </c>
      <c r="C224" t="s">
        <v>69</v>
      </c>
      <c r="D224" t="s">
        <v>22</v>
      </c>
      <c r="E224" t="s">
        <v>69</v>
      </c>
      <c r="F224" t="s">
        <v>38</v>
      </c>
      <c r="G224" t="s">
        <v>24</v>
      </c>
      <c r="H224" t="s">
        <v>25</v>
      </c>
      <c r="I224" t="s">
        <v>25</v>
      </c>
      <c r="J224" t="s">
        <v>25</v>
      </c>
      <c r="K224">
        <v>15</v>
      </c>
      <c r="L224">
        <v>2</v>
      </c>
      <c r="M224">
        <v>3</v>
      </c>
      <c r="N224">
        <v>5</v>
      </c>
      <c r="O224">
        <v>6</v>
      </c>
      <c r="P224">
        <v>5</v>
      </c>
      <c r="Q224">
        <v>5</v>
      </c>
      <c r="R224">
        <v>5</v>
      </c>
      <c r="S224">
        <v>4</v>
      </c>
      <c r="T224">
        <v>1</v>
      </c>
      <c r="U224">
        <v>1</v>
      </c>
      <c r="V224">
        <v>11</v>
      </c>
    </row>
    <row r="225" spans="1:22" x14ac:dyDescent="0.25">
      <c r="A225">
        <v>2025</v>
      </c>
      <c r="B225">
        <v>7</v>
      </c>
      <c r="C225" t="s">
        <v>69</v>
      </c>
      <c r="D225" t="s">
        <v>22</v>
      </c>
      <c r="E225" t="s">
        <v>69</v>
      </c>
      <c r="F225" t="s">
        <v>23</v>
      </c>
      <c r="G225" t="s">
        <v>28</v>
      </c>
      <c r="H225" t="s">
        <v>25</v>
      </c>
      <c r="I225" t="s">
        <v>26</v>
      </c>
      <c r="J225" t="s">
        <v>25</v>
      </c>
      <c r="K225">
        <v>11659</v>
      </c>
      <c r="L225">
        <v>47</v>
      </c>
      <c r="M225">
        <v>267</v>
      </c>
      <c r="N225">
        <v>314</v>
      </c>
      <c r="O225">
        <v>30</v>
      </c>
      <c r="P225">
        <v>24</v>
      </c>
      <c r="Q225">
        <v>22</v>
      </c>
      <c r="R225">
        <v>16</v>
      </c>
      <c r="S225">
        <v>13</v>
      </c>
      <c r="T225">
        <v>5</v>
      </c>
      <c r="U225">
        <v>1</v>
      </c>
      <c r="V225">
        <v>11402</v>
      </c>
    </row>
    <row r="226" spans="1:22" x14ac:dyDescent="0.25">
      <c r="A226">
        <v>2025</v>
      </c>
      <c r="B226">
        <v>7</v>
      </c>
      <c r="C226" t="s">
        <v>69</v>
      </c>
      <c r="D226" t="s">
        <v>22</v>
      </c>
      <c r="E226" t="s">
        <v>69</v>
      </c>
      <c r="F226" t="s">
        <v>23</v>
      </c>
      <c r="G226" t="s">
        <v>24</v>
      </c>
      <c r="H226" t="s">
        <v>25</v>
      </c>
      <c r="I226" t="s">
        <v>26</v>
      </c>
      <c r="J226" t="s">
        <v>25</v>
      </c>
      <c r="K226">
        <v>778</v>
      </c>
      <c r="L226">
        <v>29</v>
      </c>
      <c r="M226">
        <v>25</v>
      </c>
      <c r="N226">
        <v>54</v>
      </c>
      <c r="O226">
        <v>120</v>
      </c>
      <c r="P226">
        <v>100</v>
      </c>
      <c r="Q226">
        <v>98</v>
      </c>
      <c r="R226">
        <v>81</v>
      </c>
      <c r="S226">
        <v>57</v>
      </c>
      <c r="T226">
        <v>6</v>
      </c>
      <c r="U226">
        <v>0</v>
      </c>
      <c r="V226">
        <v>742</v>
      </c>
    </row>
    <row r="227" spans="1:22" x14ac:dyDescent="0.25">
      <c r="A227">
        <v>2025</v>
      </c>
      <c r="B227">
        <v>7</v>
      </c>
      <c r="C227" t="s">
        <v>69</v>
      </c>
      <c r="D227" t="s">
        <v>22</v>
      </c>
      <c r="E227" t="s">
        <v>69</v>
      </c>
      <c r="F227" t="s">
        <v>23</v>
      </c>
      <c r="G227" t="s">
        <v>29</v>
      </c>
      <c r="H227" t="s">
        <v>25</v>
      </c>
      <c r="I227" t="s">
        <v>26</v>
      </c>
      <c r="J227" t="s">
        <v>25</v>
      </c>
      <c r="K227">
        <v>1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</row>
    <row r="228" spans="1:22" x14ac:dyDescent="0.25">
      <c r="A228">
        <v>2025</v>
      </c>
      <c r="B228">
        <v>7</v>
      </c>
      <c r="C228" t="s">
        <v>69</v>
      </c>
      <c r="D228" t="s">
        <v>22</v>
      </c>
      <c r="E228" t="s">
        <v>69</v>
      </c>
      <c r="F228" t="s">
        <v>39</v>
      </c>
      <c r="G228" t="s">
        <v>28</v>
      </c>
      <c r="H228" t="s">
        <v>26</v>
      </c>
      <c r="I228" t="s">
        <v>26</v>
      </c>
      <c r="J228" t="s">
        <v>25</v>
      </c>
      <c r="K228">
        <v>66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66</v>
      </c>
    </row>
    <row r="229" spans="1:22" x14ac:dyDescent="0.25">
      <c r="A229">
        <v>2025</v>
      </c>
      <c r="B229">
        <v>7</v>
      </c>
      <c r="C229" t="s">
        <v>69</v>
      </c>
      <c r="D229" t="s">
        <v>22</v>
      </c>
      <c r="E229" t="s">
        <v>69</v>
      </c>
      <c r="F229" t="s">
        <v>40</v>
      </c>
      <c r="G229" t="s">
        <v>28</v>
      </c>
      <c r="H229" t="s">
        <v>25</v>
      </c>
      <c r="I229" t="s">
        <v>26</v>
      </c>
      <c r="J229" t="s">
        <v>25</v>
      </c>
      <c r="K229">
        <v>13224</v>
      </c>
      <c r="L229">
        <v>53</v>
      </c>
      <c r="M229">
        <v>176</v>
      </c>
      <c r="N229">
        <v>229</v>
      </c>
      <c r="O229">
        <v>17</v>
      </c>
      <c r="P229">
        <v>9</v>
      </c>
      <c r="Q229">
        <v>6</v>
      </c>
      <c r="R229">
        <v>6</v>
      </c>
      <c r="S229">
        <v>5</v>
      </c>
      <c r="T229">
        <v>3</v>
      </c>
      <c r="U229">
        <v>1</v>
      </c>
      <c r="V229">
        <v>13054</v>
      </c>
    </row>
    <row r="230" spans="1:22" x14ac:dyDescent="0.25">
      <c r="A230">
        <v>2025</v>
      </c>
      <c r="B230">
        <v>7</v>
      </c>
      <c r="C230" t="s">
        <v>69</v>
      </c>
      <c r="D230" t="s">
        <v>22</v>
      </c>
      <c r="E230" t="s">
        <v>69</v>
      </c>
      <c r="F230" t="s">
        <v>40</v>
      </c>
      <c r="G230" t="s">
        <v>24</v>
      </c>
      <c r="H230" t="s">
        <v>25</v>
      </c>
      <c r="I230" t="s">
        <v>26</v>
      </c>
      <c r="J230" t="s">
        <v>25</v>
      </c>
      <c r="K230">
        <v>1081</v>
      </c>
      <c r="L230">
        <v>2</v>
      </c>
      <c r="M230">
        <v>26</v>
      </c>
      <c r="N230">
        <v>28</v>
      </c>
      <c r="O230">
        <v>32</v>
      </c>
      <c r="P230">
        <v>15</v>
      </c>
      <c r="Q230">
        <v>14</v>
      </c>
      <c r="R230">
        <v>7</v>
      </c>
      <c r="S230">
        <v>0</v>
      </c>
      <c r="T230">
        <v>0</v>
      </c>
      <c r="U230">
        <v>0</v>
      </c>
      <c r="V230">
        <v>1057</v>
      </c>
    </row>
    <row r="231" spans="1:22" x14ac:dyDescent="0.25">
      <c r="A231">
        <v>2025</v>
      </c>
      <c r="B231">
        <v>7</v>
      </c>
      <c r="C231" t="s">
        <v>69</v>
      </c>
      <c r="D231" t="s">
        <v>22</v>
      </c>
      <c r="E231" t="s">
        <v>124</v>
      </c>
      <c r="F231" t="s">
        <v>23</v>
      </c>
      <c r="G231" t="s">
        <v>24</v>
      </c>
      <c r="H231" t="s">
        <v>25</v>
      </c>
      <c r="I231" t="s">
        <v>26</v>
      </c>
      <c r="J231" t="s">
        <v>25</v>
      </c>
      <c r="K231">
        <v>2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2</v>
      </c>
    </row>
    <row r="232" spans="1:22" x14ac:dyDescent="0.25">
      <c r="A232">
        <v>2025</v>
      </c>
      <c r="B232">
        <v>7</v>
      </c>
      <c r="C232" t="s">
        <v>69</v>
      </c>
      <c r="D232" t="s">
        <v>22</v>
      </c>
      <c r="E232" t="s">
        <v>124</v>
      </c>
      <c r="F232" t="s">
        <v>70</v>
      </c>
      <c r="G232" t="s">
        <v>28</v>
      </c>
      <c r="H232" t="s">
        <v>26</v>
      </c>
      <c r="I232" t="s">
        <v>26</v>
      </c>
      <c r="J232" t="s">
        <v>25</v>
      </c>
      <c r="K232">
        <v>12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12</v>
      </c>
    </row>
    <row r="233" spans="1:22" x14ac:dyDescent="0.25">
      <c r="A233">
        <v>2025</v>
      </c>
      <c r="B233">
        <v>7</v>
      </c>
      <c r="C233" t="s">
        <v>69</v>
      </c>
      <c r="D233" t="s">
        <v>22</v>
      </c>
      <c r="E233" t="s">
        <v>124</v>
      </c>
      <c r="F233" t="s">
        <v>70</v>
      </c>
      <c r="G233" t="s">
        <v>24</v>
      </c>
      <c r="H233" t="s">
        <v>26</v>
      </c>
      <c r="I233" t="s">
        <v>26</v>
      </c>
      <c r="J233" t="s">
        <v>25</v>
      </c>
      <c r="K233">
        <v>869</v>
      </c>
      <c r="L233">
        <v>4</v>
      </c>
      <c r="M233">
        <v>5</v>
      </c>
      <c r="N233">
        <v>9</v>
      </c>
      <c r="O233">
        <v>163</v>
      </c>
      <c r="P233">
        <v>133</v>
      </c>
      <c r="Q233">
        <v>123</v>
      </c>
      <c r="R233">
        <v>106</v>
      </c>
      <c r="S233">
        <v>86</v>
      </c>
      <c r="T233">
        <v>43</v>
      </c>
      <c r="U233">
        <v>18</v>
      </c>
      <c r="V233">
        <v>863</v>
      </c>
    </row>
    <row r="234" spans="1:22" x14ac:dyDescent="0.25">
      <c r="A234">
        <v>2025</v>
      </c>
      <c r="B234">
        <v>7</v>
      </c>
      <c r="C234" t="s">
        <v>69</v>
      </c>
      <c r="D234" t="s">
        <v>22</v>
      </c>
      <c r="E234" t="s">
        <v>124</v>
      </c>
      <c r="F234" t="s">
        <v>70</v>
      </c>
      <c r="G234" t="s">
        <v>29</v>
      </c>
      <c r="H234" t="s">
        <v>26</v>
      </c>
      <c r="I234" t="s">
        <v>26</v>
      </c>
      <c r="J234" t="s">
        <v>25</v>
      </c>
      <c r="K234">
        <v>3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</row>
    <row r="235" spans="1:22" x14ac:dyDescent="0.25">
      <c r="A235">
        <v>2025</v>
      </c>
      <c r="B235">
        <v>7</v>
      </c>
      <c r="C235" t="s">
        <v>69</v>
      </c>
      <c r="D235" t="s">
        <v>22</v>
      </c>
      <c r="E235" t="s">
        <v>173</v>
      </c>
      <c r="F235" t="s">
        <v>32</v>
      </c>
      <c r="G235" t="s">
        <v>24</v>
      </c>
      <c r="H235" t="s">
        <v>25</v>
      </c>
      <c r="I235" t="s">
        <v>26</v>
      </c>
      <c r="J235" t="s">
        <v>25</v>
      </c>
      <c r="K235">
        <v>901</v>
      </c>
      <c r="L235">
        <v>5</v>
      </c>
      <c r="M235">
        <v>36</v>
      </c>
      <c r="N235">
        <v>41</v>
      </c>
      <c r="O235">
        <v>42</v>
      </c>
      <c r="P235">
        <v>38</v>
      </c>
      <c r="Q235">
        <v>36</v>
      </c>
      <c r="R235">
        <v>28</v>
      </c>
      <c r="S235">
        <v>25</v>
      </c>
      <c r="T235">
        <v>13</v>
      </c>
      <c r="U235">
        <v>7</v>
      </c>
      <c r="V235">
        <v>885</v>
      </c>
    </row>
    <row r="236" spans="1:22" x14ac:dyDescent="0.25">
      <c r="A236">
        <v>2025</v>
      </c>
      <c r="B236">
        <v>7</v>
      </c>
      <c r="C236" t="s">
        <v>69</v>
      </c>
      <c r="D236" t="s">
        <v>22</v>
      </c>
      <c r="E236" t="s">
        <v>173</v>
      </c>
      <c r="F236" t="s">
        <v>38</v>
      </c>
      <c r="G236" t="s">
        <v>24</v>
      </c>
      <c r="H236" t="s">
        <v>25</v>
      </c>
      <c r="I236" t="s">
        <v>25</v>
      </c>
      <c r="J236" t="s">
        <v>25</v>
      </c>
      <c r="K236">
        <v>52</v>
      </c>
      <c r="L236">
        <v>3</v>
      </c>
      <c r="M236">
        <v>5</v>
      </c>
      <c r="N236">
        <v>8</v>
      </c>
      <c r="O236">
        <v>7</v>
      </c>
      <c r="P236">
        <v>5</v>
      </c>
      <c r="Q236">
        <v>5</v>
      </c>
      <c r="R236">
        <v>3</v>
      </c>
      <c r="S236">
        <v>2</v>
      </c>
      <c r="T236">
        <v>1</v>
      </c>
      <c r="U236">
        <v>0</v>
      </c>
      <c r="V236">
        <v>49</v>
      </c>
    </row>
    <row r="237" spans="1:22" x14ac:dyDescent="0.25">
      <c r="A237">
        <v>2025</v>
      </c>
      <c r="B237">
        <v>8</v>
      </c>
      <c r="C237" t="s">
        <v>69</v>
      </c>
      <c r="D237" t="s">
        <v>22</v>
      </c>
      <c r="E237" t="s">
        <v>132</v>
      </c>
      <c r="F237" t="s">
        <v>32</v>
      </c>
      <c r="G237" t="s">
        <v>24</v>
      </c>
      <c r="H237" t="s">
        <v>25</v>
      </c>
      <c r="I237" t="s">
        <v>26</v>
      </c>
      <c r="J237" t="s">
        <v>25</v>
      </c>
      <c r="K237">
        <v>60</v>
      </c>
      <c r="L237">
        <v>1</v>
      </c>
      <c r="M237">
        <v>0</v>
      </c>
      <c r="N237">
        <v>1</v>
      </c>
      <c r="O237">
        <v>27</v>
      </c>
      <c r="P237">
        <v>18</v>
      </c>
      <c r="Q237">
        <v>16</v>
      </c>
      <c r="R237">
        <v>12</v>
      </c>
      <c r="S237">
        <v>8</v>
      </c>
      <c r="T237">
        <v>6</v>
      </c>
      <c r="U237">
        <v>3</v>
      </c>
      <c r="V237">
        <v>59</v>
      </c>
    </row>
    <row r="238" spans="1:22" x14ac:dyDescent="0.25">
      <c r="A238">
        <v>2025</v>
      </c>
      <c r="B238">
        <v>8</v>
      </c>
      <c r="C238" t="s">
        <v>69</v>
      </c>
      <c r="D238" t="s">
        <v>22</v>
      </c>
      <c r="E238" t="s">
        <v>132</v>
      </c>
      <c r="F238" t="s">
        <v>34</v>
      </c>
      <c r="G238" t="s">
        <v>24</v>
      </c>
      <c r="H238" t="s">
        <v>25</v>
      </c>
      <c r="I238" t="s">
        <v>26</v>
      </c>
      <c r="J238" t="s">
        <v>26</v>
      </c>
      <c r="K238">
        <v>60</v>
      </c>
      <c r="L238">
        <v>1</v>
      </c>
      <c r="M238">
        <v>0</v>
      </c>
      <c r="N238">
        <v>1</v>
      </c>
      <c r="O238">
        <v>23</v>
      </c>
      <c r="P238">
        <v>17</v>
      </c>
      <c r="Q238">
        <v>14</v>
      </c>
      <c r="R238">
        <v>10</v>
      </c>
      <c r="S238">
        <v>7</v>
      </c>
      <c r="T238">
        <v>5</v>
      </c>
      <c r="U238">
        <v>3</v>
      </c>
      <c r="V238">
        <v>59</v>
      </c>
    </row>
    <row r="239" spans="1:22" x14ac:dyDescent="0.25">
      <c r="A239">
        <v>2025</v>
      </c>
      <c r="B239">
        <v>8</v>
      </c>
      <c r="C239" t="s">
        <v>69</v>
      </c>
      <c r="D239" t="s">
        <v>22</v>
      </c>
      <c r="E239" t="s">
        <v>145</v>
      </c>
      <c r="F239" t="s">
        <v>32</v>
      </c>
      <c r="G239" t="s">
        <v>24</v>
      </c>
      <c r="H239" t="s">
        <v>25</v>
      </c>
      <c r="I239" t="s">
        <v>26</v>
      </c>
      <c r="J239" t="s">
        <v>25</v>
      </c>
      <c r="K239">
        <v>296</v>
      </c>
      <c r="L239">
        <v>4</v>
      </c>
      <c r="M239">
        <v>4</v>
      </c>
      <c r="N239">
        <v>8</v>
      </c>
      <c r="O239">
        <v>82</v>
      </c>
      <c r="P239">
        <v>37</v>
      </c>
      <c r="Q239">
        <v>25</v>
      </c>
      <c r="R239">
        <v>16</v>
      </c>
      <c r="S239">
        <v>10</v>
      </c>
      <c r="T239">
        <v>6</v>
      </c>
      <c r="U239">
        <v>0</v>
      </c>
      <c r="V239">
        <v>292</v>
      </c>
    </row>
    <row r="240" spans="1:22" x14ac:dyDescent="0.25">
      <c r="A240">
        <v>2025</v>
      </c>
      <c r="B240">
        <v>8</v>
      </c>
      <c r="C240" t="s">
        <v>69</v>
      </c>
      <c r="D240" t="s">
        <v>22</v>
      </c>
      <c r="E240" t="s">
        <v>154</v>
      </c>
      <c r="F240" t="s">
        <v>32</v>
      </c>
      <c r="G240" t="s">
        <v>24</v>
      </c>
      <c r="H240" t="s">
        <v>25</v>
      </c>
      <c r="I240" t="s">
        <v>26</v>
      </c>
      <c r="J240" t="s">
        <v>25</v>
      </c>
      <c r="K240">
        <v>8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8</v>
      </c>
    </row>
    <row r="241" spans="1:22" x14ac:dyDescent="0.25">
      <c r="A241">
        <v>2025</v>
      </c>
      <c r="B241">
        <v>8</v>
      </c>
      <c r="C241" t="s">
        <v>69</v>
      </c>
      <c r="D241" t="s">
        <v>22</v>
      </c>
      <c r="E241" t="s">
        <v>149</v>
      </c>
      <c r="F241" t="s">
        <v>32</v>
      </c>
      <c r="G241" t="s">
        <v>24</v>
      </c>
      <c r="H241" t="s">
        <v>25</v>
      </c>
      <c r="I241" t="s">
        <v>26</v>
      </c>
      <c r="J241" t="s">
        <v>25</v>
      </c>
      <c r="K241">
        <v>129</v>
      </c>
      <c r="L241">
        <v>5</v>
      </c>
      <c r="M241">
        <v>4</v>
      </c>
      <c r="N241">
        <v>9</v>
      </c>
      <c r="O241">
        <v>77</v>
      </c>
      <c r="P241">
        <v>69</v>
      </c>
      <c r="Q241">
        <v>65</v>
      </c>
      <c r="R241">
        <v>50</v>
      </c>
      <c r="S241">
        <v>42</v>
      </c>
      <c r="T241">
        <v>27</v>
      </c>
      <c r="U241">
        <v>10</v>
      </c>
      <c r="V241">
        <v>121</v>
      </c>
    </row>
    <row r="242" spans="1:22" x14ac:dyDescent="0.25">
      <c r="A242">
        <v>2025</v>
      </c>
      <c r="B242">
        <v>8</v>
      </c>
      <c r="C242" t="s">
        <v>69</v>
      </c>
      <c r="D242" t="s">
        <v>22</v>
      </c>
      <c r="E242" t="s">
        <v>149</v>
      </c>
      <c r="F242" t="s">
        <v>23</v>
      </c>
      <c r="G242" t="s">
        <v>24</v>
      </c>
      <c r="H242" t="s">
        <v>25</v>
      </c>
      <c r="I242" t="s">
        <v>26</v>
      </c>
      <c r="J242" t="s">
        <v>25</v>
      </c>
      <c r="K242">
        <v>426</v>
      </c>
      <c r="L242">
        <v>27</v>
      </c>
      <c r="M242">
        <v>3</v>
      </c>
      <c r="N242">
        <v>30</v>
      </c>
      <c r="O242">
        <v>144</v>
      </c>
      <c r="P242">
        <v>117</v>
      </c>
      <c r="Q242">
        <v>109</v>
      </c>
      <c r="R242">
        <v>76</v>
      </c>
      <c r="S242">
        <v>57</v>
      </c>
      <c r="T242">
        <v>17</v>
      </c>
      <c r="U242">
        <v>7</v>
      </c>
      <c r="V242">
        <v>396</v>
      </c>
    </row>
    <row r="243" spans="1:22" x14ac:dyDescent="0.25">
      <c r="A243">
        <v>2025</v>
      </c>
      <c r="B243">
        <v>8</v>
      </c>
      <c r="C243" t="s">
        <v>69</v>
      </c>
      <c r="D243" t="s">
        <v>22</v>
      </c>
      <c r="E243" t="s">
        <v>149</v>
      </c>
      <c r="F243" t="s">
        <v>39</v>
      </c>
      <c r="G243" t="s">
        <v>24</v>
      </c>
      <c r="H243" t="s">
        <v>26</v>
      </c>
      <c r="I243" t="s">
        <v>26</v>
      </c>
      <c r="J243" t="s">
        <v>25</v>
      </c>
      <c r="K243">
        <v>1468</v>
      </c>
      <c r="L243">
        <v>99</v>
      </c>
      <c r="M243">
        <v>193</v>
      </c>
      <c r="N243">
        <v>292</v>
      </c>
      <c r="O243">
        <v>331</v>
      </c>
      <c r="P243">
        <v>263</v>
      </c>
      <c r="Q243">
        <v>235</v>
      </c>
      <c r="R243">
        <v>159</v>
      </c>
      <c r="S243">
        <v>115</v>
      </c>
      <c r="T243">
        <v>52</v>
      </c>
      <c r="U243">
        <v>10</v>
      </c>
      <c r="V243">
        <v>1262</v>
      </c>
    </row>
    <row r="244" spans="1:22" x14ac:dyDescent="0.25">
      <c r="A244">
        <v>2025</v>
      </c>
      <c r="B244">
        <v>8</v>
      </c>
      <c r="C244" t="s">
        <v>69</v>
      </c>
      <c r="D244" t="s">
        <v>22</v>
      </c>
      <c r="E244" t="s">
        <v>150</v>
      </c>
      <c r="F244" t="s">
        <v>32</v>
      </c>
      <c r="G244" t="s">
        <v>24</v>
      </c>
      <c r="H244" t="s">
        <v>25</v>
      </c>
      <c r="I244" t="s">
        <v>26</v>
      </c>
      <c r="J244" t="s">
        <v>25</v>
      </c>
      <c r="K244">
        <v>29</v>
      </c>
      <c r="L244">
        <v>0</v>
      </c>
      <c r="M244">
        <v>0</v>
      </c>
      <c r="N244">
        <v>0</v>
      </c>
      <c r="O244">
        <v>15</v>
      </c>
      <c r="P244">
        <v>12</v>
      </c>
      <c r="Q244">
        <v>10</v>
      </c>
      <c r="R244">
        <v>4</v>
      </c>
      <c r="S244">
        <v>3</v>
      </c>
      <c r="T244">
        <v>1</v>
      </c>
      <c r="U244">
        <v>0</v>
      </c>
      <c r="V244">
        <v>29</v>
      </c>
    </row>
    <row r="245" spans="1:22" x14ac:dyDescent="0.25">
      <c r="A245">
        <v>2025</v>
      </c>
      <c r="B245">
        <v>8</v>
      </c>
      <c r="C245" t="s">
        <v>69</v>
      </c>
      <c r="D245" t="s">
        <v>22</v>
      </c>
      <c r="E245" t="s">
        <v>155</v>
      </c>
      <c r="F245" t="s">
        <v>34</v>
      </c>
      <c r="G245" t="s">
        <v>24</v>
      </c>
      <c r="H245" t="s">
        <v>25</v>
      </c>
      <c r="I245" t="s">
        <v>26</v>
      </c>
      <c r="J245" t="s">
        <v>26</v>
      </c>
      <c r="K245">
        <v>62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62</v>
      </c>
    </row>
    <row r="246" spans="1:22" x14ac:dyDescent="0.25">
      <c r="A246">
        <v>2025</v>
      </c>
      <c r="B246">
        <v>8</v>
      </c>
      <c r="C246" t="s">
        <v>69</v>
      </c>
      <c r="D246" t="s">
        <v>22</v>
      </c>
      <c r="E246" t="s">
        <v>163</v>
      </c>
      <c r="F246" t="s">
        <v>34</v>
      </c>
      <c r="G246" t="s">
        <v>24</v>
      </c>
      <c r="H246" t="s">
        <v>25</v>
      </c>
      <c r="I246" t="s">
        <v>26</v>
      </c>
      <c r="J246" t="s">
        <v>26</v>
      </c>
      <c r="K246">
        <v>58</v>
      </c>
      <c r="L246">
        <v>0</v>
      </c>
      <c r="M246">
        <v>0</v>
      </c>
      <c r="N246">
        <v>0</v>
      </c>
      <c r="O246">
        <v>3</v>
      </c>
      <c r="P246">
        <v>3</v>
      </c>
      <c r="Q246">
        <v>3</v>
      </c>
      <c r="R246">
        <v>2</v>
      </c>
      <c r="S246">
        <v>2</v>
      </c>
      <c r="T246">
        <v>2</v>
      </c>
      <c r="U246">
        <v>1</v>
      </c>
      <c r="V246">
        <v>58</v>
      </c>
    </row>
    <row r="247" spans="1:22" x14ac:dyDescent="0.25">
      <c r="A247">
        <v>2025</v>
      </c>
      <c r="B247">
        <v>8</v>
      </c>
      <c r="C247" t="s">
        <v>69</v>
      </c>
      <c r="D247" t="s">
        <v>22</v>
      </c>
      <c r="E247" t="s">
        <v>61</v>
      </c>
      <c r="F247" t="s">
        <v>34</v>
      </c>
      <c r="G247" t="s">
        <v>24</v>
      </c>
      <c r="H247" t="s">
        <v>25</v>
      </c>
      <c r="I247" t="s">
        <v>26</v>
      </c>
      <c r="J247" t="s">
        <v>26</v>
      </c>
      <c r="K247">
        <v>1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1</v>
      </c>
    </row>
    <row r="248" spans="1:22" x14ac:dyDescent="0.25">
      <c r="A248">
        <v>2025</v>
      </c>
      <c r="B248">
        <v>8</v>
      </c>
      <c r="C248" t="s">
        <v>69</v>
      </c>
      <c r="D248" t="s">
        <v>22</v>
      </c>
      <c r="E248" t="s">
        <v>61</v>
      </c>
      <c r="F248" t="s">
        <v>35</v>
      </c>
      <c r="G248" t="s">
        <v>28</v>
      </c>
      <c r="H248" t="s">
        <v>25</v>
      </c>
      <c r="I248" t="s">
        <v>26</v>
      </c>
      <c r="J248" t="s">
        <v>26</v>
      </c>
      <c r="K248">
        <v>1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1</v>
      </c>
    </row>
    <row r="249" spans="1:22" x14ac:dyDescent="0.25">
      <c r="A249">
        <v>2025</v>
      </c>
      <c r="B249">
        <v>8</v>
      </c>
      <c r="C249" t="s">
        <v>69</v>
      </c>
      <c r="D249" t="s">
        <v>22</v>
      </c>
      <c r="E249" t="s">
        <v>61</v>
      </c>
      <c r="F249" t="s">
        <v>35</v>
      </c>
      <c r="G249" t="s">
        <v>24</v>
      </c>
      <c r="H249" t="s">
        <v>25</v>
      </c>
      <c r="I249" t="s">
        <v>26</v>
      </c>
      <c r="J249" t="s">
        <v>26</v>
      </c>
      <c r="K249">
        <v>303</v>
      </c>
      <c r="L249">
        <v>7</v>
      </c>
      <c r="M249">
        <v>0</v>
      </c>
      <c r="N249">
        <v>7</v>
      </c>
      <c r="O249">
        <v>90</v>
      </c>
      <c r="P249">
        <v>67</v>
      </c>
      <c r="Q249">
        <v>60</v>
      </c>
      <c r="R249">
        <v>44</v>
      </c>
      <c r="S249">
        <v>35</v>
      </c>
      <c r="T249">
        <v>19</v>
      </c>
      <c r="U249">
        <v>9</v>
      </c>
      <c r="V249">
        <v>296</v>
      </c>
    </row>
    <row r="250" spans="1:22" x14ac:dyDescent="0.25">
      <c r="A250">
        <v>2025</v>
      </c>
      <c r="B250">
        <v>8</v>
      </c>
      <c r="C250" t="s">
        <v>69</v>
      </c>
      <c r="D250" t="s">
        <v>22</v>
      </c>
      <c r="E250" t="s">
        <v>61</v>
      </c>
      <c r="F250" t="s">
        <v>41</v>
      </c>
      <c r="G250" t="s">
        <v>28</v>
      </c>
      <c r="H250" t="s">
        <v>26</v>
      </c>
      <c r="I250" t="s">
        <v>26</v>
      </c>
      <c r="J250" t="s">
        <v>25</v>
      </c>
      <c r="K250">
        <v>16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16</v>
      </c>
    </row>
    <row r="251" spans="1:22" x14ac:dyDescent="0.25">
      <c r="A251">
        <v>2025</v>
      </c>
      <c r="B251">
        <v>8</v>
      </c>
      <c r="C251" t="s">
        <v>69</v>
      </c>
      <c r="D251" t="s">
        <v>22</v>
      </c>
      <c r="E251" t="s">
        <v>61</v>
      </c>
      <c r="F251" t="s">
        <v>41</v>
      </c>
      <c r="G251" t="s">
        <v>24</v>
      </c>
      <c r="H251" t="s">
        <v>26</v>
      </c>
      <c r="I251" t="s">
        <v>26</v>
      </c>
      <c r="J251" t="s">
        <v>25</v>
      </c>
      <c r="K251">
        <v>324</v>
      </c>
      <c r="L251">
        <v>0</v>
      </c>
      <c r="M251">
        <v>7</v>
      </c>
      <c r="N251">
        <v>7</v>
      </c>
      <c r="O251">
        <v>63</v>
      </c>
      <c r="P251">
        <v>51</v>
      </c>
      <c r="Q251">
        <v>49</v>
      </c>
      <c r="R251">
        <v>39</v>
      </c>
      <c r="S251">
        <v>34</v>
      </c>
      <c r="T251">
        <v>22</v>
      </c>
      <c r="U251">
        <v>3</v>
      </c>
      <c r="V251">
        <v>320</v>
      </c>
    </row>
    <row r="252" spans="1:22" x14ac:dyDescent="0.25">
      <c r="A252">
        <v>2025</v>
      </c>
      <c r="B252">
        <v>8</v>
      </c>
      <c r="C252" t="s">
        <v>69</v>
      </c>
      <c r="D252" t="s">
        <v>22</v>
      </c>
      <c r="E252" t="s">
        <v>166</v>
      </c>
      <c r="F252" t="s">
        <v>32</v>
      </c>
      <c r="G252" t="s">
        <v>24</v>
      </c>
      <c r="H252" t="s">
        <v>25</v>
      </c>
      <c r="I252" t="s">
        <v>26</v>
      </c>
      <c r="J252" t="s">
        <v>25</v>
      </c>
      <c r="K252">
        <v>274</v>
      </c>
      <c r="L252">
        <v>4</v>
      </c>
      <c r="M252">
        <v>4</v>
      </c>
      <c r="N252">
        <v>8</v>
      </c>
      <c r="O252">
        <v>117</v>
      </c>
      <c r="P252">
        <v>106</v>
      </c>
      <c r="Q252">
        <v>104</v>
      </c>
      <c r="R252">
        <v>95</v>
      </c>
      <c r="S252">
        <v>69</v>
      </c>
      <c r="T252">
        <v>46</v>
      </c>
      <c r="U252">
        <v>3</v>
      </c>
      <c r="V252">
        <v>266</v>
      </c>
    </row>
    <row r="253" spans="1:22" x14ac:dyDescent="0.25">
      <c r="A253">
        <v>2025</v>
      </c>
      <c r="B253">
        <v>8</v>
      </c>
      <c r="C253" t="s">
        <v>69</v>
      </c>
      <c r="D253" t="s">
        <v>22</v>
      </c>
      <c r="E253" t="s">
        <v>166</v>
      </c>
      <c r="F253" t="s">
        <v>38</v>
      </c>
      <c r="G253" t="s">
        <v>24</v>
      </c>
      <c r="H253" t="s">
        <v>25</v>
      </c>
      <c r="I253" t="s">
        <v>25</v>
      </c>
      <c r="J253" t="s">
        <v>25</v>
      </c>
      <c r="K253">
        <v>212</v>
      </c>
      <c r="L253">
        <v>1</v>
      </c>
      <c r="M253">
        <v>0</v>
      </c>
      <c r="N253">
        <v>1</v>
      </c>
      <c r="O253">
        <v>135</v>
      </c>
      <c r="P253">
        <v>95</v>
      </c>
      <c r="Q253">
        <v>84</v>
      </c>
      <c r="R253">
        <v>39</v>
      </c>
      <c r="S253">
        <v>16</v>
      </c>
      <c r="T253">
        <v>8</v>
      </c>
      <c r="U253">
        <v>3</v>
      </c>
      <c r="V253">
        <v>211</v>
      </c>
    </row>
    <row r="254" spans="1:22" x14ac:dyDescent="0.25">
      <c r="A254">
        <v>2025</v>
      </c>
      <c r="B254">
        <v>8</v>
      </c>
      <c r="C254" t="s">
        <v>69</v>
      </c>
      <c r="D254" t="s">
        <v>22</v>
      </c>
      <c r="E254" t="s">
        <v>69</v>
      </c>
      <c r="F254" t="s">
        <v>32</v>
      </c>
      <c r="G254" t="s">
        <v>28</v>
      </c>
      <c r="H254" t="s">
        <v>25</v>
      </c>
      <c r="I254" t="s">
        <v>26</v>
      </c>
      <c r="J254" t="s">
        <v>25</v>
      </c>
      <c r="K254">
        <v>109</v>
      </c>
      <c r="L254">
        <v>0</v>
      </c>
      <c r="M254">
        <v>1</v>
      </c>
      <c r="N254">
        <v>1</v>
      </c>
      <c r="O254">
        <v>2</v>
      </c>
      <c r="P254">
        <v>1</v>
      </c>
      <c r="Q254">
        <v>1</v>
      </c>
      <c r="R254">
        <v>0</v>
      </c>
      <c r="S254">
        <v>0</v>
      </c>
      <c r="T254">
        <v>0</v>
      </c>
      <c r="U254">
        <v>0</v>
      </c>
      <c r="V254">
        <v>108</v>
      </c>
    </row>
    <row r="255" spans="1:22" x14ac:dyDescent="0.25">
      <c r="A255">
        <v>2025</v>
      </c>
      <c r="B255">
        <v>8</v>
      </c>
      <c r="C255" t="s">
        <v>69</v>
      </c>
      <c r="D255" t="s">
        <v>22</v>
      </c>
      <c r="E255" t="s">
        <v>69</v>
      </c>
      <c r="F255" t="s">
        <v>38</v>
      </c>
      <c r="G255" t="s">
        <v>24</v>
      </c>
      <c r="H255" t="s">
        <v>25</v>
      </c>
      <c r="I255" t="s">
        <v>25</v>
      </c>
      <c r="J255" t="s">
        <v>25</v>
      </c>
      <c r="K255">
        <v>10</v>
      </c>
      <c r="L255">
        <v>1</v>
      </c>
      <c r="M255">
        <v>0</v>
      </c>
      <c r="N255">
        <v>1</v>
      </c>
      <c r="O255">
        <v>2</v>
      </c>
      <c r="P255">
        <v>1</v>
      </c>
      <c r="Q255">
        <v>1</v>
      </c>
      <c r="R255">
        <v>1</v>
      </c>
      <c r="S255">
        <v>1</v>
      </c>
      <c r="T255">
        <v>1</v>
      </c>
      <c r="U255">
        <v>1</v>
      </c>
      <c r="V255">
        <v>9</v>
      </c>
    </row>
    <row r="256" spans="1:22" x14ac:dyDescent="0.25">
      <c r="A256">
        <v>2025</v>
      </c>
      <c r="B256">
        <v>8</v>
      </c>
      <c r="C256" t="s">
        <v>69</v>
      </c>
      <c r="D256" t="s">
        <v>22</v>
      </c>
      <c r="E256" t="s">
        <v>69</v>
      </c>
      <c r="F256" t="s">
        <v>23</v>
      </c>
      <c r="G256" t="s">
        <v>28</v>
      </c>
      <c r="H256" t="s">
        <v>25</v>
      </c>
      <c r="I256" t="s">
        <v>26</v>
      </c>
      <c r="J256" t="s">
        <v>25</v>
      </c>
      <c r="K256">
        <v>11772</v>
      </c>
      <c r="L256">
        <v>26</v>
      </c>
      <c r="M256">
        <v>204</v>
      </c>
      <c r="N256">
        <v>230</v>
      </c>
      <c r="O256">
        <v>17</v>
      </c>
      <c r="P256">
        <v>13</v>
      </c>
      <c r="Q256">
        <v>12</v>
      </c>
      <c r="R256">
        <v>6</v>
      </c>
      <c r="S256">
        <v>3</v>
      </c>
      <c r="T256">
        <v>2</v>
      </c>
      <c r="U256">
        <v>1</v>
      </c>
      <c r="V256">
        <v>11581</v>
      </c>
    </row>
    <row r="257" spans="1:22" x14ac:dyDescent="0.25">
      <c r="A257">
        <v>2025</v>
      </c>
      <c r="B257">
        <v>8</v>
      </c>
      <c r="C257" t="s">
        <v>69</v>
      </c>
      <c r="D257" t="s">
        <v>22</v>
      </c>
      <c r="E257" t="s">
        <v>69</v>
      </c>
      <c r="F257" t="s">
        <v>23</v>
      </c>
      <c r="G257" t="s">
        <v>24</v>
      </c>
      <c r="H257" t="s">
        <v>25</v>
      </c>
      <c r="I257" t="s">
        <v>26</v>
      </c>
      <c r="J257" t="s">
        <v>25</v>
      </c>
      <c r="K257">
        <v>774</v>
      </c>
      <c r="L257">
        <v>33</v>
      </c>
      <c r="M257">
        <v>19</v>
      </c>
      <c r="N257">
        <v>52</v>
      </c>
      <c r="O257">
        <v>194</v>
      </c>
      <c r="P257">
        <v>152</v>
      </c>
      <c r="Q257">
        <v>144</v>
      </c>
      <c r="R257">
        <v>118</v>
      </c>
      <c r="S257">
        <v>79</v>
      </c>
      <c r="T257">
        <v>4</v>
      </c>
      <c r="U257">
        <v>0</v>
      </c>
      <c r="V257">
        <v>732</v>
      </c>
    </row>
    <row r="258" spans="1:22" x14ac:dyDescent="0.25">
      <c r="A258">
        <v>2025</v>
      </c>
      <c r="B258">
        <v>8</v>
      </c>
      <c r="C258" t="s">
        <v>69</v>
      </c>
      <c r="D258" t="s">
        <v>22</v>
      </c>
      <c r="E258" t="s">
        <v>69</v>
      </c>
      <c r="F258" t="s">
        <v>39</v>
      </c>
      <c r="G258" t="s">
        <v>28</v>
      </c>
      <c r="H258" t="s">
        <v>26</v>
      </c>
      <c r="I258" t="s">
        <v>26</v>
      </c>
      <c r="J258" t="s">
        <v>25</v>
      </c>
      <c r="K258">
        <v>44</v>
      </c>
      <c r="L258">
        <v>1</v>
      </c>
      <c r="M258">
        <v>0</v>
      </c>
      <c r="N258">
        <v>1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43</v>
      </c>
    </row>
    <row r="259" spans="1:22" x14ac:dyDescent="0.25">
      <c r="A259">
        <v>2025</v>
      </c>
      <c r="B259">
        <v>8</v>
      </c>
      <c r="C259" t="s">
        <v>69</v>
      </c>
      <c r="D259" t="s">
        <v>22</v>
      </c>
      <c r="E259" t="s">
        <v>69</v>
      </c>
      <c r="F259" t="s">
        <v>39</v>
      </c>
      <c r="G259" t="s">
        <v>29</v>
      </c>
      <c r="H259" t="s">
        <v>26</v>
      </c>
      <c r="I259" t="s">
        <v>26</v>
      </c>
      <c r="J259" t="s">
        <v>25</v>
      </c>
      <c r="K259">
        <v>2</v>
      </c>
      <c r="L259">
        <v>2</v>
      </c>
      <c r="M259">
        <v>0</v>
      </c>
      <c r="N259">
        <v>2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</row>
    <row r="260" spans="1:22" x14ac:dyDescent="0.25">
      <c r="A260">
        <v>2025</v>
      </c>
      <c r="B260">
        <v>8</v>
      </c>
      <c r="C260" t="s">
        <v>69</v>
      </c>
      <c r="D260" t="s">
        <v>22</v>
      </c>
      <c r="E260" t="s">
        <v>69</v>
      </c>
      <c r="F260" t="s">
        <v>40</v>
      </c>
      <c r="G260" t="s">
        <v>28</v>
      </c>
      <c r="H260" t="s">
        <v>25</v>
      </c>
      <c r="I260" t="s">
        <v>26</v>
      </c>
      <c r="J260" t="s">
        <v>25</v>
      </c>
      <c r="K260">
        <v>13118</v>
      </c>
      <c r="L260">
        <v>47</v>
      </c>
      <c r="M260">
        <v>186</v>
      </c>
      <c r="N260">
        <v>233</v>
      </c>
      <c r="O260">
        <v>21</v>
      </c>
      <c r="P260">
        <v>10</v>
      </c>
      <c r="Q260">
        <v>8</v>
      </c>
      <c r="R260">
        <v>4</v>
      </c>
      <c r="S260">
        <v>2</v>
      </c>
      <c r="T260">
        <v>0</v>
      </c>
      <c r="U260">
        <v>0</v>
      </c>
      <c r="V260">
        <v>12955</v>
      </c>
    </row>
    <row r="261" spans="1:22" x14ac:dyDescent="0.25">
      <c r="A261">
        <v>2025</v>
      </c>
      <c r="B261">
        <v>8</v>
      </c>
      <c r="C261" t="s">
        <v>69</v>
      </c>
      <c r="D261" t="s">
        <v>22</v>
      </c>
      <c r="E261" t="s">
        <v>69</v>
      </c>
      <c r="F261" t="s">
        <v>40</v>
      </c>
      <c r="G261" t="s">
        <v>24</v>
      </c>
      <c r="H261" t="s">
        <v>25</v>
      </c>
      <c r="I261" t="s">
        <v>26</v>
      </c>
      <c r="J261" t="s">
        <v>25</v>
      </c>
      <c r="K261">
        <v>1082</v>
      </c>
      <c r="L261">
        <v>1</v>
      </c>
      <c r="M261">
        <v>16</v>
      </c>
      <c r="N261">
        <v>17</v>
      </c>
      <c r="O261">
        <v>50</v>
      </c>
      <c r="P261">
        <v>22</v>
      </c>
      <c r="Q261">
        <v>18</v>
      </c>
      <c r="R261">
        <v>11</v>
      </c>
      <c r="S261">
        <v>2</v>
      </c>
      <c r="T261">
        <v>0</v>
      </c>
      <c r="U261">
        <v>0</v>
      </c>
      <c r="V261">
        <v>1067</v>
      </c>
    </row>
    <row r="262" spans="1:22" x14ac:dyDescent="0.25">
      <c r="A262">
        <v>2025</v>
      </c>
      <c r="B262">
        <v>8</v>
      </c>
      <c r="C262" t="s">
        <v>69</v>
      </c>
      <c r="D262" t="s">
        <v>22</v>
      </c>
      <c r="E262" t="s">
        <v>124</v>
      </c>
      <c r="F262" t="s">
        <v>70</v>
      </c>
      <c r="G262" t="s">
        <v>28</v>
      </c>
      <c r="H262" t="s">
        <v>26</v>
      </c>
      <c r="I262" t="s">
        <v>26</v>
      </c>
      <c r="J262" t="s">
        <v>25</v>
      </c>
      <c r="K262">
        <v>10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10</v>
      </c>
    </row>
    <row r="263" spans="1:22" x14ac:dyDescent="0.25">
      <c r="A263">
        <v>2025</v>
      </c>
      <c r="B263">
        <v>8</v>
      </c>
      <c r="C263" t="s">
        <v>69</v>
      </c>
      <c r="D263" t="s">
        <v>22</v>
      </c>
      <c r="E263" t="s">
        <v>124</v>
      </c>
      <c r="F263" t="s">
        <v>70</v>
      </c>
      <c r="G263" t="s">
        <v>24</v>
      </c>
      <c r="H263" t="s">
        <v>26</v>
      </c>
      <c r="I263" t="s">
        <v>26</v>
      </c>
      <c r="J263" t="s">
        <v>25</v>
      </c>
      <c r="K263">
        <v>806</v>
      </c>
      <c r="L263">
        <v>1</v>
      </c>
      <c r="M263">
        <v>12</v>
      </c>
      <c r="N263">
        <v>13</v>
      </c>
      <c r="O263">
        <v>114</v>
      </c>
      <c r="P263">
        <v>85</v>
      </c>
      <c r="Q263">
        <v>78</v>
      </c>
      <c r="R263">
        <v>64</v>
      </c>
      <c r="S263">
        <v>52</v>
      </c>
      <c r="T263">
        <v>20</v>
      </c>
      <c r="U263">
        <v>11</v>
      </c>
      <c r="V263">
        <v>799</v>
      </c>
    </row>
    <row r="264" spans="1:22" x14ac:dyDescent="0.25">
      <c r="A264">
        <v>2025</v>
      </c>
      <c r="B264">
        <v>8</v>
      </c>
      <c r="C264" t="s">
        <v>69</v>
      </c>
      <c r="D264" t="s">
        <v>22</v>
      </c>
      <c r="E264" t="s">
        <v>124</v>
      </c>
      <c r="F264" t="s">
        <v>70</v>
      </c>
      <c r="G264" t="s">
        <v>29</v>
      </c>
      <c r="H264" t="s">
        <v>26</v>
      </c>
      <c r="I264" t="s">
        <v>26</v>
      </c>
      <c r="J264" t="s">
        <v>25</v>
      </c>
      <c r="K264">
        <v>5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</row>
    <row r="265" spans="1:22" x14ac:dyDescent="0.25">
      <c r="A265">
        <v>2025</v>
      </c>
      <c r="B265">
        <v>8</v>
      </c>
      <c r="C265" t="s">
        <v>69</v>
      </c>
      <c r="D265" t="s">
        <v>22</v>
      </c>
      <c r="E265" t="s">
        <v>173</v>
      </c>
      <c r="F265" t="s">
        <v>32</v>
      </c>
      <c r="G265" t="s">
        <v>24</v>
      </c>
      <c r="H265" t="s">
        <v>25</v>
      </c>
      <c r="I265" t="s">
        <v>26</v>
      </c>
      <c r="J265" t="s">
        <v>25</v>
      </c>
      <c r="K265">
        <v>1052</v>
      </c>
      <c r="L265">
        <v>6</v>
      </c>
      <c r="M265">
        <v>25</v>
      </c>
      <c r="N265">
        <v>31</v>
      </c>
      <c r="O265">
        <v>33</v>
      </c>
      <c r="P265">
        <v>32</v>
      </c>
      <c r="Q265">
        <v>30</v>
      </c>
      <c r="R265">
        <v>22</v>
      </c>
      <c r="S265">
        <v>18</v>
      </c>
      <c r="T265">
        <v>11</v>
      </c>
      <c r="U265">
        <v>5</v>
      </c>
      <c r="V265">
        <v>1033</v>
      </c>
    </row>
    <row r="266" spans="1:22" x14ac:dyDescent="0.25">
      <c r="A266">
        <v>2025</v>
      </c>
      <c r="B266">
        <v>8</v>
      </c>
      <c r="C266" t="s">
        <v>69</v>
      </c>
      <c r="D266" t="s">
        <v>22</v>
      </c>
      <c r="E266" t="s">
        <v>173</v>
      </c>
      <c r="F266" t="s">
        <v>38</v>
      </c>
      <c r="G266" t="s">
        <v>24</v>
      </c>
      <c r="H266" t="s">
        <v>25</v>
      </c>
      <c r="I266" t="s">
        <v>25</v>
      </c>
      <c r="J266" t="s">
        <v>25</v>
      </c>
      <c r="K266">
        <v>54</v>
      </c>
      <c r="L266">
        <v>0</v>
      </c>
      <c r="M266">
        <v>0</v>
      </c>
      <c r="N266">
        <v>0</v>
      </c>
      <c r="O266">
        <v>8</v>
      </c>
      <c r="P266">
        <v>6</v>
      </c>
      <c r="Q266">
        <v>6</v>
      </c>
      <c r="R266">
        <v>4</v>
      </c>
      <c r="S266">
        <v>1</v>
      </c>
      <c r="T266">
        <v>0</v>
      </c>
      <c r="U266">
        <v>0</v>
      </c>
      <c r="V266">
        <v>54</v>
      </c>
    </row>
    <row r="267" spans="1:22" x14ac:dyDescent="0.25">
      <c r="A267">
        <v>2025</v>
      </c>
      <c r="B267">
        <v>9</v>
      </c>
      <c r="C267" t="s">
        <v>69</v>
      </c>
      <c r="D267" t="s">
        <v>22</v>
      </c>
      <c r="E267" t="s">
        <v>132</v>
      </c>
      <c r="F267" t="s">
        <v>32</v>
      </c>
      <c r="G267" t="s">
        <v>24</v>
      </c>
      <c r="H267" t="s">
        <v>25</v>
      </c>
      <c r="I267" t="s">
        <v>26</v>
      </c>
      <c r="J267" t="s">
        <v>25</v>
      </c>
      <c r="K267">
        <v>57</v>
      </c>
      <c r="L267">
        <v>1</v>
      </c>
      <c r="M267">
        <v>0</v>
      </c>
      <c r="N267">
        <v>1</v>
      </c>
      <c r="O267">
        <v>21</v>
      </c>
      <c r="P267">
        <v>14</v>
      </c>
      <c r="Q267">
        <v>12</v>
      </c>
      <c r="R267">
        <v>9</v>
      </c>
      <c r="S267">
        <v>7</v>
      </c>
      <c r="T267">
        <v>5</v>
      </c>
      <c r="U267">
        <v>2</v>
      </c>
      <c r="V267">
        <v>56</v>
      </c>
    </row>
    <row r="268" spans="1:22" x14ac:dyDescent="0.25">
      <c r="A268">
        <v>2025</v>
      </c>
      <c r="B268">
        <v>9</v>
      </c>
      <c r="C268" t="s">
        <v>69</v>
      </c>
      <c r="D268" t="s">
        <v>22</v>
      </c>
      <c r="E268" t="s">
        <v>132</v>
      </c>
      <c r="F268" t="s">
        <v>34</v>
      </c>
      <c r="G268" t="s">
        <v>24</v>
      </c>
      <c r="H268" t="s">
        <v>25</v>
      </c>
      <c r="I268" t="s">
        <v>26</v>
      </c>
      <c r="J268" t="s">
        <v>26</v>
      </c>
      <c r="K268">
        <v>57</v>
      </c>
      <c r="L268">
        <v>1</v>
      </c>
      <c r="M268">
        <v>0</v>
      </c>
      <c r="N268">
        <v>1</v>
      </c>
      <c r="O268">
        <v>21</v>
      </c>
      <c r="P268">
        <v>14</v>
      </c>
      <c r="Q268">
        <v>11</v>
      </c>
      <c r="R268">
        <v>9</v>
      </c>
      <c r="S268">
        <v>6</v>
      </c>
      <c r="T268">
        <v>5</v>
      </c>
      <c r="U268">
        <v>2</v>
      </c>
      <c r="V268">
        <v>56</v>
      </c>
    </row>
    <row r="269" spans="1:22" x14ac:dyDescent="0.25">
      <c r="A269">
        <v>2025</v>
      </c>
      <c r="B269">
        <v>9</v>
      </c>
      <c r="C269" t="s">
        <v>69</v>
      </c>
      <c r="D269" t="s">
        <v>22</v>
      </c>
      <c r="E269" t="s">
        <v>145</v>
      </c>
      <c r="F269" t="s">
        <v>32</v>
      </c>
      <c r="G269" t="s">
        <v>24</v>
      </c>
      <c r="H269" t="s">
        <v>25</v>
      </c>
      <c r="I269" t="s">
        <v>26</v>
      </c>
      <c r="J269" t="s">
        <v>25</v>
      </c>
      <c r="K269">
        <v>288</v>
      </c>
      <c r="L269">
        <v>10</v>
      </c>
      <c r="M269">
        <v>1</v>
      </c>
      <c r="N269">
        <v>11</v>
      </c>
      <c r="O269">
        <v>104</v>
      </c>
      <c r="P269">
        <v>56</v>
      </c>
      <c r="Q269">
        <v>42</v>
      </c>
      <c r="R269">
        <v>23</v>
      </c>
      <c r="S269">
        <v>17</v>
      </c>
      <c r="T269">
        <v>8</v>
      </c>
      <c r="U269">
        <v>2</v>
      </c>
      <c r="V269">
        <v>278</v>
      </c>
    </row>
    <row r="270" spans="1:22" x14ac:dyDescent="0.25">
      <c r="A270">
        <v>2025</v>
      </c>
      <c r="B270">
        <v>9</v>
      </c>
      <c r="C270" t="s">
        <v>69</v>
      </c>
      <c r="D270" t="s">
        <v>22</v>
      </c>
      <c r="E270" t="s">
        <v>154</v>
      </c>
      <c r="F270" t="s">
        <v>32</v>
      </c>
      <c r="G270" t="s">
        <v>24</v>
      </c>
      <c r="H270" t="s">
        <v>25</v>
      </c>
      <c r="I270" t="s">
        <v>26</v>
      </c>
      <c r="J270" t="s">
        <v>25</v>
      </c>
      <c r="K270">
        <v>16</v>
      </c>
      <c r="L270">
        <v>0</v>
      </c>
      <c r="M270">
        <v>1</v>
      </c>
      <c r="N270">
        <v>1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15</v>
      </c>
    </row>
    <row r="271" spans="1:22" x14ac:dyDescent="0.25">
      <c r="A271">
        <v>2025</v>
      </c>
      <c r="B271">
        <v>9</v>
      </c>
      <c r="C271" t="s">
        <v>69</v>
      </c>
      <c r="D271" t="s">
        <v>22</v>
      </c>
      <c r="E271" t="s">
        <v>149</v>
      </c>
      <c r="F271" t="s">
        <v>32</v>
      </c>
      <c r="G271" t="s">
        <v>24</v>
      </c>
      <c r="H271" t="s">
        <v>25</v>
      </c>
      <c r="I271" t="s">
        <v>26</v>
      </c>
      <c r="J271" t="s">
        <v>25</v>
      </c>
      <c r="K271">
        <v>128</v>
      </c>
      <c r="L271">
        <v>1</v>
      </c>
      <c r="M271">
        <v>4</v>
      </c>
      <c r="N271">
        <v>5</v>
      </c>
      <c r="O271">
        <v>84</v>
      </c>
      <c r="P271">
        <v>72</v>
      </c>
      <c r="Q271">
        <v>66</v>
      </c>
      <c r="R271">
        <v>54</v>
      </c>
      <c r="S271">
        <v>50</v>
      </c>
      <c r="T271">
        <v>32</v>
      </c>
      <c r="U271">
        <v>14</v>
      </c>
      <c r="V271">
        <v>127</v>
      </c>
    </row>
    <row r="272" spans="1:22" x14ac:dyDescent="0.25">
      <c r="A272">
        <v>2025</v>
      </c>
      <c r="B272">
        <v>9</v>
      </c>
      <c r="C272" t="s">
        <v>69</v>
      </c>
      <c r="D272" t="s">
        <v>22</v>
      </c>
      <c r="E272" t="s">
        <v>149</v>
      </c>
      <c r="F272" t="s">
        <v>23</v>
      </c>
      <c r="G272" t="s">
        <v>24</v>
      </c>
      <c r="H272" t="s">
        <v>25</v>
      </c>
      <c r="I272" t="s">
        <v>26</v>
      </c>
      <c r="J272" t="s">
        <v>25</v>
      </c>
      <c r="K272">
        <v>413</v>
      </c>
      <c r="L272">
        <v>19</v>
      </c>
      <c r="M272">
        <v>14</v>
      </c>
      <c r="N272">
        <v>33</v>
      </c>
      <c r="O272">
        <v>156</v>
      </c>
      <c r="P272">
        <v>128</v>
      </c>
      <c r="Q272">
        <v>117</v>
      </c>
      <c r="R272">
        <v>90</v>
      </c>
      <c r="S272">
        <v>58</v>
      </c>
      <c r="T272">
        <v>17</v>
      </c>
      <c r="U272">
        <v>6</v>
      </c>
      <c r="V272">
        <v>380</v>
      </c>
    </row>
    <row r="273" spans="1:22" x14ac:dyDescent="0.25">
      <c r="A273">
        <v>2025</v>
      </c>
      <c r="B273">
        <v>9</v>
      </c>
      <c r="C273" t="s">
        <v>69</v>
      </c>
      <c r="D273" t="s">
        <v>22</v>
      </c>
      <c r="E273" t="s">
        <v>149</v>
      </c>
      <c r="F273" t="s">
        <v>39</v>
      </c>
      <c r="G273" t="s">
        <v>24</v>
      </c>
      <c r="H273" t="s">
        <v>26</v>
      </c>
      <c r="I273" t="s">
        <v>26</v>
      </c>
      <c r="J273" t="s">
        <v>25</v>
      </c>
      <c r="K273">
        <v>1397</v>
      </c>
      <c r="L273">
        <v>87</v>
      </c>
      <c r="M273">
        <v>205</v>
      </c>
      <c r="N273">
        <v>292</v>
      </c>
      <c r="O273">
        <v>335</v>
      </c>
      <c r="P273">
        <v>256</v>
      </c>
      <c r="Q273">
        <v>231</v>
      </c>
      <c r="R273">
        <v>144</v>
      </c>
      <c r="S273">
        <v>95</v>
      </c>
      <c r="T273">
        <v>34</v>
      </c>
      <c r="U273">
        <v>2</v>
      </c>
      <c r="V273">
        <v>1199</v>
      </c>
    </row>
    <row r="274" spans="1:22" x14ac:dyDescent="0.25">
      <c r="A274">
        <v>2025</v>
      </c>
      <c r="B274">
        <v>9</v>
      </c>
      <c r="C274" t="s">
        <v>69</v>
      </c>
      <c r="D274" t="s">
        <v>22</v>
      </c>
      <c r="E274" t="s">
        <v>150</v>
      </c>
      <c r="F274" t="s">
        <v>32</v>
      </c>
      <c r="G274" t="s">
        <v>24</v>
      </c>
      <c r="H274" t="s">
        <v>25</v>
      </c>
      <c r="I274" t="s">
        <v>26</v>
      </c>
      <c r="J274" t="s">
        <v>25</v>
      </c>
      <c r="K274">
        <v>22</v>
      </c>
      <c r="L274">
        <v>0</v>
      </c>
      <c r="M274">
        <v>0</v>
      </c>
      <c r="N274">
        <v>0</v>
      </c>
      <c r="O274">
        <v>14</v>
      </c>
      <c r="P274">
        <v>9</v>
      </c>
      <c r="Q274">
        <v>9</v>
      </c>
      <c r="R274">
        <v>6</v>
      </c>
      <c r="S274">
        <v>4</v>
      </c>
      <c r="T274">
        <v>3</v>
      </c>
      <c r="U274">
        <v>1</v>
      </c>
      <c r="V274">
        <v>22</v>
      </c>
    </row>
    <row r="275" spans="1:22" x14ac:dyDescent="0.25">
      <c r="A275">
        <v>2025</v>
      </c>
      <c r="B275">
        <v>9</v>
      </c>
      <c r="C275" t="s">
        <v>69</v>
      </c>
      <c r="D275" t="s">
        <v>22</v>
      </c>
      <c r="E275" t="s">
        <v>155</v>
      </c>
      <c r="F275" t="s">
        <v>34</v>
      </c>
      <c r="G275" t="s">
        <v>24</v>
      </c>
      <c r="H275" t="s">
        <v>25</v>
      </c>
      <c r="I275" t="s">
        <v>26</v>
      </c>
      <c r="J275" t="s">
        <v>26</v>
      </c>
      <c r="K275">
        <v>60</v>
      </c>
      <c r="L275">
        <v>0</v>
      </c>
      <c r="M275">
        <v>0</v>
      </c>
      <c r="N275">
        <v>0</v>
      </c>
      <c r="O275">
        <v>1</v>
      </c>
      <c r="P275">
        <v>1</v>
      </c>
      <c r="Q275">
        <v>1</v>
      </c>
      <c r="R275">
        <v>1</v>
      </c>
      <c r="S275">
        <v>1</v>
      </c>
      <c r="T275">
        <v>0</v>
      </c>
      <c r="U275">
        <v>0</v>
      </c>
      <c r="V275">
        <v>60</v>
      </c>
    </row>
    <row r="276" spans="1:22" x14ac:dyDescent="0.25">
      <c r="A276">
        <v>2025</v>
      </c>
      <c r="B276">
        <v>9</v>
      </c>
      <c r="C276" t="s">
        <v>69</v>
      </c>
      <c r="D276" t="s">
        <v>22</v>
      </c>
      <c r="E276" t="s">
        <v>163</v>
      </c>
      <c r="F276" t="s">
        <v>34</v>
      </c>
      <c r="G276" t="s">
        <v>24</v>
      </c>
      <c r="H276" t="s">
        <v>25</v>
      </c>
      <c r="I276" t="s">
        <v>26</v>
      </c>
      <c r="J276" t="s">
        <v>26</v>
      </c>
      <c r="K276">
        <v>59</v>
      </c>
      <c r="L276">
        <v>0</v>
      </c>
      <c r="M276">
        <v>0</v>
      </c>
      <c r="N276">
        <v>0</v>
      </c>
      <c r="O276">
        <v>3</v>
      </c>
      <c r="P276">
        <v>3</v>
      </c>
      <c r="Q276">
        <v>3</v>
      </c>
      <c r="R276">
        <v>3</v>
      </c>
      <c r="S276">
        <v>3</v>
      </c>
      <c r="T276">
        <v>3</v>
      </c>
      <c r="U276">
        <v>0</v>
      </c>
      <c r="V276">
        <v>59</v>
      </c>
    </row>
    <row r="277" spans="1:22" x14ac:dyDescent="0.25">
      <c r="A277">
        <v>2025</v>
      </c>
      <c r="B277">
        <v>9</v>
      </c>
      <c r="C277" t="s">
        <v>69</v>
      </c>
      <c r="D277" t="s">
        <v>22</v>
      </c>
      <c r="E277" t="s">
        <v>61</v>
      </c>
      <c r="F277" t="s">
        <v>35</v>
      </c>
      <c r="G277" t="s">
        <v>24</v>
      </c>
      <c r="H277" t="s">
        <v>25</v>
      </c>
      <c r="I277" t="s">
        <v>26</v>
      </c>
      <c r="J277" t="s">
        <v>26</v>
      </c>
      <c r="K277">
        <v>291</v>
      </c>
      <c r="L277">
        <v>2</v>
      </c>
      <c r="M277">
        <v>0</v>
      </c>
      <c r="N277">
        <v>2</v>
      </c>
      <c r="O277">
        <v>106</v>
      </c>
      <c r="P277">
        <v>80</v>
      </c>
      <c r="Q277">
        <v>73</v>
      </c>
      <c r="R277">
        <v>57</v>
      </c>
      <c r="S277">
        <v>47</v>
      </c>
      <c r="T277">
        <v>28</v>
      </c>
      <c r="U277">
        <v>15</v>
      </c>
      <c r="V277">
        <v>289</v>
      </c>
    </row>
    <row r="278" spans="1:22" x14ac:dyDescent="0.25">
      <c r="A278">
        <v>2025</v>
      </c>
      <c r="B278">
        <v>9</v>
      </c>
      <c r="C278" t="s">
        <v>69</v>
      </c>
      <c r="D278" t="s">
        <v>22</v>
      </c>
      <c r="E278" t="s">
        <v>61</v>
      </c>
      <c r="F278" t="s">
        <v>41</v>
      </c>
      <c r="G278" t="s">
        <v>24</v>
      </c>
      <c r="H278" t="s">
        <v>26</v>
      </c>
      <c r="I278" t="s">
        <v>26</v>
      </c>
      <c r="J278" t="s">
        <v>25</v>
      </c>
      <c r="K278">
        <v>360</v>
      </c>
      <c r="L278">
        <v>1</v>
      </c>
      <c r="M278">
        <v>17</v>
      </c>
      <c r="N278">
        <v>18</v>
      </c>
      <c r="O278">
        <v>85</v>
      </c>
      <c r="P278">
        <v>72</v>
      </c>
      <c r="Q278">
        <v>68</v>
      </c>
      <c r="R278">
        <v>60</v>
      </c>
      <c r="S278">
        <v>58</v>
      </c>
      <c r="T278">
        <v>34</v>
      </c>
      <c r="U278">
        <v>4</v>
      </c>
      <c r="V278">
        <v>352</v>
      </c>
    </row>
    <row r="279" spans="1:22" x14ac:dyDescent="0.25">
      <c r="A279">
        <v>2025</v>
      </c>
      <c r="B279">
        <v>9</v>
      </c>
      <c r="C279" t="s">
        <v>69</v>
      </c>
      <c r="D279" t="s">
        <v>22</v>
      </c>
      <c r="E279" t="s">
        <v>166</v>
      </c>
      <c r="F279" t="s">
        <v>32</v>
      </c>
      <c r="G279" t="s">
        <v>24</v>
      </c>
      <c r="H279" t="s">
        <v>25</v>
      </c>
      <c r="I279" t="s">
        <v>26</v>
      </c>
      <c r="J279" t="s">
        <v>25</v>
      </c>
      <c r="K279">
        <v>270</v>
      </c>
      <c r="L279">
        <v>3</v>
      </c>
      <c r="M279">
        <v>11</v>
      </c>
      <c r="N279">
        <v>14</v>
      </c>
      <c r="O279">
        <v>154</v>
      </c>
      <c r="P279">
        <v>149</v>
      </c>
      <c r="Q279">
        <v>149</v>
      </c>
      <c r="R279">
        <v>132</v>
      </c>
      <c r="S279">
        <v>97</v>
      </c>
      <c r="T279">
        <v>69</v>
      </c>
      <c r="U279">
        <v>6</v>
      </c>
      <c r="V279">
        <v>256</v>
      </c>
    </row>
    <row r="280" spans="1:22" x14ac:dyDescent="0.25">
      <c r="A280">
        <v>2025</v>
      </c>
      <c r="B280">
        <v>9</v>
      </c>
      <c r="C280" t="s">
        <v>69</v>
      </c>
      <c r="D280" t="s">
        <v>22</v>
      </c>
      <c r="E280" t="s">
        <v>166</v>
      </c>
      <c r="F280" t="s">
        <v>38</v>
      </c>
      <c r="G280" t="s">
        <v>24</v>
      </c>
      <c r="H280" t="s">
        <v>25</v>
      </c>
      <c r="I280" t="s">
        <v>25</v>
      </c>
      <c r="J280" t="s">
        <v>25</v>
      </c>
      <c r="K280">
        <v>210</v>
      </c>
      <c r="L280">
        <v>1</v>
      </c>
      <c r="M280">
        <v>0</v>
      </c>
      <c r="N280">
        <v>1</v>
      </c>
      <c r="O280">
        <v>166</v>
      </c>
      <c r="P280">
        <v>142</v>
      </c>
      <c r="Q280">
        <v>125</v>
      </c>
      <c r="R280">
        <v>64</v>
      </c>
      <c r="S280">
        <v>34</v>
      </c>
      <c r="T280">
        <v>13</v>
      </c>
      <c r="U280">
        <v>4</v>
      </c>
      <c r="V280">
        <v>209</v>
      </c>
    </row>
    <row r="281" spans="1:22" x14ac:dyDescent="0.25">
      <c r="A281">
        <v>2025</v>
      </c>
      <c r="B281">
        <v>9</v>
      </c>
      <c r="C281" t="s">
        <v>69</v>
      </c>
      <c r="D281" t="s">
        <v>22</v>
      </c>
      <c r="E281" t="s">
        <v>69</v>
      </c>
      <c r="F281" t="s">
        <v>32</v>
      </c>
      <c r="G281" t="s">
        <v>28</v>
      </c>
      <c r="H281" t="s">
        <v>25</v>
      </c>
      <c r="I281" t="s">
        <v>26</v>
      </c>
      <c r="J281" t="s">
        <v>25</v>
      </c>
      <c r="K281">
        <v>63</v>
      </c>
      <c r="L281">
        <v>1</v>
      </c>
      <c r="M281">
        <v>0</v>
      </c>
      <c r="N281">
        <v>1</v>
      </c>
      <c r="O281">
        <v>1</v>
      </c>
      <c r="P281">
        <v>1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62</v>
      </c>
    </row>
    <row r="282" spans="1:22" x14ac:dyDescent="0.25">
      <c r="A282">
        <v>2025</v>
      </c>
      <c r="B282">
        <v>9</v>
      </c>
      <c r="C282" t="s">
        <v>69</v>
      </c>
      <c r="D282" t="s">
        <v>22</v>
      </c>
      <c r="E282" t="s">
        <v>69</v>
      </c>
      <c r="F282" t="s">
        <v>38</v>
      </c>
      <c r="G282" t="s">
        <v>24</v>
      </c>
      <c r="H282" t="s">
        <v>25</v>
      </c>
      <c r="I282" t="s">
        <v>25</v>
      </c>
      <c r="J282" t="s">
        <v>25</v>
      </c>
      <c r="K282">
        <v>25</v>
      </c>
      <c r="L282">
        <v>0</v>
      </c>
      <c r="M282">
        <v>0</v>
      </c>
      <c r="N282">
        <v>0</v>
      </c>
      <c r="O282">
        <v>4</v>
      </c>
      <c r="P282">
        <v>3</v>
      </c>
      <c r="Q282">
        <v>2</v>
      </c>
      <c r="R282">
        <v>1</v>
      </c>
      <c r="S282">
        <v>1</v>
      </c>
      <c r="T282">
        <v>0</v>
      </c>
      <c r="U282">
        <v>0</v>
      </c>
      <c r="V282">
        <v>25</v>
      </c>
    </row>
    <row r="283" spans="1:22" x14ac:dyDescent="0.25">
      <c r="A283">
        <v>2025</v>
      </c>
      <c r="B283">
        <v>9</v>
      </c>
      <c r="C283" t="s">
        <v>69</v>
      </c>
      <c r="D283" t="s">
        <v>22</v>
      </c>
      <c r="E283" t="s">
        <v>69</v>
      </c>
      <c r="F283" t="s">
        <v>23</v>
      </c>
      <c r="G283" t="s">
        <v>28</v>
      </c>
      <c r="H283" t="s">
        <v>25</v>
      </c>
      <c r="I283" t="s">
        <v>26</v>
      </c>
      <c r="J283" t="s">
        <v>25</v>
      </c>
      <c r="K283">
        <v>11296</v>
      </c>
      <c r="L283">
        <v>45</v>
      </c>
      <c r="M283">
        <v>231</v>
      </c>
      <c r="N283">
        <v>276</v>
      </c>
      <c r="O283">
        <v>32</v>
      </c>
      <c r="P283">
        <v>24</v>
      </c>
      <c r="Q283">
        <v>23</v>
      </c>
      <c r="R283">
        <v>17</v>
      </c>
      <c r="S283">
        <v>16</v>
      </c>
      <c r="T283">
        <v>10</v>
      </c>
      <c r="U283">
        <v>6</v>
      </c>
      <c r="V283">
        <v>11062</v>
      </c>
    </row>
    <row r="284" spans="1:22" x14ac:dyDescent="0.25">
      <c r="A284">
        <v>2025</v>
      </c>
      <c r="B284">
        <v>9</v>
      </c>
      <c r="C284" t="s">
        <v>69</v>
      </c>
      <c r="D284" t="s">
        <v>22</v>
      </c>
      <c r="E284" t="s">
        <v>69</v>
      </c>
      <c r="F284" t="s">
        <v>23</v>
      </c>
      <c r="G284" t="s">
        <v>24</v>
      </c>
      <c r="H284" t="s">
        <v>25</v>
      </c>
      <c r="I284" t="s">
        <v>26</v>
      </c>
      <c r="J284" t="s">
        <v>25</v>
      </c>
      <c r="K284">
        <v>751</v>
      </c>
      <c r="L284">
        <v>35</v>
      </c>
      <c r="M284">
        <v>28</v>
      </c>
      <c r="N284">
        <v>63</v>
      </c>
      <c r="O284">
        <v>206</v>
      </c>
      <c r="P284">
        <v>165</v>
      </c>
      <c r="Q284">
        <v>157</v>
      </c>
      <c r="R284">
        <v>136</v>
      </c>
      <c r="S284">
        <v>90</v>
      </c>
      <c r="T284">
        <v>6</v>
      </c>
      <c r="U284">
        <v>1</v>
      </c>
      <c r="V284">
        <v>709</v>
      </c>
    </row>
    <row r="285" spans="1:22" x14ac:dyDescent="0.25">
      <c r="A285">
        <v>2025</v>
      </c>
      <c r="B285">
        <v>9</v>
      </c>
      <c r="C285" t="s">
        <v>69</v>
      </c>
      <c r="D285" t="s">
        <v>22</v>
      </c>
      <c r="E285" t="s">
        <v>69</v>
      </c>
      <c r="F285" t="s">
        <v>39</v>
      </c>
      <c r="G285" t="s">
        <v>28</v>
      </c>
      <c r="H285" t="s">
        <v>26</v>
      </c>
      <c r="I285" t="s">
        <v>26</v>
      </c>
      <c r="J285" t="s">
        <v>25</v>
      </c>
      <c r="K285">
        <v>44</v>
      </c>
      <c r="L285">
        <v>1</v>
      </c>
      <c r="M285">
        <v>0</v>
      </c>
      <c r="N285">
        <v>1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43</v>
      </c>
    </row>
    <row r="286" spans="1:22" x14ac:dyDescent="0.25">
      <c r="A286">
        <v>2025</v>
      </c>
      <c r="B286">
        <v>9</v>
      </c>
      <c r="C286" t="s">
        <v>69</v>
      </c>
      <c r="D286" t="s">
        <v>22</v>
      </c>
      <c r="E286" t="s">
        <v>69</v>
      </c>
      <c r="F286" t="s">
        <v>40</v>
      </c>
      <c r="G286" t="s">
        <v>28</v>
      </c>
      <c r="H286" t="s">
        <v>25</v>
      </c>
      <c r="I286" t="s">
        <v>26</v>
      </c>
      <c r="J286" t="s">
        <v>25</v>
      </c>
      <c r="K286">
        <v>12689</v>
      </c>
      <c r="L286">
        <v>46</v>
      </c>
      <c r="M286">
        <v>114</v>
      </c>
      <c r="N286">
        <v>160</v>
      </c>
      <c r="O286">
        <v>18</v>
      </c>
      <c r="P286">
        <v>13</v>
      </c>
      <c r="Q286">
        <v>12</v>
      </c>
      <c r="R286">
        <v>8</v>
      </c>
      <c r="S286">
        <v>4</v>
      </c>
      <c r="T286">
        <v>4</v>
      </c>
      <c r="U286">
        <v>3</v>
      </c>
      <c r="V286">
        <v>12573</v>
      </c>
    </row>
    <row r="287" spans="1:22" x14ac:dyDescent="0.25">
      <c r="A287">
        <v>2025</v>
      </c>
      <c r="B287">
        <v>9</v>
      </c>
      <c r="C287" t="s">
        <v>69</v>
      </c>
      <c r="D287" t="s">
        <v>22</v>
      </c>
      <c r="E287" t="s">
        <v>69</v>
      </c>
      <c r="F287" t="s">
        <v>40</v>
      </c>
      <c r="G287" t="s">
        <v>24</v>
      </c>
      <c r="H287" t="s">
        <v>25</v>
      </c>
      <c r="I287" t="s">
        <v>26</v>
      </c>
      <c r="J287" t="s">
        <v>25</v>
      </c>
      <c r="K287">
        <v>1049</v>
      </c>
      <c r="L287">
        <v>3</v>
      </c>
      <c r="M287">
        <v>23</v>
      </c>
      <c r="N287">
        <v>26</v>
      </c>
      <c r="O287">
        <v>68</v>
      </c>
      <c r="P287">
        <v>25</v>
      </c>
      <c r="Q287">
        <v>17</v>
      </c>
      <c r="R287">
        <v>6</v>
      </c>
      <c r="S287">
        <v>1</v>
      </c>
      <c r="T287">
        <v>0</v>
      </c>
      <c r="U287">
        <v>0</v>
      </c>
      <c r="V287">
        <v>1028</v>
      </c>
    </row>
    <row r="288" spans="1:22" x14ac:dyDescent="0.25">
      <c r="A288">
        <v>2025</v>
      </c>
      <c r="B288">
        <v>9</v>
      </c>
      <c r="C288" t="s">
        <v>69</v>
      </c>
      <c r="D288" t="s">
        <v>22</v>
      </c>
      <c r="E288" t="s">
        <v>124</v>
      </c>
      <c r="F288" t="s">
        <v>70</v>
      </c>
      <c r="G288" t="s">
        <v>24</v>
      </c>
      <c r="H288" t="s">
        <v>26</v>
      </c>
      <c r="I288" t="s">
        <v>26</v>
      </c>
      <c r="J288" t="s">
        <v>25</v>
      </c>
      <c r="K288">
        <v>747</v>
      </c>
      <c r="L288">
        <v>3</v>
      </c>
      <c r="M288">
        <v>5</v>
      </c>
      <c r="N288">
        <v>8</v>
      </c>
      <c r="O288">
        <v>133</v>
      </c>
      <c r="P288">
        <v>105</v>
      </c>
      <c r="Q288">
        <v>98</v>
      </c>
      <c r="R288">
        <v>79</v>
      </c>
      <c r="S288">
        <v>69</v>
      </c>
      <c r="T288">
        <v>35</v>
      </c>
      <c r="U288">
        <v>10</v>
      </c>
      <c r="V288">
        <v>741</v>
      </c>
    </row>
    <row r="289" spans="1:22" x14ac:dyDescent="0.25">
      <c r="A289">
        <v>2025</v>
      </c>
      <c r="B289">
        <v>9</v>
      </c>
      <c r="C289" t="s">
        <v>69</v>
      </c>
      <c r="D289" t="s">
        <v>22</v>
      </c>
      <c r="E289" t="s">
        <v>124</v>
      </c>
      <c r="F289" t="s">
        <v>70</v>
      </c>
      <c r="G289" t="s">
        <v>29</v>
      </c>
      <c r="H289" t="s">
        <v>26</v>
      </c>
      <c r="I289" t="s">
        <v>26</v>
      </c>
      <c r="J289" t="s">
        <v>25</v>
      </c>
      <c r="K289">
        <v>4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</row>
    <row r="290" spans="1:22" x14ac:dyDescent="0.25">
      <c r="A290">
        <v>2025</v>
      </c>
      <c r="B290">
        <v>9</v>
      </c>
      <c r="C290" t="s">
        <v>69</v>
      </c>
      <c r="D290" t="s">
        <v>22</v>
      </c>
      <c r="E290" t="s">
        <v>173</v>
      </c>
      <c r="F290" t="s">
        <v>32</v>
      </c>
      <c r="G290" t="s">
        <v>24</v>
      </c>
      <c r="H290" t="s">
        <v>25</v>
      </c>
      <c r="I290" t="s">
        <v>26</v>
      </c>
      <c r="J290" t="s">
        <v>25</v>
      </c>
      <c r="K290">
        <v>1007</v>
      </c>
      <c r="L290">
        <v>4</v>
      </c>
      <c r="M290">
        <v>58</v>
      </c>
      <c r="N290">
        <v>62</v>
      </c>
      <c r="O290">
        <v>36</v>
      </c>
      <c r="P290">
        <v>32</v>
      </c>
      <c r="Q290">
        <v>30</v>
      </c>
      <c r="R290">
        <v>25</v>
      </c>
      <c r="S290">
        <v>22</v>
      </c>
      <c r="T290">
        <v>12</v>
      </c>
      <c r="U290">
        <v>8</v>
      </c>
      <c r="V290">
        <v>988</v>
      </c>
    </row>
    <row r="291" spans="1:22" x14ac:dyDescent="0.25">
      <c r="A291">
        <v>2025</v>
      </c>
      <c r="B291">
        <v>9</v>
      </c>
      <c r="C291" t="s">
        <v>69</v>
      </c>
      <c r="D291" t="s">
        <v>22</v>
      </c>
      <c r="E291" t="s">
        <v>173</v>
      </c>
      <c r="F291" t="s">
        <v>38</v>
      </c>
      <c r="G291" t="s">
        <v>24</v>
      </c>
      <c r="H291" t="s">
        <v>25</v>
      </c>
      <c r="I291" t="s">
        <v>25</v>
      </c>
      <c r="J291" t="s">
        <v>25</v>
      </c>
      <c r="K291">
        <v>40</v>
      </c>
      <c r="L291">
        <v>0</v>
      </c>
      <c r="M291">
        <v>1</v>
      </c>
      <c r="N291">
        <v>1</v>
      </c>
      <c r="O291">
        <v>7</v>
      </c>
      <c r="P291">
        <v>6</v>
      </c>
      <c r="Q291">
        <v>3</v>
      </c>
      <c r="R291">
        <v>2</v>
      </c>
      <c r="S291">
        <v>1</v>
      </c>
      <c r="T291">
        <v>0</v>
      </c>
      <c r="U291">
        <v>0</v>
      </c>
      <c r="V291">
        <v>40</v>
      </c>
    </row>
    <row r="292" spans="1:22" x14ac:dyDescent="0.25">
      <c r="A292">
        <v>2025</v>
      </c>
      <c r="B292">
        <v>10</v>
      </c>
      <c r="C292" t="s">
        <v>69</v>
      </c>
      <c r="D292" t="s">
        <v>22</v>
      </c>
      <c r="E292" t="s">
        <v>126</v>
      </c>
      <c r="F292" t="s">
        <v>34</v>
      </c>
      <c r="G292" t="s">
        <v>24</v>
      </c>
      <c r="H292" t="s">
        <v>25</v>
      </c>
      <c r="I292" t="s">
        <v>26</v>
      </c>
      <c r="J292" t="s">
        <v>26</v>
      </c>
      <c r="K292">
        <v>2</v>
      </c>
      <c r="L292">
        <v>0</v>
      </c>
      <c r="M292">
        <v>0</v>
      </c>
      <c r="N292">
        <v>0</v>
      </c>
      <c r="O292">
        <v>1</v>
      </c>
      <c r="P292">
        <v>1</v>
      </c>
      <c r="Q292">
        <v>1</v>
      </c>
      <c r="R292">
        <v>1</v>
      </c>
      <c r="S292">
        <v>1</v>
      </c>
      <c r="T292">
        <v>0</v>
      </c>
      <c r="U292">
        <v>0</v>
      </c>
      <c r="V292">
        <v>2</v>
      </c>
    </row>
    <row r="293" spans="1:22" x14ac:dyDescent="0.25">
      <c r="A293">
        <v>2025</v>
      </c>
      <c r="B293">
        <v>10</v>
      </c>
      <c r="C293" t="s">
        <v>69</v>
      </c>
      <c r="D293" t="s">
        <v>22</v>
      </c>
      <c r="E293" t="s">
        <v>132</v>
      </c>
      <c r="F293" t="s">
        <v>32</v>
      </c>
      <c r="G293" t="s">
        <v>24</v>
      </c>
      <c r="H293" t="s">
        <v>25</v>
      </c>
      <c r="I293" t="s">
        <v>26</v>
      </c>
      <c r="J293" t="s">
        <v>25</v>
      </c>
      <c r="K293">
        <v>49</v>
      </c>
      <c r="L293">
        <v>1</v>
      </c>
      <c r="M293">
        <v>0</v>
      </c>
      <c r="N293">
        <v>1</v>
      </c>
      <c r="O293">
        <v>20</v>
      </c>
      <c r="P293">
        <v>17</v>
      </c>
      <c r="Q293">
        <v>12</v>
      </c>
      <c r="R293">
        <v>10</v>
      </c>
      <c r="S293">
        <v>6</v>
      </c>
      <c r="T293">
        <v>4</v>
      </c>
      <c r="U293">
        <v>2</v>
      </c>
      <c r="V293">
        <v>48</v>
      </c>
    </row>
    <row r="294" spans="1:22" x14ac:dyDescent="0.25">
      <c r="A294">
        <v>2025</v>
      </c>
      <c r="B294">
        <v>10</v>
      </c>
      <c r="C294" t="s">
        <v>69</v>
      </c>
      <c r="D294" t="s">
        <v>22</v>
      </c>
      <c r="E294" t="s">
        <v>132</v>
      </c>
      <c r="F294" t="s">
        <v>34</v>
      </c>
      <c r="G294" t="s">
        <v>24</v>
      </c>
      <c r="H294" t="s">
        <v>25</v>
      </c>
      <c r="I294" t="s">
        <v>26</v>
      </c>
      <c r="J294" t="s">
        <v>26</v>
      </c>
      <c r="K294">
        <v>46</v>
      </c>
      <c r="L294">
        <v>2</v>
      </c>
      <c r="M294">
        <v>0</v>
      </c>
      <c r="N294">
        <v>2</v>
      </c>
      <c r="O294">
        <v>18</v>
      </c>
      <c r="P294">
        <v>13</v>
      </c>
      <c r="Q294">
        <v>11</v>
      </c>
      <c r="R294">
        <v>8</v>
      </c>
      <c r="S294">
        <v>5</v>
      </c>
      <c r="T294">
        <v>4</v>
      </c>
      <c r="U294">
        <v>2</v>
      </c>
      <c r="V294">
        <v>44</v>
      </c>
    </row>
    <row r="295" spans="1:22" x14ac:dyDescent="0.25">
      <c r="A295">
        <v>2025</v>
      </c>
      <c r="B295">
        <v>10</v>
      </c>
      <c r="C295" t="s">
        <v>69</v>
      </c>
      <c r="D295" t="s">
        <v>22</v>
      </c>
      <c r="E295" t="s">
        <v>37</v>
      </c>
      <c r="F295" t="s">
        <v>38</v>
      </c>
      <c r="G295" t="s">
        <v>24</v>
      </c>
      <c r="H295" t="s">
        <v>25</v>
      </c>
      <c r="I295" t="s">
        <v>26</v>
      </c>
      <c r="J295" t="s">
        <v>25</v>
      </c>
      <c r="K295">
        <v>18</v>
      </c>
      <c r="L295">
        <v>0</v>
      </c>
      <c r="M295">
        <v>1</v>
      </c>
      <c r="N295">
        <v>1</v>
      </c>
      <c r="O295">
        <v>10</v>
      </c>
      <c r="P295">
        <v>9</v>
      </c>
      <c r="Q295">
        <v>9</v>
      </c>
      <c r="R295">
        <v>6</v>
      </c>
      <c r="S295">
        <v>6</v>
      </c>
      <c r="T295">
        <v>3</v>
      </c>
      <c r="U295">
        <v>0</v>
      </c>
      <c r="V295">
        <v>18</v>
      </c>
    </row>
    <row r="296" spans="1:22" x14ac:dyDescent="0.25">
      <c r="A296">
        <v>2025</v>
      </c>
      <c r="B296">
        <v>10</v>
      </c>
      <c r="C296" t="s">
        <v>69</v>
      </c>
      <c r="D296" t="s">
        <v>22</v>
      </c>
      <c r="E296" t="s">
        <v>37</v>
      </c>
      <c r="F296" t="s">
        <v>23</v>
      </c>
      <c r="G296" t="s">
        <v>24</v>
      </c>
      <c r="H296" t="s">
        <v>25</v>
      </c>
      <c r="I296" t="s">
        <v>26</v>
      </c>
      <c r="J296" t="s">
        <v>25</v>
      </c>
      <c r="K296">
        <v>152</v>
      </c>
      <c r="L296">
        <v>12</v>
      </c>
      <c r="M296">
        <v>5</v>
      </c>
      <c r="N296">
        <v>17</v>
      </c>
      <c r="O296">
        <v>53</v>
      </c>
      <c r="P296">
        <v>43</v>
      </c>
      <c r="Q296">
        <v>37</v>
      </c>
      <c r="R296">
        <v>29</v>
      </c>
      <c r="S296">
        <v>17</v>
      </c>
      <c r="T296">
        <v>6</v>
      </c>
      <c r="U296">
        <v>2</v>
      </c>
      <c r="V296">
        <v>135</v>
      </c>
    </row>
    <row r="297" spans="1:22" x14ac:dyDescent="0.25">
      <c r="A297">
        <v>2025</v>
      </c>
      <c r="B297">
        <v>10</v>
      </c>
      <c r="C297" t="s">
        <v>69</v>
      </c>
      <c r="D297" t="s">
        <v>22</v>
      </c>
      <c r="E297" t="s">
        <v>145</v>
      </c>
      <c r="F297" t="s">
        <v>32</v>
      </c>
      <c r="G297" t="s">
        <v>24</v>
      </c>
      <c r="H297" t="s">
        <v>25</v>
      </c>
      <c r="I297" t="s">
        <v>26</v>
      </c>
      <c r="J297" t="s">
        <v>25</v>
      </c>
      <c r="K297">
        <v>285</v>
      </c>
      <c r="L297">
        <v>0</v>
      </c>
      <c r="M297">
        <v>4</v>
      </c>
      <c r="N297">
        <v>4</v>
      </c>
      <c r="O297">
        <v>53</v>
      </c>
      <c r="P297">
        <v>24</v>
      </c>
      <c r="Q297">
        <v>22</v>
      </c>
      <c r="R297">
        <v>13</v>
      </c>
      <c r="S297">
        <v>12</v>
      </c>
      <c r="T297">
        <v>4</v>
      </c>
      <c r="U297">
        <v>0</v>
      </c>
      <c r="V297">
        <v>285</v>
      </c>
    </row>
    <row r="298" spans="1:22" x14ac:dyDescent="0.25">
      <c r="A298">
        <v>2025</v>
      </c>
      <c r="B298">
        <v>10</v>
      </c>
      <c r="C298" t="s">
        <v>69</v>
      </c>
      <c r="D298" t="s">
        <v>22</v>
      </c>
      <c r="E298" t="s">
        <v>145</v>
      </c>
      <c r="F298" t="s">
        <v>39</v>
      </c>
      <c r="G298" t="s">
        <v>24</v>
      </c>
      <c r="H298" t="s">
        <v>26</v>
      </c>
      <c r="I298" t="s">
        <v>26</v>
      </c>
      <c r="J298" t="s">
        <v>25</v>
      </c>
      <c r="K298">
        <v>6</v>
      </c>
      <c r="L298">
        <v>0</v>
      </c>
      <c r="M298">
        <v>2</v>
      </c>
      <c r="N298">
        <v>2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6</v>
      </c>
    </row>
    <row r="299" spans="1:22" x14ac:dyDescent="0.25">
      <c r="A299">
        <v>2025</v>
      </c>
      <c r="B299">
        <v>10</v>
      </c>
      <c r="C299" t="s">
        <v>69</v>
      </c>
      <c r="D299" t="s">
        <v>22</v>
      </c>
      <c r="E299" t="s">
        <v>154</v>
      </c>
      <c r="F299" t="s">
        <v>32</v>
      </c>
      <c r="G299" t="s">
        <v>24</v>
      </c>
      <c r="H299" t="s">
        <v>25</v>
      </c>
      <c r="I299" t="s">
        <v>26</v>
      </c>
      <c r="J299" t="s">
        <v>25</v>
      </c>
      <c r="K299">
        <v>11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11</v>
      </c>
    </row>
    <row r="300" spans="1:22" x14ac:dyDescent="0.25">
      <c r="A300">
        <v>2025</v>
      </c>
      <c r="B300">
        <v>10</v>
      </c>
      <c r="C300" t="s">
        <v>69</v>
      </c>
      <c r="D300" t="s">
        <v>22</v>
      </c>
      <c r="E300" t="s">
        <v>149</v>
      </c>
      <c r="F300" t="s">
        <v>32</v>
      </c>
      <c r="G300" t="s">
        <v>24</v>
      </c>
      <c r="H300" t="s">
        <v>25</v>
      </c>
      <c r="I300" t="s">
        <v>26</v>
      </c>
      <c r="J300" t="s">
        <v>25</v>
      </c>
      <c r="K300">
        <v>119</v>
      </c>
      <c r="L300">
        <v>6</v>
      </c>
      <c r="M300">
        <v>0</v>
      </c>
      <c r="N300">
        <v>6</v>
      </c>
      <c r="O300">
        <v>71</v>
      </c>
      <c r="P300">
        <v>66</v>
      </c>
      <c r="Q300">
        <v>62</v>
      </c>
      <c r="R300">
        <v>56</v>
      </c>
      <c r="S300">
        <v>53</v>
      </c>
      <c r="T300">
        <v>31</v>
      </c>
      <c r="U300">
        <v>11</v>
      </c>
      <c r="V300">
        <v>113</v>
      </c>
    </row>
    <row r="301" spans="1:22" x14ac:dyDescent="0.25">
      <c r="A301">
        <v>2025</v>
      </c>
      <c r="B301">
        <v>10</v>
      </c>
      <c r="C301" t="s">
        <v>69</v>
      </c>
      <c r="D301" t="s">
        <v>22</v>
      </c>
      <c r="E301" t="s">
        <v>149</v>
      </c>
      <c r="F301" t="s">
        <v>23</v>
      </c>
      <c r="G301" t="s">
        <v>24</v>
      </c>
      <c r="H301" t="s">
        <v>25</v>
      </c>
      <c r="I301" t="s">
        <v>26</v>
      </c>
      <c r="J301" t="s">
        <v>25</v>
      </c>
      <c r="K301">
        <v>276</v>
      </c>
      <c r="L301">
        <v>19</v>
      </c>
      <c r="M301">
        <v>9</v>
      </c>
      <c r="N301">
        <v>28</v>
      </c>
      <c r="O301">
        <v>120</v>
      </c>
      <c r="P301">
        <v>105</v>
      </c>
      <c r="Q301">
        <v>101</v>
      </c>
      <c r="R301">
        <v>74</v>
      </c>
      <c r="S301">
        <v>46</v>
      </c>
      <c r="T301">
        <v>18</v>
      </c>
      <c r="U301">
        <v>7</v>
      </c>
      <c r="V301">
        <v>248</v>
      </c>
    </row>
    <row r="302" spans="1:22" x14ac:dyDescent="0.25">
      <c r="A302">
        <v>2025</v>
      </c>
      <c r="B302">
        <v>10</v>
      </c>
      <c r="C302" t="s">
        <v>69</v>
      </c>
      <c r="D302" t="s">
        <v>22</v>
      </c>
      <c r="E302" t="s">
        <v>149</v>
      </c>
      <c r="F302" t="s">
        <v>39</v>
      </c>
      <c r="G302" t="s">
        <v>24</v>
      </c>
      <c r="H302" t="s">
        <v>26</v>
      </c>
      <c r="I302" t="s">
        <v>26</v>
      </c>
      <c r="J302" t="s">
        <v>25</v>
      </c>
      <c r="K302">
        <v>1331</v>
      </c>
      <c r="L302">
        <v>72</v>
      </c>
      <c r="M302">
        <v>225</v>
      </c>
      <c r="N302">
        <v>297</v>
      </c>
      <c r="O302">
        <v>319</v>
      </c>
      <c r="P302">
        <v>238</v>
      </c>
      <c r="Q302">
        <v>217</v>
      </c>
      <c r="R302">
        <v>153</v>
      </c>
      <c r="S302">
        <v>99</v>
      </c>
      <c r="T302">
        <v>46</v>
      </c>
      <c r="U302">
        <v>11</v>
      </c>
      <c r="V302">
        <v>1124</v>
      </c>
    </row>
    <row r="303" spans="1:22" x14ac:dyDescent="0.25">
      <c r="A303">
        <v>2025</v>
      </c>
      <c r="B303">
        <v>10</v>
      </c>
      <c r="C303" t="s">
        <v>69</v>
      </c>
      <c r="D303" t="s">
        <v>22</v>
      </c>
      <c r="E303" t="s">
        <v>150</v>
      </c>
      <c r="F303" t="s">
        <v>32</v>
      </c>
      <c r="G303" t="s">
        <v>24</v>
      </c>
      <c r="H303" t="s">
        <v>25</v>
      </c>
      <c r="I303" t="s">
        <v>26</v>
      </c>
      <c r="J303" t="s">
        <v>25</v>
      </c>
      <c r="K303">
        <v>18</v>
      </c>
      <c r="L303">
        <v>0</v>
      </c>
      <c r="M303">
        <v>0</v>
      </c>
      <c r="N303">
        <v>0</v>
      </c>
      <c r="O303">
        <v>6</v>
      </c>
      <c r="P303">
        <v>5</v>
      </c>
      <c r="Q303">
        <v>5</v>
      </c>
      <c r="R303">
        <v>4</v>
      </c>
      <c r="S303">
        <v>4</v>
      </c>
      <c r="T303">
        <v>3</v>
      </c>
      <c r="U303">
        <v>1</v>
      </c>
      <c r="V303">
        <v>18</v>
      </c>
    </row>
    <row r="304" spans="1:22" x14ac:dyDescent="0.25">
      <c r="A304">
        <v>2025</v>
      </c>
      <c r="B304">
        <v>10</v>
      </c>
      <c r="C304" t="s">
        <v>69</v>
      </c>
      <c r="D304" t="s">
        <v>22</v>
      </c>
      <c r="E304" t="s">
        <v>150</v>
      </c>
      <c r="F304" t="s">
        <v>38</v>
      </c>
      <c r="G304" t="s">
        <v>24</v>
      </c>
      <c r="H304" t="s">
        <v>25</v>
      </c>
      <c r="I304" t="s">
        <v>26</v>
      </c>
      <c r="J304" t="s">
        <v>25</v>
      </c>
      <c r="K304">
        <v>8</v>
      </c>
      <c r="L304">
        <v>0</v>
      </c>
      <c r="M304">
        <v>1</v>
      </c>
      <c r="N304">
        <v>1</v>
      </c>
      <c r="O304">
        <v>3</v>
      </c>
      <c r="P304">
        <v>2</v>
      </c>
      <c r="Q304">
        <v>2</v>
      </c>
      <c r="R304">
        <v>1</v>
      </c>
      <c r="S304">
        <v>1</v>
      </c>
      <c r="T304">
        <v>0</v>
      </c>
      <c r="U304">
        <v>0</v>
      </c>
      <c r="V304">
        <v>7</v>
      </c>
    </row>
    <row r="305" spans="1:22" x14ac:dyDescent="0.25">
      <c r="A305">
        <v>2025</v>
      </c>
      <c r="B305">
        <v>10</v>
      </c>
      <c r="C305" t="s">
        <v>69</v>
      </c>
      <c r="D305" t="s">
        <v>22</v>
      </c>
      <c r="E305" t="s">
        <v>155</v>
      </c>
      <c r="F305" t="s">
        <v>34</v>
      </c>
      <c r="G305" t="s">
        <v>24</v>
      </c>
      <c r="H305" t="s">
        <v>25</v>
      </c>
      <c r="I305" t="s">
        <v>26</v>
      </c>
      <c r="J305" t="s">
        <v>26</v>
      </c>
      <c r="K305">
        <v>40</v>
      </c>
      <c r="L305">
        <v>0</v>
      </c>
      <c r="M305">
        <v>0</v>
      </c>
      <c r="N305">
        <v>0</v>
      </c>
      <c r="O305">
        <v>4</v>
      </c>
      <c r="P305">
        <v>4</v>
      </c>
      <c r="Q305">
        <v>4</v>
      </c>
      <c r="R305">
        <v>4</v>
      </c>
      <c r="S305">
        <v>4</v>
      </c>
      <c r="T305">
        <v>4</v>
      </c>
      <c r="U305">
        <v>3</v>
      </c>
      <c r="V305">
        <v>40</v>
      </c>
    </row>
    <row r="306" spans="1:22" x14ac:dyDescent="0.25">
      <c r="A306">
        <v>2025</v>
      </c>
      <c r="B306">
        <v>10</v>
      </c>
      <c r="C306" t="s">
        <v>69</v>
      </c>
      <c r="D306" t="s">
        <v>22</v>
      </c>
      <c r="E306" t="s">
        <v>163</v>
      </c>
      <c r="F306" t="s">
        <v>34</v>
      </c>
      <c r="G306" t="s">
        <v>24</v>
      </c>
      <c r="H306" t="s">
        <v>25</v>
      </c>
      <c r="I306" t="s">
        <v>26</v>
      </c>
      <c r="J306" t="s">
        <v>26</v>
      </c>
      <c r="K306">
        <v>40</v>
      </c>
      <c r="L306">
        <v>0</v>
      </c>
      <c r="M306">
        <v>0</v>
      </c>
      <c r="N306">
        <v>0</v>
      </c>
      <c r="O306">
        <v>5</v>
      </c>
      <c r="P306">
        <v>5</v>
      </c>
      <c r="Q306">
        <v>5</v>
      </c>
      <c r="R306">
        <v>5</v>
      </c>
      <c r="S306">
        <v>5</v>
      </c>
      <c r="T306">
        <v>5</v>
      </c>
      <c r="U306">
        <v>3</v>
      </c>
      <c r="V306">
        <v>40</v>
      </c>
    </row>
    <row r="307" spans="1:22" x14ac:dyDescent="0.25">
      <c r="A307">
        <v>2025</v>
      </c>
      <c r="B307">
        <v>10</v>
      </c>
      <c r="C307" t="s">
        <v>69</v>
      </c>
      <c r="D307" t="s">
        <v>22</v>
      </c>
      <c r="E307" t="s">
        <v>61</v>
      </c>
      <c r="F307" t="s">
        <v>34</v>
      </c>
      <c r="G307" t="s">
        <v>24</v>
      </c>
      <c r="H307" t="s">
        <v>25</v>
      </c>
      <c r="I307" t="s">
        <v>26</v>
      </c>
      <c r="J307" t="s">
        <v>26</v>
      </c>
      <c r="K307">
        <v>1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1</v>
      </c>
    </row>
    <row r="308" spans="1:22" x14ac:dyDescent="0.25">
      <c r="A308">
        <v>2025</v>
      </c>
      <c r="B308">
        <v>10</v>
      </c>
      <c r="C308" t="s">
        <v>69</v>
      </c>
      <c r="D308" t="s">
        <v>22</v>
      </c>
      <c r="E308" t="s">
        <v>61</v>
      </c>
      <c r="F308" t="s">
        <v>35</v>
      </c>
      <c r="G308" t="s">
        <v>28</v>
      </c>
      <c r="H308" t="s">
        <v>25</v>
      </c>
      <c r="I308" t="s">
        <v>26</v>
      </c>
      <c r="J308" t="s">
        <v>26</v>
      </c>
      <c r="K308">
        <v>1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1</v>
      </c>
    </row>
    <row r="309" spans="1:22" x14ac:dyDescent="0.25">
      <c r="A309">
        <v>2025</v>
      </c>
      <c r="B309">
        <v>10</v>
      </c>
      <c r="C309" t="s">
        <v>69</v>
      </c>
      <c r="D309" t="s">
        <v>22</v>
      </c>
      <c r="E309" t="s">
        <v>61</v>
      </c>
      <c r="F309" t="s">
        <v>35</v>
      </c>
      <c r="G309" t="s">
        <v>24</v>
      </c>
      <c r="H309" t="s">
        <v>25</v>
      </c>
      <c r="I309" t="s">
        <v>26</v>
      </c>
      <c r="J309" t="s">
        <v>26</v>
      </c>
      <c r="K309">
        <v>264</v>
      </c>
      <c r="L309">
        <v>9</v>
      </c>
      <c r="M309">
        <v>0</v>
      </c>
      <c r="N309">
        <v>9</v>
      </c>
      <c r="O309">
        <v>87</v>
      </c>
      <c r="P309">
        <v>65</v>
      </c>
      <c r="Q309">
        <v>58</v>
      </c>
      <c r="R309">
        <v>48</v>
      </c>
      <c r="S309">
        <v>37</v>
      </c>
      <c r="T309">
        <v>25</v>
      </c>
      <c r="U309">
        <v>14</v>
      </c>
      <c r="V309">
        <v>255</v>
      </c>
    </row>
    <row r="310" spans="1:22" x14ac:dyDescent="0.25">
      <c r="A310">
        <v>2025</v>
      </c>
      <c r="B310">
        <v>10</v>
      </c>
      <c r="C310" t="s">
        <v>69</v>
      </c>
      <c r="D310" t="s">
        <v>22</v>
      </c>
      <c r="E310" t="s">
        <v>61</v>
      </c>
      <c r="F310" t="s">
        <v>35</v>
      </c>
      <c r="G310" t="s">
        <v>29</v>
      </c>
      <c r="H310" t="s">
        <v>25</v>
      </c>
      <c r="I310" t="s">
        <v>26</v>
      </c>
      <c r="J310" t="s">
        <v>26</v>
      </c>
      <c r="K310">
        <v>1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</row>
    <row r="311" spans="1:22" x14ac:dyDescent="0.25">
      <c r="A311">
        <v>2025</v>
      </c>
      <c r="B311">
        <v>10</v>
      </c>
      <c r="C311" t="s">
        <v>69</v>
      </c>
      <c r="D311" t="s">
        <v>22</v>
      </c>
      <c r="E311" t="s">
        <v>61</v>
      </c>
      <c r="F311" t="s">
        <v>41</v>
      </c>
      <c r="G311" t="s">
        <v>24</v>
      </c>
      <c r="H311" t="s">
        <v>26</v>
      </c>
      <c r="I311" t="s">
        <v>26</v>
      </c>
      <c r="J311" t="s">
        <v>25</v>
      </c>
      <c r="K311">
        <v>61</v>
      </c>
      <c r="L311">
        <v>0</v>
      </c>
      <c r="M311">
        <v>0</v>
      </c>
      <c r="N311">
        <v>0</v>
      </c>
      <c r="O311">
        <v>2</v>
      </c>
      <c r="P311">
        <v>2</v>
      </c>
      <c r="Q311">
        <v>2</v>
      </c>
      <c r="R311">
        <v>2</v>
      </c>
      <c r="S311">
        <v>2</v>
      </c>
      <c r="T311">
        <v>1</v>
      </c>
      <c r="U311">
        <v>0</v>
      </c>
      <c r="V311">
        <v>61</v>
      </c>
    </row>
    <row r="312" spans="1:22" x14ac:dyDescent="0.25">
      <c r="A312">
        <v>2025</v>
      </c>
      <c r="B312">
        <v>10</v>
      </c>
      <c r="C312" t="s">
        <v>69</v>
      </c>
      <c r="D312" t="s">
        <v>22</v>
      </c>
      <c r="E312" t="s">
        <v>166</v>
      </c>
      <c r="F312" t="s">
        <v>32</v>
      </c>
      <c r="G312" t="s">
        <v>24</v>
      </c>
      <c r="H312" t="s">
        <v>25</v>
      </c>
      <c r="I312" t="s">
        <v>26</v>
      </c>
      <c r="J312" t="s">
        <v>25</v>
      </c>
      <c r="K312">
        <v>172</v>
      </c>
      <c r="L312">
        <v>2</v>
      </c>
      <c r="M312">
        <v>0</v>
      </c>
      <c r="N312">
        <v>2</v>
      </c>
      <c r="O312">
        <v>90</v>
      </c>
      <c r="P312">
        <v>87</v>
      </c>
      <c r="Q312">
        <v>84</v>
      </c>
      <c r="R312">
        <v>68</v>
      </c>
      <c r="S312">
        <v>51</v>
      </c>
      <c r="T312">
        <v>39</v>
      </c>
      <c r="U312">
        <v>5</v>
      </c>
      <c r="V312">
        <v>170</v>
      </c>
    </row>
    <row r="313" spans="1:22" x14ac:dyDescent="0.25">
      <c r="A313">
        <v>2025</v>
      </c>
      <c r="B313">
        <v>10</v>
      </c>
      <c r="C313" t="s">
        <v>69</v>
      </c>
      <c r="D313" t="s">
        <v>22</v>
      </c>
      <c r="E313" t="s">
        <v>166</v>
      </c>
      <c r="F313" t="s">
        <v>38</v>
      </c>
      <c r="G313" t="s">
        <v>24</v>
      </c>
      <c r="H313" t="s">
        <v>25</v>
      </c>
      <c r="I313" t="s">
        <v>25</v>
      </c>
      <c r="J313" t="s">
        <v>25</v>
      </c>
      <c r="K313">
        <v>146</v>
      </c>
      <c r="L313">
        <v>1</v>
      </c>
      <c r="M313">
        <v>2</v>
      </c>
      <c r="N313">
        <v>3</v>
      </c>
      <c r="O313">
        <v>97</v>
      </c>
      <c r="P313">
        <v>87</v>
      </c>
      <c r="Q313">
        <v>78</v>
      </c>
      <c r="R313">
        <v>44</v>
      </c>
      <c r="S313">
        <v>31</v>
      </c>
      <c r="T313">
        <v>8</v>
      </c>
      <c r="U313">
        <v>1</v>
      </c>
      <c r="V313">
        <v>144</v>
      </c>
    </row>
    <row r="314" spans="1:22" x14ac:dyDescent="0.25">
      <c r="A314">
        <v>2025</v>
      </c>
      <c r="B314">
        <v>10</v>
      </c>
      <c r="C314" t="s">
        <v>69</v>
      </c>
      <c r="D314" t="s">
        <v>22</v>
      </c>
      <c r="E314" t="s">
        <v>69</v>
      </c>
      <c r="F314" t="s">
        <v>32</v>
      </c>
      <c r="G314" t="s">
        <v>28</v>
      </c>
      <c r="H314" t="s">
        <v>25</v>
      </c>
      <c r="I314" t="s">
        <v>26</v>
      </c>
      <c r="J314" t="s">
        <v>25</v>
      </c>
      <c r="K314">
        <v>69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69</v>
      </c>
    </row>
    <row r="315" spans="1:22" x14ac:dyDescent="0.25">
      <c r="A315">
        <v>2025</v>
      </c>
      <c r="B315">
        <v>10</v>
      </c>
      <c r="C315" t="s">
        <v>69</v>
      </c>
      <c r="D315" t="s">
        <v>22</v>
      </c>
      <c r="E315" t="s">
        <v>69</v>
      </c>
      <c r="F315" t="s">
        <v>38</v>
      </c>
      <c r="G315" t="s">
        <v>24</v>
      </c>
      <c r="H315" t="s">
        <v>25</v>
      </c>
      <c r="I315" t="s">
        <v>25</v>
      </c>
      <c r="J315" t="s">
        <v>25</v>
      </c>
      <c r="K315">
        <v>207</v>
      </c>
      <c r="L315">
        <v>0</v>
      </c>
      <c r="M315">
        <v>4</v>
      </c>
      <c r="N315">
        <v>4</v>
      </c>
      <c r="O315">
        <v>139</v>
      </c>
      <c r="P315">
        <v>128</v>
      </c>
      <c r="Q315">
        <v>124</v>
      </c>
      <c r="R315">
        <v>92</v>
      </c>
      <c r="S315">
        <v>61</v>
      </c>
      <c r="T315">
        <v>28</v>
      </c>
      <c r="U315">
        <v>5</v>
      </c>
      <c r="V315">
        <v>204</v>
      </c>
    </row>
    <row r="316" spans="1:22" x14ac:dyDescent="0.25">
      <c r="A316">
        <v>2025</v>
      </c>
      <c r="B316">
        <v>10</v>
      </c>
      <c r="C316" t="s">
        <v>69</v>
      </c>
      <c r="D316" t="s">
        <v>22</v>
      </c>
      <c r="E316" t="s">
        <v>69</v>
      </c>
      <c r="F316" t="s">
        <v>23</v>
      </c>
      <c r="G316" t="s">
        <v>28</v>
      </c>
      <c r="H316" t="s">
        <v>25</v>
      </c>
      <c r="I316" t="s">
        <v>26</v>
      </c>
      <c r="J316" t="s">
        <v>25</v>
      </c>
      <c r="K316">
        <v>8048</v>
      </c>
      <c r="L316">
        <v>8</v>
      </c>
      <c r="M316">
        <v>52</v>
      </c>
      <c r="N316">
        <v>60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8010</v>
      </c>
    </row>
    <row r="317" spans="1:22" x14ac:dyDescent="0.25">
      <c r="A317">
        <v>2025</v>
      </c>
      <c r="B317">
        <v>10</v>
      </c>
      <c r="C317" t="s">
        <v>69</v>
      </c>
      <c r="D317" t="s">
        <v>22</v>
      </c>
      <c r="E317" t="s">
        <v>69</v>
      </c>
      <c r="F317" t="s">
        <v>23</v>
      </c>
      <c r="G317" t="s">
        <v>24</v>
      </c>
      <c r="H317" t="s">
        <v>25</v>
      </c>
      <c r="I317" t="s">
        <v>26</v>
      </c>
      <c r="J317" t="s">
        <v>25</v>
      </c>
      <c r="K317">
        <v>758</v>
      </c>
      <c r="L317">
        <v>31</v>
      </c>
      <c r="M317">
        <v>41</v>
      </c>
      <c r="N317">
        <v>72</v>
      </c>
      <c r="O317">
        <v>261</v>
      </c>
      <c r="P317">
        <v>217</v>
      </c>
      <c r="Q317">
        <v>214</v>
      </c>
      <c r="R317">
        <v>185</v>
      </c>
      <c r="S317">
        <v>148</v>
      </c>
      <c r="T317">
        <v>19</v>
      </c>
      <c r="U317">
        <v>0</v>
      </c>
      <c r="V317">
        <v>712</v>
      </c>
    </row>
    <row r="318" spans="1:22" x14ac:dyDescent="0.25">
      <c r="A318">
        <v>2025</v>
      </c>
      <c r="B318">
        <v>10</v>
      </c>
      <c r="C318" t="s">
        <v>69</v>
      </c>
      <c r="D318" t="s">
        <v>22</v>
      </c>
      <c r="E318" t="s">
        <v>69</v>
      </c>
      <c r="F318" t="s">
        <v>23</v>
      </c>
      <c r="G318" t="s">
        <v>29</v>
      </c>
      <c r="H318" t="s">
        <v>25</v>
      </c>
      <c r="I318" t="s">
        <v>26</v>
      </c>
      <c r="J318" t="s">
        <v>25</v>
      </c>
      <c r="K318">
        <v>2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</row>
    <row r="319" spans="1:22" x14ac:dyDescent="0.25">
      <c r="A319">
        <v>2025</v>
      </c>
      <c r="B319">
        <v>10</v>
      </c>
      <c r="C319" t="s">
        <v>69</v>
      </c>
      <c r="D319" t="s">
        <v>22</v>
      </c>
      <c r="E319" t="s">
        <v>69</v>
      </c>
      <c r="F319" t="s">
        <v>39</v>
      </c>
      <c r="G319" t="s">
        <v>28</v>
      </c>
      <c r="H319" t="s">
        <v>26</v>
      </c>
      <c r="I319" t="s">
        <v>26</v>
      </c>
      <c r="J319" t="s">
        <v>25</v>
      </c>
      <c r="K319">
        <v>58</v>
      </c>
      <c r="L319">
        <v>2</v>
      </c>
      <c r="M319">
        <v>0</v>
      </c>
      <c r="N319">
        <v>2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56</v>
      </c>
    </row>
    <row r="320" spans="1:22" x14ac:dyDescent="0.25">
      <c r="A320">
        <v>2025</v>
      </c>
      <c r="B320">
        <v>10</v>
      </c>
      <c r="C320" t="s">
        <v>69</v>
      </c>
      <c r="D320" t="s">
        <v>22</v>
      </c>
      <c r="E320" t="s">
        <v>69</v>
      </c>
      <c r="F320" t="s">
        <v>39</v>
      </c>
      <c r="G320" t="s">
        <v>29</v>
      </c>
      <c r="H320" t="s">
        <v>26</v>
      </c>
      <c r="I320" t="s">
        <v>26</v>
      </c>
      <c r="J320" t="s">
        <v>25</v>
      </c>
      <c r="K320">
        <v>2</v>
      </c>
      <c r="L320">
        <v>2</v>
      </c>
      <c r="M320">
        <v>0</v>
      </c>
      <c r="N320">
        <v>2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</row>
    <row r="321" spans="1:22" x14ac:dyDescent="0.25">
      <c r="A321">
        <v>2025</v>
      </c>
      <c r="B321">
        <v>10</v>
      </c>
      <c r="C321" t="s">
        <v>69</v>
      </c>
      <c r="D321" t="s">
        <v>22</v>
      </c>
      <c r="E321" t="s">
        <v>69</v>
      </c>
      <c r="F321" t="s">
        <v>40</v>
      </c>
      <c r="G321" t="s">
        <v>28</v>
      </c>
      <c r="H321" t="s">
        <v>25</v>
      </c>
      <c r="I321" t="s">
        <v>26</v>
      </c>
      <c r="J321" t="s">
        <v>25</v>
      </c>
      <c r="K321">
        <v>8921</v>
      </c>
      <c r="L321">
        <v>13</v>
      </c>
      <c r="M321">
        <v>26</v>
      </c>
      <c r="N321">
        <v>39</v>
      </c>
      <c r="O321">
        <v>2</v>
      </c>
      <c r="P321">
        <v>1</v>
      </c>
      <c r="Q321">
        <v>1</v>
      </c>
      <c r="R321">
        <v>1</v>
      </c>
      <c r="S321">
        <v>0</v>
      </c>
      <c r="T321">
        <v>0</v>
      </c>
      <c r="U321">
        <v>0</v>
      </c>
      <c r="V321">
        <v>8890</v>
      </c>
    </row>
    <row r="322" spans="1:22" x14ac:dyDescent="0.25">
      <c r="A322">
        <v>2025</v>
      </c>
      <c r="B322">
        <v>10</v>
      </c>
      <c r="C322" t="s">
        <v>69</v>
      </c>
      <c r="D322" t="s">
        <v>22</v>
      </c>
      <c r="E322" t="s">
        <v>69</v>
      </c>
      <c r="F322" t="s">
        <v>40</v>
      </c>
      <c r="G322" t="s">
        <v>24</v>
      </c>
      <c r="H322" t="s">
        <v>25</v>
      </c>
      <c r="I322" t="s">
        <v>26</v>
      </c>
      <c r="J322" t="s">
        <v>25</v>
      </c>
      <c r="K322">
        <v>730</v>
      </c>
      <c r="L322">
        <v>0</v>
      </c>
      <c r="M322">
        <v>1</v>
      </c>
      <c r="N322">
        <v>1</v>
      </c>
      <c r="O322">
        <v>85</v>
      </c>
      <c r="P322">
        <v>6</v>
      </c>
      <c r="Q322">
        <v>5</v>
      </c>
      <c r="R322">
        <v>3</v>
      </c>
      <c r="S322">
        <v>0</v>
      </c>
      <c r="T322">
        <v>0</v>
      </c>
      <c r="U322">
        <v>0</v>
      </c>
      <c r="V322">
        <v>729</v>
      </c>
    </row>
    <row r="323" spans="1:22" x14ac:dyDescent="0.25">
      <c r="A323">
        <v>2025</v>
      </c>
      <c r="B323">
        <v>10</v>
      </c>
      <c r="C323" t="s">
        <v>69</v>
      </c>
      <c r="D323" t="s">
        <v>22</v>
      </c>
      <c r="E323" t="s">
        <v>69</v>
      </c>
      <c r="F323" t="s">
        <v>40</v>
      </c>
      <c r="G323" t="s">
        <v>29</v>
      </c>
      <c r="H323" t="s">
        <v>25</v>
      </c>
      <c r="I323" t="s">
        <v>26</v>
      </c>
      <c r="J323" t="s">
        <v>25</v>
      </c>
      <c r="K323">
        <v>3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</row>
    <row r="324" spans="1:22" x14ac:dyDescent="0.25">
      <c r="A324">
        <v>2025</v>
      </c>
      <c r="B324">
        <v>10</v>
      </c>
      <c r="C324" t="s">
        <v>69</v>
      </c>
      <c r="D324" t="s">
        <v>22</v>
      </c>
      <c r="E324" t="s">
        <v>124</v>
      </c>
      <c r="F324" t="s">
        <v>113</v>
      </c>
      <c r="G324" t="s">
        <v>24</v>
      </c>
      <c r="H324" t="s">
        <v>26</v>
      </c>
      <c r="I324" t="s">
        <v>26</v>
      </c>
      <c r="J324" t="s">
        <v>25</v>
      </c>
      <c r="K324">
        <v>49</v>
      </c>
      <c r="L324">
        <v>0</v>
      </c>
      <c r="M324">
        <v>1</v>
      </c>
      <c r="N324">
        <v>1</v>
      </c>
      <c r="O324">
        <v>1</v>
      </c>
      <c r="P324">
        <v>1</v>
      </c>
      <c r="Q324">
        <v>1</v>
      </c>
      <c r="R324">
        <v>1</v>
      </c>
      <c r="S324">
        <v>0</v>
      </c>
      <c r="T324">
        <v>0</v>
      </c>
      <c r="U324">
        <v>0</v>
      </c>
      <c r="V324">
        <v>49</v>
      </c>
    </row>
    <row r="325" spans="1:22" x14ac:dyDescent="0.25">
      <c r="A325">
        <v>2025</v>
      </c>
      <c r="B325">
        <v>10</v>
      </c>
      <c r="C325" t="s">
        <v>69</v>
      </c>
      <c r="D325" t="s">
        <v>22</v>
      </c>
      <c r="E325" t="s">
        <v>124</v>
      </c>
      <c r="F325" t="s">
        <v>70</v>
      </c>
      <c r="G325" t="s">
        <v>24</v>
      </c>
      <c r="H325" t="s">
        <v>26</v>
      </c>
      <c r="I325" t="s">
        <v>26</v>
      </c>
      <c r="J325" t="s">
        <v>25</v>
      </c>
      <c r="K325">
        <v>236</v>
      </c>
      <c r="L325">
        <v>0</v>
      </c>
      <c r="M325">
        <v>2</v>
      </c>
      <c r="N325">
        <v>2</v>
      </c>
      <c r="O325">
        <v>7</v>
      </c>
      <c r="P325">
        <v>6</v>
      </c>
      <c r="Q325">
        <v>5</v>
      </c>
      <c r="R325">
        <v>5</v>
      </c>
      <c r="S325">
        <v>5</v>
      </c>
      <c r="T325">
        <v>2</v>
      </c>
      <c r="U325">
        <v>0</v>
      </c>
      <c r="V325">
        <v>234</v>
      </c>
    </row>
    <row r="326" spans="1:22" x14ac:dyDescent="0.25">
      <c r="A326">
        <v>2025</v>
      </c>
      <c r="B326">
        <v>10</v>
      </c>
      <c r="C326" t="s">
        <v>69</v>
      </c>
      <c r="D326" t="s">
        <v>22</v>
      </c>
      <c r="E326" t="s">
        <v>124</v>
      </c>
      <c r="F326" t="s">
        <v>70</v>
      </c>
      <c r="G326" t="s">
        <v>29</v>
      </c>
      <c r="H326" t="s">
        <v>26</v>
      </c>
      <c r="I326" t="s">
        <v>26</v>
      </c>
      <c r="J326" t="s">
        <v>25</v>
      </c>
      <c r="K326">
        <v>1</v>
      </c>
      <c r="L326">
        <v>1</v>
      </c>
      <c r="M326">
        <v>0</v>
      </c>
      <c r="N326">
        <v>1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</row>
    <row r="327" spans="1:22" x14ac:dyDescent="0.25">
      <c r="A327">
        <v>2025</v>
      </c>
      <c r="B327">
        <v>10</v>
      </c>
      <c r="C327" t="s">
        <v>69</v>
      </c>
      <c r="D327" t="s">
        <v>22</v>
      </c>
      <c r="E327" t="s">
        <v>173</v>
      </c>
      <c r="F327" t="s">
        <v>32</v>
      </c>
      <c r="G327" t="s">
        <v>24</v>
      </c>
      <c r="H327" t="s">
        <v>25</v>
      </c>
      <c r="I327" t="s">
        <v>26</v>
      </c>
      <c r="J327" t="s">
        <v>25</v>
      </c>
      <c r="K327">
        <v>835</v>
      </c>
      <c r="L327">
        <v>0</v>
      </c>
      <c r="M327">
        <v>15</v>
      </c>
      <c r="N327">
        <v>15</v>
      </c>
      <c r="O327">
        <v>69</v>
      </c>
      <c r="P327">
        <v>59</v>
      </c>
      <c r="Q327">
        <v>54</v>
      </c>
      <c r="R327">
        <v>31</v>
      </c>
      <c r="S327">
        <v>23</v>
      </c>
      <c r="T327">
        <v>10</v>
      </c>
      <c r="U327">
        <v>1</v>
      </c>
      <c r="V327">
        <v>834</v>
      </c>
    </row>
    <row r="328" spans="1:22" x14ac:dyDescent="0.25">
      <c r="A328">
        <v>2025</v>
      </c>
      <c r="B328">
        <v>10</v>
      </c>
      <c r="C328" t="s">
        <v>69</v>
      </c>
      <c r="D328" t="s">
        <v>22</v>
      </c>
      <c r="E328" t="s">
        <v>173</v>
      </c>
      <c r="F328" t="s">
        <v>38</v>
      </c>
      <c r="G328" t="s">
        <v>24</v>
      </c>
      <c r="H328" t="s">
        <v>25</v>
      </c>
      <c r="I328" t="s">
        <v>25</v>
      </c>
      <c r="J328" t="s">
        <v>25</v>
      </c>
      <c r="K328">
        <v>50</v>
      </c>
      <c r="L328">
        <v>1</v>
      </c>
      <c r="M328">
        <v>4</v>
      </c>
      <c r="N328">
        <v>5</v>
      </c>
      <c r="O328">
        <v>13</v>
      </c>
      <c r="P328">
        <v>12</v>
      </c>
      <c r="Q328">
        <v>11</v>
      </c>
      <c r="R328">
        <v>10</v>
      </c>
      <c r="S328">
        <v>7</v>
      </c>
      <c r="T328">
        <v>3</v>
      </c>
      <c r="U328">
        <v>2</v>
      </c>
      <c r="V328">
        <v>49</v>
      </c>
    </row>
    <row r="329" spans="1:22" x14ac:dyDescent="0.25">
      <c r="A329">
        <v>2025</v>
      </c>
      <c r="B329">
        <v>10</v>
      </c>
      <c r="C329" t="s">
        <v>69</v>
      </c>
      <c r="D329" t="s">
        <v>22</v>
      </c>
      <c r="E329" t="s">
        <v>75</v>
      </c>
      <c r="F329" t="s">
        <v>113</v>
      </c>
      <c r="G329" t="s">
        <v>24</v>
      </c>
      <c r="H329" t="s">
        <v>26</v>
      </c>
      <c r="I329" t="s">
        <v>26</v>
      </c>
      <c r="J329" t="s">
        <v>25</v>
      </c>
      <c r="K329">
        <v>339</v>
      </c>
      <c r="L329">
        <v>0</v>
      </c>
      <c r="M329">
        <v>0</v>
      </c>
      <c r="N329">
        <v>0</v>
      </c>
      <c r="O329">
        <v>32</v>
      </c>
      <c r="P329">
        <v>18</v>
      </c>
      <c r="Q329">
        <v>18</v>
      </c>
      <c r="R329">
        <v>12</v>
      </c>
      <c r="S329">
        <v>8</v>
      </c>
      <c r="T329">
        <v>4</v>
      </c>
      <c r="U329">
        <v>2</v>
      </c>
      <c r="V329">
        <v>339</v>
      </c>
    </row>
    <row r="330" spans="1:22" x14ac:dyDescent="0.25">
      <c r="A330">
        <v>2025</v>
      </c>
      <c r="B330">
        <v>10</v>
      </c>
      <c r="C330" t="s">
        <v>69</v>
      </c>
      <c r="D330" t="s">
        <v>22</v>
      </c>
      <c r="E330" t="s">
        <v>75</v>
      </c>
      <c r="F330" t="s">
        <v>113</v>
      </c>
      <c r="G330" t="s">
        <v>29</v>
      </c>
      <c r="H330" t="s">
        <v>26</v>
      </c>
      <c r="I330" t="s">
        <v>26</v>
      </c>
      <c r="J330" t="s">
        <v>25</v>
      </c>
      <c r="K330">
        <v>3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</row>
    <row r="331" spans="1:22" x14ac:dyDescent="0.25">
      <c r="A331">
        <v>2025</v>
      </c>
      <c r="B331">
        <v>10</v>
      </c>
      <c r="C331" t="s">
        <v>69</v>
      </c>
      <c r="D331" t="s">
        <v>22</v>
      </c>
      <c r="E331" t="s">
        <v>80</v>
      </c>
      <c r="F331" t="s">
        <v>76</v>
      </c>
      <c r="G331" t="s">
        <v>28</v>
      </c>
      <c r="H331" t="s">
        <v>25</v>
      </c>
      <c r="I331" t="s">
        <v>26</v>
      </c>
      <c r="J331" t="s">
        <v>25</v>
      </c>
      <c r="K331">
        <v>1</v>
      </c>
      <c r="L331">
        <v>0</v>
      </c>
      <c r="M331">
        <v>0</v>
      </c>
      <c r="N331">
        <v>0</v>
      </c>
      <c r="O331">
        <v>1</v>
      </c>
      <c r="P331">
        <v>1</v>
      </c>
      <c r="Q331">
        <v>1</v>
      </c>
      <c r="R331">
        <v>1</v>
      </c>
      <c r="S331">
        <v>1</v>
      </c>
      <c r="T331">
        <v>1</v>
      </c>
      <c r="U331">
        <v>1</v>
      </c>
      <c r="V331">
        <v>1</v>
      </c>
    </row>
    <row r="332" spans="1:22" x14ac:dyDescent="0.25">
      <c r="A332">
        <v>2025</v>
      </c>
      <c r="B332">
        <v>11</v>
      </c>
      <c r="C332" t="s">
        <v>69</v>
      </c>
      <c r="D332" t="s">
        <v>22</v>
      </c>
      <c r="E332" t="s">
        <v>132</v>
      </c>
      <c r="F332" t="s">
        <v>32</v>
      </c>
      <c r="G332" t="s">
        <v>24</v>
      </c>
      <c r="H332" t="s">
        <v>25</v>
      </c>
      <c r="I332" t="s">
        <v>26</v>
      </c>
      <c r="J332" t="s">
        <v>25</v>
      </c>
      <c r="K332">
        <v>48</v>
      </c>
      <c r="L332">
        <v>0</v>
      </c>
      <c r="M332">
        <v>0</v>
      </c>
      <c r="N332">
        <v>0</v>
      </c>
      <c r="O332">
        <v>17</v>
      </c>
      <c r="P332">
        <v>12</v>
      </c>
      <c r="Q332">
        <v>11</v>
      </c>
      <c r="R332">
        <v>7</v>
      </c>
      <c r="S332">
        <v>6</v>
      </c>
      <c r="T332">
        <v>4</v>
      </c>
      <c r="U332">
        <v>2</v>
      </c>
      <c r="V332">
        <v>48</v>
      </c>
    </row>
    <row r="333" spans="1:22" x14ac:dyDescent="0.25">
      <c r="A333">
        <v>2025</v>
      </c>
      <c r="B333">
        <v>11</v>
      </c>
      <c r="C333" t="s">
        <v>69</v>
      </c>
      <c r="D333" t="s">
        <v>22</v>
      </c>
      <c r="E333" t="s">
        <v>132</v>
      </c>
      <c r="F333" t="s">
        <v>34</v>
      </c>
      <c r="G333" t="s">
        <v>24</v>
      </c>
      <c r="H333" t="s">
        <v>25</v>
      </c>
      <c r="I333" t="s">
        <v>26</v>
      </c>
      <c r="J333" t="s">
        <v>26</v>
      </c>
      <c r="K333">
        <v>47</v>
      </c>
      <c r="L333">
        <v>0</v>
      </c>
      <c r="M333">
        <v>0</v>
      </c>
      <c r="N333">
        <v>0</v>
      </c>
      <c r="O333">
        <v>17</v>
      </c>
      <c r="P333">
        <v>12</v>
      </c>
      <c r="Q333">
        <v>10</v>
      </c>
      <c r="R333">
        <v>7</v>
      </c>
      <c r="S333">
        <v>6</v>
      </c>
      <c r="T333">
        <v>4</v>
      </c>
      <c r="U333">
        <v>2</v>
      </c>
      <c r="V333">
        <v>47</v>
      </c>
    </row>
    <row r="334" spans="1:22" x14ac:dyDescent="0.25">
      <c r="A334">
        <v>2025</v>
      </c>
      <c r="B334">
        <v>11</v>
      </c>
      <c r="C334" t="s">
        <v>69</v>
      </c>
      <c r="D334" t="s">
        <v>22</v>
      </c>
      <c r="E334" t="s">
        <v>37</v>
      </c>
      <c r="F334" t="s">
        <v>38</v>
      </c>
      <c r="G334" t="s">
        <v>24</v>
      </c>
      <c r="H334" t="s">
        <v>25</v>
      </c>
      <c r="I334" t="s">
        <v>26</v>
      </c>
      <c r="J334" t="s">
        <v>25</v>
      </c>
      <c r="K334">
        <v>8</v>
      </c>
      <c r="L334">
        <v>0</v>
      </c>
      <c r="M334">
        <v>0</v>
      </c>
      <c r="N334">
        <v>0</v>
      </c>
      <c r="O334">
        <v>3</v>
      </c>
      <c r="P334">
        <v>3</v>
      </c>
      <c r="Q334">
        <v>3</v>
      </c>
      <c r="R334">
        <v>3</v>
      </c>
      <c r="S334">
        <v>3</v>
      </c>
      <c r="T334">
        <v>3</v>
      </c>
      <c r="U334">
        <v>3</v>
      </c>
      <c r="V334">
        <v>8</v>
      </c>
    </row>
    <row r="335" spans="1:22" x14ac:dyDescent="0.25">
      <c r="A335">
        <v>2025</v>
      </c>
      <c r="B335">
        <v>11</v>
      </c>
      <c r="C335" t="s">
        <v>69</v>
      </c>
      <c r="D335" t="s">
        <v>22</v>
      </c>
      <c r="E335" t="s">
        <v>37</v>
      </c>
      <c r="F335" t="s">
        <v>23</v>
      </c>
      <c r="G335" t="s">
        <v>24</v>
      </c>
      <c r="H335" t="s">
        <v>25</v>
      </c>
      <c r="I335" t="s">
        <v>26</v>
      </c>
      <c r="J335" t="s">
        <v>25</v>
      </c>
      <c r="K335">
        <v>32</v>
      </c>
      <c r="L335">
        <v>0</v>
      </c>
      <c r="M335">
        <v>0</v>
      </c>
      <c r="N335">
        <v>0</v>
      </c>
      <c r="O335">
        <v>6</v>
      </c>
      <c r="P335">
        <v>4</v>
      </c>
      <c r="Q335">
        <v>4</v>
      </c>
      <c r="R335">
        <v>3</v>
      </c>
      <c r="S335">
        <v>1</v>
      </c>
      <c r="T335">
        <v>0</v>
      </c>
      <c r="U335">
        <v>0</v>
      </c>
      <c r="V335">
        <v>32</v>
      </c>
    </row>
    <row r="336" spans="1:22" x14ac:dyDescent="0.25">
      <c r="A336">
        <v>2025</v>
      </c>
      <c r="B336">
        <v>11</v>
      </c>
      <c r="C336" t="s">
        <v>69</v>
      </c>
      <c r="D336" t="s">
        <v>22</v>
      </c>
      <c r="E336" t="s">
        <v>37</v>
      </c>
      <c r="F336" t="s">
        <v>39</v>
      </c>
      <c r="G336" t="s">
        <v>28</v>
      </c>
      <c r="H336" t="s">
        <v>26</v>
      </c>
      <c r="I336" t="s">
        <v>26</v>
      </c>
      <c r="J336" t="s">
        <v>25</v>
      </c>
      <c r="K336">
        <v>1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1</v>
      </c>
    </row>
    <row r="337" spans="1:22" x14ac:dyDescent="0.25">
      <c r="A337">
        <v>2025</v>
      </c>
      <c r="B337">
        <v>11</v>
      </c>
      <c r="C337" t="s">
        <v>69</v>
      </c>
      <c r="D337" t="s">
        <v>22</v>
      </c>
      <c r="E337" t="s">
        <v>145</v>
      </c>
      <c r="F337" t="s">
        <v>32</v>
      </c>
      <c r="G337" t="s">
        <v>24</v>
      </c>
      <c r="H337" t="s">
        <v>25</v>
      </c>
      <c r="I337" t="s">
        <v>26</v>
      </c>
      <c r="J337" t="s">
        <v>25</v>
      </c>
      <c r="K337">
        <v>290</v>
      </c>
      <c r="L337">
        <v>3</v>
      </c>
      <c r="M337">
        <v>0</v>
      </c>
      <c r="N337">
        <v>3</v>
      </c>
      <c r="O337">
        <v>72</v>
      </c>
      <c r="P337">
        <v>39</v>
      </c>
      <c r="Q337">
        <v>31</v>
      </c>
      <c r="R337">
        <v>17</v>
      </c>
      <c r="S337">
        <v>13</v>
      </c>
      <c r="T337">
        <v>7</v>
      </c>
      <c r="U337">
        <v>1</v>
      </c>
      <c r="V337">
        <v>287</v>
      </c>
    </row>
    <row r="338" spans="1:22" x14ac:dyDescent="0.25">
      <c r="A338">
        <v>2025</v>
      </c>
      <c r="B338">
        <v>11</v>
      </c>
      <c r="C338" t="s">
        <v>69</v>
      </c>
      <c r="D338" t="s">
        <v>22</v>
      </c>
      <c r="E338" t="s">
        <v>149</v>
      </c>
      <c r="F338" t="s">
        <v>32</v>
      </c>
      <c r="G338" t="s">
        <v>24</v>
      </c>
      <c r="H338" t="s">
        <v>25</v>
      </c>
      <c r="I338" t="s">
        <v>26</v>
      </c>
      <c r="J338" t="s">
        <v>25</v>
      </c>
      <c r="K338">
        <v>73</v>
      </c>
      <c r="L338">
        <v>2</v>
      </c>
      <c r="M338">
        <v>1</v>
      </c>
      <c r="N338">
        <v>3</v>
      </c>
      <c r="O338">
        <v>47</v>
      </c>
      <c r="P338">
        <v>39</v>
      </c>
      <c r="Q338">
        <v>37</v>
      </c>
      <c r="R338">
        <v>34</v>
      </c>
      <c r="S338">
        <v>31</v>
      </c>
      <c r="T338">
        <v>19</v>
      </c>
      <c r="U338">
        <v>10</v>
      </c>
      <c r="V338">
        <v>71</v>
      </c>
    </row>
    <row r="339" spans="1:22" x14ac:dyDescent="0.25">
      <c r="A339">
        <v>2025</v>
      </c>
      <c r="B339">
        <v>11</v>
      </c>
      <c r="C339" t="s">
        <v>69</v>
      </c>
      <c r="D339" t="s">
        <v>22</v>
      </c>
      <c r="E339" t="s">
        <v>149</v>
      </c>
      <c r="F339" t="s">
        <v>38</v>
      </c>
      <c r="G339" t="s">
        <v>24</v>
      </c>
      <c r="H339" t="s">
        <v>25</v>
      </c>
      <c r="I339" t="s">
        <v>26</v>
      </c>
      <c r="J339" t="s">
        <v>25</v>
      </c>
      <c r="K339">
        <v>1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1</v>
      </c>
    </row>
    <row r="340" spans="1:22" x14ac:dyDescent="0.25">
      <c r="A340">
        <v>2025</v>
      </c>
      <c r="B340">
        <v>11</v>
      </c>
      <c r="C340" t="s">
        <v>69</v>
      </c>
      <c r="D340" t="s">
        <v>22</v>
      </c>
      <c r="E340" t="s">
        <v>149</v>
      </c>
      <c r="F340" t="s">
        <v>23</v>
      </c>
      <c r="G340" t="s">
        <v>24</v>
      </c>
      <c r="H340" t="s">
        <v>25</v>
      </c>
      <c r="I340" t="s">
        <v>26</v>
      </c>
      <c r="J340" t="s">
        <v>25</v>
      </c>
      <c r="K340">
        <v>398</v>
      </c>
      <c r="L340">
        <v>15</v>
      </c>
      <c r="M340">
        <v>12</v>
      </c>
      <c r="N340">
        <v>27</v>
      </c>
      <c r="O340">
        <v>132</v>
      </c>
      <c r="P340">
        <v>116</v>
      </c>
      <c r="Q340">
        <v>107</v>
      </c>
      <c r="R340">
        <v>80</v>
      </c>
      <c r="S340">
        <v>58</v>
      </c>
      <c r="T340">
        <v>22</v>
      </c>
      <c r="U340">
        <v>15</v>
      </c>
      <c r="V340">
        <v>371</v>
      </c>
    </row>
    <row r="341" spans="1:22" x14ac:dyDescent="0.25">
      <c r="A341">
        <v>2025</v>
      </c>
      <c r="B341">
        <v>11</v>
      </c>
      <c r="C341" t="s">
        <v>69</v>
      </c>
      <c r="D341" t="s">
        <v>22</v>
      </c>
      <c r="E341" t="s">
        <v>149</v>
      </c>
      <c r="F341" t="s">
        <v>39</v>
      </c>
      <c r="G341" t="s">
        <v>24</v>
      </c>
      <c r="H341" t="s">
        <v>26</v>
      </c>
      <c r="I341" t="s">
        <v>26</v>
      </c>
      <c r="J341" t="s">
        <v>25</v>
      </c>
      <c r="K341">
        <v>1139</v>
      </c>
      <c r="L341">
        <v>48</v>
      </c>
      <c r="M341">
        <v>158</v>
      </c>
      <c r="N341">
        <v>206</v>
      </c>
      <c r="O341">
        <v>271</v>
      </c>
      <c r="P341">
        <v>207</v>
      </c>
      <c r="Q341">
        <v>182</v>
      </c>
      <c r="R341">
        <v>125</v>
      </c>
      <c r="S341">
        <v>88</v>
      </c>
      <c r="T341">
        <v>37</v>
      </c>
      <c r="U341">
        <v>7</v>
      </c>
      <c r="V341">
        <v>1000</v>
      </c>
    </row>
    <row r="342" spans="1:22" x14ac:dyDescent="0.25">
      <c r="A342">
        <v>2025</v>
      </c>
      <c r="B342">
        <v>11</v>
      </c>
      <c r="C342" t="s">
        <v>69</v>
      </c>
      <c r="D342" t="s">
        <v>22</v>
      </c>
      <c r="E342" t="s">
        <v>150</v>
      </c>
      <c r="F342" t="s">
        <v>32</v>
      </c>
      <c r="G342" t="s">
        <v>24</v>
      </c>
      <c r="H342" t="s">
        <v>25</v>
      </c>
      <c r="I342" t="s">
        <v>26</v>
      </c>
      <c r="J342" t="s">
        <v>25</v>
      </c>
      <c r="K342">
        <v>27</v>
      </c>
      <c r="L342">
        <v>0</v>
      </c>
      <c r="M342">
        <v>0</v>
      </c>
      <c r="N342">
        <v>0</v>
      </c>
      <c r="O342">
        <v>13</v>
      </c>
      <c r="P342">
        <v>9</v>
      </c>
      <c r="Q342">
        <v>8</v>
      </c>
      <c r="R342">
        <v>4</v>
      </c>
      <c r="S342">
        <v>3</v>
      </c>
      <c r="T342">
        <v>1</v>
      </c>
      <c r="U342">
        <v>0</v>
      </c>
      <c r="V342">
        <v>27</v>
      </c>
    </row>
    <row r="343" spans="1:22" x14ac:dyDescent="0.25">
      <c r="A343">
        <v>2025</v>
      </c>
      <c r="B343">
        <v>11</v>
      </c>
      <c r="C343" t="s">
        <v>69</v>
      </c>
      <c r="D343" t="s">
        <v>22</v>
      </c>
      <c r="E343" t="s">
        <v>51</v>
      </c>
      <c r="F343" t="s">
        <v>34</v>
      </c>
      <c r="G343" t="s">
        <v>24</v>
      </c>
      <c r="H343" t="s">
        <v>25</v>
      </c>
      <c r="I343" t="s">
        <v>26</v>
      </c>
      <c r="J343" t="s">
        <v>26</v>
      </c>
      <c r="K343">
        <v>1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1</v>
      </c>
    </row>
    <row r="344" spans="1:22" x14ac:dyDescent="0.25">
      <c r="A344">
        <v>2025</v>
      </c>
      <c r="B344">
        <v>11</v>
      </c>
      <c r="C344" t="s">
        <v>69</v>
      </c>
      <c r="D344" t="s">
        <v>22</v>
      </c>
      <c r="E344" t="s">
        <v>155</v>
      </c>
      <c r="F344" t="s">
        <v>34</v>
      </c>
      <c r="G344" t="s">
        <v>24</v>
      </c>
      <c r="H344" t="s">
        <v>25</v>
      </c>
      <c r="I344" t="s">
        <v>26</v>
      </c>
      <c r="J344" t="s">
        <v>26</v>
      </c>
      <c r="K344">
        <v>54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54</v>
      </c>
    </row>
    <row r="345" spans="1:22" x14ac:dyDescent="0.25">
      <c r="A345">
        <v>2025</v>
      </c>
      <c r="B345">
        <v>11</v>
      </c>
      <c r="C345" t="s">
        <v>69</v>
      </c>
      <c r="D345" t="s">
        <v>22</v>
      </c>
      <c r="E345" t="s">
        <v>163</v>
      </c>
      <c r="F345" t="s">
        <v>34</v>
      </c>
      <c r="G345" t="s">
        <v>24</v>
      </c>
      <c r="H345" t="s">
        <v>25</v>
      </c>
      <c r="I345" t="s">
        <v>26</v>
      </c>
      <c r="J345" t="s">
        <v>26</v>
      </c>
      <c r="K345">
        <v>49</v>
      </c>
      <c r="L345">
        <v>0</v>
      </c>
      <c r="M345">
        <v>0</v>
      </c>
      <c r="N345">
        <v>0</v>
      </c>
      <c r="O345">
        <v>2</v>
      </c>
      <c r="P345">
        <v>2</v>
      </c>
      <c r="Q345">
        <v>2</v>
      </c>
      <c r="R345">
        <v>2</v>
      </c>
      <c r="S345">
        <v>2</v>
      </c>
      <c r="T345">
        <v>2</v>
      </c>
      <c r="U345">
        <v>1</v>
      </c>
      <c r="V345">
        <v>49</v>
      </c>
    </row>
    <row r="346" spans="1:22" x14ac:dyDescent="0.25">
      <c r="A346">
        <v>2025</v>
      </c>
      <c r="B346">
        <v>11</v>
      </c>
      <c r="C346" t="s">
        <v>69</v>
      </c>
      <c r="D346" t="s">
        <v>22</v>
      </c>
      <c r="E346" t="s">
        <v>61</v>
      </c>
      <c r="F346" t="s">
        <v>34</v>
      </c>
      <c r="G346" t="s">
        <v>24</v>
      </c>
      <c r="H346" t="s">
        <v>25</v>
      </c>
      <c r="I346" t="s">
        <v>26</v>
      </c>
      <c r="J346" t="s">
        <v>26</v>
      </c>
      <c r="K346">
        <v>8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8</v>
      </c>
    </row>
    <row r="347" spans="1:22" x14ac:dyDescent="0.25">
      <c r="A347">
        <v>2025</v>
      </c>
      <c r="B347">
        <v>11</v>
      </c>
      <c r="C347" t="s">
        <v>69</v>
      </c>
      <c r="D347" t="s">
        <v>22</v>
      </c>
      <c r="E347" t="s">
        <v>61</v>
      </c>
      <c r="F347" t="s">
        <v>35</v>
      </c>
      <c r="G347" t="s">
        <v>28</v>
      </c>
      <c r="H347" t="s">
        <v>25</v>
      </c>
      <c r="I347" t="s">
        <v>26</v>
      </c>
      <c r="J347" t="s">
        <v>26</v>
      </c>
      <c r="K347">
        <v>1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1</v>
      </c>
    </row>
    <row r="348" spans="1:22" x14ac:dyDescent="0.25">
      <c r="A348">
        <v>2025</v>
      </c>
      <c r="B348">
        <v>11</v>
      </c>
      <c r="C348" t="s">
        <v>69</v>
      </c>
      <c r="D348" t="s">
        <v>22</v>
      </c>
      <c r="E348" t="s">
        <v>61</v>
      </c>
      <c r="F348" t="s">
        <v>35</v>
      </c>
      <c r="G348" t="s">
        <v>24</v>
      </c>
      <c r="H348" t="s">
        <v>25</v>
      </c>
      <c r="I348" t="s">
        <v>26</v>
      </c>
      <c r="J348" t="s">
        <v>26</v>
      </c>
      <c r="K348">
        <v>298</v>
      </c>
      <c r="L348">
        <v>0</v>
      </c>
      <c r="M348">
        <v>0</v>
      </c>
      <c r="N348">
        <v>0</v>
      </c>
      <c r="O348">
        <v>100</v>
      </c>
      <c r="P348">
        <v>81</v>
      </c>
      <c r="Q348">
        <v>73</v>
      </c>
      <c r="R348">
        <v>59</v>
      </c>
      <c r="S348">
        <v>50</v>
      </c>
      <c r="T348">
        <v>28</v>
      </c>
      <c r="U348">
        <v>16</v>
      </c>
      <c r="V348">
        <v>298</v>
      </c>
    </row>
    <row r="349" spans="1:22" x14ac:dyDescent="0.25">
      <c r="A349">
        <v>2025</v>
      </c>
      <c r="B349">
        <v>11</v>
      </c>
      <c r="C349" t="s">
        <v>69</v>
      </c>
      <c r="D349" t="s">
        <v>22</v>
      </c>
      <c r="E349" t="s">
        <v>61</v>
      </c>
      <c r="F349" t="s">
        <v>41</v>
      </c>
      <c r="G349" t="s">
        <v>28</v>
      </c>
      <c r="H349" t="s">
        <v>26</v>
      </c>
      <c r="I349" t="s">
        <v>26</v>
      </c>
      <c r="J349" t="s">
        <v>25</v>
      </c>
      <c r="K349">
        <v>12</v>
      </c>
      <c r="L349">
        <v>0</v>
      </c>
      <c r="M349">
        <v>0</v>
      </c>
      <c r="N349">
        <v>0</v>
      </c>
      <c r="O349">
        <v>1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12</v>
      </c>
    </row>
    <row r="350" spans="1:22" x14ac:dyDescent="0.25">
      <c r="A350">
        <v>2025</v>
      </c>
      <c r="B350">
        <v>11</v>
      </c>
      <c r="C350" t="s">
        <v>69</v>
      </c>
      <c r="D350" t="s">
        <v>22</v>
      </c>
      <c r="E350" t="s">
        <v>61</v>
      </c>
      <c r="F350" t="s">
        <v>41</v>
      </c>
      <c r="G350" t="s">
        <v>24</v>
      </c>
      <c r="H350" t="s">
        <v>26</v>
      </c>
      <c r="I350" t="s">
        <v>26</v>
      </c>
      <c r="J350" t="s">
        <v>25</v>
      </c>
      <c r="K350">
        <v>317</v>
      </c>
      <c r="L350">
        <v>1</v>
      </c>
      <c r="M350">
        <v>15</v>
      </c>
      <c r="N350">
        <v>16</v>
      </c>
      <c r="O350">
        <v>73</v>
      </c>
      <c r="P350">
        <v>66</v>
      </c>
      <c r="Q350">
        <v>66</v>
      </c>
      <c r="R350">
        <v>62</v>
      </c>
      <c r="S350">
        <v>60</v>
      </c>
      <c r="T350">
        <v>32</v>
      </c>
      <c r="U350">
        <v>10</v>
      </c>
      <c r="V350">
        <v>309</v>
      </c>
    </row>
    <row r="351" spans="1:22" x14ac:dyDescent="0.25">
      <c r="A351">
        <v>2025</v>
      </c>
      <c r="B351">
        <v>11</v>
      </c>
      <c r="C351" t="s">
        <v>69</v>
      </c>
      <c r="D351" t="s">
        <v>22</v>
      </c>
      <c r="E351" t="s">
        <v>166</v>
      </c>
      <c r="F351" t="s">
        <v>32</v>
      </c>
      <c r="G351" t="s">
        <v>24</v>
      </c>
      <c r="H351" t="s">
        <v>25</v>
      </c>
      <c r="I351" t="s">
        <v>26</v>
      </c>
      <c r="J351" t="s">
        <v>25</v>
      </c>
      <c r="K351">
        <v>260</v>
      </c>
      <c r="L351">
        <v>3</v>
      </c>
      <c r="M351">
        <v>1</v>
      </c>
      <c r="N351">
        <v>4</v>
      </c>
      <c r="O351">
        <v>160</v>
      </c>
      <c r="P351">
        <v>152</v>
      </c>
      <c r="Q351">
        <v>150</v>
      </c>
      <c r="R351">
        <v>130</v>
      </c>
      <c r="S351">
        <v>114</v>
      </c>
      <c r="T351">
        <v>82</v>
      </c>
      <c r="U351">
        <v>9</v>
      </c>
      <c r="V351">
        <v>256</v>
      </c>
    </row>
    <row r="352" spans="1:22" x14ac:dyDescent="0.25">
      <c r="A352">
        <v>2025</v>
      </c>
      <c r="B352">
        <v>11</v>
      </c>
      <c r="C352" t="s">
        <v>69</v>
      </c>
      <c r="D352" t="s">
        <v>22</v>
      </c>
      <c r="E352" t="s">
        <v>166</v>
      </c>
      <c r="F352" t="s">
        <v>38</v>
      </c>
      <c r="G352" t="s">
        <v>24</v>
      </c>
      <c r="H352" t="s">
        <v>25</v>
      </c>
      <c r="I352" t="s">
        <v>25</v>
      </c>
      <c r="J352" t="s">
        <v>25</v>
      </c>
      <c r="K352">
        <v>202</v>
      </c>
      <c r="L352">
        <v>1</v>
      </c>
      <c r="M352">
        <v>0</v>
      </c>
      <c r="N352">
        <v>1</v>
      </c>
      <c r="O352">
        <v>176</v>
      </c>
      <c r="P352">
        <v>151</v>
      </c>
      <c r="Q352">
        <v>143</v>
      </c>
      <c r="R352">
        <v>101</v>
      </c>
      <c r="S352">
        <v>56</v>
      </c>
      <c r="T352">
        <v>13</v>
      </c>
      <c r="U352">
        <v>4</v>
      </c>
      <c r="V352">
        <v>201</v>
      </c>
    </row>
    <row r="353" spans="1:22" x14ac:dyDescent="0.25">
      <c r="A353">
        <v>2025</v>
      </c>
      <c r="B353">
        <v>11</v>
      </c>
      <c r="C353" t="s">
        <v>69</v>
      </c>
      <c r="D353" t="s">
        <v>22</v>
      </c>
      <c r="E353" t="s">
        <v>69</v>
      </c>
      <c r="F353" t="s">
        <v>32</v>
      </c>
      <c r="G353" t="s">
        <v>28</v>
      </c>
      <c r="H353" t="s">
        <v>25</v>
      </c>
      <c r="I353" t="s">
        <v>26</v>
      </c>
      <c r="J353" t="s">
        <v>25</v>
      </c>
      <c r="K353">
        <v>92</v>
      </c>
      <c r="L353">
        <v>0</v>
      </c>
      <c r="M353">
        <v>0</v>
      </c>
      <c r="N353">
        <v>0</v>
      </c>
      <c r="O353">
        <v>2</v>
      </c>
      <c r="P353">
        <v>1</v>
      </c>
      <c r="Q353">
        <v>1</v>
      </c>
      <c r="R353">
        <v>0</v>
      </c>
      <c r="S353">
        <v>0</v>
      </c>
      <c r="T353">
        <v>0</v>
      </c>
      <c r="U353">
        <v>0</v>
      </c>
      <c r="V353">
        <v>92</v>
      </c>
    </row>
    <row r="354" spans="1:22" x14ac:dyDescent="0.25">
      <c r="A354">
        <v>2025</v>
      </c>
      <c r="B354">
        <v>11</v>
      </c>
      <c r="C354" t="s">
        <v>69</v>
      </c>
      <c r="D354" t="s">
        <v>22</v>
      </c>
      <c r="E354" t="s">
        <v>69</v>
      </c>
      <c r="F354" t="s">
        <v>38</v>
      </c>
      <c r="G354" t="s">
        <v>24</v>
      </c>
      <c r="H354" t="s">
        <v>25</v>
      </c>
      <c r="I354" t="s">
        <v>25</v>
      </c>
      <c r="J354" t="s">
        <v>25</v>
      </c>
      <c r="K354">
        <v>24</v>
      </c>
      <c r="L354">
        <v>0</v>
      </c>
      <c r="M354">
        <v>0</v>
      </c>
      <c r="N354">
        <v>0</v>
      </c>
      <c r="O354">
        <v>11</v>
      </c>
      <c r="P354">
        <v>10</v>
      </c>
      <c r="Q354">
        <v>8</v>
      </c>
      <c r="R354">
        <v>7</v>
      </c>
      <c r="S354">
        <v>5</v>
      </c>
      <c r="T354">
        <v>3</v>
      </c>
      <c r="U354">
        <v>3</v>
      </c>
      <c r="V354">
        <v>24</v>
      </c>
    </row>
    <row r="355" spans="1:22" x14ac:dyDescent="0.25">
      <c r="A355">
        <v>2025</v>
      </c>
      <c r="B355">
        <v>11</v>
      </c>
      <c r="C355" t="s">
        <v>69</v>
      </c>
      <c r="D355" t="s">
        <v>22</v>
      </c>
      <c r="E355" t="s">
        <v>69</v>
      </c>
      <c r="F355" t="s">
        <v>23</v>
      </c>
      <c r="G355" t="s">
        <v>28</v>
      </c>
      <c r="H355" t="s">
        <v>25</v>
      </c>
      <c r="I355" t="s">
        <v>26</v>
      </c>
      <c r="J355" t="s">
        <v>25</v>
      </c>
      <c r="K355">
        <v>10973</v>
      </c>
      <c r="L355">
        <v>27</v>
      </c>
      <c r="M355">
        <v>145</v>
      </c>
      <c r="N355">
        <v>172</v>
      </c>
      <c r="O355">
        <v>18</v>
      </c>
      <c r="P355">
        <v>13</v>
      </c>
      <c r="Q355">
        <v>13</v>
      </c>
      <c r="R355">
        <v>7</v>
      </c>
      <c r="S355">
        <v>2</v>
      </c>
      <c r="T355">
        <v>0</v>
      </c>
      <c r="U355">
        <v>0</v>
      </c>
      <c r="V355">
        <v>10824</v>
      </c>
    </row>
    <row r="356" spans="1:22" x14ac:dyDescent="0.25">
      <c r="A356">
        <v>2025</v>
      </c>
      <c r="B356">
        <v>11</v>
      </c>
      <c r="C356" t="s">
        <v>69</v>
      </c>
      <c r="D356" t="s">
        <v>22</v>
      </c>
      <c r="E356" t="s">
        <v>69</v>
      </c>
      <c r="F356" t="s">
        <v>23</v>
      </c>
      <c r="G356" t="s">
        <v>24</v>
      </c>
      <c r="H356" t="s">
        <v>25</v>
      </c>
      <c r="I356" t="s">
        <v>26</v>
      </c>
      <c r="J356" t="s">
        <v>25</v>
      </c>
      <c r="K356">
        <v>744</v>
      </c>
      <c r="L356">
        <v>29</v>
      </c>
      <c r="M356">
        <v>28</v>
      </c>
      <c r="N356">
        <v>57</v>
      </c>
      <c r="O356">
        <v>194</v>
      </c>
      <c r="P356">
        <v>172</v>
      </c>
      <c r="Q356">
        <v>165</v>
      </c>
      <c r="R356">
        <v>142</v>
      </c>
      <c r="S356">
        <v>98</v>
      </c>
      <c r="T356">
        <v>8</v>
      </c>
      <c r="U356">
        <v>1</v>
      </c>
      <c r="V356">
        <v>705</v>
      </c>
    </row>
    <row r="357" spans="1:22" x14ac:dyDescent="0.25">
      <c r="A357">
        <v>2025</v>
      </c>
      <c r="B357">
        <v>11</v>
      </c>
      <c r="C357" t="s">
        <v>69</v>
      </c>
      <c r="D357" t="s">
        <v>22</v>
      </c>
      <c r="E357" t="s">
        <v>69</v>
      </c>
      <c r="F357" t="s">
        <v>39</v>
      </c>
      <c r="G357" t="s">
        <v>28</v>
      </c>
      <c r="H357" t="s">
        <v>26</v>
      </c>
      <c r="I357" t="s">
        <v>26</v>
      </c>
      <c r="J357" t="s">
        <v>25</v>
      </c>
      <c r="K357">
        <v>48</v>
      </c>
      <c r="L357">
        <v>0</v>
      </c>
      <c r="M357">
        <v>0</v>
      </c>
      <c r="N357">
        <v>0</v>
      </c>
      <c r="O357">
        <v>1</v>
      </c>
      <c r="P357">
        <v>1</v>
      </c>
      <c r="Q357">
        <v>1</v>
      </c>
      <c r="R357">
        <v>1</v>
      </c>
      <c r="S357">
        <v>1</v>
      </c>
      <c r="T357">
        <v>0</v>
      </c>
      <c r="U357">
        <v>0</v>
      </c>
      <c r="V357">
        <v>48</v>
      </c>
    </row>
    <row r="358" spans="1:22" x14ac:dyDescent="0.25">
      <c r="A358">
        <v>2025</v>
      </c>
      <c r="B358">
        <v>11</v>
      </c>
      <c r="C358" t="s">
        <v>69</v>
      </c>
      <c r="D358" t="s">
        <v>22</v>
      </c>
      <c r="E358" t="s">
        <v>69</v>
      </c>
      <c r="F358" t="s">
        <v>39</v>
      </c>
      <c r="G358" t="s">
        <v>29</v>
      </c>
      <c r="H358" t="s">
        <v>26</v>
      </c>
      <c r="I358" t="s">
        <v>26</v>
      </c>
      <c r="J358" t="s">
        <v>25</v>
      </c>
      <c r="K358">
        <v>2</v>
      </c>
      <c r="L358">
        <v>2</v>
      </c>
      <c r="M358">
        <v>0</v>
      </c>
      <c r="N358">
        <v>2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</row>
    <row r="359" spans="1:22" x14ac:dyDescent="0.25">
      <c r="A359">
        <v>2025</v>
      </c>
      <c r="B359">
        <v>11</v>
      </c>
      <c r="C359" t="s">
        <v>69</v>
      </c>
      <c r="D359" t="s">
        <v>22</v>
      </c>
      <c r="E359" t="s">
        <v>69</v>
      </c>
      <c r="F359" t="s">
        <v>40</v>
      </c>
      <c r="G359" t="s">
        <v>28</v>
      </c>
      <c r="H359" t="s">
        <v>25</v>
      </c>
      <c r="I359" t="s">
        <v>26</v>
      </c>
      <c r="J359" t="s">
        <v>25</v>
      </c>
      <c r="K359">
        <v>12194</v>
      </c>
      <c r="L359">
        <v>36</v>
      </c>
      <c r="M359">
        <v>120</v>
      </c>
      <c r="N359">
        <v>156</v>
      </c>
      <c r="O359">
        <v>16</v>
      </c>
      <c r="P359">
        <v>8</v>
      </c>
      <c r="Q359">
        <v>5</v>
      </c>
      <c r="R359">
        <v>2</v>
      </c>
      <c r="S359">
        <v>2</v>
      </c>
      <c r="T359">
        <v>1</v>
      </c>
      <c r="U359">
        <v>1</v>
      </c>
      <c r="V359">
        <v>12070</v>
      </c>
    </row>
    <row r="360" spans="1:22" x14ac:dyDescent="0.25">
      <c r="A360">
        <v>2025</v>
      </c>
      <c r="B360">
        <v>11</v>
      </c>
      <c r="C360" t="s">
        <v>69</v>
      </c>
      <c r="D360" t="s">
        <v>22</v>
      </c>
      <c r="E360" t="s">
        <v>69</v>
      </c>
      <c r="F360" t="s">
        <v>40</v>
      </c>
      <c r="G360" t="s">
        <v>24</v>
      </c>
      <c r="H360" t="s">
        <v>25</v>
      </c>
      <c r="I360" t="s">
        <v>26</v>
      </c>
      <c r="J360" t="s">
        <v>25</v>
      </c>
      <c r="K360">
        <v>992</v>
      </c>
      <c r="L360">
        <v>3</v>
      </c>
      <c r="M360">
        <v>10</v>
      </c>
      <c r="N360">
        <v>13</v>
      </c>
      <c r="O360">
        <v>100</v>
      </c>
      <c r="P360">
        <v>14</v>
      </c>
      <c r="Q360">
        <v>11</v>
      </c>
      <c r="R360">
        <v>6</v>
      </c>
      <c r="S360">
        <v>3</v>
      </c>
      <c r="T360">
        <v>0</v>
      </c>
      <c r="U360">
        <v>0</v>
      </c>
      <c r="V360">
        <v>981</v>
      </c>
    </row>
    <row r="361" spans="1:22" x14ac:dyDescent="0.25">
      <c r="A361">
        <v>2025</v>
      </c>
      <c r="B361">
        <v>11</v>
      </c>
      <c r="C361" t="s">
        <v>69</v>
      </c>
      <c r="D361" t="s">
        <v>22</v>
      </c>
      <c r="E361" t="s">
        <v>69</v>
      </c>
      <c r="F361" t="s">
        <v>40</v>
      </c>
      <c r="G361" t="s">
        <v>29</v>
      </c>
      <c r="H361" t="s">
        <v>25</v>
      </c>
      <c r="I361" t="s">
        <v>26</v>
      </c>
      <c r="J361" t="s">
        <v>25</v>
      </c>
      <c r="K361">
        <v>1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</row>
    <row r="362" spans="1:22" x14ac:dyDescent="0.25">
      <c r="A362">
        <v>2025</v>
      </c>
      <c r="B362">
        <v>11</v>
      </c>
      <c r="C362" t="s">
        <v>69</v>
      </c>
      <c r="D362" t="s">
        <v>22</v>
      </c>
      <c r="E362" t="s">
        <v>124</v>
      </c>
      <c r="F362" t="s">
        <v>113</v>
      </c>
      <c r="G362" t="s">
        <v>24</v>
      </c>
      <c r="H362" t="s">
        <v>26</v>
      </c>
      <c r="I362" t="s">
        <v>26</v>
      </c>
      <c r="J362" t="s">
        <v>25</v>
      </c>
      <c r="K362">
        <v>21</v>
      </c>
      <c r="L362">
        <v>0</v>
      </c>
      <c r="M362">
        <v>2</v>
      </c>
      <c r="N362">
        <v>2</v>
      </c>
      <c r="O362">
        <v>7</v>
      </c>
      <c r="P362">
        <v>6</v>
      </c>
      <c r="Q362">
        <v>6</v>
      </c>
      <c r="R362">
        <v>6</v>
      </c>
      <c r="S362">
        <v>6</v>
      </c>
      <c r="T362">
        <v>4</v>
      </c>
      <c r="U362">
        <v>2</v>
      </c>
      <c r="V362">
        <v>19</v>
      </c>
    </row>
    <row r="363" spans="1:22" x14ac:dyDescent="0.25">
      <c r="A363">
        <v>2025</v>
      </c>
      <c r="B363">
        <v>11</v>
      </c>
      <c r="C363" t="s">
        <v>69</v>
      </c>
      <c r="D363" t="s">
        <v>22</v>
      </c>
      <c r="E363" t="s">
        <v>124</v>
      </c>
      <c r="F363" t="s">
        <v>70</v>
      </c>
      <c r="G363" t="s">
        <v>28</v>
      </c>
      <c r="H363" t="s">
        <v>26</v>
      </c>
      <c r="I363" t="s">
        <v>26</v>
      </c>
      <c r="J363" t="s">
        <v>25</v>
      </c>
      <c r="K363">
        <v>1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1</v>
      </c>
    </row>
    <row r="364" spans="1:22" x14ac:dyDescent="0.25">
      <c r="A364">
        <v>2025</v>
      </c>
      <c r="B364">
        <v>11</v>
      </c>
      <c r="C364" t="s">
        <v>69</v>
      </c>
      <c r="D364" t="s">
        <v>22</v>
      </c>
      <c r="E364" t="s">
        <v>124</v>
      </c>
      <c r="F364" t="s">
        <v>70</v>
      </c>
      <c r="G364" t="s">
        <v>24</v>
      </c>
      <c r="H364" t="s">
        <v>26</v>
      </c>
      <c r="I364" t="s">
        <v>26</v>
      </c>
      <c r="J364" t="s">
        <v>25</v>
      </c>
      <c r="K364">
        <v>621</v>
      </c>
      <c r="L364">
        <v>1</v>
      </c>
      <c r="M364">
        <v>2</v>
      </c>
      <c r="N364">
        <v>3</v>
      </c>
      <c r="O364">
        <v>95</v>
      </c>
      <c r="P364">
        <v>77</v>
      </c>
      <c r="Q364">
        <v>70</v>
      </c>
      <c r="R364">
        <v>58</v>
      </c>
      <c r="S364">
        <v>47</v>
      </c>
      <c r="T364">
        <v>17</v>
      </c>
      <c r="U364">
        <v>8</v>
      </c>
      <c r="V364">
        <v>618</v>
      </c>
    </row>
    <row r="365" spans="1:22" x14ac:dyDescent="0.25">
      <c r="A365">
        <v>2025</v>
      </c>
      <c r="B365">
        <v>11</v>
      </c>
      <c r="C365" t="s">
        <v>69</v>
      </c>
      <c r="D365" t="s">
        <v>22</v>
      </c>
      <c r="E365" t="s">
        <v>173</v>
      </c>
      <c r="F365" t="s">
        <v>32</v>
      </c>
      <c r="G365" t="s">
        <v>24</v>
      </c>
      <c r="H365" t="s">
        <v>25</v>
      </c>
      <c r="I365" t="s">
        <v>26</v>
      </c>
      <c r="J365" t="s">
        <v>25</v>
      </c>
      <c r="K365">
        <v>1043</v>
      </c>
      <c r="L365">
        <v>1</v>
      </c>
      <c r="M365">
        <v>26</v>
      </c>
      <c r="N365">
        <v>27</v>
      </c>
      <c r="O365">
        <v>27</v>
      </c>
      <c r="P365">
        <v>19</v>
      </c>
      <c r="Q365">
        <v>18</v>
      </c>
      <c r="R365">
        <v>12</v>
      </c>
      <c r="S365">
        <v>8</v>
      </c>
      <c r="T365">
        <v>2</v>
      </c>
      <c r="U365">
        <v>0</v>
      </c>
      <c r="V365">
        <v>1030</v>
      </c>
    </row>
    <row r="366" spans="1:22" x14ac:dyDescent="0.25">
      <c r="A366">
        <v>2025</v>
      </c>
      <c r="B366">
        <v>11</v>
      </c>
      <c r="C366" t="s">
        <v>69</v>
      </c>
      <c r="D366" t="s">
        <v>22</v>
      </c>
      <c r="E366" t="s">
        <v>173</v>
      </c>
      <c r="F366" t="s">
        <v>38</v>
      </c>
      <c r="G366" t="s">
        <v>24</v>
      </c>
      <c r="H366" t="s">
        <v>25</v>
      </c>
      <c r="I366" t="s">
        <v>25</v>
      </c>
      <c r="J366" t="s">
        <v>25</v>
      </c>
      <c r="K366">
        <v>52</v>
      </c>
      <c r="L366">
        <v>0</v>
      </c>
      <c r="M366">
        <v>1</v>
      </c>
      <c r="N366">
        <v>1</v>
      </c>
      <c r="O366">
        <v>9</v>
      </c>
      <c r="P366">
        <v>8</v>
      </c>
      <c r="Q366">
        <v>5</v>
      </c>
      <c r="R366">
        <v>4</v>
      </c>
      <c r="S366">
        <v>3</v>
      </c>
      <c r="T366">
        <v>0</v>
      </c>
      <c r="U366">
        <v>0</v>
      </c>
      <c r="V366">
        <v>52</v>
      </c>
    </row>
    <row r="367" spans="1:22" x14ac:dyDescent="0.25">
      <c r="A367">
        <v>2025</v>
      </c>
      <c r="B367">
        <v>11</v>
      </c>
      <c r="C367" t="s">
        <v>69</v>
      </c>
      <c r="D367" t="s">
        <v>22</v>
      </c>
      <c r="E367" t="s">
        <v>75</v>
      </c>
      <c r="F367" t="s">
        <v>113</v>
      </c>
      <c r="G367" t="s">
        <v>28</v>
      </c>
      <c r="H367" t="s">
        <v>26</v>
      </c>
      <c r="I367" t="s">
        <v>26</v>
      </c>
      <c r="J367" t="s">
        <v>25</v>
      </c>
      <c r="K367">
        <v>1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1</v>
      </c>
    </row>
    <row r="368" spans="1:22" x14ac:dyDescent="0.25">
      <c r="A368">
        <v>2025</v>
      </c>
      <c r="B368">
        <v>11</v>
      </c>
      <c r="C368" t="s">
        <v>69</v>
      </c>
      <c r="D368" t="s">
        <v>22</v>
      </c>
      <c r="E368" t="s">
        <v>75</v>
      </c>
      <c r="F368" t="s">
        <v>113</v>
      </c>
      <c r="G368" t="s">
        <v>24</v>
      </c>
      <c r="H368" t="s">
        <v>26</v>
      </c>
      <c r="I368" t="s">
        <v>26</v>
      </c>
      <c r="J368" t="s">
        <v>25</v>
      </c>
      <c r="K368">
        <v>48</v>
      </c>
      <c r="L368">
        <v>1</v>
      </c>
      <c r="M368">
        <v>1</v>
      </c>
      <c r="N368">
        <v>2</v>
      </c>
      <c r="O368">
        <v>14</v>
      </c>
      <c r="P368">
        <v>10</v>
      </c>
      <c r="Q368">
        <v>10</v>
      </c>
      <c r="R368">
        <v>9</v>
      </c>
      <c r="S368">
        <v>4</v>
      </c>
      <c r="T368">
        <v>2</v>
      </c>
      <c r="U368">
        <v>0</v>
      </c>
      <c r="V368">
        <v>47</v>
      </c>
    </row>
    <row r="369" spans="1:22" x14ac:dyDescent="0.25">
      <c r="A369">
        <v>2025</v>
      </c>
      <c r="B369">
        <v>11</v>
      </c>
      <c r="C369" t="s">
        <v>69</v>
      </c>
      <c r="D369" t="s">
        <v>22</v>
      </c>
      <c r="E369" t="s">
        <v>75</v>
      </c>
      <c r="F369" t="s">
        <v>113</v>
      </c>
      <c r="G369" t="s">
        <v>29</v>
      </c>
      <c r="H369" t="s">
        <v>26</v>
      </c>
      <c r="I369" t="s">
        <v>26</v>
      </c>
      <c r="J369" t="s">
        <v>25</v>
      </c>
      <c r="K369">
        <v>6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</row>
    <row r="370" spans="1:22" x14ac:dyDescent="0.25">
      <c r="A370">
        <v>2025</v>
      </c>
      <c r="B370">
        <v>12</v>
      </c>
      <c r="C370" t="s">
        <v>69</v>
      </c>
      <c r="D370" t="s">
        <v>22</v>
      </c>
      <c r="E370" t="s">
        <v>132</v>
      </c>
      <c r="F370" t="s">
        <v>32</v>
      </c>
      <c r="G370" t="s">
        <v>24</v>
      </c>
      <c r="H370" t="s">
        <v>25</v>
      </c>
      <c r="I370" t="s">
        <v>26</v>
      </c>
      <c r="J370" t="s">
        <v>25</v>
      </c>
      <c r="K370">
        <v>44</v>
      </c>
      <c r="L370">
        <v>0</v>
      </c>
      <c r="M370">
        <v>0</v>
      </c>
      <c r="N370">
        <v>0</v>
      </c>
      <c r="O370">
        <v>10</v>
      </c>
      <c r="P370">
        <v>7</v>
      </c>
      <c r="Q370">
        <v>7</v>
      </c>
      <c r="R370">
        <v>5</v>
      </c>
      <c r="S370">
        <v>4</v>
      </c>
      <c r="T370">
        <v>2</v>
      </c>
      <c r="U370">
        <v>0</v>
      </c>
      <c r="V370">
        <v>44</v>
      </c>
    </row>
    <row r="371" spans="1:22" x14ac:dyDescent="0.25">
      <c r="A371">
        <v>2025</v>
      </c>
      <c r="B371">
        <v>12</v>
      </c>
      <c r="C371" t="s">
        <v>69</v>
      </c>
      <c r="D371" t="s">
        <v>22</v>
      </c>
      <c r="E371" t="s">
        <v>132</v>
      </c>
      <c r="F371" t="s">
        <v>34</v>
      </c>
      <c r="G371" t="s">
        <v>24</v>
      </c>
      <c r="H371" t="s">
        <v>25</v>
      </c>
      <c r="I371" t="s">
        <v>26</v>
      </c>
      <c r="J371" t="s">
        <v>26</v>
      </c>
      <c r="K371">
        <v>43</v>
      </c>
      <c r="L371">
        <v>0</v>
      </c>
      <c r="M371">
        <v>0</v>
      </c>
      <c r="N371">
        <v>0</v>
      </c>
      <c r="O371">
        <v>10</v>
      </c>
      <c r="P371">
        <v>7</v>
      </c>
      <c r="Q371">
        <v>6</v>
      </c>
      <c r="R371">
        <v>5</v>
      </c>
      <c r="S371">
        <v>4</v>
      </c>
      <c r="T371">
        <v>2</v>
      </c>
      <c r="U371">
        <v>0</v>
      </c>
      <c r="V371">
        <v>43</v>
      </c>
    </row>
    <row r="372" spans="1:22" x14ac:dyDescent="0.25">
      <c r="A372">
        <v>2025</v>
      </c>
      <c r="B372">
        <v>12</v>
      </c>
      <c r="C372" t="s">
        <v>69</v>
      </c>
      <c r="D372" t="s">
        <v>22</v>
      </c>
      <c r="E372" t="s">
        <v>37</v>
      </c>
      <c r="F372" t="s">
        <v>38</v>
      </c>
      <c r="G372" t="s">
        <v>24</v>
      </c>
      <c r="H372" t="s">
        <v>25</v>
      </c>
      <c r="I372" t="s">
        <v>25</v>
      </c>
      <c r="J372" t="s">
        <v>25</v>
      </c>
      <c r="K372">
        <v>1</v>
      </c>
      <c r="L372">
        <v>0</v>
      </c>
      <c r="M372">
        <v>0</v>
      </c>
      <c r="N372">
        <v>0</v>
      </c>
      <c r="O372">
        <v>1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1</v>
      </c>
    </row>
    <row r="373" spans="1:22" x14ac:dyDescent="0.25">
      <c r="A373">
        <v>2025</v>
      </c>
      <c r="B373">
        <v>12</v>
      </c>
      <c r="C373" t="s">
        <v>69</v>
      </c>
      <c r="D373" t="s">
        <v>22</v>
      </c>
      <c r="E373" t="s">
        <v>37</v>
      </c>
      <c r="F373" t="s">
        <v>38</v>
      </c>
      <c r="G373" t="s">
        <v>24</v>
      </c>
      <c r="H373" t="s">
        <v>25</v>
      </c>
      <c r="I373" t="s">
        <v>26</v>
      </c>
      <c r="J373" t="s">
        <v>25</v>
      </c>
      <c r="K373">
        <v>94</v>
      </c>
      <c r="L373">
        <v>4</v>
      </c>
      <c r="M373">
        <v>7</v>
      </c>
      <c r="N373">
        <v>11</v>
      </c>
      <c r="O373">
        <v>23</v>
      </c>
      <c r="P373">
        <v>16</v>
      </c>
      <c r="Q373">
        <v>16</v>
      </c>
      <c r="R373">
        <v>15</v>
      </c>
      <c r="S373">
        <v>10</v>
      </c>
      <c r="T373">
        <v>6</v>
      </c>
      <c r="U373">
        <v>2</v>
      </c>
      <c r="V373">
        <v>89</v>
      </c>
    </row>
    <row r="374" spans="1:22" x14ac:dyDescent="0.25">
      <c r="A374">
        <v>2025</v>
      </c>
      <c r="B374">
        <v>12</v>
      </c>
      <c r="C374" t="s">
        <v>69</v>
      </c>
      <c r="D374" t="s">
        <v>22</v>
      </c>
      <c r="E374" t="s">
        <v>37</v>
      </c>
      <c r="F374" t="s">
        <v>23</v>
      </c>
      <c r="G374" t="s">
        <v>24</v>
      </c>
      <c r="H374" t="s">
        <v>25</v>
      </c>
      <c r="I374" t="s">
        <v>26</v>
      </c>
      <c r="J374" t="s">
        <v>25</v>
      </c>
      <c r="K374">
        <v>2</v>
      </c>
      <c r="L374">
        <v>0</v>
      </c>
      <c r="M374">
        <v>0</v>
      </c>
      <c r="N374">
        <v>0</v>
      </c>
      <c r="O374">
        <v>1</v>
      </c>
      <c r="P374">
        <v>1</v>
      </c>
      <c r="Q374">
        <v>1</v>
      </c>
      <c r="R374">
        <v>1</v>
      </c>
      <c r="S374">
        <v>1</v>
      </c>
      <c r="T374">
        <v>1</v>
      </c>
      <c r="U374">
        <v>0</v>
      </c>
      <c r="V374">
        <v>2</v>
      </c>
    </row>
    <row r="375" spans="1:22" x14ac:dyDescent="0.25">
      <c r="A375">
        <v>2025</v>
      </c>
      <c r="B375">
        <v>12</v>
      </c>
      <c r="C375" t="s">
        <v>69</v>
      </c>
      <c r="D375" t="s">
        <v>22</v>
      </c>
      <c r="E375" t="s">
        <v>145</v>
      </c>
      <c r="F375" t="s">
        <v>32</v>
      </c>
      <c r="G375" t="s">
        <v>24</v>
      </c>
      <c r="H375" t="s">
        <v>25</v>
      </c>
      <c r="I375" t="s">
        <v>26</v>
      </c>
      <c r="J375" t="s">
        <v>25</v>
      </c>
      <c r="K375">
        <v>278</v>
      </c>
      <c r="L375">
        <v>4</v>
      </c>
      <c r="M375">
        <v>1</v>
      </c>
      <c r="N375">
        <v>5</v>
      </c>
      <c r="O375">
        <v>52</v>
      </c>
      <c r="P375">
        <v>22</v>
      </c>
      <c r="Q375">
        <v>14</v>
      </c>
      <c r="R375">
        <v>6</v>
      </c>
      <c r="S375">
        <v>5</v>
      </c>
      <c r="T375">
        <v>1</v>
      </c>
      <c r="U375">
        <v>0</v>
      </c>
      <c r="V375">
        <v>274</v>
      </c>
    </row>
    <row r="376" spans="1:22" x14ac:dyDescent="0.25">
      <c r="A376">
        <v>2025</v>
      </c>
      <c r="B376">
        <v>12</v>
      </c>
      <c r="C376" t="s">
        <v>69</v>
      </c>
      <c r="D376" t="s">
        <v>22</v>
      </c>
      <c r="E376" t="s">
        <v>149</v>
      </c>
      <c r="F376" t="s">
        <v>32</v>
      </c>
      <c r="G376" t="s">
        <v>24</v>
      </c>
      <c r="H376" t="s">
        <v>25</v>
      </c>
      <c r="I376" t="s">
        <v>26</v>
      </c>
      <c r="J376" t="s">
        <v>25</v>
      </c>
      <c r="K376">
        <v>56</v>
      </c>
      <c r="L376">
        <v>2</v>
      </c>
      <c r="M376">
        <v>2</v>
      </c>
      <c r="N376">
        <v>4</v>
      </c>
      <c r="O376">
        <v>34</v>
      </c>
      <c r="P376">
        <v>32</v>
      </c>
      <c r="Q376">
        <v>32</v>
      </c>
      <c r="R376">
        <v>27</v>
      </c>
      <c r="S376">
        <v>27</v>
      </c>
      <c r="T376">
        <v>17</v>
      </c>
      <c r="U376">
        <v>9</v>
      </c>
      <c r="V376">
        <v>54</v>
      </c>
    </row>
    <row r="377" spans="1:22" x14ac:dyDescent="0.25">
      <c r="A377">
        <v>2025</v>
      </c>
      <c r="B377">
        <v>12</v>
      </c>
      <c r="C377" t="s">
        <v>69</v>
      </c>
      <c r="D377" t="s">
        <v>22</v>
      </c>
      <c r="E377" t="s">
        <v>149</v>
      </c>
      <c r="F377" t="s">
        <v>23</v>
      </c>
      <c r="G377" t="s">
        <v>24</v>
      </c>
      <c r="H377" t="s">
        <v>25</v>
      </c>
      <c r="I377" t="s">
        <v>26</v>
      </c>
      <c r="J377" t="s">
        <v>25</v>
      </c>
      <c r="K377">
        <v>410</v>
      </c>
      <c r="L377">
        <v>21</v>
      </c>
      <c r="M377">
        <v>6</v>
      </c>
      <c r="N377">
        <v>27</v>
      </c>
      <c r="O377">
        <v>81</v>
      </c>
      <c r="P377">
        <v>63</v>
      </c>
      <c r="Q377">
        <v>57</v>
      </c>
      <c r="R377">
        <v>47</v>
      </c>
      <c r="S377">
        <v>31</v>
      </c>
      <c r="T377">
        <v>11</v>
      </c>
      <c r="U377">
        <v>5</v>
      </c>
      <c r="V377">
        <v>383</v>
      </c>
    </row>
    <row r="378" spans="1:22" x14ac:dyDescent="0.25">
      <c r="A378">
        <v>2025</v>
      </c>
      <c r="B378">
        <v>12</v>
      </c>
      <c r="C378" t="s">
        <v>69</v>
      </c>
      <c r="D378" t="s">
        <v>22</v>
      </c>
      <c r="E378" t="s">
        <v>149</v>
      </c>
      <c r="F378" t="s">
        <v>39</v>
      </c>
      <c r="G378" t="s">
        <v>24</v>
      </c>
      <c r="H378" t="s">
        <v>26</v>
      </c>
      <c r="I378" t="s">
        <v>26</v>
      </c>
      <c r="J378" t="s">
        <v>25</v>
      </c>
      <c r="K378">
        <v>1358</v>
      </c>
      <c r="L378">
        <v>55</v>
      </c>
      <c r="M378">
        <v>158</v>
      </c>
      <c r="N378">
        <v>213</v>
      </c>
      <c r="O378">
        <v>203</v>
      </c>
      <c r="P378">
        <v>153</v>
      </c>
      <c r="Q378">
        <v>134</v>
      </c>
      <c r="R378">
        <v>101</v>
      </c>
      <c r="S378">
        <v>61</v>
      </c>
      <c r="T378">
        <v>25</v>
      </c>
      <c r="U378">
        <v>5</v>
      </c>
      <c r="V378">
        <v>1204</v>
      </c>
    </row>
    <row r="379" spans="1:22" x14ac:dyDescent="0.25">
      <c r="A379">
        <v>2025</v>
      </c>
      <c r="B379">
        <v>12</v>
      </c>
      <c r="C379" t="s">
        <v>69</v>
      </c>
      <c r="D379" t="s">
        <v>22</v>
      </c>
      <c r="E379" t="s">
        <v>150</v>
      </c>
      <c r="F379" t="s">
        <v>32</v>
      </c>
      <c r="G379" t="s">
        <v>24</v>
      </c>
      <c r="H379" t="s">
        <v>25</v>
      </c>
      <c r="I379" t="s">
        <v>26</v>
      </c>
      <c r="J379" t="s">
        <v>25</v>
      </c>
      <c r="K379">
        <v>29</v>
      </c>
      <c r="L379">
        <v>0</v>
      </c>
      <c r="M379">
        <v>2</v>
      </c>
      <c r="N379">
        <v>2</v>
      </c>
      <c r="O379">
        <v>3</v>
      </c>
      <c r="P379">
        <v>2</v>
      </c>
      <c r="Q379">
        <v>1</v>
      </c>
      <c r="R379">
        <v>1</v>
      </c>
      <c r="S379">
        <v>0</v>
      </c>
      <c r="T379">
        <v>0</v>
      </c>
      <c r="U379">
        <v>0</v>
      </c>
      <c r="V379">
        <v>27</v>
      </c>
    </row>
    <row r="380" spans="1:22" x14ac:dyDescent="0.25">
      <c r="A380">
        <v>2025</v>
      </c>
      <c r="B380">
        <v>12</v>
      </c>
      <c r="C380" t="s">
        <v>69</v>
      </c>
      <c r="D380" t="s">
        <v>22</v>
      </c>
      <c r="E380" t="s">
        <v>155</v>
      </c>
      <c r="F380" t="s">
        <v>34</v>
      </c>
      <c r="G380" t="s">
        <v>24</v>
      </c>
      <c r="H380" t="s">
        <v>25</v>
      </c>
      <c r="I380" t="s">
        <v>26</v>
      </c>
      <c r="J380" t="s">
        <v>26</v>
      </c>
      <c r="K380">
        <v>61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61</v>
      </c>
    </row>
    <row r="381" spans="1:22" x14ac:dyDescent="0.25">
      <c r="A381">
        <v>2025</v>
      </c>
      <c r="B381">
        <v>12</v>
      </c>
      <c r="C381" t="s">
        <v>69</v>
      </c>
      <c r="D381" t="s">
        <v>22</v>
      </c>
      <c r="E381" t="s">
        <v>163</v>
      </c>
      <c r="F381" t="s">
        <v>34</v>
      </c>
      <c r="G381" t="s">
        <v>24</v>
      </c>
      <c r="H381" t="s">
        <v>25</v>
      </c>
      <c r="I381" t="s">
        <v>26</v>
      </c>
      <c r="J381" t="s">
        <v>26</v>
      </c>
      <c r="K381">
        <v>61</v>
      </c>
      <c r="L381">
        <v>0</v>
      </c>
      <c r="M381">
        <v>0</v>
      </c>
      <c r="N381">
        <v>0</v>
      </c>
      <c r="O381">
        <v>1</v>
      </c>
      <c r="P381">
        <v>1</v>
      </c>
      <c r="Q381">
        <v>1</v>
      </c>
      <c r="R381">
        <v>1</v>
      </c>
      <c r="S381">
        <v>1</v>
      </c>
      <c r="T381">
        <v>1</v>
      </c>
      <c r="U381">
        <v>0</v>
      </c>
      <c r="V381">
        <v>61</v>
      </c>
    </row>
    <row r="382" spans="1:22" x14ac:dyDescent="0.25">
      <c r="A382">
        <v>2025</v>
      </c>
      <c r="B382">
        <v>12</v>
      </c>
      <c r="C382" t="s">
        <v>69</v>
      </c>
      <c r="D382" t="s">
        <v>22</v>
      </c>
      <c r="E382" t="s">
        <v>61</v>
      </c>
      <c r="F382" t="s">
        <v>34</v>
      </c>
      <c r="G382" t="s">
        <v>24</v>
      </c>
      <c r="H382" t="s">
        <v>25</v>
      </c>
      <c r="I382" t="s">
        <v>26</v>
      </c>
      <c r="J382" t="s">
        <v>26</v>
      </c>
      <c r="K382">
        <v>2</v>
      </c>
      <c r="L382">
        <v>0</v>
      </c>
      <c r="M382">
        <v>0</v>
      </c>
      <c r="N382">
        <v>0</v>
      </c>
      <c r="O382">
        <v>1</v>
      </c>
      <c r="P382">
        <v>1</v>
      </c>
      <c r="Q382">
        <v>1</v>
      </c>
      <c r="R382">
        <v>1</v>
      </c>
      <c r="S382">
        <v>1</v>
      </c>
      <c r="T382">
        <v>0</v>
      </c>
      <c r="U382">
        <v>0</v>
      </c>
      <c r="V382">
        <v>2</v>
      </c>
    </row>
    <row r="383" spans="1:22" x14ac:dyDescent="0.25">
      <c r="A383">
        <v>2025</v>
      </c>
      <c r="B383">
        <v>12</v>
      </c>
      <c r="C383" t="s">
        <v>69</v>
      </c>
      <c r="D383" t="s">
        <v>22</v>
      </c>
      <c r="E383" t="s">
        <v>61</v>
      </c>
      <c r="F383" t="s">
        <v>35</v>
      </c>
      <c r="G383" t="s">
        <v>24</v>
      </c>
      <c r="H383" t="s">
        <v>25</v>
      </c>
      <c r="I383" t="s">
        <v>26</v>
      </c>
      <c r="J383" t="s">
        <v>26</v>
      </c>
      <c r="K383">
        <v>315</v>
      </c>
      <c r="L383">
        <v>3</v>
      </c>
      <c r="M383">
        <v>2</v>
      </c>
      <c r="N383">
        <v>5</v>
      </c>
      <c r="O383">
        <v>100</v>
      </c>
      <c r="P383">
        <v>79</v>
      </c>
      <c r="Q383">
        <v>72</v>
      </c>
      <c r="R383">
        <v>62</v>
      </c>
      <c r="S383">
        <v>57</v>
      </c>
      <c r="T383">
        <v>28</v>
      </c>
      <c r="U383">
        <v>8</v>
      </c>
      <c r="V383">
        <v>311</v>
      </c>
    </row>
    <row r="384" spans="1:22" x14ac:dyDescent="0.25">
      <c r="A384">
        <v>2025</v>
      </c>
      <c r="B384">
        <v>12</v>
      </c>
      <c r="C384" t="s">
        <v>69</v>
      </c>
      <c r="D384" t="s">
        <v>22</v>
      </c>
      <c r="E384" t="s">
        <v>61</v>
      </c>
      <c r="F384" t="s">
        <v>41</v>
      </c>
      <c r="G384" t="s">
        <v>24</v>
      </c>
      <c r="H384" t="s">
        <v>26</v>
      </c>
      <c r="I384" t="s">
        <v>26</v>
      </c>
      <c r="J384" t="s">
        <v>25</v>
      </c>
      <c r="K384">
        <v>354</v>
      </c>
      <c r="L384">
        <v>1</v>
      </c>
      <c r="M384">
        <v>6</v>
      </c>
      <c r="N384">
        <v>7</v>
      </c>
      <c r="O384">
        <v>70</v>
      </c>
      <c r="P384">
        <v>59</v>
      </c>
      <c r="Q384">
        <v>59</v>
      </c>
      <c r="R384">
        <v>56</v>
      </c>
      <c r="S384">
        <v>54</v>
      </c>
      <c r="T384">
        <v>33</v>
      </c>
      <c r="U384">
        <v>6</v>
      </c>
      <c r="V384">
        <v>350</v>
      </c>
    </row>
    <row r="385" spans="1:22" x14ac:dyDescent="0.25">
      <c r="A385">
        <v>2025</v>
      </c>
      <c r="B385">
        <v>12</v>
      </c>
      <c r="C385" t="s">
        <v>69</v>
      </c>
      <c r="D385" t="s">
        <v>22</v>
      </c>
      <c r="E385" t="s">
        <v>166</v>
      </c>
      <c r="F385" t="s">
        <v>32</v>
      </c>
      <c r="G385" t="s">
        <v>24</v>
      </c>
      <c r="H385" t="s">
        <v>25</v>
      </c>
      <c r="I385" t="s">
        <v>26</v>
      </c>
      <c r="J385" t="s">
        <v>25</v>
      </c>
      <c r="K385">
        <v>290</v>
      </c>
      <c r="L385">
        <v>4</v>
      </c>
      <c r="M385">
        <v>5</v>
      </c>
      <c r="N385">
        <v>9</v>
      </c>
      <c r="O385">
        <v>167</v>
      </c>
      <c r="P385">
        <v>163</v>
      </c>
      <c r="Q385">
        <v>163</v>
      </c>
      <c r="R385">
        <v>135</v>
      </c>
      <c r="S385">
        <v>108</v>
      </c>
      <c r="T385">
        <v>81</v>
      </c>
      <c r="U385">
        <v>7</v>
      </c>
      <c r="V385">
        <v>281</v>
      </c>
    </row>
    <row r="386" spans="1:22" x14ac:dyDescent="0.25">
      <c r="A386">
        <v>2025</v>
      </c>
      <c r="B386">
        <v>12</v>
      </c>
      <c r="C386" t="s">
        <v>69</v>
      </c>
      <c r="D386" t="s">
        <v>22</v>
      </c>
      <c r="E386" t="s">
        <v>166</v>
      </c>
      <c r="F386" t="s">
        <v>38</v>
      </c>
      <c r="G386" t="s">
        <v>24</v>
      </c>
      <c r="H386" t="s">
        <v>25</v>
      </c>
      <c r="I386" t="s">
        <v>25</v>
      </c>
      <c r="J386" t="s">
        <v>25</v>
      </c>
      <c r="K386">
        <v>228</v>
      </c>
      <c r="L386">
        <v>2</v>
      </c>
      <c r="M386">
        <v>0</v>
      </c>
      <c r="N386">
        <v>2</v>
      </c>
      <c r="O386">
        <v>185</v>
      </c>
      <c r="P386">
        <v>157</v>
      </c>
      <c r="Q386">
        <v>152</v>
      </c>
      <c r="R386">
        <v>92</v>
      </c>
      <c r="S386">
        <v>52</v>
      </c>
      <c r="T386">
        <v>13</v>
      </c>
      <c r="U386">
        <v>2</v>
      </c>
      <c r="V386">
        <v>226</v>
      </c>
    </row>
    <row r="387" spans="1:22" x14ac:dyDescent="0.25">
      <c r="A387">
        <v>2025</v>
      </c>
      <c r="B387">
        <v>12</v>
      </c>
      <c r="C387" t="s">
        <v>69</v>
      </c>
      <c r="D387" t="s">
        <v>22</v>
      </c>
      <c r="E387" t="s">
        <v>170</v>
      </c>
      <c r="F387" t="s">
        <v>41</v>
      </c>
      <c r="G387" t="s">
        <v>24</v>
      </c>
      <c r="H387" t="s">
        <v>26</v>
      </c>
      <c r="I387" t="s">
        <v>26</v>
      </c>
      <c r="J387" t="s">
        <v>25</v>
      </c>
      <c r="K387">
        <v>18</v>
      </c>
      <c r="L387">
        <v>0</v>
      </c>
      <c r="M387">
        <v>1</v>
      </c>
      <c r="N387">
        <v>1</v>
      </c>
      <c r="O387">
        <v>6</v>
      </c>
      <c r="P387">
        <v>5</v>
      </c>
      <c r="Q387">
        <v>5</v>
      </c>
      <c r="R387">
        <v>5</v>
      </c>
      <c r="S387">
        <v>5</v>
      </c>
      <c r="T387">
        <v>0</v>
      </c>
      <c r="U387">
        <v>0</v>
      </c>
      <c r="V387">
        <v>17</v>
      </c>
    </row>
    <row r="388" spans="1:22" x14ac:dyDescent="0.25">
      <c r="A388">
        <v>2025</v>
      </c>
      <c r="B388">
        <v>12</v>
      </c>
      <c r="C388" t="s">
        <v>69</v>
      </c>
      <c r="D388" t="s">
        <v>22</v>
      </c>
      <c r="E388" t="s">
        <v>69</v>
      </c>
      <c r="F388" t="s">
        <v>32</v>
      </c>
      <c r="G388" t="s">
        <v>28</v>
      </c>
      <c r="H388" t="s">
        <v>25</v>
      </c>
      <c r="I388" t="s">
        <v>26</v>
      </c>
      <c r="J388" t="s">
        <v>25</v>
      </c>
      <c r="K388">
        <v>28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28</v>
      </c>
    </row>
    <row r="389" spans="1:22" x14ac:dyDescent="0.25">
      <c r="A389">
        <v>2025</v>
      </c>
      <c r="B389">
        <v>12</v>
      </c>
      <c r="C389" t="s">
        <v>69</v>
      </c>
      <c r="D389" t="s">
        <v>22</v>
      </c>
      <c r="E389" t="s">
        <v>69</v>
      </c>
      <c r="F389" t="s">
        <v>38</v>
      </c>
      <c r="G389" t="s">
        <v>24</v>
      </c>
      <c r="H389" t="s">
        <v>25</v>
      </c>
      <c r="I389" t="s">
        <v>25</v>
      </c>
      <c r="J389" t="s">
        <v>25</v>
      </c>
      <c r="K389">
        <v>3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3</v>
      </c>
    </row>
    <row r="390" spans="1:22" x14ac:dyDescent="0.25">
      <c r="A390">
        <v>2025</v>
      </c>
      <c r="B390">
        <v>12</v>
      </c>
      <c r="C390" t="s">
        <v>69</v>
      </c>
      <c r="D390" t="s">
        <v>22</v>
      </c>
      <c r="E390" t="s">
        <v>69</v>
      </c>
      <c r="F390" t="s">
        <v>23</v>
      </c>
      <c r="G390" t="s">
        <v>28</v>
      </c>
      <c r="H390" t="s">
        <v>25</v>
      </c>
      <c r="I390" t="s">
        <v>26</v>
      </c>
      <c r="J390" t="s">
        <v>25</v>
      </c>
      <c r="K390">
        <v>11105</v>
      </c>
      <c r="L390">
        <v>28</v>
      </c>
      <c r="M390">
        <v>201</v>
      </c>
      <c r="N390">
        <v>229</v>
      </c>
      <c r="O390">
        <v>8</v>
      </c>
      <c r="P390">
        <v>6</v>
      </c>
      <c r="Q390">
        <v>6</v>
      </c>
      <c r="R390">
        <v>4</v>
      </c>
      <c r="S390">
        <v>2</v>
      </c>
      <c r="T390">
        <v>2</v>
      </c>
      <c r="U390">
        <v>1</v>
      </c>
      <c r="V390">
        <v>10915</v>
      </c>
    </row>
    <row r="391" spans="1:22" x14ac:dyDescent="0.25">
      <c r="A391">
        <v>2025</v>
      </c>
      <c r="B391">
        <v>12</v>
      </c>
      <c r="C391" t="s">
        <v>69</v>
      </c>
      <c r="D391" t="s">
        <v>22</v>
      </c>
      <c r="E391" t="s">
        <v>69</v>
      </c>
      <c r="F391" t="s">
        <v>23</v>
      </c>
      <c r="G391" t="s">
        <v>24</v>
      </c>
      <c r="H391" t="s">
        <v>25</v>
      </c>
      <c r="I391" t="s">
        <v>26</v>
      </c>
      <c r="J391" t="s">
        <v>25</v>
      </c>
      <c r="K391">
        <v>786</v>
      </c>
      <c r="L391">
        <v>35</v>
      </c>
      <c r="M391">
        <v>59</v>
      </c>
      <c r="N391">
        <v>94</v>
      </c>
      <c r="O391">
        <v>82</v>
      </c>
      <c r="P391">
        <v>70</v>
      </c>
      <c r="Q391">
        <v>67</v>
      </c>
      <c r="R391">
        <v>49</v>
      </c>
      <c r="S391">
        <v>32</v>
      </c>
      <c r="T391">
        <v>3</v>
      </c>
      <c r="U391">
        <v>0</v>
      </c>
      <c r="V391">
        <v>725</v>
      </c>
    </row>
    <row r="392" spans="1:22" x14ac:dyDescent="0.25">
      <c r="A392">
        <v>2025</v>
      </c>
      <c r="B392">
        <v>12</v>
      </c>
      <c r="C392" t="s">
        <v>69</v>
      </c>
      <c r="D392" t="s">
        <v>22</v>
      </c>
      <c r="E392" t="s">
        <v>69</v>
      </c>
      <c r="F392" t="s">
        <v>23</v>
      </c>
      <c r="G392" t="s">
        <v>29</v>
      </c>
      <c r="H392" t="s">
        <v>25</v>
      </c>
      <c r="I392" t="s">
        <v>26</v>
      </c>
      <c r="J392" t="s">
        <v>25</v>
      </c>
      <c r="K392">
        <v>1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</row>
    <row r="393" spans="1:22" x14ac:dyDescent="0.25">
      <c r="A393">
        <v>2025</v>
      </c>
      <c r="B393">
        <v>12</v>
      </c>
      <c r="C393" t="s">
        <v>69</v>
      </c>
      <c r="D393" t="s">
        <v>22</v>
      </c>
      <c r="E393" t="s">
        <v>69</v>
      </c>
      <c r="F393" t="s">
        <v>39</v>
      </c>
      <c r="G393" t="s">
        <v>28</v>
      </c>
      <c r="H393" t="s">
        <v>26</v>
      </c>
      <c r="I393" t="s">
        <v>26</v>
      </c>
      <c r="J393" t="s">
        <v>25</v>
      </c>
      <c r="K393">
        <v>40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40</v>
      </c>
    </row>
    <row r="394" spans="1:22" x14ac:dyDescent="0.25">
      <c r="A394">
        <v>2025</v>
      </c>
      <c r="B394">
        <v>12</v>
      </c>
      <c r="C394" t="s">
        <v>69</v>
      </c>
      <c r="D394" t="s">
        <v>22</v>
      </c>
      <c r="E394" t="s">
        <v>69</v>
      </c>
      <c r="F394" t="s">
        <v>40</v>
      </c>
      <c r="G394" t="s">
        <v>28</v>
      </c>
      <c r="H394" t="s">
        <v>25</v>
      </c>
      <c r="I394" t="s">
        <v>26</v>
      </c>
      <c r="J394" t="s">
        <v>25</v>
      </c>
      <c r="K394">
        <v>13865</v>
      </c>
      <c r="L394">
        <v>63</v>
      </c>
      <c r="M394">
        <v>228</v>
      </c>
      <c r="N394">
        <v>291</v>
      </c>
      <c r="O394">
        <v>14</v>
      </c>
      <c r="P394">
        <v>12</v>
      </c>
      <c r="Q394">
        <v>10</v>
      </c>
      <c r="R394">
        <v>7</v>
      </c>
      <c r="S394">
        <v>3</v>
      </c>
      <c r="T394">
        <v>0</v>
      </c>
      <c r="U394">
        <v>0</v>
      </c>
      <c r="V394">
        <v>13642</v>
      </c>
    </row>
    <row r="395" spans="1:22" x14ac:dyDescent="0.25">
      <c r="A395">
        <v>2025</v>
      </c>
      <c r="B395">
        <v>12</v>
      </c>
      <c r="C395" t="s">
        <v>69</v>
      </c>
      <c r="D395" t="s">
        <v>22</v>
      </c>
      <c r="E395" t="s">
        <v>69</v>
      </c>
      <c r="F395" t="s">
        <v>40</v>
      </c>
      <c r="G395" t="s">
        <v>24</v>
      </c>
      <c r="H395" t="s">
        <v>25</v>
      </c>
      <c r="I395" t="s">
        <v>26</v>
      </c>
      <c r="J395" t="s">
        <v>25</v>
      </c>
      <c r="K395">
        <v>1100</v>
      </c>
      <c r="L395">
        <v>2</v>
      </c>
      <c r="M395">
        <v>31</v>
      </c>
      <c r="N395">
        <v>33</v>
      </c>
      <c r="O395">
        <v>114</v>
      </c>
      <c r="P395">
        <v>21</v>
      </c>
      <c r="Q395">
        <v>16</v>
      </c>
      <c r="R395">
        <v>12</v>
      </c>
      <c r="S395">
        <v>3</v>
      </c>
      <c r="T395">
        <v>0</v>
      </c>
      <c r="U395">
        <v>0</v>
      </c>
      <c r="V395">
        <v>1076</v>
      </c>
    </row>
    <row r="396" spans="1:22" x14ac:dyDescent="0.25">
      <c r="A396">
        <v>2025</v>
      </c>
      <c r="B396">
        <v>12</v>
      </c>
      <c r="C396" t="s">
        <v>69</v>
      </c>
      <c r="D396" t="s">
        <v>22</v>
      </c>
      <c r="E396" t="s">
        <v>69</v>
      </c>
      <c r="F396" t="s">
        <v>40</v>
      </c>
      <c r="G396" t="s">
        <v>29</v>
      </c>
      <c r="H396" t="s">
        <v>25</v>
      </c>
      <c r="I396" t="s">
        <v>26</v>
      </c>
      <c r="J396" t="s">
        <v>25</v>
      </c>
      <c r="K396">
        <v>3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</row>
    <row r="397" spans="1:22" x14ac:dyDescent="0.25">
      <c r="A397">
        <v>2025</v>
      </c>
      <c r="B397">
        <v>12</v>
      </c>
      <c r="C397" t="s">
        <v>69</v>
      </c>
      <c r="D397" t="s">
        <v>22</v>
      </c>
      <c r="E397" t="s">
        <v>124</v>
      </c>
      <c r="F397" t="s">
        <v>113</v>
      </c>
      <c r="G397" t="s">
        <v>24</v>
      </c>
      <c r="H397" t="s">
        <v>26</v>
      </c>
      <c r="I397" t="s">
        <v>26</v>
      </c>
      <c r="J397" t="s">
        <v>25</v>
      </c>
      <c r="K397">
        <v>15</v>
      </c>
      <c r="L397">
        <v>0</v>
      </c>
      <c r="M397">
        <v>0</v>
      </c>
      <c r="N397">
        <v>0</v>
      </c>
      <c r="O397">
        <v>1</v>
      </c>
      <c r="P397">
        <v>1</v>
      </c>
      <c r="Q397">
        <v>1</v>
      </c>
      <c r="R397">
        <v>1</v>
      </c>
      <c r="S397">
        <v>1</v>
      </c>
      <c r="T397">
        <v>0</v>
      </c>
      <c r="U397">
        <v>0</v>
      </c>
      <c r="V397">
        <v>15</v>
      </c>
    </row>
    <row r="398" spans="1:22" x14ac:dyDescent="0.25">
      <c r="A398">
        <v>2025</v>
      </c>
      <c r="B398">
        <v>12</v>
      </c>
      <c r="C398" t="s">
        <v>69</v>
      </c>
      <c r="D398" t="s">
        <v>22</v>
      </c>
      <c r="E398" t="s">
        <v>124</v>
      </c>
      <c r="F398" t="s">
        <v>70</v>
      </c>
      <c r="G398" t="s">
        <v>28</v>
      </c>
      <c r="H398" t="s">
        <v>26</v>
      </c>
      <c r="I398" t="s">
        <v>26</v>
      </c>
      <c r="J398" t="s">
        <v>25</v>
      </c>
      <c r="K398">
        <v>4</v>
      </c>
      <c r="L398">
        <v>0</v>
      </c>
      <c r="M398">
        <v>0</v>
      </c>
      <c r="N398">
        <v>0</v>
      </c>
      <c r="O398">
        <v>1</v>
      </c>
      <c r="P398">
        <v>1</v>
      </c>
      <c r="Q398">
        <v>1</v>
      </c>
      <c r="R398">
        <v>1</v>
      </c>
      <c r="S398">
        <v>1</v>
      </c>
      <c r="T398">
        <v>1</v>
      </c>
      <c r="U398">
        <v>1</v>
      </c>
      <c r="V398">
        <v>4</v>
      </c>
    </row>
    <row r="399" spans="1:22" x14ac:dyDescent="0.25">
      <c r="A399">
        <v>2025</v>
      </c>
      <c r="B399">
        <v>12</v>
      </c>
      <c r="C399" t="s">
        <v>69</v>
      </c>
      <c r="D399" t="s">
        <v>22</v>
      </c>
      <c r="E399" t="s">
        <v>124</v>
      </c>
      <c r="F399" t="s">
        <v>70</v>
      </c>
      <c r="G399" t="s">
        <v>24</v>
      </c>
      <c r="H399" t="s">
        <v>26</v>
      </c>
      <c r="I399" t="s">
        <v>26</v>
      </c>
      <c r="J399" t="s">
        <v>25</v>
      </c>
      <c r="K399">
        <v>730</v>
      </c>
      <c r="L399">
        <v>3</v>
      </c>
      <c r="M399">
        <v>10</v>
      </c>
      <c r="N399">
        <v>13</v>
      </c>
      <c r="O399">
        <v>125</v>
      </c>
      <c r="P399">
        <v>102</v>
      </c>
      <c r="Q399">
        <v>97</v>
      </c>
      <c r="R399">
        <v>85</v>
      </c>
      <c r="S399">
        <v>72</v>
      </c>
      <c r="T399">
        <v>41</v>
      </c>
      <c r="U399">
        <v>14</v>
      </c>
      <c r="V399">
        <v>717</v>
      </c>
    </row>
    <row r="400" spans="1:22" x14ac:dyDescent="0.25">
      <c r="A400">
        <v>2025</v>
      </c>
      <c r="B400">
        <v>12</v>
      </c>
      <c r="C400" t="s">
        <v>69</v>
      </c>
      <c r="D400" t="s">
        <v>22</v>
      </c>
      <c r="E400" t="s">
        <v>173</v>
      </c>
      <c r="F400" t="s">
        <v>32</v>
      </c>
      <c r="G400" t="s">
        <v>24</v>
      </c>
      <c r="H400" t="s">
        <v>25</v>
      </c>
      <c r="I400" t="s">
        <v>26</v>
      </c>
      <c r="J400" t="s">
        <v>25</v>
      </c>
      <c r="K400">
        <v>1136</v>
      </c>
      <c r="L400">
        <v>2</v>
      </c>
      <c r="M400">
        <v>32</v>
      </c>
      <c r="N400">
        <v>34</v>
      </c>
      <c r="O400">
        <v>18</v>
      </c>
      <c r="P400">
        <v>14</v>
      </c>
      <c r="Q400">
        <v>13</v>
      </c>
      <c r="R400">
        <v>10</v>
      </c>
      <c r="S400">
        <v>10</v>
      </c>
      <c r="T400">
        <v>7</v>
      </c>
      <c r="U400">
        <v>3</v>
      </c>
      <c r="V400">
        <v>1121</v>
      </c>
    </row>
    <row r="401" spans="1:22" x14ac:dyDescent="0.25">
      <c r="A401">
        <v>2025</v>
      </c>
      <c r="B401">
        <v>12</v>
      </c>
      <c r="C401" t="s">
        <v>69</v>
      </c>
      <c r="D401" t="s">
        <v>22</v>
      </c>
      <c r="E401" t="s">
        <v>173</v>
      </c>
      <c r="F401" t="s">
        <v>38</v>
      </c>
      <c r="G401" t="s">
        <v>24</v>
      </c>
      <c r="H401" t="s">
        <v>25</v>
      </c>
      <c r="I401" t="s">
        <v>25</v>
      </c>
      <c r="J401" t="s">
        <v>25</v>
      </c>
      <c r="K401">
        <v>58</v>
      </c>
      <c r="L401">
        <v>2</v>
      </c>
      <c r="M401">
        <v>4</v>
      </c>
      <c r="N401">
        <v>6</v>
      </c>
      <c r="O401">
        <v>15</v>
      </c>
      <c r="P401">
        <v>11</v>
      </c>
      <c r="Q401">
        <v>10</v>
      </c>
      <c r="R401">
        <v>8</v>
      </c>
      <c r="S401">
        <v>5</v>
      </c>
      <c r="T401">
        <v>2</v>
      </c>
      <c r="U401">
        <v>2</v>
      </c>
      <c r="V401">
        <v>56</v>
      </c>
    </row>
    <row r="402" spans="1:22" x14ac:dyDescent="0.25">
      <c r="A402">
        <v>2025</v>
      </c>
      <c r="B402">
        <v>12</v>
      </c>
      <c r="C402" t="s">
        <v>69</v>
      </c>
      <c r="D402" t="s">
        <v>22</v>
      </c>
      <c r="E402" t="s">
        <v>75</v>
      </c>
      <c r="F402" t="s">
        <v>113</v>
      </c>
      <c r="G402" t="s">
        <v>24</v>
      </c>
      <c r="H402" t="s">
        <v>26</v>
      </c>
      <c r="I402" t="s">
        <v>26</v>
      </c>
      <c r="J402" t="s">
        <v>25</v>
      </c>
      <c r="K402">
        <v>31</v>
      </c>
      <c r="L402">
        <v>0</v>
      </c>
      <c r="M402">
        <v>0</v>
      </c>
      <c r="N402">
        <v>0</v>
      </c>
      <c r="O402">
        <v>6</v>
      </c>
      <c r="P402">
        <v>4</v>
      </c>
      <c r="Q402">
        <v>4</v>
      </c>
      <c r="R402">
        <v>3</v>
      </c>
      <c r="S402">
        <v>2</v>
      </c>
      <c r="T402">
        <v>1</v>
      </c>
      <c r="U402">
        <v>1</v>
      </c>
      <c r="V402">
        <v>31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V195"/>
  <sheetViews>
    <sheetView workbookViewId="0"/>
  </sheetViews>
  <sheetFormatPr defaultRowHeight="15" x14ac:dyDescent="0.25"/>
  <sheetData>
    <row r="1" spans="1:2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122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</row>
    <row r="2" spans="1:22" x14ac:dyDescent="0.25">
      <c r="A2">
        <v>2025</v>
      </c>
      <c r="B2">
        <v>1</v>
      </c>
      <c r="C2" t="s">
        <v>72</v>
      </c>
      <c r="D2" t="s">
        <v>22</v>
      </c>
      <c r="E2" t="s">
        <v>151</v>
      </c>
      <c r="F2" t="s">
        <v>39</v>
      </c>
      <c r="G2" t="s">
        <v>24</v>
      </c>
      <c r="H2" t="s">
        <v>26</v>
      </c>
      <c r="I2" t="s">
        <v>26</v>
      </c>
      <c r="J2" t="s">
        <v>25</v>
      </c>
      <c r="K2">
        <v>427</v>
      </c>
      <c r="L2">
        <v>8</v>
      </c>
      <c r="M2">
        <v>15</v>
      </c>
      <c r="N2">
        <v>23</v>
      </c>
      <c r="O2">
        <v>154</v>
      </c>
      <c r="P2">
        <v>123</v>
      </c>
      <c r="Q2">
        <v>110</v>
      </c>
      <c r="R2">
        <v>76</v>
      </c>
      <c r="S2">
        <v>47</v>
      </c>
      <c r="T2">
        <v>19</v>
      </c>
      <c r="U2">
        <v>3</v>
      </c>
      <c r="V2">
        <v>413</v>
      </c>
    </row>
    <row r="3" spans="1:22" x14ac:dyDescent="0.25">
      <c r="A3">
        <v>2025</v>
      </c>
      <c r="B3">
        <v>1</v>
      </c>
      <c r="C3" t="s">
        <v>72</v>
      </c>
      <c r="D3" t="s">
        <v>22</v>
      </c>
      <c r="E3" t="s">
        <v>158</v>
      </c>
      <c r="F3" t="s">
        <v>54</v>
      </c>
      <c r="G3" t="s">
        <v>24</v>
      </c>
      <c r="H3" t="s">
        <v>25</v>
      </c>
      <c r="I3" t="s">
        <v>25</v>
      </c>
      <c r="J3" t="s">
        <v>25</v>
      </c>
      <c r="K3">
        <v>375</v>
      </c>
      <c r="L3">
        <v>4</v>
      </c>
      <c r="M3">
        <v>8</v>
      </c>
      <c r="N3">
        <v>12</v>
      </c>
      <c r="O3">
        <v>85</v>
      </c>
      <c r="P3">
        <v>60</v>
      </c>
      <c r="Q3">
        <v>50</v>
      </c>
      <c r="R3">
        <v>25</v>
      </c>
      <c r="S3">
        <v>14</v>
      </c>
      <c r="T3">
        <v>1</v>
      </c>
      <c r="U3">
        <v>0</v>
      </c>
      <c r="V3">
        <v>364</v>
      </c>
    </row>
    <row r="4" spans="1:22" x14ac:dyDescent="0.25">
      <c r="A4">
        <v>2025</v>
      </c>
      <c r="B4">
        <v>1</v>
      </c>
      <c r="C4" t="s">
        <v>72</v>
      </c>
      <c r="D4" t="s">
        <v>22</v>
      </c>
      <c r="E4" t="s">
        <v>158</v>
      </c>
      <c r="F4" t="s">
        <v>55</v>
      </c>
      <c r="G4" t="s">
        <v>24</v>
      </c>
      <c r="H4" t="s">
        <v>25</v>
      </c>
      <c r="I4" t="s">
        <v>25</v>
      </c>
      <c r="J4" t="s">
        <v>25</v>
      </c>
      <c r="K4">
        <v>381</v>
      </c>
      <c r="L4">
        <v>15</v>
      </c>
      <c r="M4">
        <v>2</v>
      </c>
      <c r="N4">
        <v>17</v>
      </c>
      <c r="O4">
        <v>96</v>
      </c>
      <c r="P4">
        <v>61</v>
      </c>
      <c r="Q4">
        <v>48</v>
      </c>
      <c r="R4">
        <v>25</v>
      </c>
      <c r="S4">
        <v>12</v>
      </c>
      <c r="T4">
        <v>3</v>
      </c>
      <c r="U4">
        <v>0</v>
      </c>
      <c r="V4">
        <v>366</v>
      </c>
    </row>
    <row r="5" spans="1:22" x14ac:dyDescent="0.25">
      <c r="A5">
        <v>2025</v>
      </c>
      <c r="B5">
        <v>1</v>
      </c>
      <c r="C5" t="s">
        <v>72</v>
      </c>
      <c r="D5" t="s">
        <v>22</v>
      </c>
      <c r="E5" t="s">
        <v>61</v>
      </c>
      <c r="F5" t="s">
        <v>35</v>
      </c>
      <c r="G5" t="s">
        <v>28</v>
      </c>
      <c r="H5" t="s">
        <v>25</v>
      </c>
      <c r="I5" t="s">
        <v>26</v>
      </c>
      <c r="J5" t="s">
        <v>26</v>
      </c>
      <c r="K5">
        <v>3</v>
      </c>
      <c r="L5">
        <v>0</v>
      </c>
      <c r="M5">
        <v>0</v>
      </c>
      <c r="N5">
        <v>0</v>
      </c>
      <c r="O5">
        <v>1</v>
      </c>
      <c r="P5">
        <v>1</v>
      </c>
      <c r="Q5">
        <v>1</v>
      </c>
      <c r="R5">
        <v>1</v>
      </c>
      <c r="S5">
        <v>1</v>
      </c>
      <c r="T5">
        <v>0</v>
      </c>
      <c r="U5">
        <v>0</v>
      </c>
      <c r="V5">
        <v>3</v>
      </c>
    </row>
    <row r="6" spans="1:22" x14ac:dyDescent="0.25">
      <c r="A6">
        <v>2025</v>
      </c>
      <c r="B6">
        <v>1</v>
      </c>
      <c r="C6" t="s">
        <v>72</v>
      </c>
      <c r="D6" t="s">
        <v>22</v>
      </c>
      <c r="E6" t="s">
        <v>61</v>
      </c>
      <c r="F6" t="s">
        <v>35</v>
      </c>
      <c r="G6" t="s">
        <v>24</v>
      </c>
      <c r="H6" t="s">
        <v>25</v>
      </c>
      <c r="I6" t="s">
        <v>26</v>
      </c>
      <c r="J6" t="s">
        <v>26</v>
      </c>
      <c r="K6">
        <v>47</v>
      </c>
      <c r="L6">
        <v>6</v>
      </c>
      <c r="M6">
        <v>0</v>
      </c>
      <c r="N6">
        <v>6</v>
      </c>
      <c r="O6">
        <v>12</v>
      </c>
      <c r="P6">
        <v>8</v>
      </c>
      <c r="Q6">
        <v>8</v>
      </c>
      <c r="R6">
        <v>6</v>
      </c>
      <c r="S6">
        <v>4</v>
      </c>
      <c r="T6">
        <v>1</v>
      </c>
      <c r="U6">
        <v>0</v>
      </c>
      <c r="V6">
        <v>39</v>
      </c>
    </row>
    <row r="7" spans="1:22" x14ac:dyDescent="0.25">
      <c r="A7">
        <v>2025</v>
      </c>
      <c r="B7">
        <v>1</v>
      </c>
      <c r="C7" t="s">
        <v>72</v>
      </c>
      <c r="D7" t="s">
        <v>22</v>
      </c>
      <c r="E7" t="s">
        <v>72</v>
      </c>
      <c r="F7" t="s">
        <v>23</v>
      </c>
      <c r="G7" t="s">
        <v>28</v>
      </c>
      <c r="H7" t="s">
        <v>25</v>
      </c>
      <c r="I7" t="s">
        <v>26</v>
      </c>
      <c r="J7" t="s">
        <v>25</v>
      </c>
      <c r="K7">
        <v>28401</v>
      </c>
      <c r="L7">
        <v>97</v>
      </c>
      <c r="M7">
        <v>494</v>
      </c>
      <c r="N7">
        <v>591</v>
      </c>
      <c r="O7">
        <v>5699</v>
      </c>
      <c r="P7">
        <v>3421</v>
      </c>
      <c r="Q7">
        <v>2732</v>
      </c>
      <c r="R7">
        <v>1258</v>
      </c>
      <c r="S7">
        <v>651</v>
      </c>
      <c r="T7">
        <v>117</v>
      </c>
      <c r="U7">
        <v>7</v>
      </c>
      <c r="V7">
        <v>27977</v>
      </c>
    </row>
    <row r="8" spans="1:22" x14ac:dyDescent="0.25">
      <c r="A8">
        <v>2025</v>
      </c>
      <c r="B8">
        <v>1</v>
      </c>
      <c r="C8" t="s">
        <v>72</v>
      </c>
      <c r="D8" t="s">
        <v>22</v>
      </c>
      <c r="E8" t="s">
        <v>72</v>
      </c>
      <c r="F8" t="s">
        <v>23</v>
      </c>
      <c r="G8" t="s">
        <v>24</v>
      </c>
      <c r="H8" t="s">
        <v>25</v>
      </c>
      <c r="I8" t="s">
        <v>26</v>
      </c>
      <c r="J8" t="s">
        <v>25</v>
      </c>
      <c r="K8">
        <v>3237</v>
      </c>
      <c r="L8">
        <v>16</v>
      </c>
      <c r="M8">
        <v>47</v>
      </c>
      <c r="N8">
        <v>63</v>
      </c>
      <c r="O8">
        <v>536</v>
      </c>
      <c r="P8">
        <v>313</v>
      </c>
      <c r="Q8">
        <v>263</v>
      </c>
      <c r="R8">
        <v>133</v>
      </c>
      <c r="S8">
        <v>80</v>
      </c>
      <c r="T8">
        <v>19</v>
      </c>
      <c r="U8">
        <v>2</v>
      </c>
      <c r="V8">
        <v>3179</v>
      </c>
    </row>
    <row r="9" spans="1:22" x14ac:dyDescent="0.25">
      <c r="A9">
        <v>2025</v>
      </c>
      <c r="B9">
        <v>1</v>
      </c>
      <c r="C9" t="s">
        <v>72</v>
      </c>
      <c r="D9" t="s">
        <v>22</v>
      </c>
      <c r="E9" t="s">
        <v>72</v>
      </c>
      <c r="F9" t="s">
        <v>23</v>
      </c>
      <c r="G9" t="s">
        <v>29</v>
      </c>
      <c r="H9" t="s">
        <v>25</v>
      </c>
      <c r="I9" t="s">
        <v>26</v>
      </c>
      <c r="J9" t="s">
        <v>25</v>
      </c>
      <c r="K9">
        <v>2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 x14ac:dyDescent="0.25">
      <c r="A10">
        <v>2025</v>
      </c>
      <c r="B10">
        <v>1</v>
      </c>
      <c r="C10" t="s">
        <v>72</v>
      </c>
      <c r="D10" t="s">
        <v>22</v>
      </c>
      <c r="E10" t="s">
        <v>72</v>
      </c>
      <c r="F10" t="s">
        <v>73</v>
      </c>
      <c r="G10" t="s">
        <v>28</v>
      </c>
      <c r="H10" t="s">
        <v>25</v>
      </c>
      <c r="I10" t="s">
        <v>25</v>
      </c>
      <c r="J10" t="s">
        <v>25</v>
      </c>
      <c r="K10">
        <v>17849</v>
      </c>
      <c r="L10">
        <v>39</v>
      </c>
      <c r="M10">
        <v>114</v>
      </c>
      <c r="N10">
        <v>153</v>
      </c>
      <c r="O10">
        <v>3093</v>
      </c>
      <c r="P10">
        <v>1671</v>
      </c>
      <c r="Q10">
        <v>1299</v>
      </c>
      <c r="R10">
        <v>509</v>
      </c>
      <c r="S10">
        <v>238</v>
      </c>
      <c r="T10">
        <v>39</v>
      </c>
      <c r="U10">
        <v>3</v>
      </c>
      <c r="V10">
        <v>17754</v>
      </c>
    </row>
    <row r="11" spans="1:22" x14ac:dyDescent="0.25">
      <c r="A11">
        <v>2025</v>
      </c>
      <c r="B11">
        <v>1</v>
      </c>
      <c r="C11" t="s">
        <v>72</v>
      </c>
      <c r="D11" t="s">
        <v>22</v>
      </c>
      <c r="E11" t="s">
        <v>72</v>
      </c>
      <c r="F11" t="s">
        <v>73</v>
      </c>
      <c r="G11" t="s">
        <v>24</v>
      </c>
      <c r="H11" t="s">
        <v>25</v>
      </c>
      <c r="I11" t="s">
        <v>25</v>
      </c>
      <c r="J11" t="s">
        <v>25</v>
      </c>
      <c r="K11">
        <v>5286</v>
      </c>
      <c r="L11">
        <v>14</v>
      </c>
      <c r="M11">
        <v>25</v>
      </c>
      <c r="N11">
        <v>39</v>
      </c>
      <c r="O11">
        <v>384</v>
      </c>
      <c r="P11">
        <v>195</v>
      </c>
      <c r="Q11">
        <v>153</v>
      </c>
      <c r="R11">
        <v>46</v>
      </c>
      <c r="S11">
        <v>23</v>
      </c>
      <c r="T11">
        <v>6</v>
      </c>
      <c r="U11">
        <v>0</v>
      </c>
      <c r="V11">
        <v>5272</v>
      </c>
    </row>
    <row r="12" spans="1:22" x14ac:dyDescent="0.25">
      <c r="A12">
        <v>2025</v>
      </c>
      <c r="B12">
        <v>1</v>
      </c>
      <c r="C12" t="s">
        <v>72</v>
      </c>
      <c r="D12" t="s">
        <v>22</v>
      </c>
      <c r="E12" t="s">
        <v>72</v>
      </c>
      <c r="F12" t="s">
        <v>74</v>
      </c>
      <c r="G12" t="s">
        <v>28</v>
      </c>
      <c r="H12" t="s">
        <v>25</v>
      </c>
      <c r="I12" t="s">
        <v>25</v>
      </c>
      <c r="J12" t="s">
        <v>25</v>
      </c>
      <c r="K12">
        <v>5107</v>
      </c>
      <c r="L12">
        <v>52</v>
      </c>
      <c r="M12">
        <v>24</v>
      </c>
      <c r="N12">
        <v>76</v>
      </c>
      <c r="O12">
        <v>1146</v>
      </c>
      <c r="P12">
        <v>652</v>
      </c>
      <c r="Q12">
        <v>509</v>
      </c>
      <c r="R12">
        <v>237</v>
      </c>
      <c r="S12">
        <v>127</v>
      </c>
      <c r="T12">
        <v>28</v>
      </c>
      <c r="U12">
        <v>2</v>
      </c>
      <c r="V12">
        <v>5038</v>
      </c>
    </row>
    <row r="13" spans="1:22" x14ac:dyDescent="0.25">
      <c r="A13">
        <v>2025</v>
      </c>
      <c r="B13">
        <v>1</v>
      </c>
      <c r="C13" t="s">
        <v>72</v>
      </c>
      <c r="D13" t="s">
        <v>22</v>
      </c>
      <c r="E13" t="s">
        <v>72</v>
      </c>
      <c r="F13" t="s">
        <v>74</v>
      </c>
      <c r="G13" t="s">
        <v>24</v>
      </c>
      <c r="H13" t="s">
        <v>25</v>
      </c>
      <c r="I13" t="s">
        <v>25</v>
      </c>
      <c r="J13" t="s">
        <v>25</v>
      </c>
      <c r="K13">
        <v>265</v>
      </c>
      <c r="L13">
        <v>4</v>
      </c>
      <c r="M13">
        <v>3</v>
      </c>
      <c r="N13">
        <v>7</v>
      </c>
      <c r="O13">
        <v>29</v>
      </c>
      <c r="P13">
        <v>14</v>
      </c>
      <c r="Q13">
        <v>10</v>
      </c>
      <c r="R13">
        <v>5</v>
      </c>
      <c r="S13">
        <v>4</v>
      </c>
      <c r="T13">
        <v>0</v>
      </c>
      <c r="U13">
        <v>0</v>
      </c>
      <c r="V13">
        <v>260</v>
      </c>
    </row>
    <row r="14" spans="1:22" x14ac:dyDescent="0.25">
      <c r="A14">
        <v>2025</v>
      </c>
      <c r="B14">
        <v>1</v>
      </c>
      <c r="C14" t="s">
        <v>72</v>
      </c>
      <c r="D14" t="s">
        <v>22</v>
      </c>
      <c r="E14" t="s">
        <v>72</v>
      </c>
      <c r="F14" t="s">
        <v>58</v>
      </c>
      <c r="G14" t="s">
        <v>28</v>
      </c>
      <c r="H14" t="s">
        <v>25</v>
      </c>
      <c r="I14" t="s">
        <v>25</v>
      </c>
      <c r="J14" t="s">
        <v>25</v>
      </c>
      <c r="K14">
        <v>28054</v>
      </c>
      <c r="L14">
        <v>66</v>
      </c>
      <c r="M14">
        <v>308</v>
      </c>
      <c r="N14">
        <v>374</v>
      </c>
      <c r="O14">
        <v>3840</v>
      </c>
      <c r="P14">
        <v>2091</v>
      </c>
      <c r="Q14">
        <v>1620</v>
      </c>
      <c r="R14">
        <v>689</v>
      </c>
      <c r="S14">
        <v>330</v>
      </c>
      <c r="T14">
        <v>71</v>
      </c>
      <c r="U14">
        <v>8</v>
      </c>
      <c r="V14">
        <v>27838</v>
      </c>
    </row>
    <row r="15" spans="1:22" x14ac:dyDescent="0.25">
      <c r="A15">
        <v>2025</v>
      </c>
      <c r="B15">
        <v>1</v>
      </c>
      <c r="C15" t="s">
        <v>72</v>
      </c>
      <c r="D15" t="s">
        <v>22</v>
      </c>
      <c r="E15" t="s">
        <v>72</v>
      </c>
      <c r="F15" t="s">
        <v>58</v>
      </c>
      <c r="G15" t="s">
        <v>24</v>
      </c>
      <c r="H15" t="s">
        <v>25</v>
      </c>
      <c r="I15" t="s">
        <v>25</v>
      </c>
      <c r="J15" t="s">
        <v>25</v>
      </c>
      <c r="K15">
        <v>2979</v>
      </c>
      <c r="L15">
        <v>29</v>
      </c>
      <c r="M15">
        <v>71</v>
      </c>
      <c r="N15">
        <v>100</v>
      </c>
      <c r="O15">
        <v>546</v>
      </c>
      <c r="P15">
        <v>322</v>
      </c>
      <c r="Q15">
        <v>259</v>
      </c>
      <c r="R15">
        <v>104</v>
      </c>
      <c r="S15">
        <v>44</v>
      </c>
      <c r="T15">
        <v>11</v>
      </c>
      <c r="U15">
        <v>0</v>
      </c>
      <c r="V15">
        <v>2906</v>
      </c>
    </row>
    <row r="16" spans="1:22" x14ac:dyDescent="0.25">
      <c r="A16">
        <v>2025</v>
      </c>
      <c r="B16">
        <v>1</v>
      </c>
      <c r="C16" t="s">
        <v>72</v>
      </c>
      <c r="D16" t="s">
        <v>22</v>
      </c>
      <c r="E16" t="s">
        <v>75</v>
      </c>
      <c r="F16" t="s">
        <v>27</v>
      </c>
      <c r="G16" t="s">
        <v>24</v>
      </c>
      <c r="H16" t="s">
        <v>26</v>
      </c>
      <c r="I16" t="s">
        <v>26</v>
      </c>
      <c r="J16" t="s">
        <v>25</v>
      </c>
      <c r="K16">
        <v>109</v>
      </c>
      <c r="L16">
        <v>1</v>
      </c>
      <c r="M16">
        <v>0</v>
      </c>
      <c r="N16">
        <v>1</v>
      </c>
      <c r="O16">
        <v>74</v>
      </c>
      <c r="P16">
        <v>34</v>
      </c>
      <c r="Q16">
        <v>34</v>
      </c>
      <c r="R16">
        <v>29</v>
      </c>
      <c r="S16">
        <v>14</v>
      </c>
      <c r="T16">
        <v>5</v>
      </c>
      <c r="U16">
        <v>0</v>
      </c>
      <c r="V16">
        <v>108</v>
      </c>
    </row>
    <row r="17" spans="1:22" x14ac:dyDescent="0.25">
      <c r="A17">
        <v>2025</v>
      </c>
      <c r="B17">
        <v>1</v>
      </c>
      <c r="C17" t="s">
        <v>72</v>
      </c>
      <c r="D17" t="s">
        <v>22</v>
      </c>
      <c r="E17" t="s">
        <v>75</v>
      </c>
      <c r="F17" t="s">
        <v>27</v>
      </c>
      <c r="G17" t="s">
        <v>29</v>
      </c>
      <c r="H17" t="s">
        <v>26</v>
      </c>
      <c r="I17" t="s">
        <v>26</v>
      </c>
      <c r="J17" t="s">
        <v>25</v>
      </c>
      <c r="K17">
        <v>1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 x14ac:dyDescent="0.25">
      <c r="A18">
        <v>2025</v>
      </c>
      <c r="B18">
        <v>2</v>
      </c>
      <c r="C18" t="s">
        <v>72</v>
      </c>
      <c r="D18" t="s">
        <v>22</v>
      </c>
      <c r="E18" t="s">
        <v>151</v>
      </c>
      <c r="F18" t="s">
        <v>39</v>
      </c>
      <c r="G18" t="s">
        <v>24</v>
      </c>
      <c r="H18" t="s">
        <v>26</v>
      </c>
      <c r="I18" t="s">
        <v>26</v>
      </c>
      <c r="J18" t="s">
        <v>25</v>
      </c>
      <c r="K18">
        <v>400</v>
      </c>
      <c r="L18">
        <v>18</v>
      </c>
      <c r="M18">
        <v>5</v>
      </c>
      <c r="N18">
        <v>23</v>
      </c>
      <c r="O18">
        <v>189</v>
      </c>
      <c r="P18">
        <v>142</v>
      </c>
      <c r="Q18">
        <v>122</v>
      </c>
      <c r="R18">
        <v>79</v>
      </c>
      <c r="S18">
        <v>52</v>
      </c>
      <c r="T18">
        <v>13</v>
      </c>
      <c r="U18">
        <v>1</v>
      </c>
      <c r="V18">
        <v>380</v>
      </c>
    </row>
    <row r="19" spans="1:22" x14ac:dyDescent="0.25">
      <c r="A19">
        <v>2025</v>
      </c>
      <c r="B19">
        <v>2</v>
      </c>
      <c r="C19" t="s">
        <v>72</v>
      </c>
      <c r="D19" t="s">
        <v>22</v>
      </c>
      <c r="E19" t="s">
        <v>158</v>
      </c>
      <c r="F19" t="s">
        <v>54</v>
      </c>
      <c r="G19" t="s">
        <v>24</v>
      </c>
      <c r="H19" t="s">
        <v>25</v>
      </c>
      <c r="I19" t="s">
        <v>25</v>
      </c>
      <c r="J19" t="s">
        <v>25</v>
      </c>
      <c r="K19">
        <v>708</v>
      </c>
      <c r="L19">
        <v>20</v>
      </c>
      <c r="M19">
        <v>10</v>
      </c>
      <c r="N19">
        <v>30</v>
      </c>
      <c r="O19">
        <v>203</v>
      </c>
      <c r="P19">
        <v>131</v>
      </c>
      <c r="Q19">
        <v>117</v>
      </c>
      <c r="R19">
        <v>60</v>
      </c>
      <c r="S19">
        <v>38</v>
      </c>
      <c r="T19">
        <v>4</v>
      </c>
      <c r="U19">
        <v>1</v>
      </c>
      <c r="V19">
        <v>679</v>
      </c>
    </row>
    <row r="20" spans="1:22" x14ac:dyDescent="0.25">
      <c r="A20">
        <v>2025</v>
      </c>
      <c r="B20">
        <v>2</v>
      </c>
      <c r="C20" t="s">
        <v>72</v>
      </c>
      <c r="D20" t="s">
        <v>22</v>
      </c>
      <c r="E20" t="s">
        <v>158</v>
      </c>
      <c r="F20" t="s">
        <v>55</v>
      </c>
      <c r="G20" t="s">
        <v>24</v>
      </c>
      <c r="H20" t="s">
        <v>25</v>
      </c>
      <c r="I20" t="s">
        <v>25</v>
      </c>
      <c r="J20" t="s">
        <v>25</v>
      </c>
      <c r="K20">
        <v>601</v>
      </c>
      <c r="L20">
        <v>9</v>
      </c>
      <c r="M20">
        <v>0</v>
      </c>
      <c r="N20">
        <v>9</v>
      </c>
      <c r="O20">
        <v>273</v>
      </c>
      <c r="P20">
        <v>190</v>
      </c>
      <c r="Q20">
        <v>162</v>
      </c>
      <c r="R20">
        <v>100</v>
      </c>
      <c r="S20">
        <v>63</v>
      </c>
      <c r="T20">
        <v>25</v>
      </c>
      <c r="U20">
        <v>5</v>
      </c>
      <c r="V20">
        <v>590</v>
      </c>
    </row>
    <row r="21" spans="1:22" x14ac:dyDescent="0.25">
      <c r="A21">
        <v>2025</v>
      </c>
      <c r="B21">
        <v>2</v>
      </c>
      <c r="C21" t="s">
        <v>72</v>
      </c>
      <c r="D21" t="s">
        <v>22</v>
      </c>
      <c r="E21" t="s">
        <v>61</v>
      </c>
      <c r="F21" t="s">
        <v>35</v>
      </c>
      <c r="G21" t="s">
        <v>24</v>
      </c>
      <c r="H21" t="s">
        <v>25</v>
      </c>
      <c r="I21" t="s">
        <v>26</v>
      </c>
      <c r="J21" t="s">
        <v>26</v>
      </c>
      <c r="K21">
        <v>48</v>
      </c>
      <c r="L21">
        <v>11</v>
      </c>
      <c r="M21">
        <v>0</v>
      </c>
      <c r="N21">
        <v>11</v>
      </c>
      <c r="O21">
        <v>14</v>
      </c>
      <c r="P21">
        <v>11</v>
      </c>
      <c r="Q21">
        <v>11</v>
      </c>
      <c r="R21">
        <v>10</v>
      </c>
      <c r="S21">
        <v>9</v>
      </c>
      <c r="T21">
        <v>5</v>
      </c>
      <c r="U21">
        <v>5</v>
      </c>
      <c r="V21">
        <v>37</v>
      </c>
    </row>
    <row r="22" spans="1:22" x14ac:dyDescent="0.25">
      <c r="A22">
        <v>2025</v>
      </c>
      <c r="B22">
        <v>2</v>
      </c>
      <c r="C22" t="s">
        <v>72</v>
      </c>
      <c r="D22" t="s">
        <v>22</v>
      </c>
      <c r="E22" t="s">
        <v>72</v>
      </c>
      <c r="F22" t="s">
        <v>23</v>
      </c>
      <c r="G22" t="s">
        <v>28</v>
      </c>
      <c r="H22" t="s">
        <v>25</v>
      </c>
      <c r="I22" t="s">
        <v>26</v>
      </c>
      <c r="J22" t="s">
        <v>25</v>
      </c>
      <c r="K22">
        <v>22581</v>
      </c>
      <c r="L22">
        <v>102</v>
      </c>
      <c r="M22">
        <v>520</v>
      </c>
      <c r="N22">
        <v>622</v>
      </c>
      <c r="O22">
        <v>5025</v>
      </c>
      <c r="P22">
        <v>3241</v>
      </c>
      <c r="Q22">
        <v>2653</v>
      </c>
      <c r="R22">
        <v>1358</v>
      </c>
      <c r="S22">
        <v>694</v>
      </c>
      <c r="T22">
        <v>122</v>
      </c>
      <c r="U22">
        <v>13</v>
      </c>
      <c r="V22">
        <v>22165</v>
      </c>
    </row>
    <row r="23" spans="1:22" x14ac:dyDescent="0.25">
      <c r="A23">
        <v>2025</v>
      </c>
      <c r="B23">
        <v>2</v>
      </c>
      <c r="C23" t="s">
        <v>72</v>
      </c>
      <c r="D23" t="s">
        <v>22</v>
      </c>
      <c r="E23" t="s">
        <v>72</v>
      </c>
      <c r="F23" t="s">
        <v>23</v>
      </c>
      <c r="G23" t="s">
        <v>24</v>
      </c>
      <c r="H23" t="s">
        <v>25</v>
      </c>
      <c r="I23" t="s">
        <v>26</v>
      </c>
      <c r="J23" t="s">
        <v>25</v>
      </c>
      <c r="K23">
        <v>2409</v>
      </c>
      <c r="L23">
        <v>17</v>
      </c>
      <c r="M23">
        <v>38</v>
      </c>
      <c r="N23">
        <v>55</v>
      </c>
      <c r="O23">
        <v>450</v>
      </c>
      <c r="P23">
        <v>302</v>
      </c>
      <c r="Q23">
        <v>249</v>
      </c>
      <c r="R23">
        <v>121</v>
      </c>
      <c r="S23">
        <v>68</v>
      </c>
      <c r="T23">
        <v>21</v>
      </c>
      <c r="U23">
        <v>2</v>
      </c>
      <c r="V23">
        <v>2358</v>
      </c>
    </row>
    <row r="24" spans="1:22" x14ac:dyDescent="0.25">
      <c r="A24">
        <v>2025</v>
      </c>
      <c r="B24">
        <v>2</v>
      </c>
      <c r="C24" t="s">
        <v>72</v>
      </c>
      <c r="D24" t="s">
        <v>22</v>
      </c>
      <c r="E24" t="s">
        <v>72</v>
      </c>
      <c r="F24" t="s">
        <v>23</v>
      </c>
      <c r="G24" t="s">
        <v>29</v>
      </c>
      <c r="H24" t="s">
        <v>25</v>
      </c>
      <c r="I24" t="s">
        <v>26</v>
      </c>
      <c r="J24" t="s">
        <v>25</v>
      </c>
      <c r="K24">
        <v>11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 x14ac:dyDescent="0.25">
      <c r="A25">
        <v>2025</v>
      </c>
      <c r="B25">
        <v>2</v>
      </c>
      <c r="C25" t="s">
        <v>72</v>
      </c>
      <c r="D25" t="s">
        <v>22</v>
      </c>
      <c r="E25" t="s">
        <v>72</v>
      </c>
      <c r="F25" t="s">
        <v>73</v>
      </c>
      <c r="G25" t="s">
        <v>28</v>
      </c>
      <c r="H25" t="s">
        <v>25</v>
      </c>
      <c r="I25" t="s">
        <v>25</v>
      </c>
      <c r="J25" t="s">
        <v>25</v>
      </c>
      <c r="K25">
        <v>13334</v>
      </c>
      <c r="L25">
        <v>75</v>
      </c>
      <c r="M25">
        <v>89</v>
      </c>
      <c r="N25">
        <v>164</v>
      </c>
      <c r="O25">
        <v>2253</v>
      </c>
      <c r="P25">
        <v>1265</v>
      </c>
      <c r="Q25">
        <v>993</v>
      </c>
      <c r="R25">
        <v>428</v>
      </c>
      <c r="S25">
        <v>197</v>
      </c>
      <c r="T25">
        <v>37</v>
      </c>
      <c r="U25">
        <v>1</v>
      </c>
      <c r="V25">
        <v>13198</v>
      </c>
    </row>
    <row r="26" spans="1:22" x14ac:dyDescent="0.25">
      <c r="A26">
        <v>2025</v>
      </c>
      <c r="B26">
        <v>2</v>
      </c>
      <c r="C26" t="s">
        <v>72</v>
      </c>
      <c r="D26" t="s">
        <v>22</v>
      </c>
      <c r="E26" t="s">
        <v>72</v>
      </c>
      <c r="F26" t="s">
        <v>73</v>
      </c>
      <c r="G26" t="s">
        <v>24</v>
      </c>
      <c r="H26" t="s">
        <v>25</v>
      </c>
      <c r="I26" t="s">
        <v>25</v>
      </c>
      <c r="J26" t="s">
        <v>25</v>
      </c>
      <c r="K26">
        <v>3878</v>
      </c>
      <c r="L26">
        <v>13</v>
      </c>
      <c r="M26">
        <v>22</v>
      </c>
      <c r="N26">
        <v>35</v>
      </c>
      <c r="O26">
        <v>263</v>
      </c>
      <c r="P26">
        <v>145</v>
      </c>
      <c r="Q26">
        <v>114</v>
      </c>
      <c r="R26">
        <v>55</v>
      </c>
      <c r="S26">
        <v>33</v>
      </c>
      <c r="T26">
        <v>6</v>
      </c>
      <c r="U26">
        <v>0</v>
      </c>
      <c r="V26">
        <v>3865</v>
      </c>
    </row>
    <row r="27" spans="1:22" x14ac:dyDescent="0.25">
      <c r="A27">
        <v>2025</v>
      </c>
      <c r="B27">
        <v>2</v>
      </c>
      <c r="C27" t="s">
        <v>72</v>
      </c>
      <c r="D27" t="s">
        <v>22</v>
      </c>
      <c r="E27" t="s">
        <v>72</v>
      </c>
      <c r="F27" t="s">
        <v>74</v>
      </c>
      <c r="G27" t="s">
        <v>28</v>
      </c>
      <c r="H27" t="s">
        <v>25</v>
      </c>
      <c r="I27" t="s">
        <v>25</v>
      </c>
      <c r="J27" t="s">
        <v>25</v>
      </c>
      <c r="K27">
        <v>3709</v>
      </c>
      <c r="L27">
        <v>42</v>
      </c>
      <c r="M27">
        <v>17</v>
      </c>
      <c r="N27">
        <v>59</v>
      </c>
      <c r="O27">
        <v>906</v>
      </c>
      <c r="P27">
        <v>558</v>
      </c>
      <c r="Q27">
        <v>449</v>
      </c>
      <c r="R27">
        <v>203</v>
      </c>
      <c r="S27">
        <v>107</v>
      </c>
      <c r="T27">
        <v>24</v>
      </c>
      <c r="U27">
        <v>4</v>
      </c>
      <c r="V27">
        <v>3652</v>
      </c>
    </row>
    <row r="28" spans="1:22" x14ac:dyDescent="0.25">
      <c r="A28">
        <v>2025</v>
      </c>
      <c r="B28">
        <v>2</v>
      </c>
      <c r="C28" t="s">
        <v>72</v>
      </c>
      <c r="D28" t="s">
        <v>22</v>
      </c>
      <c r="E28" t="s">
        <v>72</v>
      </c>
      <c r="F28" t="s">
        <v>74</v>
      </c>
      <c r="G28" t="s">
        <v>24</v>
      </c>
      <c r="H28" t="s">
        <v>25</v>
      </c>
      <c r="I28" t="s">
        <v>25</v>
      </c>
      <c r="J28" t="s">
        <v>25</v>
      </c>
      <c r="K28">
        <v>130</v>
      </c>
      <c r="L28">
        <v>0</v>
      </c>
      <c r="M28">
        <v>1</v>
      </c>
      <c r="N28">
        <v>1</v>
      </c>
      <c r="O28">
        <v>20</v>
      </c>
      <c r="P28">
        <v>16</v>
      </c>
      <c r="Q28">
        <v>13</v>
      </c>
      <c r="R28">
        <v>7</v>
      </c>
      <c r="S28">
        <v>6</v>
      </c>
      <c r="T28">
        <v>1</v>
      </c>
      <c r="U28">
        <v>0</v>
      </c>
      <c r="V28">
        <v>130</v>
      </c>
    </row>
    <row r="29" spans="1:22" x14ac:dyDescent="0.25">
      <c r="A29">
        <v>2025</v>
      </c>
      <c r="B29">
        <v>2</v>
      </c>
      <c r="C29" t="s">
        <v>72</v>
      </c>
      <c r="D29" t="s">
        <v>22</v>
      </c>
      <c r="E29" t="s">
        <v>72</v>
      </c>
      <c r="F29" t="s">
        <v>58</v>
      </c>
      <c r="G29" t="s">
        <v>28</v>
      </c>
      <c r="H29" t="s">
        <v>25</v>
      </c>
      <c r="I29" t="s">
        <v>25</v>
      </c>
      <c r="J29" t="s">
        <v>25</v>
      </c>
      <c r="K29">
        <v>21955</v>
      </c>
      <c r="L29">
        <v>93</v>
      </c>
      <c r="M29">
        <v>231</v>
      </c>
      <c r="N29">
        <v>324</v>
      </c>
      <c r="O29">
        <v>3406</v>
      </c>
      <c r="P29">
        <v>1936</v>
      </c>
      <c r="Q29">
        <v>1533</v>
      </c>
      <c r="R29">
        <v>737</v>
      </c>
      <c r="S29">
        <v>346</v>
      </c>
      <c r="T29">
        <v>74</v>
      </c>
      <c r="U29">
        <v>9</v>
      </c>
      <c r="V29">
        <v>21690</v>
      </c>
    </row>
    <row r="30" spans="1:22" x14ac:dyDescent="0.25">
      <c r="A30">
        <v>2025</v>
      </c>
      <c r="B30">
        <v>2</v>
      </c>
      <c r="C30" t="s">
        <v>72</v>
      </c>
      <c r="D30" t="s">
        <v>22</v>
      </c>
      <c r="E30" t="s">
        <v>72</v>
      </c>
      <c r="F30" t="s">
        <v>58</v>
      </c>
      <c r="G30" t="s">
        <v>24</v>
      </c>
      <c r="H30" t="s">
        <v>25</v>
      </c>
      <c r="I30" t="s">
        <v>25</v>
      </c>
      <c r="J30" t="s">
        <v>25</v>
      </c>
      <c r="K30">
        <v>2425</v>
      </c>
      <c r="L30">
        <v>46</v>
      </c>
      <c r="M30">
        <v>70</v>
      </c>
      <c r="N30">
        <v>116</v>
      </c>
      <c r="O30">
        <v>467</v>
      </c>
      <c r="P30">
        <v>291</v>
      </c>
      <c r="Q30">
        <v>222</v>
      </c>
      <c r="R30">
        <v>107</v>
      </c>
      <c r="S30">
        <v>50</v>
      </c>
      <c r="T30">
        <v>4</v>
      </c>
      <c r="U30">
        <v>0</v>
      </c>
      <c r="V30">
        <v>2338</v>
      </c>
    </row>
    <row r="31" spans="1:22" x14ac:dyDescent="0.25">
      <c r="A31">
        <v>2025</v>
      </c>
      <c r="B31">
        <v>2</v>
      </c>
      <c r="C31" t="s">
        <v>72</v>
      </c>
      <c r="D31" t="s">
        <v>22</v>
      </c>
      <c r="E31" t="s">
        <v>72</v>
      </c>
      <c r="F31" t="s">
        <v>58</v>
      </c>
      <c r="G31" t="s">
        <v>29</v>
      </c>
      <c r="H31" t="s">
        <v>25</v>
      </c>
      <c r="I31" t="s">
        <v>25</v>
      </c>
      <c r="J31" t="s">
        <v>25</v>
      </c>
      <c r="K31">
        <v>1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 x14ac:dyDescent="0.25">
      <c r="A32">
        <v>2025</v>
      </c>
      <c r="B32">
        <v>2</v>
      </c>
      <c r="C32" t="s">
        <v>72</v>
      </c>
      <c r="D32" t="s">
        <v>22</v>
      </c>
      <c r="E32" t="s">
        <v>75</v>
      </c>
      <c r="F32" t="s">
        <v>27</v>
      </c>
      <c r="G32" t="s">
        <v>24</v>
      </c>
      <c r="H32" t="s">
        <v>26</v>
      </c>
      <c r="I32" t="s">
        <v>26</v>
      </c>
      <c r="J32" t="s">
        <v>25</v>
      </c>
      <c r="K32">
        <v>141</v>
      </c>
      <c r="L32">
        <v>0</v>
      </c>
      <c r="M32">
        <v>0</v>
      </c>
      <c r="N32">
        <v>0</v>
      </c>
      <c r="O32">
        <v>75</v>
      </c>
      <c r="P32">
        <v>43</v>
      </c>
      <c r="Q32">
        <v>43</v>
      </c>
      <c r="R32">
        <v>35</v>
      </c>
      <c r="S32">
        <v>16</v>
      </c>
      <c r="T32">
        <v>5</v>
      </c>
      <c r="U32">
        <v>1</v>
      </c>
      <c r="V32">
        <v>141</v>
      </c>
    </row>
    <row r="33" spans="1:22" x14ac:dyDescent="0.25">
      <c r="A33">
        <v>2025</v>
      </c>
      <c r="B33">
        <v>2</v>
      </c>
      <c r="C33" t="s">
        <v>72</v>
      </c>
      <c r="D33" t="s">
        <v>22</v>
      </c>
      <c r="E33" t="s">
        <v>75</v>
      </c>
      <c r="F33" t="s">
        <v>27</v>
      </c>
      <c r="G33" t="s">
        <v>29</v>
      </c>
      <c r="H33" t="s">
        <v>26</v>
      </c>
      <c r="I33" t="s">
        <v>26</v>
      </c>
      <c r="J33" t="s">
        <v>25</v>
      </c>
      <c r="K33">
        <v>1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 x14ac:dyDescent="0.25">
      <c r="A34">
        <v>2025</v>
      </c>
      <c r="B34">
        <v>3</v>
      </c>
      <c r="C34" t="s">
        <v>72</v>
      </c>
      <c r="D34" t="s">
        <v>22</v>
      </c>
      <c r="E34" t="s">
        <v>151</v>
      </c>
      <c r="F34" t="s">
        <v>39</v>
      </c>
      <c r="G34" t="s">
        <v>24</v>
      </c>
      <c r="H34" t="s">
        <v>26</v>
      </c>
      <c r="I34" t="s">
        <v>26</v>
      </c>
      <c r="J34" t="s">
        <v>25</v>
      </c>
      <c r="K34">
        <v>446</v>
      </c>
      <c r="L34">
        <v>13</v>
      </c>
      <c r="M34">
        <v>1</v>
      </c>
      <c r="N34">
        <v>14</v>
      </c>
      <c r="O34">
        <v>200</v>
      </c>
      <c r="P34">
        <v>147</v>
      </c>
      <c r="Q34">
        <v>122</v>
      </c>
      <c r="R34">
        <v>82</v>
      </c>
      <c r="S34">
        <v>51</v>
      </c>
      <c r="T34">
        <v>24</v>
      </c>
      <c r="U34">
        <v>4</v>
      </c>
      <c r="V34">
        <v>433</v>
      </c>
    </row>
    <row r="35" spans="1:22" x14ac:dyDescent="0.25">
      <c r="A35">
        <v>2025</v>
      </c>
      <c r="B35">
        <v>3</v>
      </c>
      <c r="C35" t="s">
        <v>72</v>
      </c>
      <c r="D35" t="s">
        <v>22</v>
      </c>
      <c r="E35" t="s">
        <v>158</v>
      </c>
      <c r="F35" t="s">
        <v>54</v>
      </c>
      <c r="G35" t="s">
        <v>24</v>
      </c>
      <c r="H35" t="s">
        <v>25</v>
      </c>
      <c r="I35" t="s">
        <v>25</v>
      </c>
      <c r="J35" t="s">
        <v>25</v>
      </c>
      <c r="K35">
        <v>778</v>
      </c>
      <c r="L35">
        <v>11</v>
      </c>
      <c r="M35">
        <v>12</v>
      </c>
      <c r="N35">
        <v>23</v>
      </c>
      <c r="O35">
        <v>191</v>
      </c>
      <c r="P35">
        <v>117</v>
      </c>
      <c r="Q35">
        <v>99</v>
      </c>
      <c r="R35">
        <v>46</v>
      </c>
      <c r="S35">
        <v>26</v>
      </c>
      <c r="T35">
        <v>7</v>
      </c>
      <c r="U35">
        <v>0</v>
      </c>
      <c r="V35">
        <v>759</v>
      </c>
    </row>
    <row r="36" spans="1:22" x14ac:dyDescent="0.25">
      <c r="A36">
        <v>2025</v>
      </c>
      <c r="B36">
        <v>3</v>
      </c>
      <c r="C36" t="s">
        <v>72</v>
      </c>
      <c r="D36" t="s">
        <v>22</v>
      </c>
      <c r="E36" t="s">
        <v>158</v>
      </c>
      <c r="F36" t="s">
        <v>55</v>
      </c>
      <c r="G36" t="s">
        <v>24</v>
      </c>
      <c r="H36" t="s">
        <v>25</v>
      </c>
      <c r="I36" t="s">
        <v>25</v>
      </c>
      <c r="J36" t="s">
        <v>25</v>
      </c>
      <c r="K36">
        <v>723</v>
      </c>
      <c r="L36">
        <v>3</v>
      </c>
      <c r="M36">
        <v>2</v>
      </c>
      <c r="N36">
        <v>5</v>
      </c>
      <c r="O36">
        <v>201</v>
      </c>
      <c r="P36">
        <v>131</v>
      </c>
      <c r="Q36">
        <v>117</v>
      </c>
      <c r="R36">
        <v>66</v>
      </c>
      <c r="S36">
        <v>42</v>
      </c>
      <c r="T36">
        <v>17</v>
      </c>
      <c r="U36">
        <v>0</v>
      </c>
      <c r="V36">
        <v>719</v>
      </c>
    </row>
    <row r="37" spans="1:22" x14ac:dyDescent="0.25">
      <c r="A37">
        <v>2025</v>
      </c>
      <c r="B37">
        <v>3</v>
      </c>
      <c r="C37" t="s">
        <v>72</v>
      </c>
      <c r="D37" t="s">
        <v>22</v>
      </c>
      <c r="E37" t="s">
        <v>61</v>
      </c>
      <c r="F37" t="s">
        <v>35</v>
      </c>
      <c r="G37" t="s">
        <v>24</v>
      </c>
      <c r="H37" t="s">
        <v>25</v>
      </c>
      <c r="I37" t="s">
        <v>26</v>
      </c>
      <c r="J37" t="s">
        <v>26</v>
      </c>
      <c r="K37">
        <v>47</v>
      </c>
      <c r="L37">
        <v>11</v>
      </c>
      <c r="M37">
        <v>0</v>
      </c>
      <c r="N37">
        <v>11</v>
      </c>
      <c r="O37">
        <v>11</v>
      </c>
      <c r="P37">
        <v>6</v>
      </c>
      <c r="Q37">
        <v>6</v>
      </c>
      <c r="R37">
        <v>6</v>
      </c>
      <c r="S37">
        <v>6</v>
      </c>
      <c r="T37">
        <v>1</v>
      </c>
      <c r="U37">
        <v>1</v>
      </c>
      <c r="V37">
        <v>36</v>
      </c>
    </row>
    <row r="38" spans="1:22" x14ac:dyDescent="0.25">
      <c r="A38">
        <v>2025</v>
      </c>
      <c r="B38">
        <v>3</v>
      </c>
      <c r="C38" t="s">
        <v>72</v>
      </c>
      <c r="D38" t="s">
        <v>22</v>
      </c>
      <c r="E38" t="s">
        <v>72</v>
      </c>
      <c r="F38" t="s">
        <v>23</v>
      </c>
      <c r="G38" t="s">
        <v>28</v>
      </c>
      <c r="H38" t="s">
        <v>25</v>
      </c>
      <c r="I38" t="s">
        <v>26</v>
      </c>
      <c r="J38" t="s">
        <v>25</v>
      </c>
      <c r="K38">
        <v>24510</v>
      </c>
      <c r="L38">
        <v>75</v>
      </c>
      <c r="M38">
        <v>525</v>
      </c>
      <c r="N38">
        <v>600</v>
      </c>
      <c r="O38">
        <v>4455</v>
      </c>
      <c r="P38">
        <v>2713</v>
      </c>
      <c r="Q38">
        <v>2209</v>
      </c>
      <c r="R38">
        <v>1148</v>
      </c>
      <c r="S38">
        <v>617</v>
      </c>
      <c r="T38">
        <v>118</v>
      </c>
      <c r="U38">
        <v>4</v>
      </c>
      <c r="V38">
        <v>24139</v>
      </c>
    </row>
    <row r="39" spans="1:22" x14ac:dyDescent="0.25">
      <c r="A39">
        <v>2025</v>
      </c>
      <c r="B39">
        <v>3</v>
      </c>
      <c r="C39" t="s">
        <v>72</v>
      </c>
      <c r="D39" t="s">
        <v>22</v>
      </c>
      <c r="E39" t="s">
        <v>72</v>
      </c>
      <c r="F39" t="s">
        <v>23</v>
      </c>
      <c r="G39" t="s">
        <v>24</v>
      </c>
      <c r="H39" t="s">
        <v>25</v>
      </c>
      <c r="I39" t="s">
        <v>26</v>
      </c>
      <c r="J39" t="s">
        <v>25</v>
      </c>
      <c r="K39">
        <v>2767</v>
      </c>
      <c r="L39">
        <v>16</v>
      </c>
      <c r="M39">
        <v>11</v>
      </c>
      <c r="N39">
        <v>27</v>
      </c>
      <c r="O39">
        <v>361</v>
      </c>
      <c r="P39">
        <v>216</v>
      </c>
      <c r="Q39">
        <v>180</v>
      </c>
      <c r="R39">
        <v>85</v>
      </c>
      <c r="S39">
        <v>50</v>
      </c>
      <c r="T39">
        <v>12</v>
      </c>
      <c r="U39">
        <v>0</v>
      </c>
      <c r="V39">
        <v>2743</v>
      </c>
    </row>
    <row r="40" spans="1:22" x14ac:dyDescent="0.25">
      <c r="A40">
        <v>2025</v>
      </c>
      <c r="B40">
        <v>3</v>
      </c>
      <c r="C40" t="s">
        <v>72</v>
      </c>
      <c r="D40" t="s">
        <v>22</v>
      </c>
      <c r="E40" t="s">
        <v>72</v>
      </c>
      <c r="F40" t="s">
        <v>23</v>
      </c>
      <c r="G40" t="s">
        <v>29</v>
      </c>
      <c r="H40" t="s">
        <v>25</v>
      </c>
      <c r="I40" t="s">
        <v>26</v>
      </c>
      <c r="J40" t="s">
        <v>25</v>
      </c>
      <c r="K40">
        <v>1</v>
      </c>
      <c r="L40">
        <v>1</v>
      </c>
      <c r="M40">
        <v>0</v>
      </c>
      <c r="N40">
        <v>1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 x14ac:dyDescent="0.25">
      <c r="A41">
        <v>2025</v>
      </c>
      <c r="B41">
        <v>3</v>
      </c>
      <c r="C41" t="s">
        <v>72</v>
      </c>
      <c r="D41" t="s">
        <v>22</v>
      </c>
      <c r="E41" t="s">
        <v>72</v>
      </c>
      <c r="F41" t="s">
        <v>73</v>
      </c>
      <c r="G41" t="s">
        <v>28</v>
      </c>
      <c r="H41" t="s">
        <v>25</v>
      </c>
      <c r="I41" t="s">
        <v>25</v>
      </c>
      <c r="J41" t="s">
        <v>25</v>
      </c>
      <c r="K41">
        <v>14920</v>
      </c>
      <c r="L41">
        <v>22</v>
      </c>
      <c r="M41">
        <v>67</v>
      </c>
      <c r="N41">
        <v>89</v>
      </c>
      <c r="O41">
        <v>2141</v>
      </c>
      <c r="P41">
        <v>1142</v>
      </c>
      <c r="Q41">
        <v>845</v>
      </c>
      <c r="R41">
        <v>377</v>
      </c>
      <c r="S41">
        <v>190</v>
      </c>
      <c r="T41">
        <v>36</v>
      </c>
      <c r="U41">
        <v>3</v>
      </c>
      <c r="V41">
        <v>14852</v>
      </c>
    </row>
    <row r="42" spans="1:22" x14ac:dyDescent="0.25">
      <c r="A42">
        <v>2025</v>
      </c>
      <c r="B42">
        <v>3</v>
      </c>
      <c r="C42" t="s">
        <v>72</v>
      </c>
      <c r="D42" t="s">
        <v>22</v>
      </c>
      <c r="E42" t="s">
        <v>72</v>
      </c>
      <c r="F42" t="s">
        <v>73</v>
      </c>
      <c r="G42" t="s">
        <v>24</v>
      </c>
      <c r="H42" t="s">
        <v>25</v>
      </c>
      <c r="I42" t="s">
        <v>25</v>
      </c>
      <c r="J42" t="s">
        <v>25</v>
      </c>
      <c r="K42">
        <v>3797</v>
      </c>
      <c r="L42">
        <v>13</v>
      </c>
      <c r="M42">
        <v>16</v>
      </c>
      <c r="N42">
        <v>29</v>
      </c>
      <c r="O42">
        <v>238</v>
      </c>
      <c r="P42">
        <v>134</v>
      </c>
      <c r="Q42">
        <v>103</v>
      </c>
      <c r="R42">
        <v>46</v>
      </c>
      <c r="S42">
        <v>20</v>
      </c>
      <c r="T42">
        <v>2</v>
      </c>
      <c r="U42">
        <v>0</v>
      </c>
      <c r="V42">
        <v>3784</v>
      </c>
    </row>
    <row r="43" spans="1:22" x14ac:dyDescent="0.25">
      <c r="A43">
        <v>2025</v>
      </c>
      <c r="B43">
        <v>3</v>
      </c>
      <c r="C43" t="s">
        <v>72</v>
      </c>
      <c r="D43" t="s">
        <v>22</v>
      </c>
      <c r="E43" t="s">
        <v>72</v>
      </c>
      <c r="F43" t="s">
        <v>74</v>
      </c>
      <c r="G43" t="s">
        <v>28</v>
      </c>
      <c r="H43" t="s">
        <v>25</v>
      </c>
      <c r="I43" t="s">
        <v>25</v>
      </c>
      <c r="J43" t="s">
        <v>25</v>
      </c>
      <c r="K43">
        <v>3595</v>
      </c>
      <c r="L43">
        <v>23</v>
      </c>
      <c r="M43">
        <v>18</v>
      </c>
      <c r="N43">
        <v>41</v>
      </c>
      <c r="O43">
        <v>679</v>
      </c>
      <c r="P43">
        <v>400</v>
      </c>
      <c r="Q43">
        <v>309</v>
      </c>
      <c r="R43">
        <v>136</v>
      </c>
      <c r="S43">
        <v>57</v>
      </c>
      <c r="T43">
        <v>9</v>
      </c>
      <c r="U43">
        <v>1</v>
      </c>
      <c r="V43">
        <v>3560</v>
      </c>
    </row>
    <row r="44" spans="1:22" x14ac:dyDescent="0.25">
      <c r="A44">
        <v>2025</v>
      </c>
      <c r="B44">
        <v>3</v>
      </c>
      <c r="C44" t="s">
        <v>72</v>
      </c>
      <c r="D44" t="s">
        <v>22</v>
      </c>
      <c r="E44" t="s">
        <v>72</v>
      </c>
      <c r="F44" t="s">
        <v>74</v>
      </c>
      <c r="G44" t="s">
        <v>24</v>
      </c>
      <c r="H44" t="s">
        <v>25</v>
      </c>
      <c r="I44" t="s">
        <v>25</v>
      </c>
      <c r="J44" t="s">
        <v>25</v>
      </c>
      <c r="K44">
        <v>205</v>
      </c>
      <c r="L44">
        <v>0</v>
      </c>
      <c r="M44">
        <v>1</v>
      </c>
      <c r="N44">
        <v>1</v>
      </c>
      <c r="O44">
        <v>19</v>
      </c>
      <c r="P44">
        <v>9</v>
      </c>
      <c r="Q44">
        <v>9</v>
      </c>
      <c r="R44">
        <v>3</v>
      </c>
      <c r="S44">
        <v>2</v>
      </c>
      <c r="T44">
        <v>0</v>
      </c>
      <c r="U44">
        <v>0</v>
      </c>
      <c r="V44">
        <v>205</v>
      </c>
    </row>
    <row r="45" spans="1:22" x14ac:dyDescent="0.25">
      <c r="A45">
        <v>2025</v>
      </c>
      <c r="B45">
        <v>3</v>
      </c>
      <c r="C45" t="s">
        <v>72</v>
      </c>
      <c r="D45" t="s">
        <v>22</v>
      </c>
      <c r="E45" t="s">
        <v>72</v>
      </c>
      <c r="F45" t="s">
        <v>58</v>
      </c>
      <c r="G45" t="s">
        <v>28</v>
      </c>
      <c r="H45" t="s">
        <v>25</v>
      </c>
      <c r="I45" t="s">
        <v>25</v>
      </c>
      <c r="J45" t="s">
        <v>25</v>
      </c>
      <c r="K45">
        <v>22251</v>
      </c>
      <c r="L45">
        <v>67</v>
      </c>
      <c r="M45">
        <v>191</v>
      </c>
      <c r="N45">
        <v>258</v>
      </c>
      <c r="O45">
        <v>3204</v>
      </c>
      <c r="P45">
        <v>1753</v>
      </c>
      <c r="Q45">
        <v>1366</v>
      </c>
      <c r="R45">
        <v>642</v>
      </c>
      <c r="S45">
        <v>313</v>
      </c>
      <c r="T45">
        <v>71</v>
      </c>
      <c r="U45">
        <v>5</v>
      </c>
      <c r="V45">
        <v>22052</v>
      </c>
    </row>
    <row r="46" spans="1:22" x14ac:dyDescent="0.25">
      <c r="A46">
        <v>2025</v>
      </c>
      <c r="B46">
        <v>3</v>
      </c>
      <c r="C46" t="s">
        <v>72</v>
      </c>
      <c r="D46" t="s">
        <v>22</v>
      </c>
      <c r="E46" t="s">
        <v>72</v>
      </c>
      <c r="F46" t="s">
        <v>58</v>
      </c>
      <c r="G46" t="s">
        <v>24</v>
      </c>
      <c r="H46" t="s">
        <v>25</v>
      </c>
      <c r="I46" t="s">
        <v>25</v>
      </c>
      <c r="J46" t="s">
        <v>25</v>
      </c>
      <c r="K46">
        <v>2982</v>
      </c>
      <c r="L46">
        <v>20</v>
      </c>
      <c r="M46">
        <v>62</v>
      </c>
      <c r="N46">
        <v>82</v>
      </c>
      <c r="O46">
        <v>703</v>
      </c>
      <c r="P46">
        <v>425</v>
      </c>
      <c r="Q46">
        <v>324</v>
      </c>
      <c r="R46">
        <v>142</v>
      </c>
      <c r="S46">
        <v>55</v>
      </c>
      <c r="T46">
        <v>10</v>
      </c>
      <c r="U46">
        <v>0</v>
      </c>
      <c r="V46">
        <v>2921</v>
      </c>
    </row>
    <row r="47" spans="1:22" x14ac:dyDescent="0.25">
      <c r="A47">
        <v>2025</v>
      </c>
      <c r="B47">
        <v>3</v>
      </c>
      <c r="C47" t="s">
        <v>72</v>
      </c>
      <c r="D47" t="s">
        <v>22</v>
      </c>
      <c r="E47" t="s">
        <v>75</v>
      </c>
      <c r="F47" t="s">
        <v>27</v>
      </c>
      <c r="G47" t="s">
        <v>24</v>
      </c>
      <c r="H47" t="s">
        <v>26</v>
      </c>
      <c r="I47" t="s">
        <v>26</v>
      </c>
      <c r="J47" t="s">
        <v>25</v>
      </c>
      <c r="K47">
        <v>162</v>
      </c>
      <c r="L47">
        <v>0</v>
      </c>
      <c r="M47">
        <v>0</v>
      </c>
      <c r="N47">
        <v>0</v>
      </c>
      <c r="O47">
        <v>80</v>
      </c>
      <c r="P47">
        <v>53</v>
      </c>
      <c r="Q47">
        <v>53</v>
      </c>
      <c r="R47">
        <v>45</v>
      </c>
      <c r="S47">
        <v>31</v>
      </c>
      <c r="T47">
        <v>17</v>
      </c>
      <c r="U47">
        <v>3</v>
      </c>
      <c r="V47">
        <v>162</v>
      </c>
    </row>
    <row r="48" spans="1:22" x14ac:dyDescent="0.25">
      <c r="A48">
        <v>2025</v>
      </c>
      <c r="B48">
        <v>4</v>
      </c>
      <c r="C48" t="s">
        <v>72</v>
      </c>
      <c r="D48" t="s">
        <v>22</v>
      </c>
      <c r="E48" t="s">
        <v>37</v>
      </c>
      <c r="F48" t="s">
        <v>39</v>
      </c>
      <c r="G48" t="s">
        <v>28</v>
      </c>
      <c r="H48" t="s">
        <v>26</v>
      </c>
      <c r="I48" t="s">
        <v>26</v>
      </c>
      <c r="J48" t="s">
        <v>25</v>
      </c>
      <c r="K48">
        <v>2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2</v>
      </c>
    </row>
    <row r="49" spans="1:22" x14ac:dyDescent="0.25">
      <c r="A49">
        <v>2025</v>
      </c>
      <c r="B49">
        <v>4</v>
      </c>
      <c r="C49" t="s">
        <v>72</v>
      </c>
      <c r="D49" t="s">
        <v>22</v>
      </c>
      <c r="E49" t="s">
        <v>151</v>
      </c>
      <c r="F49" t="s">
        <v>39</v>
      </c>
      <c r="G49" t="s">
        <v>24</v>
      </c>
      <c r="H49" t="s">
        <v>26</v>
      </c>
      <c r="I49" t="s">
        <v>26</v>
      </c>
      <c r="J49" t="s">
        <v>25</v>
      </c>
      <c r="K49">
        <v>425</v>
      </c>
      <c r="L49">
        <v>15</v>
      </c>
      <c r="M49">
        <v>4</v>
      </c>
      <c r="N49">
        <v>19</v>
      </c>
      <c r="O49">
        <v>151</v>
      </c>
      <c r="P49">
        <v>107</v>
      </c>
      <c r="Q49">
        <v>91</v>
      </c>
      <c r="R49">
        <v>53</v>
      </c>
      <c r="S49">
        <v>39</v>
      </c>
      <c r="T49">
        <v>18</v>
      </c>
      <c r="U49">
        <v>2</v>
      </c>
      <c r="V49">
        <v>408</v>
      </c>
    </row>
    <row r="50" spans="1:22" x14ac:dyDescent="0.25">
      <c r="A50">
        <v>2025</v>
      </c>
      <c r="B50">
        <v>4</v>
      </c>
      <c r="C50" t="s">
        <v>72</v>
      </c>
      <c r="D50" t="s">
        <v>22</v>
      </c>
      <c r="E50" t="s">
        <v>158</v>
      </c>
      <c r="F50" t="s">
        <v>54</v>
      </c>
      <c r="G50" t="s">
        <v>24</v>
      </c>
      <c r="H50" t="s">
        <v>25</v>
      </c>
      <c r="I50" t="s">
        <v>25</v>
      </c>
      <c r="J50" t="s">
        <v>25</v>
      </c>
      <c r="K50">
        <v>730</v>
      </c>
      <c r="L50">
        <v>37</v>
      </c>
      <c r="M50">
        <v>28</v>
      </c>
      <c r="N50">
        <v>65</v>
      </c>
      <c r="O50">
        <v>186</v>
      </c>
      <c r="P50">
        <v>124</v>
      </c>
      <c r="Q50">
        <v>110</v>
      </c>
      <c r="R50">
        <v>66</v>
      </c>
      <c r="S50">
        <v>40</v>
      </c>
      <c r="T50">
        <v>18</v>
      </c>
      <c r="U50">
        <v>0</v>
      </c>
      <c r="V50">
        <v>673</v>
      </c>
    </row>
    <row r="51" spans="1:22" x14ac:dyDescent="0.25">
      <c r="A51">
        <v>2025</v>
      </c>
      <c r="B51">
        <v>4</v>
      </c>
      <c r="C51" t="s">
        <v>72</v>
      </c>
      <c r="D51" t="s">
        <v>22</v>
      </c>
      <c r="E51" t="s">
        <v>158</v>
      </c>
      <c r="F51" t="s">
        <v>55</v>
      </c>
      <c r="G51" t="s">
        <v>24</v>
      </c>
      <c r="H51" t="s">
        <v>25</v>
      </c>
      <c r="I51" t="s">
        <v>25</v>
      </c>
      <c r="J51" t="s">
        <v>25</v>
      </c>
      <c r="K51">
        <v>740</v>
      </c>
      <c r="L51">
        <v>13</v>
      </c>
      <c r="M51">
        <v>1</v>
      </c>
      <c r="N51">
        <v>14</v>
      </c>
      <c r="O51">
        <v>200</v>
      </c>
      <c r="P51">
        <v>124</v>
      </c>
      <c r="Q51">
        <v>105</v>
      </c>
      <c r="R51">
        <v>65</v>
      </c>
      <c r="S51">
        <v>43</v>
      </c>
      <c r="T51">
        <v>17</v>
      </c>
      <c r="U51">
        <v>2</v>
      </c>
      <c r="V51">
        <v>716</v>
      </c>
    </row>
    <row r="52" spans="1:22" x14ac:dyDescent="0.25">
      <c r="A52">
        <v>2025</v>
      </c>
      <c r="B52">
        <v>4</v>
      </c>
      <c r="C52" t="s">
        <v>72</v>
      </c>
      <c r="D52" t="s">
        <v>22</v>
      </c>
      <c r="E52" t="s">
        <v>158</v>
      </c>
      <c r="F52" t="s">
        <v>58</v>
      </c>
      <c r="G52" t="s">
        <v>24</v>
      </c>
      <c r="H52" t="s">
        <v>25</v>
      </c>
      <c r="I52" t="s">
        <v>25</v>
      </c>
      <c r="J52" t="s">
        <v>25</v>
      </c>
      <c r="K52">
        <v>1</v>
      </c>
      <c r="L52">
        <v>0</v>
      </c>
      <c r="M52">
        <v>1</v>
      </c>
      <c r="N52">
        <v>1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 x14ac:dyDescent="0.25">
      <c r="A53">
        <v>2025</v>
      </c>
      <c r="B53">
        <v>4</v>
      </c>
      <c r="C53" t="s">
        <v>72</v>
      </c>
      <c r="D53" t="s">
        <v>22</v>
      </c>
      <c r="E53" t="s">
        <v>61</v>
      </c>
      <c r="F53" t="s">
        <v>35</v>
      </c>
      <c r="G53" t="s">
        <v>24</v>
      </c>
      <c r="H53" t="s">
        <v>25</v>
      </c>
      <c r="I53" t="s">
        <v>26</v>
      </c>
      <c r="J53" t="s">
        <v>26</v>
      </c>
      <c r="K53">
        <v>40</v>
      </c>
      <c r="L53">
        <v>2</v>
      </c>
      <c r="M53">
        <v>0</v>
      </c>
      <c r="N53">
        <v>2</v>
      </c>
      <c r="O53">
        <v>17</v>
      </c>
      <c r="P53">
        <v>14</v>
      </c>
      <c r="Q53">
        <v>13</v>
      </c>
      <c r="R53">
        <v>7</v>
      </c>
      <c r="S53">
        <v>4</v>
      </c>
      <c r="T53">
        <v>4</v>
      </c>
      <c r="U53">
        <v>4</v>
      </c>
      <c r="V53">
        <v>38</v>
      </c>
    </row>
    <row r="54" spans="1:22" x14ac:dyDescent="0.25">
      <c r="A54">
        <v>2025</v>
      </c>
      <c r="B54">
        <v>4</v>
      </c>
      <c r="C54" t="s">
        <v>72</v>
      </c>
      <c r="D54" t="s">
        <v>22</v>
      </c>
      <c r="E54" t="s">
        <v>72</v>
      </c>
      <c r="F54" t="s">
        <v>23</v>
      </c>
      <c r="G54" t="s">
        <v>28</v>
      </c>
      <c r="H54" t="s">
        <v>25</v>
      </c>
      <c r="I54" t="s">
        <v>26</v>
      </c>
      <c r="J54" t="s">
        <v>25</v>
      </c>
      <c r="K54">
        <v>24351</v>
      </c>
      <c r="L54">
        <v>74</v>
      </c>
      <c r="M54">
        <v>474</v>
      </c>
      <c r="N54">
        <v>548</v>
      </c>
      <c r="O54">
        <v>4548</v>
      </c>
      <c r="P54">
        <v>2754</v>
      </c>
      <c r="Q54">
        <v>2238</v>
      </c>
      <c r="R54">
        <v>1123</v>
      </c>
      <c r="S54">
        <v>622</v>
      </c>
      <c r="T54">
        <v>119</v>
      </c>
      <c r="U54">
        <v>8</v>
      </c>
      <c r="V54">
        <v>24008</v>
      </c>
    </row>
    <row r="55" spans="1:22" x14ac:dyDescent="0.25">
      <c r="A55">
        <v>2025</v>
      </c>
      <c r="B55">
        <v>4</v>
      </c>
      <c r="C55" t="s">
        <v>72</v>
      </c>
      <c r="D55" t="s">
        <v>22</v>
      </c>
      <c r="E55" t="s">
        <v>72</v>
      </c>
      <c r="F55" t="s">
        <v>23</v>
      </c>
      <c r="G55" t="s">
        <v>24</v>
      </c>
      <c r="H55" t="s">
        <v>25</v>
      </c>
      <c r="I55" t="s">
        <v>26</v>
      </c>
      <c r="J55" t="s">
        <v>25</v>
      </c>
      <c r="K55">
        <v>1912</v>
      </c>
      <c r="L55">
        <v>8</v>
      </c>
      <c r="M55">
        <v>24</v>
      </c>
      <c r="N55">
        <v>32</v>
      </c>
      <c r="O55">
        <v>271</v>
      </c>
      <c r="P55">
        <v>175</v>
      </c>
      <c r="Q55">
        <v>141</v>
      </c>
      <c r="R55">
        <v>83</v>
      </c>
      <c r="S55">
        <v>56</v>
      </c>
      <c r="T55">
        <v>9</v>
      </c>
      <c r="U55">
        <v>0</v>
      </c>
      <c r="V55">
        <v>1887</v>
      </c>
    </row>
    <row r="56" spans="1:22" x14ac:dyDescent="0.25">
      <c r="A56">
        <v>2025</v>
      </c>
      <c r="B56">
        <v>4</v>
      </c>
      <c r="C56" t="s">
        <v>72</v>
      </c>
      <c r="D56" t="s">
        <v>22</v>
      </c>
      <c r="E56" t="s">
        <v>72</v>
      </c>
      <c r="F56" t="s">
        <v>23</v>
      </c>
      <c r="G56" t="s">
        <v>29</v>
      </c>
      <c r="H56" t="s">
        <v>25</v>
      </c>
      <c r="I56" t="s">
        <v>26</v>
      </c>
      <c r="J56" t="s">
        <v>25</v>
      </c>
      <c r="K56">
        <v>2</v>
      </c>
      <c r="L56">
        <v>2</v>
      </c>
      <c r="M56">
        <v>0</v>
      </c>
      <c r="N56">
        <v>2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 x14ac:dyDescent="0.25">
      <c r="A57">
        <v>2025</v>
      </c>
      <c r="B57">
        <v>4</v>
      </c>
      <c r="C57" t="s">
        <v>72</v>
      </c>
      <c r="D57" t="s">
        <v>22</v>
      </c>
      <c r="E57" t="s">
        <v>72</v>
      </c>
      <c r="F57" t="s">
        <v>73</v>
      </c>
      <c r="G57" t="s">
        <v>28</v>
      </c>
      <c r="H57" t="s">
        <v>25</v>
      </c>
      <c r="I57" t="s">
        <v>25</v>
      </c>
      <c r="J57" t="s">
        <v>25</v>
      </c>
      <c r="K57">
        <v>14508</v>
      </c>
      <c r="L57">
        <v>33</v>
      </c>
      <c r="M57">
        <v>80</v>
      </c>
      <c r="N57">
        <v>113</v>
      </c>
      <c r="O57">
        <v>2122</v>
      </c>
      <c r="P57">
        <v>1136</v>
      </c>
      <c r="Q57">
        <v>860</v>
      </c>
      <c r="R57">
        <v>375</v>
      </c>
      <c r="S57">
        <v>169</v>
      </c>
      <c r="T57">
        <v>35</v>
      </c>
      <c r="U57">
        <v>0</v>
      </c>
      <c r="V57">
        <v>14422</v>
      </c>
    </row>
    <row r="58" spans="1:22" x14ac:dyDescent="0.25">
      <c r="A58">
        <v>2025</v>
      </c>
      <c r="B58">
        <v>4</v>
      </c>
      <c r="C58" t="s">
        <v>72</v>
      </c>
      <c r="D58" t="s">
        <v>22</v>
      </c>
      <c r="E58" t="s">
        <v>72</v>
      </c>
      <c r="F58" t="s">
        <v>73</v>
      </c>
      <c r="G58" t="s">
        <v>24</v>
      </c>
      <c r="H58" t="s">
        <v>25</v>
      </c>
      <c r="I58" t="s">
        <v>25</v>
      </c>
      <c r="J58" t="s">
        <v>25</v>
      </c>
      <c r="K58">
        <v>3478</v>
      </c>
      <c r="L58">
        <v>9</v>
      </c>
      <c r="M58">
        <v>13</v>
      </c>
      <c r="N58">
        <v>22</v>
      </c>
      <c r="O58">
        <v>253</v>
      </c>
      <c r="P58">
        <v>143</v>
      </c>
      <c r="Q58">
        <v>111</v>
      </c>
      <c r="R58">
        <v>40</v>
      </c>
      <c r="S58">
        <v>23</v>
      </c>
      <c r="T58">
        <v>4</v>
      </c>
      <c r="U58">
        <v>0</v>
      </c>
      <c r="V58">
        <v>3469</v>
      </c>
    </row>
    <row r="59" spans="1:22" x14ac:dyDescent="0.25">
      <c r="A59">
        <v>2025</v>
      </c>
      <c r="B59">
        <v>4</v>
      </c>
      <c r="C59" t="s">
        <v>72</v>
      </c>
      <c r="D59" t="s">
        <v>22</v>
      </c>
      <c r="E59" t="s">
        <v>72</v>
      </c>
      <c r="F59" t="s">
        <v>73</v>
      </c>
      <c r="G59" t="s">
        <v>29</v>
      </c>
      <c r="H59" t="s">
        <v>25</v>
      </c>
      <c r="I59" t="s">
        <v>25</v>
      </c>
      <c r="J59" t="s">
        <v>25</v>
      </c>
      <c r="K59">
        <v>3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 x14ac:dyDescent="0.25">
      <c r="A60">
        <v>2025</v>
      </c>
      <c r="B60">
        <v>4</v>
      </c>
      <c r="C60" t="s">
        <v>72</v>
      </c>
      <c r="D60" t="s">
        <v>22</v>
      </c>
      <c r="E60" t="s">
        <v>72</v>
      </c>
      <c r="F60" t="s">
        <v>74</v>
      </c>
      <c r="G60" t="s">
        <v>28</v>
      </c>
      <c r="H60" t="s">
        <v>25</v>
      </c>
      <c r="I60" t="s">
        <v>25</v>
      </c>
      <c r="J60" t="s">
        <v>25</v>
      </c>
      <c r="K60">
        <v>3417</v>
      </c>
      <c r="L60">
        <v>28</v>
      </c>
      <c r="M60">
        <v>23</v>
      </c>
      <c r="N60">
        <v>51</v>
      </c>
      <c r="O60">
        <v>622</v>
      </c>
      <c r="P60">
        <v>363</v>
      </c>
      <c r="Q60">
        <v>291</v>
      </c>
      <c r="R60">
        <v>145</v>
      </c>
      <c r="S60">
        <v>76</v>
      </c>
      <c r="T60">
        <v>21</v>
      </c>
      <c r="U60">
        <v>0</v>
      </c>
      <c r="V60">
        <v>3371</v>
      </c>
    </row>
    <row r="61" spans="1:22" x14ac:dyDescent="0.25">
      <c r="A61">
        <v>2025</v>
      </c>
      <c r="B61">
        <v>4</v>
      </c>
      <c r="C61" t="s">
        <v>72</v>
      </c>
      <c r="D61" t="s">
        <v>22</v>
      </c>
      <c r="E61" t="s">
        <v>72</v>
      </c>
      <c r="F61" t="s">
        <v>74</v>
      </c>
      <c r="G61" t="s">
        <v>24</v>
      </c>
      <c r="H61" t="s">
        <v>25</v>
      </c>
      <c r="I61" t="s">
        <v>25</v>
      </c>
      <c r="J61" t="s">
        <v>25</v>
      </c>
      <c r="K61">
        <v>94</v>
      </c>
      <c r="L61">
        <v>1</v>
      </c>
      <c r="M61">
        <v>0</v>
      </c>
      <c r="N61">
        <v>1</v>
      </c>
      <c r="O61">
        <v>15</v>
      </c>
      <c r="P61">
        <v>10</v>
      </c>
      <c r="Q61">
        <v>9</v>
      </c>
      <c r="R61">
        <v>4</v>
      </c>
      <c r="S61">
        <v>2</v>
      </c>
      <c r="T61">
        <v>0</v>
      </c>
      <c r="U61">
        <v>0</v>
      </c>
      <c r="V61">
        <v>93</v>
      </c>
    </row>
    <row r="62" spans="1:22" x14ac:dyDescent="0.25">
      <c r="A62">
        <v>2025</v>
      </c>
      <c r="B62">
        <v>4</v>
      </c>
      <c r="C62" t="s">
        <v>72</v>
      </c>
      <c r="D62" t="s">
        <v>22</v>
      </c>
      <c r="E62" t="s">
        <v>72</v>
      </c>
      <c r="F62" t="s">
        <v>58</v>
      </c>
      <c r="G62" t="s">
        <v>28</v>
      </c>
      <c r="H62" t="s">
        <v>25</v>
      </c>
      <c r="I62" t="s">
        <v>25</v>
      </c>
      <c r="J62" t="s">
        <v>25</v>
      </c>
      <c r="K62">
        <v>22648</v>
      </c>
      <c r="L62">
        <v>52</v>
      </c>
      <c r="M62">
        <v>202</v>
      </c>
      <c r="N62">
        <v>254</v>
      </c>
      <c r="O62">
        <v>2997</v>
      </c>
      <c r="P62">
        <v>1628</v>
      </c>
      <c r="Q62">
        <v>1274</v>
      </c>
      <c r="R62">
        <v>606</v>
      </c>
      <c r="S62">
        <v>301</v>
      </c>
      <c r="T62">
        <v>59</v>
      </c>
      <c r="U62">
        <v>4</v>
      </c>
      <c r="V62">
        <v>22461</v>
      </c>
    </row>
    <row r="63" spans="1:22" x14ac:dyDescent="0.25">
      <c r="A63">
        <v>2025</v>
      </c>
      <c r="B63">
        <v>4</v>
      </c>
      <c r="C63" t="s">
        <v>72</v>
      </c>
      <c r="D63" t="s">
        <v>22</v>
      </c>
      <c r="E63" t="s">
        <v>72</v>
      </c>
      <c r="F63" t="s">
        <v>58</v>
      </c>
      <c r="G63" t="s">
        <v>24</v>
      </c>
      <c r="H63" t="s">
        <v>25</v>
      </c>
      <c r="I63" t="s">
        <v>25</v>
      </c>
      <c r="J63" t="s">
        <v>25</v>
      </c>
      <c r="K63">
        <v>2546</v>
      </c>
      <c r="L63">
        <v>17</v>
      </c>
      <c r="M63">
        <v>71</v>
      </c>
      <c r="N63">
        <v>88</v>
      </c>
      <c r="O63">
        <v>556</v>
      </c>
      <c r="P63">
        <v>363</v>
      </c>
      <c r="Q63">
        <v>281</v>
      </c>
      <c r="R63">
        <v>144</v>
      </c>
      <c r="S63">
        <v>55</v>
      </c>
      <c r="T63">
        <v>6</v>
      </c>
      <c r="U63">
        <v>0</v>
      </c>
      <c r="V63">
        <v>2488</v>
      </c>
    </row>
    <row r="64" spans="1:22" x14ac:dyDescent="0.25">
      <c r="A64">
        <v>2025</v>
      </c>
      <c r="B64">
        <v>4</v>
      </c>
      <c r="C64" t="s">
        <v>72</v>
      </c>
      <c r="D64" t="s">
        <v>22</v>
      </c>
      <c r="E64" t="s">
        <v>75</v>
      </c>
      <c r="F64" t="s">
        <v>27</v>
      </c>
      <c r="G64" t="s">
        <v>24</v>
      </c>
      <c r="H64" t="s">
        <v>26</v>
      </c>
      <c r="I64" t="s">
        <v>26</v>
      </c>
      <c r="J64" t="s">
        <v>25</v>
      </c>
      <c r="K64">
        <v>130</v>
      </c>
      <c r="L64">
        <v>3</v>
      </c>
      <c r="M64">
        <v>0</v>
      </c>
      <c r="N64">
        <v>3</v>
      </c>
      <c r="O64">
        <v>57</v>
      </c>
      <c r="P64">
        <v>36</v>
      </c>
      <c r="Q64">
        <v>36</v>
      </c>
      <c r="R64">
        <v>30</v>
      </c>
      <c r="S64">
        <v>19</v>
      </c>
      <c r="T64">
        <v>10</v>
      </c>
      <c r="U64">
        <v>1</v>
      </c>
      <c r="V64">
        <v>127</v>
      </c>
    </row>
    <row r="65" spans="1:22" x14ac:dyDescent="0.25">
      <c r="A65">
        <v>2025</v>
      </c>
      <c r="B65">
        <v>4</v>
      </c>
      <c r="C65" t="s">
        <v>72</v>
      </c>
      <c r="D65" t="s">
        <v>22</v>
      </c>
      <c r="E65" t="s">
        <v>75</v>
      </c>
      <c r="F65" t="s">
        <v>27</v>
      </c>
      <c r="G65" t="s">
        <v>29</v>
      </c>
      <c r="H65" t="s">
        <v>26</v>
      </c>
      <c r="I65" t="s">
        <v>26</v>
      </c>
      <c r="J65" t="s">
        <v>25</v>
      </c>
      <c r="K65">
        <v>2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</row>
    <row r="66" spans="1:22" x14ac:dyDescent="0.25">
      <c r="A66">
        <v>2025</v>
      </c>
      <c r="B66">
        <v>5</v>
      </c>
      <c r="C66" t="s">
        <v>72</v>
      </c>
      <c r="D66" t="s">
        <v>22</v>
      </c>
      <c r="E66" t="s">
        <v>151</v>
      </c>
      <c r="F66" t="s">
        <v>39</v>
      </c>
      <c r="G66" t="s">
        <v>24</v>
      </c>
      <c r="H66" t="s">
        <v>26</v>
      </c>
      <c r="I66" t="s">
        <v>26</v>
      </c>
      <c r="J66" t="s">
        <v>25</v>
      </c>
      <c r="K66">
        <v>463</v>
      </c>
      <c r="L66">
        <v>8</v>
      </c>
      <c r="M66">
        <v>11</v>
      </c>
      <c r="N66">
        <v>19</v>
      </c>
      <c r="O66">
        <v>249</v>
      </c>
      <c r="P66">
        <v>214</v>
      </c>
      <c r="Q66">
        <v>193</v>
      </c>
      <c r="R66">
        <v>147</v>
      </c>
      <c r="S66">
        <v>120</v>
      </c>
      <c r="T66">
        <v>65</v>
      </c>
      <c r="U66">
        <v>8</v>
      </c>
      <c r="V66">
        <v>449</v>
      </c>
    </row>
    <row r="67" spans="1:22" x14ac:dyDescent="0.25">
      <c r="A67">
        <v>2025</v>
      </c>
      <c r="B67">
        <v>5</v>
      </c>
      <c r="C67" t="s">
        <v>72</v>
      </c>
      <c r="D67" t="s">
        <v>22</v>
      </c>
      <c r="E67" t="s">
        <v>158</v>
      </c>
      <c r="F67" t="s">
        <v>54</v>
      </c>
      <c r="G67" t="s">
        <v>24</v>
      </c>
      <c r="H67" t="s">
        <v>25</v>
      </c>
      <c r="I67" t="s">
        <v>25</v>
      </c>
      <c r="J67" t="s">
        <v>25</v>
      </c>
      <c r="K67">
        <v>886</v>
      </c>
      <c r="L67">
        <v>22</v>
      </c>
      <c r="M67">
        <v>22</v>
      </c>
      <c r="N67">
        <v>44</v>
      </c>
      <c r="O67">
        <v>253</v>
      </c>
      <c r="P67">
        <v>163</v>
      </c>
      <c r="Q67">
        <v>143</v>
      </c>
      <c r="R67">
        <v>72</v>
      </c>
      <c r="S67">
        <v>31</v>
      </c>
      <c r="T67">
        <v>4</v>
      </c>
      <c r="U67">
        <v>1</v>
      </c>
      <c r="V67">
        <v>851</v>
      </c>
    </row>
    <row r="68" spans="1:22" x14ac:dyDescent="0.25">
      <c r="A68">
        <v>2025</v>
      </c>
      <c r="B68">
        <v>5</v>
      </c>
      <c r="C68" t="s">
        <v>72</v>
      </c>
      <c r="D68" t="s">
        <v>22</v>
      </c>
      <c r="E68" t="s">
        <v>158</v>
      </c>
      <c r="F68" t="s">
        <v>55</v>
      </c>
      <c r="G68" t="s">
        <v>24</v>
      </c>
      <c r="H68" t="s">
        <v>25</v>
      </c>
      <c r="I68" t="s">
        <v>25</v>
      </c>
      <c r="J68" t="s">
        <v>25</v>
      </c>
      <c r="K68">
        <v>768</v>
      </c>
      <c r="L68">
        <v>8</v>
      </c>
      <c r="M68">
        <v>4</v>
      </c>
      <c r="N68">
        <v>12</v>
      </c>
      <c r="O68">
        <v>200</v>
      </c>
      <c r="P68">
        <v>134</v>
      </c>
      <c r="Q68">
        <v>111</v>
      </c>
      <c r="R68">
        <v>60</v>
      </c>
      <c r="S68">
        <v>45</v>
      </c>
      <c r="T68">
        <v>15</v>
      </c>
      <c r="U68">
        <v>2</v>
      </c>
      <c r="V68">
        <v>760</v>
      </c>
    </row>
    <row r="69" spans="1:22" x14ac:dyDescent="0.25">
      <c r="A69">
        <v>2025</v>
      </c>
      <c r="B69">
        <v>5</v>
      </c>
      <c r="C69" t="s">
        <v>72</v>
      </c>
      <c r="D69" t="s">
        <v>22</v>
      </c>
      <c r="E69" t="s">
        <v>61</v>
      </c>
      <c r="F69" t="s">
        <v>35</v>
      </c>
      <c r="G69" t="s">
        <v>28</v>
      </c>
      <c r="H69" t="s">
        <v>25</v>
      </c>
      <c r="I69" t="s">
        <v>26</v>
      </c>
      <c r="J69" t="s">
        <v>26</v>
      </c>
      <c r="K69">
        <v>1</v>
      </c>
      <c r="L69">
        <v>0</v>
      </c>
      <c r="M69">
        <v>0</v>
      </c>
      <c r="N69">
        <v>0</v>
      </c>
      <c r="O69">
        <v>1</v>
      </c>
      <c r="P69">
        <v>1</v>
      </c>
      <c r="Q69">
        <v>1</v>
      </c>
      <c r="R69">
        <v>1</v>
      </c>
      <c r="S69">
        <v>1</v>
      </c>
      <c r="T69">
        <v>0</v>
      </c>
      <c r="U69">
        <v>0</v>
      </c>
      <c r="V69">
        <v>1</v>
      </c>
    </row>
    <row r="70" spans="1:22" x14ac:dyDescent="0.25">
      <c r="A70">
        <v>2025</v>
      </c>
      <c r="B70">
        <v>5</v>
      </c>
      <c r="C70" t="s">
        <v>72</v>
      </c>
      <c r="D70" t="s">
        <v>22</v>
      </c>
      <c r="E70" t="s">
        <v>61</v>
      </c>
      <c r="F70" t="s">
        <v>35</v>
      </c>
      <c r="G70" t="s">
        <v>24</v>
      </c>
      <c r="H70" t="s">
        <v>25</v>
      </c>
      <c r="I70" t="s">
        <v>26</v>
      </c>
      <c r="J70" t="s">
        <v>26</v>
      </c>
      <c r="K70">
        <v>51</v>
      </c>
      <c r="L70">
        <v>4</v>
      </c>
      <c r="M70">
        <v>0</v>
      </c>
      <c r="N70">
        <v>4</v>
      </c>
      <c r="O70">
        <v>25</v>
      </c>
      <c r="P70">
        <v>22</v>
      </c>
      <c r="Q70">
        <v>21</v>
      </c>
      <c r="R70">
        <v>18</v>
      </c>
      <c r="S70">
        <v>13</v>
      </c>
      <c r="T70">
        <v>12</v>
      </c>
      <c r="U70">
        <v>5</v>
      </c>
      <c r="V70">
        <v>47</v>
      </c>
    </row>
    <row r="71" spans="1:22" x14ac:dyDescent="0.25">
      <c r="A71">
        <v>2025</v>
      </c>
      <c r="B71">
        <v>5</v>
      </c>
      <c r="C71" t="s">
        <v>72</v>
      </c>
      <c r="D71" t="s">
        <v>22</v>
      </c>
      <c r="E71" t="s">
        <v>72</v>
      </c>
      <c r="F71" t="s">
        <v>23</v>
      </c>
      <c r="G71" t="s">
        <v>28</v>
      </c>
      <c r="H71" t="s">
        <v>25</v>
      </c>
      <c r="I71" t="s">
        <v>26</v>
      </c>
      <c r="J71" t="s">
        <v>25</v>
      </c>
      <c r="K71">
        <v>28125</v>
      </c>
      <c r="L71">
        <v>104</v>
      </c>
      <c r="M71">
        <v>757</v>
      </c>
      <c r="N71">
        <v>861</v>
      </c>
      <c r="O71">
        <v>5539</v>
      </c>
      <c r="P71">
        <v>3364</v>
      </c>
      <c r="Q71">
        <v>2759</v>
      </c>
      <c r="R71">
        <v>1384</v>
      </c>
      <c r="S71">
        <v>716</v>
      </c>
      <c r="T71">
        <v>120</v>
      </c>
      <c r="U71">
        <v>6</v>
      </c>
      <c r="V71">
        <v>27593</v>
      </c>
    </row>
    <row r="72" spans="1:22" x14ac:dyDescent="0.25">
      <c r="A72">
        <v>2025</v>
      </c>
      <c r="B72">
        <v>5</v>
      </c>
      <c r="C72" t="s">
        <v>72</v>
      </c>
      <c r="D72" t="s">
        <v>22</v>
      </c>
      <c r="E72" t="s">
        <v>72</v>
      </c>
      <c r="F72" t="s">
        <v>23</v>
      </c>
      <c r="G72" t="s">
        <v>24</v>
      </c>
      <c r="H72" t="s">
        <v>25</v>
      </c>
      <c r="I72" t="s">
        <v>26</v>
      </c>
      <c r="J72" t="s">
        <v>25</v>
      </c>
      <c r="K72">
        <v>3245</v>
      </c>
      <c r="L72">
        <v>29</v>
      </c>
      <c r="M72">
        <v>29</v>
      </c>
      <c r="N72">
        <v>58</v>
      </c>
      <c r="O72">
        <v>529</v>
      </c>
      <c r="P72">
        <v>342</v>
      </c>
      <c r="Q72">
        <v>283</v>
      </c>
      <c r="R72">
        <v>149</v>
      </c>
      <c r="S72">
        <v>98</v>
      </c>
      <c r="T72">
        <v>19</v>
      </c>
      <c r="U72">
        <v>0</v>
      </c>
      <c r="V72">
        <v>3201</v>
      </c>
    </row>
    <row r="73" spans="1:22" x14ac:dyDescent="0.25">
      <c r="A73">
        <v>2025</v>
      </c>
      <c r="B73">
        <v>5</v>
      </c>
      <c r="C73" t="s">
        <v>72</v>
      </c>
      <c r="D73" t="s">
        <v>22</v>
      </c>
      <c r="E73" t="s">
        <v>72</v>
      </c>
      <c r="F73" t="s">
        <v>23</v>
      </c>
      <c r="G73" t="s">
        <v>29</v>
      </c>
      <c r="H73" t="s">
        <v>25</v>
      </c>
      <c r="I73" t="s">
        <v>26</v>
      </c>
      <c r="J73" t="s">
        <v>25</v>
      </c>
      <c r="K73">
        <v>2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</row>
    <row r="74" spans="1:22" x14ac:dyDescent="0.25">
      <c r="A74">
        <v>2025</v>
      </c>
      <c r="B74">
        <v>5</v>
      </c>
      <c r="C74" t="s">
        <v>72</v>
      </c>
      <c r="D74" t="s">
        <v>22</v>
      </c>
      <c r="E74" t="s">
        <v>72</v>
      </c>
      <c r="F74" t="s">
        <v>73</v>
      </c>
      <c r="G74" t="s">
        <v>28</v>
      </c>
      <c r="H74" t="s">
        <v>25</v>
      </c>
      <c r="I74" t="s">
        <v>25</v>
      </c>
      <c r="J74" t="s">
        <v>25</v>
      </c>
      <c r="K74">
        <v>16944</v>
      </c>
      <c r="L74">
        <v>35</v>
      </c>
      <c r="M74">
        <v>127</v>
      </c>
      <c r="N74">
        <v>162</v>
      </c>
      <c r="O74">
        <v>2626</v>
      </c>
      <c r="P74">
        <v>1397</v>
      </c>
      <c r="Q74">
        <v>1078</v>
      </c>
      <c r="R74">
        <v>418</v>
      </c>
      <c r="S74">
        <v>195</v>
      </c>
      <c r="T74">
        <v>36</v>
      </c>
      <c r="U74">
        <v>2</v>
      </c>
      <c r="V74">
        <v>16825</v>
      </c>
    </row>
    <row r="75" spans="1:22" x14ac:dyDescent="0.25">
      <c r="A75">
        <v>2025</v>
      </c>
      <c r="B75">
        <v>5</v>
      </c>
      <c r="C75" t="s">
        <v>72</v>
      </c>
      <c r="D75" t="s">
        <v>22</v>
      </c>
      <c r="E75" t="s">
        <v>72</v>
      </c>
      <c r="F75" t="s">
        <v>73</v>
      </c>
      <c r="G75" t="s">
        <v>24</v>
      </c>
      <c r="H75" t="s">
        <v>25</v>
      </c>
      <c r="I75" t="s">
        <v>25</v>
      </c>
      <c r="J75" t="s">
        <v>25</v>
      </c>
      <c r="K75">
        <v>4247</v>
      </c>
      <c r="L75">
        <v>14</v>
      </c>
      <c r="M75">
        <v>34</v>
      </c>
      <c r="N75">
        <v>48</v>
      </c>
      <c r="O75">
        <v>219</v>
      </c>
      <c r="P75">
        <v>116</v>
      </c>
      <c r="Q75">
        <v>96</v>
      </c>
      <c r="R75">
        <v>47</v>
      </c>
      <c r="S75">
        <v>25</v>
      </c>
      <c r="T75">
        <v>11</v>
      </c>
      <c r="U75">
        <v>3</v>
      </c>
      <c r="V75">
        <v>4232</v>
      </c>
    </row>
    <row r="76" spans="1:22" x14ac:dyDescent="0.25">
      <c r="A76">
        <v>2025</v>
      </c>
      <c r="B76">
        <v>5</v>
      </c>
      <c r="C76" t="s">
        <v>72</v>
      </c>
      <c r="D76" t="s">
        <v>22</v>
      </c>
      <c r="E76" t="s">
        <v>72</v>
      </c>
      <c r="F76" t="s">
        <v>73</v>
      </c>
      <c r="G76" t="s">
        <v>29</v>
      </c>
      <c r="H76" t="s">
        <v>25</v>
      </c>
      <c r="I76" t="s">
        <v>25</v>
      </c>
      <c r="J76" t="s">
        <v>25</v>
      </c>
      <c r="K76">
        <v>1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</row>
    <row r="77" spans="1:22" x14ac:dyDescent="0.25">
      <c r="A77">
        <v>2025</v>
      </c>
      <c r="B77">
        <v>5</v>
      </c>
      <c r="C77" t="s">
        <v>72</v>
      </c>
      <c r="D77" t="s">
        <v>22</v>
      </c>
      <c r="E77" t="s">
        <v>72</v>
      </c>
      <c r="F77" t="s">
        <v>74</v>
      </c>
      <c r="G77" t="s">
        <v>28</v>
      </c>
      <c r="H77" t="s">
        <v>25</v>
      </c>
      <c r="I77" t="s">
        <v>25</v>
      </c>
      <c r="J77" t="s">
        <v>25</v>
      </c>
      <c r="K77">
        <v>4634</v>
      </c>
      <c r="L77">
        <v>35</v>
      </c>
      <c r="M77">
        <v>25</v>
      </c>
      <c r="N77">
        <v>60</v>
      </c>
      <c r="O77">
        <v>905</v>
      </c>
      <c r="P77">
        <v>516</v>
      </c>
      <c r="Q77">
        <v>414</v>
      </c>
      <c r="R77">
        <v>187</v>
      </c>
      <c r="S77">
        <v>88</v>
      </c>
      <c r="T77">
        <v>17</v>
      </c>
      <c r="U77">
        <v>1</v>
      </c>
      <c r="V77">
        <v>4578</v>
      </c>
    </row>
    <row r="78" spans="1:22" x14ac:dyDescent="0.25">
      <c r="A78">
        <v>2025</v>
      </c>
      <c r="B78">
        <v>5</v>
      </c>
      <c r="C78" t="s">
        <v>72</v>
      </c>
      <c r="D78" t="s">
        <v>22</v>
      </c>
      <c r="E78" t="s">
        <v>72</v>
      </c>
      <c r="F78" t="s">
        <v>74</v>
      </c>
      <c r="G78" t="s">
        <v>24</v>
      </c>
      <c r="H78" t="s">
        <v>25</v>
      </c>
      <c r="I78" t="s">
        <v>25</v>
      </c>
      <c r="J78" t="s">
        <v>25</v>
      </c>
      <c r="K78">
        <v>194</v>
      </c>
      <c r="L78">
        <v>2</v>
      </c>
      <c r="M78">
        <v>1</v>
      </c>
      <c r="N78">
        <v>3</v>
      </c>
      <c r="O78">
        <v>11</v>
      </c>
      <c r="P78">
        <v>6</v>
      </c>
      <c r="Q78">
        <v>3</v>
      </c>
      <c r="R78">
        <v>1</v>
      </c>
      <c r="S78">
        <v>0</v>
      </c>
      <c r="T78">
        <v>0</v>
      </c>
      <c r="U78">
        <v>0</v>
      </c>
      <c r="V78">
        <v>192</v>
      </c>
    </row>
    <row r="79" spans="1:22" x14ac:dyDescent="0.25">
      <c r="A79">
        <v>2025</v>
      </c>
      <c r="B79">
        <v>5</v>
      </c>
      <c r="C79" t="s">
        <v>72</v>
      </c>
      <c r="D79" t="s">
        <v>22</v>
      </c>
      <c r="E79" t="s">
        <v>72</v>
      </c>
      <c r="F79" t="s">
        <v>58</v>
      </c>
      <c r="G79" t="s">
        <v>28</v>
      </c>
      <c r="H79" t="s">
        <v>25</v>
      </c>
      <c r="I79" t="s">
        <v>25</v>
      </c>
      <c r="J79" t="s">
        <v>25</v>
      </c>
      <c r="K79">
        <v>27568</v>
      </c>
      <c r="L79">
        <v>78</v>
      </c>
      <c r="M79">
        <v>419</v>
      </c>
      <c r="N79">
        <v>497</v>
      </c>
      <c r="O79">
        <v>3803</v>
      </c>
      <c r="P79">
        <v>2107</v>
      </c>
      <c r="Q79">
        <v>1650</v>
      </c>
      <c r="R79">
        <v>768</v>
      </c>
      <c r="S79">
        <v>387</v>
      </c>
      <c r="T79">
        <v>77</v>
      </c>
      <c r="U79">
        <v>5</v>
      </c>
      <c r="V79">
        <v>27231</v>
      </c>
    </row>
    <row r="80" spans="1:22" x14ac:dyDescent="0.25">
      <c r="A80">
        <v>2025</v>
      </c>
      <c r="B80">
        <v>5</v>
      </c>
      <c r="C80" t="s">
        <v>72</v>
      </c>
      <c r="D80" t="s">
        <v>22</v>
      </c>
      <c r="E80" t="s">
        <v>72</v>
      </c>
      <c r="F80" t="s">
        <v>58</v>
      </c>
      <c r="G80" t="s">
        <v>24</v>
      </c>
      <c r="H80" t="s">
        <v>25</v>
      </c>
      <c r="I80" t="s">
        <v>25</v>
      </c>
      <c r="J80" t="s">
        <v>25</v>
      </c>
      <c r="K80">
        <v>2854</v>
      </c>
      <c r="L80">
        <v>21</v>
      </c>
      <c r="M80">
        <v>101</v>
      </c>
      <c r="N80">
        <v>122</v>
      </c>
      <c r="O80">
        <v>527</v>
      </c>
      <c r="P80">
        <v>314</v>
      </c>
      <c r="Q80">
        <v>259</v>
      </c>
      <c r="R80">
        <v>110</v>
      </c>
      <c r="S80">
        <v>50</v>
      </c>
      <c r="T80">
        <v>11</v>
      </c>
      <c r="U80">
        <v>0</v>
      </c>
      <c r="V80">
        <v>2765</v>
      </c>
    </row>
    <row r="81" spans="1:22" x14ac:dyDescent="0.25">
      <c r="A81">
        <v>2025</v>
      </c>
      <c r="B81">
        <v>5</v>
      </c>
      <c r="C81" t="s">
        <v>72</v>
      </c>
      <c r="D81" t="s">
        <v>22</v>
      </c>
      <c r="E81" t="s">
        <v>72</v>
      </c>
      <c r="F81" t="s">
        <v>58</v>
      </c>
      <c r="G81" t="s">
        <v>29</v>
      </c>
      <c r="H81" t="s">
        <v>25</v>
      </c>
      <c r="I81" t="s">
        <v>25</v>
      </c>
      <c r="J81" t="s">
        <v>25</v>
      </c>
      <c r="K81">
        <v>1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</row>
    <row r="82" spans="1:22" x14ac:dyDescent="0.25">
      <c r="A82">
        <v>2025</v>
      </c>
      <c r="B82">
        <v>5</v>
      </c>
      <c r="C82" t="s">
        <v>72</v>
      </c>
      <c r="D82" t="s">
        <v>22</v>
      </c>
      <c r="E82" t="s">
        <v>75</v>
      </c>
      <c r="F82" t="s">
        <v>27</v>
      </c>
      <c r="G82" t="s">
        <v>24</v>
      </c>
      <c r="H82" t="s">
        <v>26</v>
      </c>
      <c r="I82" t="s">
        <v>26</v>
      </c>
      <c r="J82" t="s">
        <v>25</v>
      </c>
      <c r="K82">
        <v>108</v>
      </c>
      <c r="L82">
        <v>2</v>
      </c>
      <c r="M82">
        <v>0</v>
      </c>
      <c r="N82">
        <v>2</v>
      </c>
      <c r="O82">
        <v>58</v>
      </c>
      <c r="P82">
        <v>26</v>
      </c>
      <c r="Q82">
        <v>26</v>
      </c>
      <c r="R82">
        <v>25</v>
      </c>
      <c r="S82">
        <v>10</v>
      </c>
      <c r="T82">
        <v>6</v>
      </c>
      <c r="U82">
        <v>0</v>
      </c>
      <c r="V82">
        <v>106</v>
      </c>
    </row>
    <row r="83" spans="1:22" x14ac:dyDescent="0.25">
      <c r="A83">
        <v>2025</v>
      </c>
      <c r="B83">
        <v>5</v>
      </c>
      <c r="C83" t="s">
        <v>72</v>
      </c>
      <c r="D83" t="s">
        <v>22</v>
      </c>
      <c r="E83" t="s">
        <v>75</v>
      </c>
      <c r="F83" t="s">
        <v>27</v>
      </c>
      <c r="G83" t="s">
        <v>29</v>
      </c>
      <c r="H83" t="s">
        <v>26</v>
      </c>
      <c r="I83" t="s">
        <v>26</v>
      </c>
      <c r="J83" t="s">
        <v>25</v>
      </c>
      <c r="K83">
        <v>4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</row>
    <row r="84" spans="1:22" x14ac:dyDescent="0.25">
      <c r="A84">
        <v>2025</v>
      </c>
      <c r="B84">
        <v>6</v>
      </c>
      <c r="C84" t="s">
        <v>72</v>
      </c>
      <c r="D84" t="s">
        <v>22</v>
      </c>
      <c r="E84" t="s">
        <v>151</v>
      </c>
      <c r="F84" t="s">
        <v>39</v>
      </c>
      <c r="G84" t="s">
        <v>24</v>
      </c>
      <c r="H84" t="s">
        <v>26</v>
      </c>
      <c r="I84" t="s">
        <v>26</v>
      </c>
      <c r="J84" t="s">
        <v>25</v>
      </c>
      <c r="K84">
        <v>468</v>
      </c>
      <c r="L84">
        <v>6</v>
      </c>
      <c r="M84">
        <v>4</v>
      </c>
      <c r="N84">
        <v>10</v>
      </c>
      <c r="O84">
        <v>197</v>
      </c>
      <c r="P84">
        <v>138</v>
      </c>
      <c r="Q84">
        <v>123</v>
      </c>
      <c r="R84">
        <v>81</v>
      </c>
      <c r="S84">
        <v>63</v>
      </c>
      <c r="T84">
        <v>30</v>
      </c>
      <c r="U84">
        <v>4</v>
      </c>
      <c r="V84">
        <v>460</v>
      </c>
    </row>
    <row r="85" spans="1:22" x14ac:dyDescent="0.25">
      <c r="A85">
        <v>2025</v>
      </c>
      <c r="B85">
        <v>6</v>
      </c>
      <c r="C85" t="s">
        <v>72</v>
      </c>
      <c r="D85" t="s">
        <v>22</v>
      </c>
      <c r="E85" t="s">
        <v>158</v>
      </c>
      <c r="F85" t="s">
        <v>54</v>
      </c>
      <c r="G85" t="s">
        <v>24</v>
      </c>
      <c r="H85" t="s">
        <v>25</v>
      </c>
      <c r="I85" t="s">
        <v>25</v>
      </c>
      <c r="J85" t="s">
        <v>25</v>
      </c>
      <c r="K85">
        <v>703</v>
      </c>
      <c r="L85">
        <v>6</v>
      </c>
      <c r="M85">
        <v>15</v>
      </c>
      <c r="N85">
        <v>21</v>
      </c>
      <c r="O85">
        <v>229</v>
      </c>
      <c r="P85">
        <v>155</v>
      </c>
      <c r="Q85">
        <v>135</v>
      </c>
      <c r="R85">
        <v>71</v>
      </c>
      <c r="S85">
        <v>39</v>
      </c>
      <c r="T85">
        <v>14</v>
      </c>
      <c r="U85">
        <v>3</v>
      </c>
      <c r="V85">
        <v>688</v>
      </c>
    </row>
    <row r="86" spans="1:22" x14ac:dyDescent="0.25">
      <c r="A86">
        <v>2025</v>
      </c>
      <c r="B86">
        <v>6</v>
      </c>
      <c r="C86" t="s">
        <v>72</v>
      </c>
      <c r="D86" t="s">
        <v>22</v>
      </c>
      <c r="E86" t="s">
        <v>158</v>
      </c>
      <c r="F86" t="s">
        <v>55</v>
      </c>
      <c r="G86" t="s">
        <v>24</v>
      </c>
      <c r="H86" t="s">
        <v>25</v>
      </c>
      <c r="I86" t="s">
        <v>25</v>
      </c>
      <c r="J86" t="s">
        <v>25</v>
      </c>
      <c r="K86">
        <v>148</v>
      </c>
      <c r="L86">
        <v>0</v>
      </c>
      <c r="M86">
        <v>0</v>
      </c>
      <c r="N86">
        <v>0</v>
      </c>
      <c r="O86">
        <v>32</v>
      </c>
      <c r="P86">
        <v>20</v>
      </c>
      <c r="Q86">
        <v>15</v>
      </c>
      <c r="R86">
        <v>9</v>
      </c>
      <c r="S86">
        <v>6</v>
      </c>
      <c r="T86">
        <v>2</v>
      </c>
      <c r="U86">
        <v>0</v>
      </c>
      <c r="V86">
        <v>148</v>
      </c>
    </row>
    <row r="87" spans="1:22" x14ac:dyDescent="0.25">
      <c r="A87">
        <v>2025</v>
      </c>
      <c r="B87">
        <v>6</v>
      </c>
      <c r="C87" t="s">
        <v>72</v>
      </c>
      <c r="D87" t="s">
        <v>22</v>
      </c>
      <c r="E87" t="s">
        <v>61</v>
      </c>
      <c r="F87" t="s">
        <v>35</v>
      </c>
      <c r="G87" t="s">
        <v>24</v>
      </c>
      <c r="H87" t="s">
        <v>25</v>
      </c>
      <c r="I87" t="s">
        <v>26</v>
      </c>
      <c r="J87" t="s">
        <v>26</v>
      </c>
      <c r="K87">
        <v>43</v>
      </c>
      <c r="L87">
        <v>0</v>
      </c>
      <c r="M87">
        <v>0</v>
      </c>
      <c r="N87">
        <v>0</v>
      </c>
      <c r="O87">
        <v>18</v>
      </c>
      <c r="P87">
        <v>15</v>
      </c>
      <c r="Q87">
        <v>11</v>
      </c>
      <c r="R87">
        <v>7</v>
      </c>
      <c r="S87">
        <v>5</v>
      </c>
      <c r="T87">
        <v>2</v>
      </c>
      <c r="U87">
        <v>2</v>
      </c>
      <c r="V87">
        <v>43</v>
      </c>
    </row>
    <row r="88" spans="1:22" x14ac:dyDescent="0.25">
      <c r="A88">
        <v>2025</v>
      </c>
      <c r="B88">
        <v>6</v>
      </c>
      <c r="C88" t="s">
        <v>72</v>
      </c>
      <c r="D88" t="s">
        <v>22</v>
      </c>
      <c r="E88" t="s">
        <v>72</v>
      </c>
      <c r="F88" t="s">
        <v>23</v>
      </c>
      <c r="G88" t="s">
        <v>28</v>
      </c>
      <c r="H88" t="s">
        <v>25</v>
      </c>
      <c r="I88" t="s">
        <v>26</v>
      </c>
      <c r="J88" t="s">
        <v>25</v>
      </c>
      <c r="K88">
        <v>25757</v>
      </c>
      <c r="L88">
        <v>68</v>
      </c>
      <c r="M88">
        <v>444</v>
      </c>
      <c r="N88">
        <v>512</v>
      </c>
      <c r="O88">
        <v>5664</v>
      </c>
      <c r="P88">
        <v>3526</v>
      </c>
      <c r="Q88">
        <v>2903</v>
      </c>
      <c r="R88">
        <v>1521</v>
      </c>
      <c r="S88">
        <v>812</v>
      </c>
      <c r="T88">
        <v>139</v>
      </c>
      <c r="U88">
        <v>11</v>
      </c>
      <c r="V88">
        <v>25419</v>
      </c>
    </row>
    <row r="89" spans="1:22" x14ac:dyDescent="0.25">
      <c r="A89">
        <v>2025</v>
      </c>
      <c r="B89">
        <v>6</v>
      </c>
      <c r="C89" t="s">
        <v>72</v>
      </c>
      <c r="D89" t="s">
        <v>22</v>
      </c>
      <c r="E89" t="s">
        <v>72</v>
      </c>
      <c r="F89" t="s">
        <v>23</v>
      </c>
      <c r="G89" t="s">
        <v>24</v>
      </c>
      <c r="H89" t="s">
        <v>25</v>
      </c>
      <c r="I89" t="s">
        <v>26</v>
      </c>
      <c r="J89" t="s">
        <v>25</v>
      </c>
      <c r="K89">
        <v>3082</v>
      </c>
      <c r="L89">
        <v>12</v>
      </c>
      <c r="M89">
        <v>40</v>
      </c>
      <c r="N89">
        <v>52</v>
      </c>
      <c r="O89">
        <v>593</v>
      </c>
      <c r="P89">
        <v>364</v>
      </c>
      <c r="Q89">
        <v>299</v>
      </c>
      <c r="R89">
        <v>146</v>
      </c>
      <c r="S89">
        <v>71</v>
      </c>
      <c r="T89">
        <v>12</v>
      </c>
      <c r="U89">
        <v>1</v>
      </c>
      <c r="V89">
        <v>3045</v>
      </c>
    </row>
    <row r="90" spans="1:22" x14ac:dyDescent="0.25">
      <c r="A90">
        <v>2025</v>
      </c>
      <c r="B90">
        <v>6</v>
      </c>
      <c r="C90" t="s">
        <v>72</v>
      </c>
      <c r="D90" t="s">
        <v>22</v>
      </c>
      <c r="E90" t="s">
        <v>72</v>
      </c>
      <c r="F90" t="s">
        <v>23</v>
      </c>
      <c r="G90" t="s">
        <v>29</v>
      </c>
      <c r="H90" t="s">
        <v>25</v>
      </c>
      <c r="I90" t="s">
        <v>26</v>
      </c>
      <c r="J90" t="s">
        <v>25</v>
      </c>
      <c r="K90">
        <v>2</v>
      </c>
      <c r="L90">
        <v>1</v>
      </c>
      <c r="M90">
        <v>0</v>
      </c>
      <c r="N90">
        <v>1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</row>
    <row r="91" spans="1:22" x14ac:dyDescent="0.25">
      <c r="A91">
        <v>2025</v>
      </c>
      <c r="B91">
        <v>6</v>
      </c>
      <c r="C91" t="s">
        <v>72</v>
      </c>
      <c r="D91" t="s">
        <v>22</v>
      </c>
      <c r="E91" t="s">
        <v>72</v>
      </c>
      <c r="F91" t="s">
        <v>73</v>
      </c>
      <c r="G91" t="s">
        <v>28</v>
      </c>
      <c r="H91" t="s">
        <v>25</v>
      </c>
      <c r="I91" t="s">
        <v>25</v>
      </c>
      <c r="J91" t="s">
        <v>25</v>
      </c>
      <c r="K91">
        <v>15793</v>
      </c>
      <c r="L91">
        <v>9</v>
      </c>
      <c r="M91">
        <v>66</v>
      </c>
      <c r="N91">
        <v>75</v>
      </c>
      <c r="O91">
        <v>2587</v>
      </c>
      <c r="P91">
        <v>1392</v>
      </c>
      <c r="Q91">
        <v>1072</v>
      </c>
      <c r="R91">
        <v>426</v>
      </c>
      <c r="S91">
        <v>209</v>
      </c>
      <c r="T91">
        <v>27</v>
      </c>
      <c r="U91">
        <v>2</v>
      </c>
      <c r="V91">
        <v>15737</v>
      </c>
    </row>
    <row r="92" spans="1:22" x14ac:dyDescent="0.25">
      <c r="A92">
        <v>2025</v>
      </c>
      <c r="B92">
        <v>6</v>
      </c>
      <c r="C92" t="s">
        <v>72</v>
      </c>
      <c r="D92" t="s">
        <v>22</v>
      </c>
      <c r="E92" t="s">
        <v>72</v>
      </c>
      <c r="F92" t="s">
        <v>73</v>
      </c>
      <c r="G92" t="s">
        <v>24</v>
      </c>
      <c r="H92" t="s">
        <v>25</v>
      </c>
      <c r="I92" t="s">
        <v>25</v>
      </c>
      <c r="J92" t="s">
        <v>25</v>
      </c>
      <c r="K92">
        <v>4285</v>
      </c>
      <c r="L92">
        <v>36</v>
      </c>
      <c r="M92">
        <v>1</v>
      </c>
      <c r="N92">
        <v>37</v>
      </c>
      <c r="O92">
        <v>179</v>
      </c>
      <c r="P92">
        <v>100</v>
      </c>
      <c r="Q92">
        <v>76</v>
      </c>
      <c r="R92">
        <v>28</v>
      </c>
      <c r="S92">
        <v>19</v>
      </c>
      <c r="T92">
        <v>7</v>
      </c>
      <c r="U92">
        <v>2</v>
      </c>
      <c r="V92">
        <v>4249</v>
      </c>
    </row>
    <row r="93" spans="1:22" x14ac:dyDescent="0.25">
      <c r="A93">
        <v>2025</v>
      </c>
      <c r="B93">
        <v>6</v>
      </c>
      <c r="C93" t="s">
        <v>72</v>
      </c>
      <c r="D93" t="s">
        <v>22</v>
      </c>
      <c r="E93" t="s">
        <v>72</v>
      </c>
      <c r="F93" t="s">
        <v>73</v>
      </c>
      <c r="G93" t="s">
        <v>29</v>
      </c>
      <c r="H93" t="s">
        <v>25</v>
      </c>
      <c r="I93" t="s">
        <v>25</v>
      </c>
      <c r="J93" t="s">
        <v>25</v>
      </c>
      <c r="K93">
        <v>1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</row>
    <row r="94" spans="1:22" x14ac:dyDescent="0.25">
      <c r="A94">
        <v>2025</v>
      </c>
      <c r="B94">
        <v>6</v>
      </c>
      <c r="C94" t="s">
        <v>72</v>
      </c>
      <c r="D94" t="s">
        <v>22</v>
      </c>
      <c r="E94" t="s">
        <v>72</v>
      </c>
      <c r="F94" t="s">
        <v>74</v>
      </c>
      <c r="G94" t="s">
        <v>28</v>
      </c>
      <c r="H94" t="s">
        <v>25</v>
      </c>
      <c r="I94" t="s">
        <v>25</v>
      </c>
      <c r="J94" t="s">
        <v>25</v>
      </c>
      <c r="K94">
        <v>4937</v>
      </c>
      <c r="L94">
        <v>21</v>
      </c>
      <c r="M94">
        <v>24</v>
      </c>
      <c r="N94">
        <v>45</v>
      </c>
      <c r="O94">
        <v>1011</v>
      </c>
      <c r="P94">
        <v>575</v>
      </c>
      <c r="Q94">
        <v>476</v>
      </c>
      <c r="R94">
        <v>218</v>
      </c>
      <c r="S94">
        <v>104</v>
      </c>
      <c r="T94">
        <v>25</v>
      </c>
      <c r="U94">
        <v>1</v>
      </c>
      <c r="V94">
        <v>4898</v>
      </c>
    </row>
    <row r="95" spans="1:22" x14ac:dyDescent="0.25">
      <c r="A95">
        <v>2025</v>
      </c>
      <c r="B95">
        <v>6</v>
      </c>
      <c r="C95" t="s">
        <v>72</v>
      </c>
      <c r="D95" t="s">
        <v>22</v>
      </c>
      <c r="E95" t="s">
        <v>72</v>
      </c>
      <c r="F95" t="s">
        <v>74</v>
      </c>
      <c r="G95" t="s">
        <v>24</v>
      </c>
      <c r="H95" t="s">
        <v>25</v>
      </c>
      <c r="I95" t="s">
        <v>25</v>
      </c>
      <c r="J95" t="s">
        <v>25</v>
      </c>
      <c r="K95">
        <v>241</v>
      </c>
      <c r="L95">
        <v>0</v>
      </c>
      <c r="M95">
        <v>0</v>
      </c>
      <c r="N95">
        <v>0</v>
      </c>
      <c r="O95">
        <v>19</v>
      </c>
      <c r="P95">
        <v>13</v>
      </c>
      <c r="Q95">
        <v>13</v>
      </c>
      <c r="R95">
        <v>9</v>
      </c>
      <c r="S95">
        <v>5</v>
      </c>
      <c r="T95">
        <v>2</v>
      </c>
      <c r="U95">
        <v>1</v>
      </c>
      <c r="V95">
        <v>241</v>
      </c>
    </row>
    <row r="96" spans="1:22" x14ac:dyDescent="0.25">
      <c r="A96">
        <v>2025</v>
      </c>
      <c r="B96">
        <v>6</v>
      </c>
      <c r="C96" t="s">
        <v>72</v>
      </c>
      <c r="D96" t="s">
        <v>22</v>
      </c>
      <c r="E96" t="s">
        <v>72</v>
      </c>
      <c r="F96" t="s">
        <v>58</v>
      </c>
      <c r="G96" t="s">
        <v>28</v>
      </c>
      <c r="H96" t="s">
        <v>25</v>
      </c>
      <c r="I96" t="s">
        <v>25</v>
      </c>
      <c r="J96" t="s">
        <v>25</v>
      </c>
      <c r="K96">
        <v>25827</v>
      </c>
      <c r="L96">
        <v>45</v>
      </c>
      <c r="M96">
        <v>224</v>
      </c>
      <c r="N96">
        <v>269</v>
      </c>
      <c r="O96">
        <v>4141</v>
      </c>
      <c r="P96">
        <v>2252</v>
      </c>
      <c r="Q96">
        <v>1771</v>
      </c>
      <c r="R96">
        <v>778</v>
      </c>
      <c r="S96">
        <v>397</v>
      </c>
      <c r="T96">
        <v>80</v>
      </c>
      <c r="U96">
        <v>5</v>
      </c>
      <c r="V96">
        <v>25640</v>
      </c>
    </row>
    <row r="97" spans="1:22" x14ac:dyDescent="0.25">
      <c r="A97">
        <v>2025</v>
      </c>
      <c r="B97">
        <v>6</v>
      </c>
      <c r="C97" t="s">
        <v>72</v>
      </c>
      <c r="D97" t="s">
        <v>22</v>
      </c>
      <c r="E97" t="s">
        <v>72</v>
      </c>
      <c r="F97" t="s">
        <v>58</v>
      </c>
      <c r="G97" t="s">
        <v>24</v>
      </c>
      <c r="H97" t="s">
        <v>25</v>
      </c>
      <c r="I97" t="s">
        <v>25</v>
      </c>
      <c r="J97" t="s">
        <v>25</v>
      </c>
      <c r="K97">
        <v>2883</v>
      </c>
      <c r="L97">
        <v>17</v>
      </c>
      <c r="M97">
        <v>40</v>
      </c>
      <c r="N97">
        <v>57</v>
      </c>
      <c r="O97">
        <v>403</v>
      </c>
      <c r="P97">
        <v>256</v>
      </c>
      <c r="Q97">
        <v>188</v>
      </c>
      <c r="R97">
        <v>91</v>
      </c>
      <c r="S97">
        <v>38</v>
      </c>
      <c r="T97">
        <v>11</v>
      </c>
      <c r="U97">
        <v>0</v>
      </c>
      <c r="V97">
        <v>2838</v>
      </c>
    </row>
    <row r="98" spans="1:22" x14ac:dyDescent="0.25">
      <c r="A98">
        <v>2025</v>
      </c>
      <c r="B98">
        <v>6</v>
      </c>
      <c r="C98" t="s">
        <v>72</v>
      </c>
      <c r="D98" t="s">
        <v>22</v>
      </c>
      <c r="E98" t="s">
        <v>72</v>
      </c>
      <c r="F98" t="s">
        <v>58</v>
      </c>
      <c r="G98" t="s">
        <v>29</v>
      </c>
      <c r="H98" t="s">
        <v>25</v>
      </c>
      <c r="I98" t="s">
        <v>25</v>
      </c>
      <c r="J98" t="s">
        <v>25</v>
      </c>
      <c r="K98">
        <v>2</v>
      </c>
      <c r="L98">
        <v>1</v>
      </c>
      <c r="M98">
        <v>0</v>
      </c>
      <c r="N98">
        <v>1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</row>
    <row r="99" spans="1:22" x14ac:dyDescent="0.25">
      <c r="A99">
        <v>2025</v>
      </c>
      <c r="B99">
        <v>6</v>
      </c>
      <c r="C99" t="s">
        <v>72</v>
      </c>
      <c r="D99" t="s">
        <v>22</v>
      </c>
      <c r="E99" t="s">
        <v>75</v>
      </c>
      <c r="F99" t="s">
        <v>27</v>
      </c>
      <c r="G99" t="s">
        <v>24</v>
      </c>
      <c r="H99" t="s">
        <v>26</v>
      </c>
      <c r="I99" t="s">
        <v>26</v>
      </c>
      <c r="J99" t="s">
        <v>25</v>
      </c>
      <c r="K99">
        <v>113</v>
      </c>
      <c r="L99">
        <v>2</v>
      </c>
      <c r="M99">
        <v>0</v>
      </c>
      <c r="N99">
        <v>2</v>
      </c>
      <c r="O99">
        <v>74</v>
      </c>
      <c r="P99">
        <v>35</v>
      </c>
      <c r="Q99">
        <v>35</v>
      </c>
      <c r="R99">
        <v>34</v>
      </c>
      <c r="S99">
        <v>14</v>
      </c>
      <c r="T99">
        <v>7</v>
      </c>
      <c r="U99">
        <v>0</v>
      </c>
      <c r="V99">
        <v>111</v>
      </c>
    </row>
    <row r="100" spans="1:22" x14ac:dyDescent="0.25">
      <c r="A100">
        <v>2025</v>
      </c>
      <c r="B100">
        <v>6</v>
      </c>
      <c r="C100" t="s">
        <v>72</v>
      </c>
      <c r="D100" t="s">
        <v>22</v>
      </c>
      <c r="E100" t="s">
        <v>75</v>
      </c>
      <c r="F100" t="s">
        <v>27</v>
      </c>
      <c r="G100" t="s">
        <v>29</v>
      </c>
      <c r="H100" t="s">
        <v>26</v>
      </c>
      <c r="I100" t="s">
        <v>26</v>
      </c>
      <c r="J100" t="s">
        <v>25</v>
      </c>
      <c r="K100">
        <v>23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</row>
    <row r="101" spans="1:22" x14ac:dyDescent="0.25">
      <c r="A101">
        <v>2025</v>
      </c>
      <c r="B101">
        <v>7</v>
      </c>
      <c r="C101" t="s">
        <v>72</v>
      </c>
      <c r="D101" t="s">
        <v>22</v>
      </c>
      <c r="E101" t="s">
        <v>151</v>
      </c>
      <c r="F101" t="s">
        <v>39</v>
      </c>
      <c r="G101" t="s">
        <v>24</v>
      </c>
      <c r="H101" t="s">
        <v>26</v>
      </c>
      <c r="I101" t="s">
        <v>26</v>
      </c>
      <c r="J101" t="s">
        <v>25</v>
      </c>
      <c r="K101">
        <v>487</v>
      </c>
      <c r="L101">
        <v>15</v>
      </c>
      <c r="M101">
        <v>19</v>
      </c>
      <c r="N101">
        <v>34</v>
      </c>
      <c r="O101">
        <v>184</v>
      </c>
      <c r="P101">
        <v>139</v>
      </c>
      <c r="Q101">
        <v>121</v>
      </c>
      <c r="R101">
        <v>83</v>
      </c>
      <c r="S101">
        <v>63</v>
      </c>
      <c r="T101">
        <v>34</v>
      </c>
      <c r="U101">
        <v>6</v>
      </c>
      <c r="V101">
        <v>463</v>
      </c>
    </row>
    <row r="102" spans="1:22" x14ac:dyDescent="0.25">
      <c r="A102">
        <v>2025</v>
      </c>
      <c r="B102">
        <v>7</v>
      </c>
      <c r="C102" t="s">
        <v>72</v>
      </c>
      <c r="D102" t="s">
        <v>22</v>
      </c>
      <c r="E102" t="s">
        <v>158</v>
      </c>
      <c r="F102" t="s">
        <v>54</v>
      </c>
      <c r="G102" t="s">
        <v>24</v>
      </c>
      <c r="H102" t="s">
        <v>25</v>
      </c>
      <c r="I102" t="s">
        <v>25</v>
      </c>
      <c r="J102" t="s">
        <v>25</v>
      </c>
      <c r="K102">
        <v>876</v>
      </c>
      <c r="L102">
        <v>10</v>
      </c>
      <c r="M102">
        <v>20</v>
      </c>
      <c r="N102">
        <v>30</v>
      </c>
      <c r="O102">
        <v>201</v>
      </c>
      <c r="P102">
        <v>127</v>
      </c>
      <c r="Q102">
        <v>108</v>
      </c>
      <c r="R102">
        <v>60</v>
      </c>
      <c r="S102">
        <v>40</v>
      </c>
      <c r="T102">
        <v>14</v>
      </c>
      <c r="U102">
        <v>1</v>
      </c>
      <c r="V102">
        <v>856</v>
      </c>
    </row>
    <row r="103" spans="1:22" x14ac:dyDescent="0.25">
      <c r="A103">
        <v>2025</v>
      </c>
      <c r="B103">
        <v>7</v>
      </c>
      <c r="C103" t="s">
        <v>72</v>
      </c>
      <c r="D103" t="s">
        <v>22</v>
      </c>
      <c r="E103" t="s">
        <v>61</v>
      </c>
      <c r="F103" t="s">
        <v>35</v>
      </c>
      <c r="G103" t="s">
        <v>24</v>
      </c>
      <c r="H103" t="s">
        <v>25</v>
      </c>
      <c r="I103" t="s">
        <v>26</v>
      </c>
      <c r="J103" t="s">
        <v>26</v>
      </c>
      <c r="K103">
        <v>46</v>
      </c>
      <c r="L103">
        <v>2</v>
      </c>
      <c r="M103">
        <v>2</v>
      </c>
      <c r="N103">
        <v>4</v>
      </c>
      <c r="O103">
        <v>18</v>
      </c>
      <c r="P103">
        <v>14</v>
      </c>
      <c r="Q103">
        <v>10</v>
      </c>
      <c r="R103">
        <v>8</v>
      </c>
      <c r="S103">
        <v>6</v>
      </c>
      <c r="T103">
        <v>3</v>
      </c>
      <c r="U103">
        <v>2</v>
      </c>
      <c r="V103">
        <v>44</v>
      </c>
    </row>
    <row r="104" spans="1:22" x14ac:dyDescent="0.25">
      <c r="A104">
        <v>2025</v>
      </c>
      <c r="B104">
        <v>7</v>
      </c>
      <c r="C104" t="s">
        <v>72</v>
      </c>
      <c r="D104" t="s">
        <v>22</v>
      </c>
      <c r="E104" t="s">
        <v>72</v>
      </c>
      <c r="F104" t="s">
        <v>23</v>
      </c>
      <c r="G104" t="s">
        <v>28</v>
      </c>
      <c r="H104" t="s">
        <v>25</v>
      </c>
      <c r="I104" t="s">
        <v>26</v>
      </c>
      <c r="J104" t="s">
        <v>25</v>
      </c>
      <c r="K104">
        <v>28881</v>
      </c>
      <c r="L104">
        <v>73</v>
      </c>
      <c r="M104">
        <v>466</v>
      </c>
      <c r="N104">
        <v>539</v>
      </c>
      <c r="O104">
        <v>4673</v>
      </c>
      <c r="P104">
        <v>2846</v>
      </c>
      <c r="Q104">
        <v>2355</v>
      </c>
      <c r="R104">
        <v>1237</v>
      </c>
      <c r="S104">
        <v>683</v>
      </c>
      <c r="T104">
        <v>155</v>
      </c>
      <c r="U104">
        <v>10</v>
      </c>
      <c r="V104">
        <v>28525</v>
      </c>
    </row>
    <row r="105" spans="1:22" x14ac:dyDescent="0.25">
      <c r="A105">
        <v>2025</v>
      </c>
      <c r="B105">
        <v>7</v>
      </c>
      <c r="C105" t="s">
        <v>72</v>
      </c>
      <c r="D105" t="s">
        <v>22</v>
      </c>
      <c r="E105" t="s">
        <v>72</v>
      </c>
      <c r="F105" t="s">
        <v>23</v>
      </c>
      <c r="G105" t="s">
        <v>24</v>
      </c>
      <c r="H105" t="s">
        <v>25</v>
      </c>
      <c r="I105" t="s">
        <v>26</v>
      </c>
      <c r="J105" t="s">
        <v>25</v>
      </c>
      <c r="K105">
        <v>3813</v>
      </c>
      <c r="L105">
        <v>16</v>
      </c>
      <c r="M105">
        <v>60</v>
      </c>
      <c r="N105">
        <v>76</v>
      </c>
      <c r="O105">
        <v>546</v>
      </c>
      <c r="P105">
        <v>313</v>
      </c>
      <c r="Q105">
        <v>253</v>
      </c>
      <c r="R105">
        <v>115</v>
      </c>
      <c r="S105">
        <v>63</v>
      </c>
      <c r="T105">
        <v>14</v>
      </c>
      <c r="U105">
        <v>1</v>
      </c>
      <c r="V105">
        <v>3758</v>
      </c>
    </row>
    <row r="106" spans="1:22" x14ac:dyDescent="0.25">
      <c r="A106">
        <v>2025</v>
      </c>
      <c r="B106">
        <v>7</v>
      </c>
      <c r="C106" t="s">
        <v>72</v>
      </c>
      <c r="D106" t="s">
        <v>22</v>
      </c>
      <c r="E106" t="s">
        <v>72</v>
      </c>
      <c r="F106" t="s">
        <v>23</v>
      </c>
      <c r="G106" t="s">
        <v>29</v>
      </c>
      <c r="H106" t="s">
        <v>25</v>
      </c>
      <c r="I106" t="s">
        <v>26</v>
      </c>
      <c r="J106" t="s">
        <v>25</v>
      </c>
      <c r="K106">
        <v>3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</row>
    <row r="107" spans="1:22" x14ac:dyDescent="0.25">
      <c r="A107">
        <v>2025</v>
      </c>
      <c r="B107">
        <v>7</v>
      </c>
      <c r="C107" t="s">
        <v>72</v>
      </c>
      <c r="D107" t="s">
        <v>22</v>
      </c>
      <c r="E107" t="s">
        <v>72</v>
      </c>
      <c r="F107" t="s">
        <v>73</v>
      </c>
      <c r="G107" t="s">
        <v>28</v>
      </c>
      <c r="H107" t="s">
        <v>25</v>
      </c>
      <c r="I107" t="s">
        <v>25</v>
      </c>
      <c r="J107" t="s">
        <v>25</v>
      </c>
      <c r="K107">
        <v>18325</v>
      </c>
      <c r="L107">
        <v>30</v>
      </c>
      <c r="M107">
        <v>93</v>
      </c>
      <c r="N107">
        <v>123</v>
      </c>
      <c r="O107">
        <v>2027</v>
      </c>
      <c r="P107">
        <v>1063</v>
      </c>
      <c r="Q107">
        <v>844</v>
      </c>
      <c r="R107">
        <v>367</v>
      </c>
      <c r="S107">
        <v>189</v>
      </c>
      <c r="T107">
        <v>26</v>
      </c>
      <c r="U107">
        <v>2</v>
      </c>
      <c r="V107">
        <v>18232</v>
      </c>
    </row>
    <row r="108" spans="1:22" x14ac:dyDescent="0.25">
      <c r="A108">
        <v>2025</v>
      </c>
      <c r="B108">
        <v>7</v>
      </c>
      <c r="C108" t="s">
        <v>72</v>
      </c>
      <c r="D108" t="s">
        <v>22</v>
      </c>
      <c r="E108" t="s">
        <v>72</v>
      </c>
      <c r="F108" t="s">
        <v>73</v>
      </c>
      <c r="G108" t="s">
        <v>24</v>
      </c>
      <c r="H108" t="s">
        <v>25</v>
      </c>
      <c r="I108" t="s">
        <v>25</v>
      </c>
      <c r="J108" t="s">
        <v>25</v>
      </c>
      <c r="K108">
        <v>5434</v>
      </c>
      <c r="L108">
        <v>31</v>
      </c>
      <c r="M108">
        <v>0</v>
      </c>
      <c r="N108">
        <v>31</v>
      </c>
      <c r="O108">
        <v>180</v>
      </c>
      <c r="P108">
        <v>93</v>
      </c>
      <c r="Q108">
        <v>72</v>
      </c>
      <c r="R108">
        <v>31</v>
      </c>
      <c r="S108">
        <v>12</v>
      </c>
      <c r="T108">
        <v>0</v>
      </c>
      <c r="U108">
        <v>0</v>
      </c>
      <c r="V108">
        <v>5403</v>
      </c>
    </row>
    <row r="109" spans="1:22" x14ac:dyDescent="0.25">
      <c r="A109">
        <v>2025</v>
      </c>
      <c r="B109">
        <v>7</v>
      </c>
      <c r="C109" t="s">
        <v>72</v>
      </c>
      <c r="D109" t="s">
        <v>22</v>
      </c>
      <c r="E109" t="s">
        <v>72</v>
      </c>
      <c r="F109" t="s">
        <v>73</v>
      </c>
      <c r="G109" t="s">
        <v>29</v>
      </c>
      <c r="H109" t="s">
        <v>25</v>
      </c>
      <c r="I109" t="s">
        <v>25</v>
      </c>
      <c r="J109" t="s">
        <v>25</v>
      </c>
      <c r="K109">
        <v>11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</row>
    <row r="110" spans="1:22" x14ac:dyDescent="0.25">
      <c r="A110">
        <v>2025</v>
      </c>
      <c r="B110">
        <v>7</v>
      </c>
      <c r="C110" t="s">
        <v>72</v>
      </c>
      <c r="D110" t="s">
        <v>22</v>
      </c>
      <c r="E110" t="s">
        <v>72</v>
      </c>
      <c r="F110" t="s">
        <v>74</v>
      </c>
      <c r="G110" t="s">
        <v>28</v>
      </c>
      <c r="H110" t="s">
        <v>25</v>
      </c>
      <c r="I110" t="s">
        <v>25</v>
      </c>
      <c r="J110" t="s">
        <v>25</v>
      </c>
      <c r="K110">
        <v>2785</v>
      </c>
      <c r="L110">
        <v>22</v>
      </c>
      <c r="M110">
        <v>10</v>
      </c>
      <c r="N110">
        <v>32</v>
      </c>
      <c r="O110">
        <v>385</v>
      </c>
      <c r="P110">
        <v>214</v>
      </c>
      <c r="Q110">
        <v>166</v>
      </c>
      <c r="R110">
        <v>80</v>
      </c>
      <c r="S110">
        <v>38</v>
      </c>
      <c r="T110">
        <v>12</v>
      </c>
      <c r="U110">
        <v>2</v>
      </c>
      <c r="V110">
        <v>2755</v>
      </c>
    </row>
    <row r="111" spans="1:22" x14ac:dyDescent="0.25">
      <c r="A111">
        <v>2025</v>
      </c>
      <c r="B111">
        <v>7</v>
      </c>
      <c r="C111" t="s">
        <v>72</v>
      </c>
      <c r="D111" t="s">
        <v>22</v>
      </c>
      <c r="E111" t="s">
        <v>72</v>
      </c>
      <c r="F111" t="s">
        <v>74</v>
      </c>
      <c r="G111" t="s">
        <v>24</v>
      </c>
      <c r="H111" t="s">
        <v>25</v>
      </c>
      <c r="I111" t="s">
        <v>25</v>
      </c>
      <c r="J111" t="s">
        <v>25</v>
      </c>
      <c r="K111">
        <v>238</v>
      </c>
      <c r="L111">
        <v>0</v>
      </c>
      <c r="M111">
        <v>0</v>
      </c>
      <c r="N111">
        <v>0</v>
      </c>
      <c r="O111">
        <v>7</v>
      </c>
      <c r="P111">
        <v>5</v>
      </c>
      <c r="Q111">
        <v>5</v>
      </c>
      <c r="R111">
        <v>3</v>
      </c>
      <c r="S111">
        <v>3</v>
      </c>
      <c r="T111">
        <v>0</v>
      </c>
      <c r="U111">
        <v>0</v>
      </c>
      <c r="V111">
        <v>238</v>
      </c>
    </row>
    <row r="112" spans="1:22" x14ac:dyDescent="0.25">
      <c r="A112">
        <v>2025</v>
      </c>
      <c r="B112">
        <v>7</v>
      </c>
      <c r="C112" t="s">
        <v>72</v>
      </c>
      <c r="D112" t="s">
        <v>22</v>
      </c>
      <c r="E112" t="s">
        <v>72</v>
      </c>
      <c r="F112" t="s">
        <v>58</v>
      </c>
      <c r="G112" t="s">
        <v>28</v>
      </c>
      <c r="H112" t="s">
        <v>25</v>
      </c>
      <c r="I112" t="s">
        <v>25</v>
      </c>
      <c r="J112" t="s">
        <v>25</v>
      </c>
      <c r="K112">
        <v>26259</v>
      </c>
      <c r="L112">
        <v>54</v>
      </c>
      <c r="M112">
        <v>148</v>
      </c>
      <c r="N112">
        <v>202</v>
      </c>
      <c r="O112">
        <v>2634</v>
      </c>
      <c r="P112">
        <v>1431</v>
      </c>
      <c r="Q112">
        <v>1146</v>
      </c>
      <c r="R112">
        <v>542</v>
      </c>
      <c r="S112">
        <v>305</v>
      </c>
      <c r="T112">
        <v>59</v>
      </c>
      <c r="U112">
        <v>6</v>
      </c>
      <c r="V112">
        <v>26113</v>
      </c>
    </row>
    <row r="113" spans="1:22" x14ac:dyDescent="0.25">
      <c r="A113">
        <v>2025</v>
      </c>
      <c r="B113">
        <v>7</v>
      </c>
      <c r="C113" t="s">
        <v>72</v>
      </c>
      <c r="D113" t="s">
        <v>22</v>
      </c>
      <c r="E113" t="s">
        <v>72</v>
      </c>
      <c r="F113" t="s">
        <v>58</v>
      </c>
      <c r="G113" t="s">
        <v>24</v>
      </c>
      <c r="H113" t="s">
        <v>25</v>
      </c>
      <c r="I113" t="s">
        <v>25</v>
      </c>
      <c r="J113" t="s">
        <v>25</v>
      </c>
      <c r="K113">
        <v>3569</v>
      </c>
      <c r="L113">
        <v>27</v>
      </c>
      <c r="M113">
        <v>54</v>
      </c>
      <c r="N113">
        <v>81</v>
      </c>
      <c r="O113">
        <v>644</v>
      </c>
      <c r="P113">
        <v>424</v>
      </c>
      <c r="Q113">
        <v>340</v>
      </c>
      <c r="R113">
        <v>172</v>
      </c>
      <c r="S113">
        <v>84</v>
      </c>
      <c r="T113">
        <v>17</v>
      </c>
      <c r="U113">
        <v>2</v>
      </c>
      <c r="V113">
        <v>3509</v>
      </c>
    </row>
    <row r="114" spans="1:22" x14ac:dyDescent="0.25">
      <c r="A114">
        <v>2025</v>
      </c>
      <c r="B114">
        <v>7</v>
      </c>
      <c r="C114" t="s">
        <v>72</v>
      </c>
      <c r="D114" t="s">
        <v>22</v>
      </c>
      <c r="E114" t="s">
        <v>75</v>
      </c>
      <c r="F114" t="s">
        <v>27</v>
      </c>
      <c r="G114" t="s">
        <v>24</v>
      </c>
      <c r="H114" t="s">
        <v>26</v>
      </c>
      <c r="I114" t="s">
        <v>26</v>
      </c>
      <c r="J114" t="s">
        <v>25</v>
      </c>
      <c r="K114">
        <v>109</v>
      </c>
      <c r="L114">
        <v>3</v>
      </c>
      <c r="M114">
        <v>0</v>
      </c>
      <c r="N114">
        <v>3</v>
      </c>
      <c r="O114">
        <v>79</v>
      </c>
      <c r="P114">
        <v>40</v>
      </c>
      <c r="Q114">
        <v>40</v>
      </c>
      <c r="R114">
        <v>38</v>
      </c>
      <c r="S114">
        <v>20</v>
      </c>
      <c r="T114">
        <v>13</v>
      </c>
      <c r="U114">
        <v>0</v>
      </c>
      <c r="V114">
        <v>106</v>
      </c>
    </row>
    <row r="115" spans="1:22" x14ac:dyDescent="0.25">
      <c r="A115">
        <v>2025</v>
      </c>
      <c r="B115">
        <v>8</v>
      </c>
      <c r="C115" t="s">
        <v>72</v>
      </c>
      <c r="D115" t="s">
        <v>22</v>
      </c>
      <c r="E115" t="s">
        <v>151</v>
      </c>
      <c r="F115" t="s">
        <v>39</v>
      </c>
      <c r="G115" t="s">
        <v>24</v>
      </c>
      <c r="H115" t="s">
        <v>26</v>
      </c>
      <c r="I115" t="s">
        <v>26</v>
      </c>
      <c r="J115" t="s">
        <v>25</v>
      </c>
      <c r="K115">
        <v>484</v>
      </c>
      <c r="L115">
        <v>4</v>
      </c>
      <c r="M115">
        <v>3</v>
      </c>
      <c r="N115">
        <v>7</v>
      </c>
      <c r="O115">
        <v>287</v>
      </c>
      <c r="P115">
        <v>258</v>
      </c>
      <c r="Q115">
        <v>241</v>
      </c>
      <c r="R115">
        <v>175</v>
      </c>
      <c r="S115">
        <v>106</v>
      </c>
      <c r="T115">
        <v>24</v>
      </c>
      <c r="U115">
        <v>3</v>
      </c>
      <c r="V115">
        <v>479</v>
      </c>
    </row>
    <row r="116" spans="1:22" x14ac:dyDescent="0.25">
      <c r="A116">
        <v>2025</v>
      </c>
      <c r="B116">
        <v>8</v>
      </c>
      <c r="C116" t="s">
        <v>72</v>
      </c>
      <c r="D116" t="s">
        <v>22</v>
      </c>
      <c r="E116" t="s">
        <v>158</v>
      </c>
      <c r="F116" t="s">
        <v>54</v>
      </c>
      <c r="G116" t="s">
        <v>24</v>
      </c>
      <c r="H116" t="s">
        <v>25</v>
      </c>
      <c r="I116" t="s">
        <v>25</v>
      </c>
      <c r="J116" t="s">
        <v>25</v>
      </c>
      <c r="K116">
        <v>852</v>
      </c>
      <c r="L116">
        <v>7</v>
      </c>
      <c r="M116">
        <v>16</v>
      </c>
      <c r="N116">
        <v>23</v>
      </c>
      <c r="O116">
        <v>184</v>
      </c>
      <c r="P116">
        <v>110</v>
      </c>
      <c r="Q116">
        <v>93</v>
      </c>
      <c r="R116">
        <v>54</v>
      </c>
      <c r="S116">
        <v>40</v>
      </c>
      <c r="T116">
        <v>13</v>
      </c>
      <c r="U116">
        <v>0</v>
      </c>
      <c r="V116">
        <v>839</v>
      </c>
    </row>
    <row r="117" spans="1:22" x14ac:dyDescent="0.25">
      <c r="A117">
        <v>2025</v>
      </c>
      <c r="B117">
        <v>8</v>
      </c>
      <c r="C117" t="s">
        <v>72</v>
      </c>
      <c r="D117" t="s">
        <v>22</v>
      </c>
      <c r="E117" t="s">
        <v>61</v>
      </c>
      <c r="F117" t="s">
        <v>35</v>
      </c>
      <c r="G117" t="s">
        <v>24</v>
      </c>
      <c r="H117" t="s">
        <v>25</v>
      </c>
      <c r="I117" t="s">
        <v>26</v>
      </c>
      <c r="J117" t="s">
        <v>26</v>
      </c>
      <c r="K117">
        <v>52</v>
      </c>
      <c r="L117">
        <v>4</v>
      </c>
      <c r="M117">
        <v>0</v>
      </c>
      <c r="N117">
        <v>4</v>
      </c>
      <c r="O117">
        <v>19</v>
      </c>
      <c r="P117">
        <v>16</v>
      </c>
      <c r="Q117">
        <v>14</v>
      </c>
      <c r="R117">
        <v>11</v>
      </c>
      <c r="S117">
        <v>9</v>
      </c>
      <c r="T117">
        <v>4</v>
      </c>
      <c r="U117">
        <v>0</v>
      </c>
      <c r="V117">
        <v>48</v>
      </c>
    </row>
    <row r="118" spans="1:22" x14ac:dyDescent="0.25">
      <c r="A118">
        <v>2025</v>
      </c>
      <c r="B118">
        <v>8</v>
      </c>
      <c r="C118" t="s">
        <v>72</v>
      </c>
      <c r="D118" t="s">
        <v>22</v>
      </c>
      <c r="E118" t="s">
        <v>72</v>
      </c>
      <c r="F118" t="s">
        <v>23</v>
      </c>
      <c r="G118" t="s">
        <v>28</v>
      </c>
      <c r="H118" t="s">
        <v>25</v>
      </c>
      <c r="I118" t="s">
        <v>26</v>
      </c>
      <c r="J118" t="s">
        <v>25</v>
      </c>
      <c r="K118">
        <v>28718</v>
      </c>
      <c r="L118">
        <v>31</v>
      </c>
      <c r="M118">
        <v>403</v>
      </c>
      <c r="N118">
        <v>434</v>
      </c>
      <c r="O118">
        <v>4431</v>
      </c>
      <c r="P118">
        <v>2659</v>
      </c>
      <c r="Q118">
        <v>2200</v>
      </c>
      <c r="R118">
        <v>1163</v>
      </c>
      <c r="S118">
        <v>636</v>
      </c>
      <c r="T118">
        <v>151</v>
      </c>
      <c r="U118">
        <v>25</v>
      </c>
      <c r="V118">
        <v>28452</v>
      </c>
    </row>
    <row r="119" spans="1:22" x14ac:dyDescent="0.25">
      <c r="A119">
        <v>2025</v>
      </c>
      <c r="B119">
        <v>8</v>
      </c>
      <c r="C119" t="s">
        <v>72</v>
      </c>
      <c r="D119" t="s">
        <v>22</v>
      </c>
      <c r="E119" t="s">
        <v>72</v>
      </c>
      <c r="F119" t="s">
        <v>23</v>
      </c>
      <c r="G119" t="s">
        <v>24</v>
      </c>
      <c r="H119" t="s">
        <v>25</v>
      </c>
      <c r="I119" t="s">
        <v>26</v>
      </c>
      <c r="J119" t="s">
        <v>25</v>
      </c>
      <c r="K119">
        <v>3926</v>
      </c>
      <c r="L119">
        <v>8</v>
      </c>
      <c r="M119">
        <v>54</v>
      </c>
      <c r="N119">
        <v>62</v>
      </c>
      <c r="O119">
        <v>639</v>
      </c>
      <c r="P119">
        <v>428</v>
      </c>
      <c r="Q119">
        <v>352</v>
      </c>
      <c r="R119">
        <v>184</v>
      </c>
      <c r="S119">
        <v>69</v>
      </c>
      <c r="T119">
        <v>15</v>
      </c>
      <c r="U119">
        <v>1</v>
      </c>
      <c r="V119">
        <v>3886</v>
      </c>
    </row>
    <row r="120" spans="1:22" x14ac:dyDescent="0.25">
      <c r="A120">
        <v>2025</v>
      </c>
      <c r="B120">
        <v>8</v>
      </c>
      <c r="C120" t="s">
        <v>72</v>
      </c>
      <c r="D120" t="s">
        <v>22</v>
      </c>
      <c r="E120" t="s">
        <v>72</v>
      </c>
      <c r="F120" t="s">
        <v>23</v>
      </c>
      <c r="G120" t="s">
        <v>29</v>
      </c>
      <c r="H120" t="s">
        <v>25</v>
      </c>
      <c r="I120" t="s">
        <v>26</v>
      </c>
      <c r="J120" t="s">
        <v>25</v>
      </c>
      <c r="K120">
        <v>3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</row>
    <row r="121" spans="1:22" x14ac:dyDescent="0.25">
      <c r="A121">
        <v>2025</v>
      </c>
      <c r="B121">
        <v>8</v>
      </c>
      <c r="C121" t="s">
        <v>72</v>
      </c>
      <c r="D121" t="s">
        <v>22</v>
      </c>
      <c r="E121" t="s">
        <v>72</v>
      </c>
      <c r="F121" t="s">
        <v>73</v>
      </c>
      <c r="G121" t="s">
        <v>28</v>
      </c>
      <c r="H121" t="s">
        <v>25</v>
      </c>
      <c r="I121" t="s">
        <v>25</v>
      </c>
      <c r="J121" t="s">
        <v>25</v>
      </c>
      <c r="K121">
        <v>17210</v>
      </c>
      <c r="L121">
        <v>18</v>
      </c>
      <c r="M121">
        <v>55</v>
      </c>
      <c r="N121">
        <v>73</v>
      </c>
      <c r="O121">
        <v>1709</v>
      </c>
      <c r="P121">
        <v>869</v>
      </c>
      <c r="Q121">
        <v>670</v>
      </c>
      <c r="R121">
        <v>308</v>
      </c>
      <c r="S121">
        <v>141</v>
      </c>
      <c r="T121">
        <v>34</v>
      </c>
      <c r="U121">
        <v>0</v>
      </c>
      <c r="V121">
        <v>17151</v>
      </c>
    </row>
    <row r="122" spans="1:22" x14ac:dyDescent="0.25">
      <c r="A122">
        <v>2025</v>
      </c>
      <c r="B122">
        <v>8</v>
      </c>
      <c r="C122" t="s">
        <v>72</v>
      </c>
      <c r="D122" t="s">
        <v>22</v>
      </c>
      <c r="E122" t="s">
        <v>72</v>
      </c>
      <c r="F122" t="s">
        <v>73</v>
      </c>
      <c r="G122" t="s">
        <v>24</v>
      </c>
      <c r="H122" t="s">
        <v>25</v>
      </c>
      <c r="I122" t="s">
        <v>25</v>
      </c>
      <c r="J122" t="s">
        <v>25</v>
      </c>
      <c r="K122">
        <v>5199</v>
      </c>
      <c r="L122">
        <v>13</v>
      </c>
      <c r="M122">
        <v>1</v>
      </c>
      <c r="N122">
        <v>14</v>
      </c>
      <c r="O122">
        <v>156</v>
      </c>
      <c r="P122">
        <v>85</v>
      </c>
      <c r="Q122">
        <v>73</v>
      </c>
      <c r="R122">
        <v>35</v>
      </c>
      <c r="S122">
        <v>11</v>
      </c>
      <c r="T122">
        <v>5</v>
      </c>
      <c r="U122">
        <v>5</v>
      </c>
      <c r="V122">
        <v>5185</v>
      </c>
    </row>
    <row r="123" spans="1:22" x14ac:dyDescent="0.25">
      <c r="A123">
        <v>2025</v>
      </c>
      <c r="B123">
        <v>8</v>
      </c>
      <c r="C123" t="s">
        <v>72</v>
      </c>
      <c r="D123" t="s">
        <v>22</v>
      </c>
      <c r="E123" t="s">
        <v>72</v>
      </c>
      <c r="F123" t="s">
        <v>73</v>
      </c>
      <c r="G123" t="s">
        <v>29</v>
      </c>
      <c r="H123" t="s">
        <v>25</v>
      </c>
      <c r="I123" t="s">
        <v>25</v>
      </c>
      <c r="J123" t="s">
        <v>25</v>
      </c>
      <c r="K123">
        <v>29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</row>
    <row r="124" spans="1:22" x14ac:dyDescent="0.25">
      <c r="A124">
        <v>2025</v>
      </c>
      <c r="B124">
        <v>8</v>
      </c>
      <c r="C124" t="s">
        <v>72</v>
      </c>
      <c r="D124" t="s">
        <v>22</v>
      </c>
      <c r="E124" t="s">
        <v>72</v>
      </c>
      <c r="F124" t="s">
        <v>74</v>
      </c>
      <c r="G124" t="s">
        <v>28</v>
      </c>
      <c r="H124" t="s">
        <v>25</v>
      </c>
      <c r="I124" t="s">
        <v>25</v>
      </c>
      <c r="J124" t="s">
        <v>25</v>
      </c>
      <c r="K124">
        <v>2596</v>
      </c>
      <c r="L124">
        <v>14</v>
      </c>
      <c r="M124">
        <v>14</v>
      </c>
      <c r="N124">
        <v>28</v>
      </c>
      <c r="O124">
        <v>325</v>
      </c>
      <c r="P124">
        <v>165</v>
      </c>
      <c r="Q124">
        <v>139</v>
      </c>
      <c r="R124">
        <v>61</v>
      </c>
      <c r="S124">
        <v>32</v>
      </c>
      <c r="T124">
        <v>10</v>
      </c>
      <c r="U124">
        <v>2</v>
      </c>
      <c r="V124">
        <v>2574</v>
      </c>
    </row>
    <row r="125" spans="1:22" x14ac:dyDescent="0.25">
      <c r="A125">
        <v>2025</v>
      </c>
      <c r="B125">
        <v>8</v>
      </c>
      <c r="C125" t="s">
        <v>72</v>
      </c>
      <c r="D125" t="s">
        <v>22</v>
      </c>
      <c r="E125" t="s">
        <v>72</v>
      </c>
      <c r="F125" t="s">
        <v>74</v>
      </c>
      <c r="G125" t="s">
        <v>24</v>
      </c>
      <c r="H125" t="s">
        <v>25</v>
      </c>
      <c r="I125" t="s">
        <v>25</v>
      </c>
      <c r="J125" t="s">
        <v>25</v>
      </c>
      <c r="K125">
        <v>208</v>
      </c>
      <c r="L125">
        <v>0</v>
      </c>
      <c r="M125">
        <v>0</v>
      </c>
      <c r="N125">
        <v>0</v>
      </c>
      <c r="O125">
        <v>5</v>
      </c>
      <c r="P125">
        <v>2</v>
      </c>
      <c r="Q125">
        <v>2</v>
      </c>
      <c r="R125">
        <v>2</v>
      </c>
      <c r="S125">
        <v>2</v>
      </c>
      <c r="T125">
        <v>0</v>
      </c>
      <c r="U125">
        <v>0</v>
      </c>
      <c r="V125">
        <v>208</v>
      </c>
    </row>
    <row r="126" spans="1:22" x14ac:dyDescent="0.25">
      <c r="A126">
        <v>2025</v>
      </c>
      <c r="B126">
        <v>8</v>
      </c>
      <c r="C126" t="s">
        <v>72</v>
      </c>
      <c r="D126" t="s">
        <v>22</v>
      </c>
      <c r="E126" t="s">
        <v>72</v>
      </c>
      <c r="F126" t="s">
        <v>58</v>
      </c>
      <c r="G126" t="s">
        <v>28</v>
      </c>
      <c r="H126" t="s">
        <v>25</v>
      </c>
      <c r="I126" t="s">
        <v>25</v>
      </c>
      <c r="J126" t="s">
        <v>25</v>
      </c>
      <c r="K126">
        <v>25783</v>
      </c>
      <c r="L126">
        <v>32</v>
      </c>
      <c r="M126">
        <v>138</v>
      </c>
      <c r="N126">
        <v>170</v>
      </c>
      <c r="O126">
        <v>2355</v>
      </c>
      <c r="P126">
        <v>1237</v>
      </c>
      <c r="Q126">
        <v>965</v>
      </c>
      <c r="R126">
        <v>457</v>
      </c>
      <c r="S126">
        <v>244</v>
      </c>
      <c r="T126">
        <v>63</v>
      </c>
      <c r="U126">
        <v>8</v>
      </c>
      <c r="V126">
        <v>25688</v>
      </c>
    </row>
    <row r="127" spans="1:22" x14ac:dyDescent="0.25">
      <c r="A127">
        <v>2025</v>
      </c>
      <c r="B127">
        <v>8</v>
      </c>
      <c r="C127" t="s">
        <v>72</v>
      </c>
      <c r="D127" t="s">
        <v>22</v>
      </c>
      <c r="E127" t="s">
        <v>72</v>
      </c>
      <c r="F127" t="s">
        <v>58</v>
      </c>
      <c r="G127" t="s">
        <v>24</v>
      </c>
      <c r="H127" t="s">
        <v>25</v>
      </c>
      <c r="I127" t="s">
        <v>25</v>
      </c>
      <c r="J127" t="s">
        <v>25</v>
      </c>
      <c r="K127">
        <v>3702</v>
      </c>
      <c r="L127">
        <v>13</v>
      </c>
      <c r="M127">
        <v>29</v>
      </c>
      <c r="N127">
        <v>42</v>
      </c>
      <c r="O127">
        <v>480</v>
      </c>
      <c r="P127">
        <v>307</v>
      </c>
      <c r="Q127">
        <v>251</v>
      </c>
      <c r="R127">
        <v>114</v>
      </c>
      <c r="S127">
        <v>45</v>
      </c>
      <c r="T127">
        <v>6</v>
      </c>
      <c r="U127">
        <v>0</v>
      </c>
      <c r="V127">
        <v>3670</v>
      </c>
    </row>
    <row r="128" spans="1:22" x14ac:dyDescent="0.25">
      <c r="A128">
        <v>2025</v>
      </c>
      <c r="B128">
        <v>8</v>
      </c>
      <c r="C128" t="s">
        <v>72</v>
      </c>
      <c r="D128" t="s">
        <v>22</v>
      </c>
      <c r="E128" t="s">
        <v>72</v>
      </c>
      <c r="F128" t="s">
        <v>58</v>
      </c>
      <c r="G128" t="s">
        <v>29</v>
      </c>
      <c r="H128" t="s">
        <v>25</v>
      </c>
      <c r="I128" t="s">
        <v>25</v>
      </c>
      <c r="J128" t="s">
        <v>25</v>
      </c>
      <c r="K128">
        <v>1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</row>
    <row r="129" spans="1:22" x14ac:dyDescent="0.25">
      <c r="A129">
        <v>2025</v>
      </c>
      <c r="B129">
        <v>8</v>
      </c>
      <c r="C129" t="s">
        <v>72</v>
      </c>
      <c r="D129" t="s">
        <v>22</v>
      </c>
      <c r="E129" t="s">
        <v>75</v>
      </c>
      <c r="F129" t="s">
        <v>27</v>
      </c>
      <c r="G129" t="s">
        <v>24</v>
      </c>
      <c r="H129" t="s">
        <v>26</v>
      </c>
      <c r="I129" t="s">
        <v>26</v>
      </c>
      <c r="J129" t="s">
        <v>25</v>
      </c>
      <c r="K129">
        <v>113</v>
      </c>
      <c r="L129">
        <v>2</v>
      </c>
      <c r="M129">
        <v>0</v>
      </c>
      <c r="N129">
        <v>2</v>
      </c>
      <c r="O129">
        <v>70</v>
      </c>
      <c r="P129">
        <v>30</v>
      </c>
      <c r="Q129">
        <v>30</v>
      </c>
      <c r="R129">
        <v>28</v>
      </c>
      <c r="S129">
        <v>21</v>
      </c>
      <c r="T129">
        <v>11</v>
      </c>
      <c r="U129">
        <v>2</v>
      </c>
      <c r="V129">
        <v>111</v>
      </c>
    </row>
    <row r="130" spans="1:22" x14ac:dyDescent="0.25">
      <c r="A130">
        <v>2025</v>
      </c>
      <c r="B130">
        <v>8</v>
      </c>
      <c r="C130" t="s">
        <v>72</v>
      </c>
      <c r="D130" t="s">
        <v>22</v>
      </c>
      <c r="E130" t="s">
        <v>75</v>
      </c>
      <c r="F130" t="s">
        <v>27</v>
      </c>
      <c r="G130" t="s">
        <v>29</v>
      </c>
      <c r="H130" t="s">
        <v>26</v>
      </c>
      <c r="I130" t="s">
        <v>26</v>
      </c>
      <c r="J130" t="s">
        <v>25</v>
      </c>
      <c r="K130">
        <v>1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</row>
    <row r="131" spans="1:22" x14ac:dyDescent="0.25">
      <c r="A131">
        <v>2025</v>
      </c>
      <c r="B131">
        <v>9</v>
      </c>
      <c r="C131" t="s">
        <v>72</v>
      </c>
      <c r="D131" t="s">
        <v>22</v>
      </c>
      <c r="E131" t="s">
        <v>151</v>
      </c>
      <c r="F131" t="s">
        <v>39</v>
      </c>
      <c r="G131" t="s">
        <v>24</v>
      </c>
      <c r="H131" t="s">
        <v>26</v>
      </c>
      <c r="I131" t="s">
        <v>26</v>
      </c>
      <c r="J131" t="s">
        <v>25</v>
      </c>
      <c r="K131">
        <v>462</v>
      </c>
      <c r="L131">
        <v>2</v>
      </c>
      <c r="M131">
        <v>2</v>
      </c>
      <c r="N131">
        <v>4</v>
      </c>
      <c r="O131">
        <v>223</v>
      </c>
      <c r="P131">
        <v>155</v>
      </c>
      <c r="Q131">
        <v>120</v>
      </c>
      <c r="R131">
        <v>70</v>
      </c>
      <c r="S131">
        <v>42</v>
      </c>
      <c r="T131">
        <v>13</v>
      </c>
      <c r="U131">
        <v>1</v>
      </c>
      <c r="V131">
        <v>459</v>
      </c>
    </row>
    <row r="132" spans="1:22" x14ac:dyDescent="0.25">
      <c r="A132">
        <v>2025</v>
      </c>
      <c r="B132">
        <v>9</v>
      </c>
      <c r="C132" t="s">
        <v>72</v>
      </c>
      <c r="D132" t="s">
        <v>22</v>
      </c>
      <c r="E132" t="s">
        <v>158</v>
      </c>
      <c r="F132" t="s">
        <v>54</v>
      </c>
      <c r="G132" t="s">
        <v>24</v>
      </c>
      <c r="H132" t="s">
        <v>25</v>
      </c>
      <c r="I132" t="s">
        <v>25</v>
      </c>
      <c r="J132" t="s">
        <v>25</v>
      </c>
      <c r="K132">
        <v>833</v>
      </c>
      <c r="L132">
        <v>11</v>
      </c>
      <c r="M132">
        <v>18</v>
      </c>
      <c r="N132">
        <v>29</v>
      </c>
      <c r="O132">
        <v>241</v>
      </c>
      <c r="P132">
        <v>158</v>
      </c>
      <c r="Q132">
        <v>135</v>
      </c>
      <c r="R132">
        <v>62</v>
      </c>
      <c r="S132">
        <v>35</v>
      </c>
      <c r="T132">
        <v>7</v>
      </c>
      <c r="U132">
        <v>1</v>
      </c>
      <c r="V132">
        <v>816</v>
      </c>
    </row>
    <row r="133" spans="1:22" x14ac:dyDescent="0.25">
      <c r="A133">
        <v>2025</v>
      </c>
      <c r="B133">
        <v>9</v>
      </c>
      <c r="C133" t="s">
        <v>72</v>
      </c>
      <c r="D133" t="s">
        <v>22</v>
      </c>
      <c r="E133" t="s">
        <v>61</v>
      </c>
      <c r="F133" t="s">
        <v>35</v>
      </c>
      <c r="G133" t="s">
        <v>24</v>
      </c>
      <c r="H133" t="s">
        <v>25</v>
      </c>
      <c r="I133" t="s">
        <v>26</v>
      </c>
      <c r="J133" t="s">
        <v>26</v>
      </c>
      <c r="K133">
        <v>52</v>
      </c>
      <c r="L133">
        <v>0</v>
      </c>
      <c r="M133">
        <v>0</v>
      </c>
      <c r="N133">
        <v>0</v>
      </c>
      <c r="O133">
        <v>27</v>
      </c>
      <c r="P133">
        <v>22</v>
      </c>
      <c r="Q133">
        <v>21</v>
      </c>
      <c r="R133">
        <v>18</v>
      </c>
      <c r="S133">
        <v>13</v>
      </c>
      <c r="T133">
        <v>8</v>
      </c>
      <c r="U133">
        <v>4</v>
      </c>
      <c r="V133">
        <v>52</v>
      </c>
    </row>
    <row r="134" spans="1:22" x14ac:dyDescent="0.25">
      <c r="A134">
        <v>2025</v>
      </c>
      <c r="B134">
        <v>9</v>
      </c>
      <c r="C134" t="s">
        <v>72</v>
      </c>
      <c r="D134" t="s">
        <v>22</v>
      </c>
      <c r="E134" t="s">
        <v>72</v>
      </c>
      <c r="F134" t="s">
        <v>23</v>
      </c>
      <c r="G134" t="s">
        <v>28</v>
      </c>
      <c r="H134" t="s">
        <v>25</v>
      </c>
      <c r="I134" t="s">
        <v>26</v>
      </c>
      <c r="J134" t="s">
        <v>25</v>
      </c>
      <c r="K134">
        <v>29674</v>
      </c>
      <c r="L134">
        <v>65</v>
      </c>
      <c r="M134">
        <v>470</v>
      </c>
      <c r="N134">
        <v>535</v>
      </c>
      <c r="O134">
        <v>5850</v>
      </c>
      <c r="P134">
        <v>3562</v>
      </c>
      <c r="Q134">
        <v>2874</v>
      </c>
      <c r="R134">
        <v>1445</v>
      </c>
      <c r="S134">
        <v>751</v>
      </c>
      <c r="T134">
        <v>138</v>
      </c>
      <c r="U134">
        <v>7</v>
      </c>
      <c r="V134">
        <v>29325</v>
      </c>
    </row>
    <row r="135" spans="1:22" x14ac:dyDescent="0.25">
      <c r="A135">
        <v>2025</v>
      </c>
      <c r="B135">
        <v>9</v>
      </c>
      <c r="C135" t="s">
        <v>72</v>
      </c>
      <c r="D135" t="s">
        <v>22</v>
      </c>
      <c r="E135" t="s">
        <v>72</v>
      </c>
      <c r="F135" t="s">
        <v>23</v>
      </c>
      <c r="G135" t="s">
        <v>24</v>
      </c>
      <c r="H135" t="s">
        <v>25</v>
      </c>
      <c r="I135" t="s">
        <v>26</v>
      </c>
      <c r="J135" t="s">
        <v>25</v>
      </c>
      <c r="K135">
        <v>3614</v>
      </c>
      <c r="L135">
        <v>17</v>
      </c>
      <c r="M135">
        <v>56</v>
      </c>
      <c r="N135">
        <v>73</v>
      </c>
      <c r="O135">
        <v>602</v>
      </c>
      <c r="P135">
        <v>366</v>
      </c>
      <c r="Q135">
        <v>302</v>
      </c>
      <c r="R135">
        <v>148</v>
      </c>
      <c r="S135">
        <v>79</v>
      </c>
      <c r="T135">
        <v>16</v>
      </c>
      <c r="U135">
        <v>2</v>
      </c>
      <c r="V135">
        <v>3563</v>
      </c>
    </row>
    <row r="136" spans="1:22" x14ac:dyDescent="0.25">
      <c r="A136">
        <v>2025</v>
      </c>
      <c r="B136">
        <v>9</v>
      </c>
      <c r="C136" t="s">
        <v>72</v>
      </c>
      <c r="D136" t="s">
        <v>22</v>
      </c>
      <c r="E136" t="s">
        <v>72</v>
      </c>
      <c r="F136" t="s">
        <v>23</v>
      </c>
      <c r="G136" t="s">
        <v>29</v>
      </c>
      <c r="H136" t="s">
        <v>25</v>
      </c>
      <c r="I136" t="s">
        <v>26</v>
      </c>
      <c r="J136" t="s">
        <v>25</v>
      </c>
      <c r="K136">
        <v>1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</row>
    <row r="137" spans="1:22" x14ac:dyDescent="0.25">
      <c r="A137">
        <v>2025</v>
      </c>
      <c r="B137">
        <v>9</v>
      </c>
      <c r="C137" t="s">
        <v>72</v>
      </c>
      <c r="D137" t="s">
        <v>22</v>
      </c>
      <c r="E137" t="s">
        <v>72</v>
      </c>
      <c r="F137" t="s">
        <v>73</v>
      </c>
      <c r="G137" t="s">
        <v>28</v>
      </c>
      <c r="H137" t="s">
        <v>25</v>
      </c>
      <c r="I137" t="s">
        <v>25</v>
      </c>
      <c r="J137" t="s">
        <v>25</v>
      </c>
      <c r="K137">
        <v>18153</v>
      </c>
      <c r="L137">
        <v>34</v>
      </c>
      <c r="M137">
        <v>88</v>
      </c>
      <c r="N137">
        <v>122</v>
      </c>
      <c r="O137">
        <v>2531</v>
      </c>
      <c r="P137">
        <v>1301</v>
      </c>
      <c r="Q137">
        <v>971</v>
      </c>
      <c r="R137">
        <v>368</v>
      </c>
      <c r="S137">
        <v>177</v>
      </c>
      <c r="T137">
        <v>28</v>
      </c>
      <c r="U137">
        <v>2</v>
      </c>
      <c r="V137">
        <v>18058</v>
      </c>
    </row>
    <row r="138" spans="1:22" x14ac:dyDescent="0.25">
      <c r="A138">
        <v>2025</v>
      </c>
      <c r="B138">
        <v>9</v>
      </c>
      <c r="C138" t="s">
        <v>72</v>
      </c>
      <c r="D138" t="s">
        <v>22</v>
      </c>
      <c r="E138" t="s">
        <v>72</v>
      </c>
      <c r="F138" t="s">
        <v>73</v>
      </c>
      <c r="G138" t="s">
        <v>24</v>
      </c>
      <c r="H138" t="s">
        <v>25</v>
      </c>
      <c r="I138" t="s">
        <v>25</v>
      </c>
      <c r="J138" t="s">
        <v>25</v>
      </c>
      <c r="K138">
        <v>5353</v>
      </c>
      <c r="L138">
        <v>14</v>
      </c>
      <c r="M138">
        <v>3</v>
      </c>
      <c r="N138">
        <v>17</v>
      </c>
      <c r="O138">
        <v>279</v>
      </c>
      <c r="P138">
        <v>158</v>
      </c>
      <c r="Q138">
        <v>127</v>
      </c>
      <c r="R138">
        <v>53</v>
      </c>
      <c r="S138">
        <v>20</v>
      </c>
      <c r="T138">
        <v>5</v>
      </c>
      <c r="U138">
        <v>3</v>
      </c>
      <c r="V138">
        <v>5337</v>
      </c>
    </row>
    <row r="139" spans="1:22" x14ac:dyDescent="0.25">
      <c r="A139">
        <v>2025</v>
      </c>
      <c r="B139">
        <v>9</v>
      </c>
      <c r="C139" t="s">
        <v>72</v>
      </c>
      <c r="D139" t="s">
        <v>22</v>
      </c>
      <c r="E139" t="s">
        <v>72</v>
      </c>
      <c r="F139" t="s">
        <v>73</v>
      </c>
      <c r="G139" t="s">
        <v>29</v>
      </c>
      <c r="H139" t="s">
        <v>25</v>
      </c>
      <c r="I139" t="s">
        <v>25</v>
      </c>
      <c r="J139" t="s">
        <v>25</v>
      </c>
      <c r="K139">
        <v>6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</row>
    <row r="140" spans="1:22" x14ac:dyDescent="0.25">
      <c r="A140">
        <v>2025</v>
      </c>
      <c r="B140">
        <v>9</v>
      </c>
      <c r="C140" t="s">
        <v>72</v>
      </c>
      <c r="D140" t="s">
        <v>22</v>
      </c>
      <c r="E140" t="s">
        <v>72</v>
      </c>
      <c r="F140" t="s">
        <v>74</v>
      </c>
      <c r="G140" t="s">
        <v>28</v>
      </c>
      <c r="H140" t="s">
        <v>25</v>
      </c>
      <c r="I140" t="s">
        <v>25</v>
      </c>
      <c r="J140" t="s">
        <v>25</v>
      </c>
      <c r="K140">
        <v>5690</v>
      </c>
      <c r="L140">
        <v>52</v>
      </c>
      <c r="M140">
        <v>23</v>
      </c>
      <c r="N140">
        <v>75</v>
      </c>
      <c r="O140">
        <v>1059</v>
      </c>
      <c r="P140">
        <v>576</v>
      </c>
      <c r="Q140">
        <v>452</v>
      </c>
      <c r="R140">
        <v>205</v>
      </c>
      <c r="S140">
        <v>93</v>
      </c>
      <c r="T140">
        <v>20</v>
      </c>
      <c r="U140">
        <v>1</v>
      </c>
      <c r="V140">
        <v>5616</v>
      </c>
    </row>
    <row r="141" spans="1:22" x14ac:dyDescent="0.25">
      <c r="A141">
        <v>2025</v>
      </c>
      <c r="B141">
        <v>9</v>
      </c>
      <c r="C141" t="s">
        <v>72</v>
      </c>
      <c r="D141" t="s">
        <v>22</v>
      </c>
      <c r="E141" t="s">
        <v>72</v>
      </c>
      <c r="F141" t="s">
        <v>74</v>
      </c>
      <c r="G141" t="s">
        <v>24</v>
      </c>
      <c r="H141" t="s">
        <v>25</v>
      </c>
      <c r="I141" t="s">
        <v>25</v>
      </c>
      <c r="J141" t="s">
        <v>25</v>
      </c>
      <c r="K141">
        <v>297</v>
      </c>
      <c r="L141">
        <v>2</v>
      </c>
      <c r="M141">
        <v>0</v>
      </c>
      <c r="N141">
        <v>2</v>
      </c>
      <c r="O141">
        <v>16</v>
      </c>
      <c r="P141">
        <v>13</v>
      </c>
      <c r="Q141">
        <v>11</v>
      </c>
      <c r="R141">
        <v>11</v>
      </c>
      <c r="S141">
        <v>1</v>
      </c>
      <c r="T141">
        <v>0</v>
      </c>
      <c r="U141">
        <v>0</v>
      </c>
      <c r="V141">
        <v>295</v>
      </c>
    </row>
    <row r="142" spans="1:22" x14ac:dyDescent="0.25">
      <c r="A142">
        <v>2025</v>
      </c>
      <c r="B142">
        <v>9</v>
      </c>
      <c r="C142" t="s">
        <v>72</v>
      </c>
      <c r="D142" t="s">
        <v>22</v>
      </c>
      <c r="E142" t="s">
        <v>72</v>
      </c>
      <c r="F142" t="s">
        <v>58</v>
      </c>
      <c r="G142" t="s">
        <v>28</v>
      </c>
      <c r="H142" t="s">
        <v>25</v>
      </c>
      <c r="I142" t="s">
        <v>25</v>
      </c>
      <c r="J142" t="s">
        <v>25</v>
      </c>
      <c r="K142">
        <v>29357</v>
      </c>
      <c r="L142">
        <v>49</v>
      </c>
      <c r="M142">
        <v>329</v>
      </c>
      <c r="N142">
        <v>378</v>
      </c>
      <c r="O142">
        <v>4048</v>
      </c>
      <c r="P142">
        <v>2242</v>
      </c>
      <c r="Q142">
        <v>1736</v>
      </c>
      <c r="R142">
        <v>767</v>
      </c>
      <c r="S142">
        <v>370</v>
      </c>
      <c r="T142">
        <v>57</v>
      </c>
      <c r="U142">
        <v>1</v>
      </c>
      <c r="V142">
        <v>29155</v>
      </c>
    </row>
    <row r="143" spans="1:22" x14ac:dyDescent="0.25">
      <c r="A143">
        <v>2025</v>
      </c>
      <c r="B143">
        <v>9</v>
      </c>
      <c r="C143" t="s">
        <v>72</v>
      </c>
      <c r="D143" t="s">
        <v>22</v>
      </c>
      <c r="E143" t="s">
        <v>72</v>
      </c>
      <c r="F143" t="s">
        <v>58</v>
      </c>
      <c r="G143" t="s">
        <v>24</v>
      </c>
      <c r="H143" t="s">
        <v>25</v>
      </c>
      <c r="I143" t="s">
        <v>25</v>
      </c>
      <c r="J143" t="s">
        <v>25</v>
      </c>
      <c r="K143">
        <v>3529</v>
      </c>
      <c r="L143">
        <v>14</v>
      </c>
      <c r="M143">
        <v>39</v>
      </c>
      <c r="N143">
        <v>53</v>
      </c>
      <c r="O143">
        <v>574</v>
      </c>
      <c r="P143">
        <v>362</v>
      </c>
      <c r="Q143">
        <v>280</v>
      </c>
      <c r="R143">
        <v>127</v>
      </c>
      <c r="S143">
        <v>42</v>
      </c>
      <c r="T143">
        <v>12</v>
      </c>
      <c r="U143">
        <v>1</v>
      </c>
      <c r="V143">
        <v>3488</v>
      </c>
    </row>
    <row r="144" spans="1:22" x14ac:dyDescent="0.25">
      <c r="A144">
        <v>2025</v>
      </c>
      <c r="B144">
        <v>9</v>
      </c>
      <c r="C144" t="s">
        <v>72</v>
      </c>
      <c r="D144" t="s">
        <v>22</v>
      </c>
      <c r="E144" t="s">
        <v>75</v>
      </c>
      <c r="F144" t="s">
        <v>27</v>
      </c>
      <c r="G144" t="s">
        <v>24</v>
      </c>
      <c r="H144" t="s">
        <v>26</v>
      </c>
      <c r="I144" t="s">
        <v>26</v>
      </c>
      <c r="J144" t="s">
        <v>25</v>
      </c>
      <c r="K144">
        <v>178</v>
      </c>
      <c r="L144">
        <v>1</v>
      </c>
      <c r="M144">
        <v>0</v>
      </c>
      <c r="N144">
        <v>1</v>
      </c>
      <c r="O144">
        <v>62</v>
      </c>
      <c r="P144">
        <v>31</v>
      </c>
      <c r="Q144">
        <v>31</v>
      </c>
      <c r="R144">
        <v>26</v>
      </c>
      <c r="S144">
        <v>16</v>
      </c>
      <c r="T144">
        <v>9</v>
      </c>
      <c r="U144">
        <v>8</v>
      </c>
      <c r="V144">
        <v>177</v>
      </c>
    </row>
    <row r="145" spans="1:22" x14ac:dyDescent="0.25">
      <c r="A145">
        <v>2025</v>
      </c>
      <c r="B145">
        <v>9</v>
      </c>
      <c r="C145" t="s">
        <v>72</v>
      </c>
      <c r="D145" t="s">
        <v>22</v>
      </c>
      <c r="E145" t="s">
        <v>75</v>
      </c>
      <c r="F145" t="s">
        <v>27</v>
      </c>
      <c r="G145" t="s">
        <v>29</v>
      </c>
      <c r="H145" t="s">
        <v>26</v>
      </c>
      <c r="I145" t="s">
        <v>26</v>
      </c>
      <c r="J145" t="s">
        <v>25</v>
      </c>
      <c r="K145">
        <v>1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</row>
    <row r="146" spans="1:22" x14ac:dyDescent="0.25">
      <c r="A146">
        <v>2025</v>
      </c>
      <c r="B146">
        <v>10</v>
      </c>
      <c r="C146" t="s">
        <v>72</v>
      </c>
      <c r="D146" t="s">
        <v>22</v>
      </c>
      <c r="E146" t="s">
        <v>151</v>
      </c>
      <c r="F146" t="s">
        <v>39</v>
      </c>
      <c r="G146" t="s">
        <v>24</v>
      </c>
      <c r="H146" t="s">
        <v>26</v>
      </c>
      <c r="I146" t="s">
        <v>26</v>
      </c>
      <c r="J146" t="s">
        <v>25</v>
      </c>
      <c r="K146">
        <v>483</v>
      </c>
      <c r="L146">
        <v>4</v>
      </c>
      <c r="M146">
        <v>4</v>
      </c>
      <c r="N146">
        <v>8</v>
      </c>
      <c r="O146">
        <v>276</v>
      </c>
      <c r="P146">
        <v>211</v>
      </c>
      <c r="Q146">
        <v>193</v>
      </c>
      <c r="R146">
        <v>103</v>
      </c>
      <c r="S146">
        <v>61</v>
      </c>
      <c r="T146">
        <v>19</v>
      </c>
      <c r="U146">
        <v>1</v>
      </c>
      <c r="V146">
        <v>477</v>
      </c>
    </row>
    <row r="147" spans="1:22" x14ac:dyDescent="0.25">
      <c r="A147">
        <v>2025</v>
      </c>
      <c r="B147">
        <v>10</v>
      </c>
      <c r="C147" t="s">
        <v>72</v>
      </c>
      <c r="D147" t="s">
        <v>22</v>
      </c>
      <c r="E147" t="s">
        <v>158</v>
      </c>
      <c r="F147" t="s">
        <v>54</v>
      </c>
      <c r="G147" t="s">
        <v>24</v>
      </c>
      <c r="H147" t="s">
        <v>25</v>
      </c>
      <c r="I147" t="s">
        <v>25</v>
      </c>
      <c r="J147" t="s">
        <v>25</v>
      </c>
      <c r="K147">
        <v>827</v>
      </c>
      <c r="L147">
        <v>6</v>
      </c>
      <c r="M147">
        <v>45</v>
      </c>
      <c r="N147">
        <v>51</v>
      </c>
      <c r="O147">
        <v>278</v>
      </c>
      <c r="P147">
        <v>190</v>
      </c>
      <c r="Q147">
        <v>158</v>
      </c>
      <c r="R147">
        <v>85</v>
      </c>
      <c r="S147">
        <v>49</v>
      </c>
      <c r="T147">
        <v>10</v>
      </c>
      <c r="U147">
        <v>0</v>
      </c>
      <c r="V147">
        <v>812</v>
      </c>
    </row>
    <row r="148" spans="1:22" x14ac:dyDescent="0.25">
      <c r="A148">
        <v>2025</v>
      </c>
      <c r="B148">
        <v>10</v>
      </c>
      <c r="C148" t="s">
        <v>72</v>
      </c>
      <c r="D148" t="s">
        <v>22</v>
      </c>
      <c r="E148" t="s">
        <v>61</v>
      </c>
      <c r="F148" t="s">
        <v>35</v>
      </c>
      <c r="G148" t="s">
        <v>24</v>
      </c>
      <c r="H148" t="s">
        <v>25</v>
      </c>
      <c r="I148" t="s">
        <v>26</v>
      </c>
      <c r="J148" t="s">
        <v>26</v>
      </c>
      <c r="K148">
        <v>55</v>
      </c>
      <c r="L148">
        <v>0</v>
      </c>
      <c r="M148">
        <v>0</v>
      </c>
      <c r="N148">
        <v>0</v>
      </c>
      <c r="O148">
        <v>30</v>
      </c>
      <c r="P148">
        <v>26</v>
      </c>
      <c r="Q148">
        <v>25</v>
      </c>
      <c r="R148">
        <v>16</v>
      </c>
      <c r="S148">
        <v>12</v>
      </c>
      <c r="T148">
        <v>6</v>
      </c>
      <c r="U148">
        <v>3</v>
      </c>
      <c r="V148">
        <v>55</v>
      </c>
    </row>
    <row r="149" spans="1:22" x14ac:dyDescent="0.25">
      <c r="A149">
        <v>2025</v>
      </c>
      <c r="B149">
        <v>10</v>
      </c>
      <c r="C149" t="s">
        <v>72</v>
      </c>
      <c r="D149" t="s">
        <v>22</v>
      </c>
      <c r="E149" t="s">
        <v>72</v>
      </c>
      <c r="F149" t="s">
        <v>23</v>
      </c>
      <c r="G149" t="s">
        <v>28</v>
      </c>
      <c r="H149" t="s">
        <v>25</v>
      </c>
      <c r="I149" t="s">
        <v>26</v>
      </c>
      <c r="J149" t="s">
        <v>25</v>
      </c>
      <c r="K149">
        <v>29911</v>
      </c>
      <c r="L149">
        <v>61</v>
      </c>
      <c r="M149">
        <v>568</v>
      </c>
      <c r="N149">
        <v>629</v>
      </c>
      <c r="O149">
        <v>6867</v>
      </c>
      <c r="P149">
        <v>4424</v>
      </c>
      <c r="Q149">
        <v>3602</v>
      </c>
      <c r="R149">
        <v>1916</v>
      </c>
      <c r="S149">
        <v>1012</v>
      </c>
      <c r="T149">
        <v>166</v>
      </c>
      <c r="U149">
        <v>9</v>
      </c>
      <c r="V149">
        <v>29487</v>
      </c>
    </row>
    <row r="150" spans="1:22" x14ac:dyDescent="0.25">
      <c r="A150">
        <v>2025</v>
      </c>
      <c r="B150">
        <v>10</v>
      </c>
      <c r="C150" t="s">
        <v>72</v>
      </c>
      <c r="D150" t="s">
        <v>22</v>
      </c>
      <c r="E150" t="s">
        <v>72</v>
      </c>
      <c r="F150" t="s">
        <v>23</v>
      </c>
      <c r="G150" t="s">
        <v>24</v>
      </c>
      <c r="H150" t="s">
        <v>25</v>
      </c>
      <c r="I150" t="s">
        <v>26</v>
      </c>
      <c r="J150" t="s">
        <v>25</v>
      </c>
      <c r="K150">
        <v>3118</v>
      </c>
      <c r="L150">
        <v>7</v>
      </c>
      <c r="M150">
        <v>26</v>
      </c>
      <c r="N150">
        <v>33</v>
      </c>
      <c r="O150">
        <v>627</v>
      </c>
      <c r="P150">
        <v>377</v>
      </c>
      <c r="Q150">
        <v>309</v>
      </c>
      <c r="R150">
        <v>156</v>
      </c>
      <c r="S150">
        <v>78</v>
      </c>
      <c r="T150">
        <v>19</v>
      </c>
      <c r="U150">
        <v>1</v>
      </c>
      <c r="V150">
        <v>3095</v>
      </c>
    </row>
    <row r="151" spans="1:22" x14ac:dyDescent="0.25">
      <c r="A151">
        <v>2025</v>
      </c>
      <c r="B151">
        <v>10</v>
      </c>
      <c r="C151" t="s">
        <v>72</v>
      </c>
      <c r="D151" t="s">
        <v>22</v>
      </c>
      <c r="E151" t="s">
        <v>72</v>
      </c>
      <c r="F151" t="s">
        <v>23</v>
      </c>
      <c r="G151" t="s">
        <v>29</v>
      </c>
      <c r="H151" t="s">
        <v>25</v>
      </c>
      <c r="I151" t="s">
        <v>26</v>
      </c>
      <c r="J151" t="s">
        <v>25</v>
      </c>
      <c r="K151">
        <v>2</v>
      </c>
      <c r="L151">
        <v>1</v>
      </c>
      <c r="M151">
        <v>0</v>
      </c>
      <c r="N151">
        <v>1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</row>
    <row r="152" spans="1:22" x14ac:dyDescent="0.25">
      <c r="A152">
        <v>2025</v>
      </c>
      <c r="B152">
        <v>10</v>
      </c>
      <c r="C152" t="s">
        <v>72</v>
      </c>
      <c r="D152" t="s">
        <v>22</v>
      </c>
      <c r="E152" t="s">
        <v>72</v>
      </c>
      <c r="F152" t="s">
        <v>73</v>
      </c>
      <c r="G152" t="s">
        <v>28</v>
      </c>
      <c r="H152" t="s">
        <v>25</v>
      </c>
      <c r="I152" t="s">
        <v>25</v>
      </c>
      <c r="J152" t="s">
        <v>25</v>
      </c>
      <c r="K152">
        <v>18487</v>
      </c>
      <c r="L152">
        <v>43</v>
      </c>
      <c r="M152">
        <v>97</v>
      </c>
      <c r="N152">
        <v>140</v>
      </c>
      <c r="O152">
        <v>3093</v>
      </c>
      <c r="P152">
        <v>1615</v>
      </c>
      <c r="Q152">
        <v>1265</v>
      </c>
      <c r="R152">
        <v>504</v>
      </c>
      <c r="S152">
        <v>240</v>
      </c>
      <c r="T152">
        <v>41</v>
      </c>
      <c r="U152">
        <v>2</v>
      </c>
      <c r="V152">
        <v>18375</v>
      </c>
    </row>
    <row r="153" spans="1:22" x14ac:dyDescent="0.25">
      <c r="A153">
        <v>2025</v>
      </c>
      <c r="B153">
        <v>10</v>
      </c>
      <c r="C153" t="s">
        <v>72</v>
      </c>
      <c r="D153" t="s">
        <v>22</v>
      </c>
      <c r="E153" t="s">
        <v>72</v>
      </c>
      <c r="F153" t="s">
        <v>73</v>
      </c>
      <c r="G153" t="s">
        <v>24</v>
      </c>
      <c r="H153" t="s">
        <v>25</v>
      </c>
      <c r="I153" t="s">
        <v>25</v>
      </c>
      <c r="J153" t="s">
        <v>25</v>
      </c>
      <c r="K153">
        <v>5548</v>
      </c>
      <c r="L153">
        <v>28</v>
      </c>
      <c r="M153">
        <v>0</v>
      </c>
      <c r="N153">
        <v>28</v>
      </c>
      <c r="O153">
        <v>427</v>
      </c>
      <c r="P153">
        <v>232</v>
      </c>
      <c r="Q153">
        <v>178</v>
      </c>
      <c r="R153">
        <v>64</v>
      </c>
      <c r="S153">
        <v>37</v>
      </c>
      <c r="T153">
        <v>6</v>
      </c>
      <c r="U153">
        <v>1</v>
      </c>
      <c r="V153">
        <v>5520</v>
      </c>
    </row>
    <row r="154" spans="1:22" x14ac:dyDescent="0.25">
      <c r="A154">
        <v>2025</v>
      </c>
      <c r="B154">
        <v>10</v>
      </c>
      <c r="C154" t="s">
        <v>72</v>
      </c>
      <c r="D154" t="s">
        <v>22</v>
      </c>
      <c r="E154" t="s">
        <v>72</v>
      </c>
      <c r="F154" t="s">
        <v>74</v>
      </c>
      <c r="G154" t="s">
        <v>28</v>
      </c>
      <c r="H154" t="s">
        <v>25</v>
      </c>
      <c r="I154" t="s">
        <v>25</v>
      </c>
      <c r="J154" t="s">
        <v>25</v>
      </c>
      <c r="K154">
        <v>5793</v>
      </c>
      <c r="L154">
        <v>31</v>
      </c>
      <c r="M154">
        <v>21</v>
      </c>
      <c r="N154">
        <v>52</v>
      </c>
      <c r="O154">
        <v>1219</v>
      </c>
      <c r="P154">
        <v>699</v>
      </c>
      <c r="Q154">
        <v>551</v>
      </c>
      <c r="R154">
        <v>233</v>
      </c>
      <c r="S154">
        <v>116</v>
      </c>
      <c r="T154">
        <v>22</v>
      </c>
      <c r="U154">
        <v>4</v>
      </c>
      <c r="V154">
        <v>5749</v>
      </c>
    </row>
    <row r="155" spans="1:22" x14ac:dyDescent="0.25">
      <c r="A155">
        <v>2025</v>
      </c>
      <c r="B155">
        <v>10</v>
      </c>
      <c r="C155" t="s">
        <v>72</v>
      </c>
      <c r="D155" t="s">
        <v>22</v>
      </c>
      <c r="E155" t="s">
        <v>72</v>
      </c>
      <c r="F155" t="s">
        <v>74</v>
      </c>
      <c r="G155" t="s">
        <v>24</v>
      </c>
      <c r="H155" t="s">
        <v>25</v>
      </c>
      <c r="I155" t="s">
        <v>25</v>
      </c>
      <c r="J155" t="s">
        <v>25</v>
      </c>
      <c r="K155">
        <v>308</v>
      </c>
      <c r="L155">
        <v>5</v>
      </c>
      <c r="M155">
        <v>1</v>
      </c>
      <c r="N155">
        <v>6</v>
      </c>
      <c r="O155">
        <v>29</v>
      </c>
      <c r="P155">
        <v>22</v>
      </c>
      <c r="Q155">
        <v>19</v>
      </c>
      <c r="R155">
        <v>11</v>
      </c>
      <c r="S155">
        <v>7</v>
      </c>
      <c r="T155">
        <v>3</v>
      </c>
      <c r="U155">
        <v>0</v>
      </c>
      <c r="V155">
        <v>302</v>
      </c>
    </row>
    <row r="156" spans="1:22" x14ac:dyDescent="0.25">
      <c r="A156">
        <v>2025</v>
      </c>
      <c r="B156">
        <v>10</v>
      </c>
      <c r="C156" t="s">
        <v>72</v>
      </c>
      <c r="D156" t="s">
        <v>22</v>
      </c>
      <c r="E156" t="s">
        <v>72</v>
      </c>
      <c r="F156" t="s">
        <v>58</v>
      </c>
      <c r="G156" t="s">
        <v>28</v>
      </c>
      <c r="H156" t="s">
        <v>25</v>
      </c>
      <c r="I156" t="s">
        <v>25</v>
      </c>
      <c r="J156" t="s">
        <v>25</v>
      </c>
      <c r="K156">
        <v>30661</v>
      </c>
      <c r="L156">
        <v>67</v>
      </c>
      <c r="M156">
        <v>303</v>
      </c>
      <c r="N156">
        <v>370</v>
      </c>
      <c r="O156">
        <v>5033</v>
      </c>
      <c r="P156">
        <v>2857</v>
      </c>
      <c r="Q156">
        <v>2238</v>
      </c>
      <c r="R156">
        <v>1057</v>
      </c>
      <c r="S156">
        <v>505</v>
      </c>
      <c r="T156">
        <v>92</v>
      </c>
      <c r="U156">
        <v>11</v>
      </c>
      <c r="V156">
        <v>30418</v>
      </c>
    </row>
    <row r="157" spans="1:22" x14ac:dyDescent="0.25">
      <c r="A157">
        <v>2025</v>
      </c>
      <c r="B157">
        <v>10</v>
      </c>
      <c r="C157" t="s">
        <v>72</v>
      </c>
      <c r="D157" t="s">
        <v>22</v>
      </c>
      <c r="E157" t="s">
        <v>72</v>
      </c>
      <c r="F157" t="s">
        <v>58</v>
      </c>
      <c r="G157" t="s">
        <v>24</v>
      </c>
      <c r="H157" t="s">
        <v>25</v>
      </c>
      <c r="I157" t="s">
        <v>25</v>
      </c>
      <c r="J157" t="s">
        <v>25</v>
      </c>
      <c r="K157">
        <v>2766</v>
      </c>
      <c r="L157">
        <v>11</v>
      </c>
      <c r="M157">
        <v>90</v>
      </c>
      <c r="N157">
        <v>101</v>
      </c>
      <c r="O157">
        <v>499</v>
      </c>
      <c r="P157">
        <v>293</v>
      </c>
      <c r="Q157">
        <v>226</v>
      </c>
      <c r="R157">
        <v>112</v>
      </c>
      <c r="S157">
        <v>52</v>
      </c>
      <c r="T157">
        <v>6</v>
      </c>
      <c r="U157">
        <v>0</v>
      </c>
      <c r="V157">
        <v>2718</v>
      </c>
    </row>
    <row r="158" spans="1:22" x14ac:dyDescent="0.25">
      <c r="A158">
        <v>2025</v>
      </c>
      <c r="B158">
        <v>10</v>
      </c>
      <c r="C158" t="s">
        <v>72</v>
      </c>
      <c r="D158" t="s">
        <v>22</v>
      </c>
      <c r="E158" t="s">
        <v>125</v>
      </c>
      <c r="F158" t="s">
        <v>23</v>
      </c>
      <c r="G158" t="s">
        <v>24</v>
      </c>
      <c r="H158" t="s">
        <v>25</v>
      </c>
      <c r="I158" t="s">
        <v>26</v>
      </c>
      <c r="J158" t="s">
        <v>25</v>
      </c>
      <c r="K158">
        <v>830</v>
      </c>
      <c r="L158">
        <v>1</v>
      </c>
      <c r="M158">
        <v>13</v>
      </c>
      <c r="N158">
        <v>14</v>
      </c>
      <c r="O158">
        <v>174</v>
      </c>
      <c r="P158">
        <v>98</v>
      </c>
      <c r="Q158">
        <v>73</v>
      </c>
      <c r="R158">
        <v>36</v>
      </c>
      <c r="S158">
        <v>16</v>
      </c>
      <c r="T158">
        <v>2</v>
      </c>
      <c r="U158">
        <v>0</v>
      </c>
      <c r="V158">
        <v>819</v>
      </c>
    </row>
    <row r="159" spans="1:22" x14ac:dyDescent="0.25">
      <c r="A159">
        <v>2025</v>
      </c>
      <c r="B159">
        <v>10</v>
      </c>
      <c r="C159" t="s">
        <v>72</v>
      </c>
      <c r="D159" t="s">
        <v>22</v>
      </c>
      <c r="E159" t="s">
        <v>125</v>
      </c>
      <c r="F159" t="s">
        <v>58</v>
      </c>
      <c r="G159" t="s">
        <v>24</v>
      </c>
      <c r="H159" t="s">
        <v>25</v>
      </c>
      <c r="I159" t="s">
        <v>25</v>
      </c>
      <c r="J159" t="s">
        <v>25</v>
      </c>
      <c r="K159">
        <v>272</v>
      </c>
      <c r="L159">
        <v>1</v>
      </c>
      <c r="M159">
        <v>0</v>
      </c>
      <c r="N159">
        <v>1</v>
      </c>
      <c r="O159">
        <v>32</v>
      </c>
      <c r="P159">
        <v>19</v>
      </c>
      <c r="Q159">
        <v>18</v>
      </c>
      <c r="R159">
        <v>10</v>
      </c>
      <c r="S159">
        <v>4</v>
      </c>
      <c r="T159">
        <v>1</v>
      </c>
      <c r="U159">
        <v>0</v>
      </c>
      <c r="V159">
        <v>271</v>
      </c>
    </row>
    <row r="160" spans="1:22" x14ac:dyDescent="0.25">
      <c r="A160">
        <v>2025</v>
      </c>
      <c r="B160">
        <v>10</v>
      </c>
      <c r="C160" t="s">
        <v>72</v>
      </c>
      <c r="D160" t="s">
        <v>22</v>
      </c>
      <c r="E160" t="s">
        <v>75</v>
      </c>
      <c r="F160" t="s">
        <v>111</v>
      </c>
      <c r="G160" t="s">
        <v>24</v>
      </c>
      <c r="H160" t="s">
        <v>26</v>
      </c>
      <c r="I160" t="s">
        <v>26</v>
      </c>
      <c r="J160" t="s">
        <v>25</v>
      </c>
      <c r="K160">
        <v>128</v>
      </c>
      <c r="L160">
        <v>2</v>
      </c>
      <c r="M160">
        <v>0</v>
      </c>
      <c r="N160">
        <v>2</v>
      </c>
      <c r="O160">
        <v>52</v>
      </c>
      <c r="P160">
        <v>28</v>
      </c>
      <c r="Q160">
        <v>28</v>
      </c>
      <c r="R160">
        <v>24</v>
      </c>
      <c r="S160">
        <v>18</v>
      </c>
      <c r="T160">
        <v>11</v>
      </c>
      <c r="U160">
        <v>5</v>
      </c>
      <c r="V160">
        <v>126</v>
      </c>
    </row>
    <row r="161" spans="1:22" x14ac:dyDescent="0.25">
      <c r="A161">
        <v>2025</v>
      </c>
      <c r="B161">
        <v>11</v>
      </c>
      <c r="C161" t="s">
        <v>72</v>
      </c>
      <c r="D161" t="s">
        <v>22</v>
      </c>
      <c r="E161" t="s">
        <v>151</v>
      </c>
      <c r="F161" t="s">
        <v>39</v>
      </c>
      <c r="G161" t="s">
        <v>24</v>
      </c>
      <c r="H161" t="s">
        <v>26</v>
      </c>
      <c r="I161" t="s">
        <v>26</v>
      </c>
      <c r="J161" t="s">
        <v>25</v>
      </c>
      <c r="K161">
        <v>425</v>
      </c>
      <c r="L161">
        <v>2</v>
      </c>
      <c r="M161">
        <v>5</v>
      </c>
      <c r="N161">
        <v>7</v>
      </c>
      <c r="O161">
        <v>228</v>
      </c>
      <c r="P161">
        <v>174</v>
      </c>
      <c r="Q161">
        <v>153</v>
      </c>
      <c r="R161">
        <v>100</v>
      </c>
      <c r="S161">
        <v>79</v>
      </c>
      <c r="T161">
        <v>35</v>
      </c>
      <c r="U161">
        <v>2</v>
      </c>
      <c r="V161">
        <v>421</v>
      </c>
    </row>
    <row r="162" spans="1:22" x14ac:dyDescent="0.25">
      <c r="A162">
        <v>2025</v>
      </c>
      <c r="B162">
        <v>11</v>
      </c>
      <c r="C162" t="s">
        <v>72</v>
      </c>
      <c r="D162" t="s">
        <v>22</v>
      </c>
      <c r="E162" t="s">
        <v>158</v>
      </c>
      <c r="F162" t="s">
        <v>54</v>
      </c>
      <c r="G162" t="s">
        <v>24</v>
      </c>
      <c r="H162" t="s">
        <v>25</v>
      </c>
      <c r="I162" t="s">
        <v>25</v>
      </c>
      <c r="J162" t="s">
        <v>25</v>
      </c>
      <c r="K162">
        <v>807</v>
      </c>
      <c r="L162">
        <v>1</v>
      </c>
      <c r="M162">
        <v>12</v>
      </c>
      <c r="N162">
        <v>13</v>
      </c>
      <c r="O162">
        <v>197</v>
      </c>
      <c r="P162">
        <v>117</v>
      </c>
      <c r="Q162">
        <v>93</v>
      </c>
      <c r="R162">
        <v>43</v>
      </c>
      <c r="S162">
        <v>21</v>
      </c>
      <c r="T162">
        <v>0</v>
      </c>
      <c r="U162">
        <v>0</v>
      </c>
      <c r="V162">
        <v>799</v>
      </c>
    </row>
    <row r="163" spans="1:22" x14ac:dyDescent="0.25">
      <c r="A163">
        <v>2025</v>
      </c>
      <c r="B163">
        <v>11</v>
      </c>
      <c r="C163" t="s">
        <v>72</v>
      </c>
      <c r="D163" t="s">
        <v>22</v>
      </c>
      <c r="E163" t="s">
        <v>158</v>
      </c>
      <c r="F163" t="s">
        <v>55</v>
      </c>
      <c r="G163" t="s">
        <v>24</v>
      </c>
      <c r="H163" t="s">
        <v>25</v>
      </c>
      <c r="I163" t="s">
        <v>25</v>
      </c>
      <c r="J163" t="s">
        <v>25</v>
      </c>
      <c r="K163">
        <v>2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2</v>
      </c>
    </row>
    <row r="164" spans="1:22" x14ac:dyDescent="0.25">
      <c r="A164">
        <v>2025</v>
      </c>
      <c r="B164">
        <v>11</v>
      </c>
      <c r="C164" t="s">
        <v>72</v>
      </c>
      <c r="D164" t="s">
        <v>22</v>
      </c>
      <c r="E164" t="s">
        <v>61</v>
      </c>
      <c r="F164" t="s">
        <v>35</v>
      </c>
      <c r="G164" t="s">
        <v>24</v>
      </c>
      <c r="H164" t="s">
        <v>25</v>
      </c>
      <c r="I164" t="s">
        <v>26</v>
      </c>
      <c r="J164" t="s">
        <v>26</v>
      </c>
      <c r="K164">
        <v>45</v>
      </c>
      <c r="L164">
        <v>9</v>
      </c>
      <c r="M164">
        <v>0</v>
      </c>
      <c r="N164">
        <v>9</v>
      </c>
      <c r="O164">
        <v>16</v>
      </c>
      <c r="P164">
        <v>9</v>
      </c>
      <c r="Q164">
        <v>8</v>
      </c>
      <c r="R164">
        <v>5</v>
      </c>
      <c r="S164">
        <v>5</v>
      </c>
      <c r="T164">
        <v>5</v>
      </c>
      <c r="U164">
        <v>2</v>
      </c>
      <c r="V164">
        <v>36</v>
      </c>
    </row>
    <row r="165" spans="1:22" x14ac:dyDescent="0.25">
      <c r="A165">
        <v>2025</v>
      </c>
      <c r="B165">
        <v>11</v>
      </c>
      <c r="C165" t="s">
        <v>72</v>
      </c>
      <c r="D165" t="s">
        <v>22</v>
      </c>
      <c r="E165" t="s">
        <v>72</v>
      </c>
      <c r="F165" t="s">
        <v>23</v>
      </c>
      <c r="G165" t="s">
        <v>28</v>
      </c>
      <c r="H165" t="s">
        <v>25</v>
      </c>
      <c r="I165" t="s">
        <v>26</v>
      </c>
      <c r="J165" t="s">
        <v>25</v>
      </c>
      <c r="K165">
        <v>25781</v>
      </c>
      <c r="L165">
        <v>67</v>
      </c>
      <c r="M165">
        <v>378</v>
      </c>
      <c r="N165">
        <v>445</v>
      </c>
      <c r="O165">
        <v>5062</v>
      </c>
      <c r="P165">
        <v>3026</v>
      </c>
      <c r="Q165">
        <v>2398</v>
      </c>
      <c r="R165">
        <v>1120</v>
      </c>
      <c r="S165">
        <v>536</v>
      </c>
      <c r="T165">
        <v>86</v>
      </c>
      <c r="U165">
        <v>6</v>
      </c>
      <c r="V165">
        <v>25493</v>
      </c>
    </row>
    <row r="166" spans="1:22" x14ac:dyDescent="0.25">
      <c r="A166">
        <v>2025</v>
      </c>
      <c r="B166">
        <v>11</v>
      </c>
      <c r="C166" t="s">
        <v>72</v>
      </c>
      <c r="D166" t="s">
        <v>22</v>
      </c>
      <c r="E166" t="s">
        <v>72</v>
      </c>
      <c r="F166" t="s">
        <v>23</v>
      </c>
      <c r="G166" t="s">
        <v>24</v>
      </c>
      <c r="H166" t="s">
        <v>25</v>
      </c>
      <c r="I166" t="s">
        <v>26</v>
      </c>
      <c r="J166" t="s">
        <v>25</v>
      </c>
      <c r="K166">
        <v>2013</v>
      </c>
      <c r="L166">
        <v>2</v>
      </c>
      <c r="M166">
        <v>25</v>
      </c>
      <c r="N166">
        <v>27</v>
      </c>
      <c r="O166">
        <v>356</v>
      </c>
      <c r="P166">
        <v>200</v>
      </c>
      <c r="Q166">
        <v>154</v>
      </c>
      <c r="R166">
        <v>74</v>
      </c>
      <c r="S166">
        <v>32</v>
      </c>
      <c r="T166">
        <v>7</v>
      </c>
      <c r="U166">
        <v>1</v>
      </c>
      <c r="V166">
        <v>1994</v>
      </c>
    </row>
    <row r="167" spans="1:22" x14ac:dyDescent="0.25">
      <c r="A167">
        <v>2025</v>
      </c>
      <c r="B167">
        <v>11</v>
      </c>
      <c r="C167" t="s">
        <v>72</v>
      </c>
      <c r="D167" t="s">
        <v>22</v>
      </c>
      <c r="E167" t="s">
        <v>72</v>
      </c>
      <c r="F167" t="s">
        <v>23</v>
      </c>
      <c r="G167" t="s">
        <v>29</v>
      </c>
      <c r="H167" t="s">
        <v>25</v>
      </c>
      <c r="I167" t="s">
        <v>26</v>
      </c>
      <c r="J167" t="s">
        <v>25</v>
      </c>
      <c r="K167">
        <v>4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</row>
    <row r="168" spans="1:22" x14ac:dyDescent="0.25">
      <c r="A168">
        <v>2025</v>
      </c>
      <c r="B168">
        <v>11</v>
      </c>
      <c r="C168" t="s">
        <v>72</v>
      </c>
      <c r="D168" t="s">
        <v>22</v>
      </c>
      <c r="E168" t="s">
        <v>72</v>
      </c>
      <c r="F168" t="s">
        <v>73</v>
      </c>
      <c r="G168" t="s">
        <v>28</v>
      </c>
      <c r="H168" t="s">
        <v>25</v>
      </c>
      <c r="I168" t="s">
        <v>25</v>
      </c>
      <c r="J168" t="s">
        <v>25</v>
      </c>
      <c r="K168">
        <v>15379</v>
      </c>
      <c r="L168">
        <v>29</v>
      </c>
      <c r="M168">
        <v>58</v>
      </c>
      <c r="N168">
        <v>87</v>
      </c>
      <c r="O168">
        <v>2333</v>
      </c>
      <c r="P168">
        <v>1201</v>
      </c>
      <c r="Q168">
        <v>878</v>
      </c>
      <c r="R168">
        <v>297</v>
      </c>
      <c r="S168">
        <v>129</v>
      </c>
      <c r="T168">
        <v>22</v>
      </c>
      <c r="U168">
        <v>1</v>
      </c>
      <c r="V168">
        <v>15309</v>
      </c>
    </row>
    <row r="169" spans="1:22" x14ac:dyDescent="0.25">
      <c r="A169">
        <v>2025</v>
      </c>
      <c r="B169">
        <v>11</v>
      </c>
      <c r="C169" t="s">
        <v>72</v>
      </c>
      <c r="D169" t="s">
        <v>22</v>
      </c>
      <c r="E169" t="s">
        <v>72</v>
      </c>
      <c r="F169" t="s">
        <v>73</v>
      </c>
      <c r="G169" t="s">
        <v>24</v>
      </c>
      <c r="H169" t="s">
        <v>25</v>
      </c>
      <c r="I169" t="s">
        <v>25</v>
      </c>
      <c r="J169" t="s">
        <v>25</v>
      </c>
      <c r="K169">
        <v>4330</v>
      </c>
      <c r="L169">
        <v>42</v>
      </c>
      <c r="M169">
        <v>0</v>
      </c>
      <c r="N169">
        <v>42</v>
      </c>
      <c r="O169">
        <v>356</v>
      </c>
      <c r="P169">
        <v>193</v>
      </c>
      <c r="Q169">
        <v>134</v>
      </c>
      <c r="R169">
        <v>44</v>
      </c>
      <c r="S169">
        <v>13</v>
      </c>
      <c r="T169">
        <v>3</v>
      </c>
      <c r="U169">
        <v>3</v>
      </c>
      <c r="V169">
        <v>4288</v>
      </c>
    </row>
    <row r="170" spans="1:22" x14ac:dyDescent="0.25">
      <c r="A170">
        <v>2025</v>
      </c>
      <c r="B170">
        <v>11</v>
      </c>
      <c r="C170" t="s">
        <v>72</v>
      </c>
      <c r="D170" t="s">
        <v>22</v>
      </c>
      <c r="E170" t="s">
        <v>72</v>
      </c>
      <c r="F170" t="s">
        <v>74</v>
      </c>
      <c r="G170" t="s">
        <v>28</v>
      </c>
      <c r="H170" t="s">
        <v>25</v>
      </c>
      <c r="I170" t="s">
        <v>25</v>
      </c>
      <c r="J170" t="s">
        <v>25</v>
      </c>
      <c r="K170">
        <v>4145</v>
      </c>
      <c r="L170">
        <v>30</v>
      </c>
      <c r="M170">
        <v>11</v>
      </c>
      <c r="N170">
        <v>41</v>
      </c>
      <c r="O170">
        <v>954</v>
      </c>
      <c r="P170">
        <v>530</v>
      </c>
      <c r="Q170">
        <v>412</v>
      </c>
      <c r="R170">
        <v>185</v>
      </c>
      <c r="S170">
        <v>80</v>
      </c>
      <c r="T170">
        <v>15</v>
      </c>
      <c r="U170">
        <v>1</v>
      </c>
      <c r="V170">
        <v>4107</v>
      </c>
    </row>
    <row r="171" spans="1:22" x14ac:dyDescent="0.25">
      <c r="A171">
        <v>2025</v>
      </c>
      <c r="B171">
        <v>11</v>
      </c>
      <c r="C171" t="s">
        <v>72</v>
      </c>
      <c r="D171" t="s">
        <v>22</v>
      </c>
      <c r="E171" t="s">
        <v>72</v>
      </c>
      <c r="F171" t="s">
        <v>74</v>
      </c>
      <c r="G171" t="s">
        <v>24</v>
      </c>
      <c r="H171" t="s">
        <v>25</v>
      </c>
      <c r="I171" t="s">
        <v>25</v>
      </c>
      <c r="J171" t="s">
        <v>25</v>
      </c>
      <c r="K171">
        <v>233</v>
      </c>
      <c r="L171">
        <v>2</v>
      </c>
      <c r="M171">
        <v>0</v>
      </c>
      <c r="N171">
        <v>2</v>
      </c>
      <c r="O171">
        <v>15</v>
      </c>
      <c r="P171">
        <v>10</v>
      </c>
      <c r="Q171">
        <v>9</v>
      </c>
      <c r="R171">
        <v>8</v>
      </c>
      <c r="S171">
        <v>6</v>
      </c>
      <c r="T171">
        <v>2</v>
      </c>
      <c r="U171">
        <v>0</v>
      </c>
      <c r="V171">
        <v>231</v>
      </c>
    </row>
    <row r="172" spans="1:22" x14ac:dyDescent="0.25">
      <c r="A172">
        <v>2025</v>
      </c>
      <c r="B172">
        <v>11</v>
      </c>
      <c r="C172" t="s">
        <v>72</v>
      </c>
      <c r="D172" t="s">
        <v>22</v>
      </c>
      <c r="E172" t="s">
        <v>72</v>
      </c>
      <c r="F172" t="s">
        <v>58</v>
      </c>
      <c r="G172" t="s">
        <v>28</v>
      </c>
      <c r="H172" t="s">
        <v>25</v>
      </c>
      <c r="I172" t="s">
        <v>25</v>
      </c>
      <c r="J172" t="s">
        <v>25</v>
      </c>
      <c r="K172">
        <v>24818</v>
      </c>
      <c r="L172">
        <v>50</v>
      </c>
      <c r="M172">
        <v>222</v>
      </c>
      <c r="N172">
        <v>272</v>
      </c>
      <c r="O172">
        <v>3520</v>
      </c>
      <c r="P172">
        <v>1905</v>
      </c>
      <c r="Q172">
        <v>1492</v>
      </c>
      <c r="R172">
        <v>680</v>
      </c>
      <c r="S172">
        <v>286</v>
      </c>
      <c r="T172">
        <v>49</v>
      </c>
      <c r="U172">
        <v>1</v>
      </c>
      <c r="V172">
        <v>24645</v>
      </c>
    </row>
    <row r="173" spans="1:22" x14ac:dyDescent="0.25">
      <c r="A173">
        <v>2025</v>
      </c>
      <c r="B173">
        <v>11</v>
      </c>
      <c r="C173" t="s">
        <v>72</v>
      </c>
      <c r="D173" t="s">
        <v>22</v>
      </c>
      <c r="E173" t="s">
        <v>72</v>
      </c>
      <c r="F173" t="s">
        <v>58</v>
      </c>
      <c r="G173" t="s">
        <v>24</v>
      </c>
      <c r="H173" t="s">
        <v>25</v>
      </c>
      <c r="I173" t="s">
        <v>25</v>
      </c>
      <c r="J173" t="s">
        <v>25</v>
      </c>
      <c r="K173">
        <v>2759</v>
      </c>
      <c r="L173">
        <v>26</v>
      </c>
      <c r="M173">
        <v>55</v>
      </c>
      <c r="N173">
        <v>81</v>
      </c>
      <c r="O173">
        <v>449</v>
      </c>
      <c r="P173">
        <v>273</v>
      </c>
      <c r="Q173">
        <v>225</v>
      </c>
      <c r="R173">
        <v>99</v>
      </c>
      <c r="S173">
        <v>46</v>
      </c>
      <c r="T173">
        <v>10</v>
      </c>
      <c r="U173">
        <v>0</v>
      </c>
      <c r="V173">
        <v>2689</v>
      </c>
    </row>
    <row r="174" spans="1:22" x14ac:dyDescent="0.25">
      <c r="A174">
        <v>2025</v>
      </c>
      <c r="B174">
        <v>11</v>
      </c>
      <c r="C174" t="s">
        <v>72</v>
      </c>
      <c r="D174" t="s">
        <v>22</v>
      </c>
      <c r="E174" t="s">
        <v>125</v>
      </c>
      <c r="F174" t="s">
        <v>23</v>
      </c>
      <c r="G174" t="s">
        <v>24</v>
      </c>
      <c r="H174" t="s">
        <v>25</v>
      </c>
      <c r="I174" t="s">
        <v>26</v>
      </c>
      <c r="J174" t="s">
        <v>25</v>
      </c>
      <c r="K174">
        <v>1216</v>
      </c>
      <c r="L174">
        <v>2</v>
      </c>
      <c r="M174">
        <v>28</v>
      </c>
      <c r="N174">
        <v>30</v>
      </c>
      <c r="O174">
        <v>196</v>
      </c>
      <c r="P174">
        <v>115</v>
      </c>
      <c r="Q174">
        <v>97</v>
      </c>
      <c r="R174">
        <v>56</v>
      </c>
      <c r="S174">
        <v>14</v>
      </c>
      <c r="T174">
        <v>1</v>
      </c>
      <c r="U174">
        <v>0</v>
      </c>
      <c r="V174">
        <v>1201</v>
      </c>
    </row>
    <row r="175" spans="1:22" x14ac:dyDescent="0.25">
      <c r="A175">
        <v>2025</v>
      </c>
      <c r="B175">
        <v>11</v>
      </c>
      <c r="C175" t="s">
        <v>72</v>
      </c>
      <c r="D175" t="s">
        <v>22</v>
      </c>
      <c r="E175" t="s">
        <v>125</v>
      </c>
      <c r="F175" t="s">
        <v>58</v>
      </c>
      <c r="G175" t="s">
        <v>24</v>
      </c>
      <c r="H175" t="s">
        <v>25</v>
      </c>
      <c r="I175" t="s">
        <v>25</v>
      </c>
      <c r="J175" t="s">
        <v>25</v>
      </c>
      <c r="K175">
        <v>331</v>
      </c>
      <c r="L175">
        <v>0</v>
      </c>
      <c r="M175">
        <v>1</v>
      </c>
      <c r="N175">
        <v>1</v>
      </c>
      <c r="O175">
        <v>26</v>
      </c>
      <c r="P175">
        <v>13</v>
      </c>
      <c r="Q175">
        <v>12</v>
      </c>
      <c r="R175">
        <v>7</v>
      </c>
      <c r="S175">
        <v>2</v>
      </c>
      <c r="T175">
        <v>0</v>
      </c>
      <c r="U175">
        <v>0</v>
      </c>
      <c r="V175">
        <v>331</v>
      </c>
    </row>
    <row r="176" spans="1:22" x14ac:dyDescent="0.25">
      <c r="A176">
        <v>2025</v>
      </c>
      <c r="B176">
        <v>11</v>
      </c>
      <c r="C176" t="s">
        <v>72</v>
      </c>
      <c r="D176" t="s">
        <v>22</v>
      </c>
      <c r="E176" t="s">
        <v>125</v>
      </c>
      <c r="F176" t="s">
        <v>110</v>
      </c>
      <c r="G176" t="s">
        <v>24</v>
      </c>
      <c r="H176" t="s">
        <v>25</v>
      </c>
      <c r="I176" t="s">
        <v>25</v>
      </c>
      <c r="J176" t="s">
        <v>25</v>
      </c>
      <c r="K176">
        <v>4</v>
      </c>
      <c r="L176">
        <v>0</v>
      </c>
      <c r="M176">
        <v>3</v>
      </c>
      <c r="N176">
        <v>3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4</v>
      </c>
    </row>
    <row r="177" spans="1:22" x14ac:dyDescent="0.25">
      <c r="A177">
        <v>2025</v>
      </c>
      <c r="B177">
        <v>11</v>
      </c>
      <c r="C177" t="s">
        <v>72</v>
      </c>
      <c r="D177" t="s">
        <v>22</v>
      </c>
      <c r="E177" t="s">
        <v>75</v>
      </c>
      <c r="F177" t="s">
        <v>111</v>
      </c>
      <c r="G177" t="s">
        <v>24</v>
      </c>
      <c r="H177" t="s">
        <v>26</v>
      </c>
      <c r="I177" t="s">
        <v>26</v>
      </c>
      <c r="J177" t="s">
        <v>25</v>
      </c>
      <c r="K177">
        <v>145</v>
      </c>
      <c r="L177">
        <v>0</v>
      </c>
      <c r="M177">
        <v>0</v>
      </c>
      <c r="N177">
        <v>0</v>
      </c>
      <c r="O177">
        <v>57</v>
      </c>
      <c r="P177">
        <v>40</v>
      </c>
      <c r="Q177">
        <v>40</v>
      </c>
      <c r="R177">
        <v>35</v>
      </c>
      <c r="S177">
        <v>22</v>
      </c>
      <c r="T177">
        <v>11</v>
      </c>
      <c r="U177">
        <v>1</v>
      </c>
      <c r="V177">
        <v>145</v>
      </c>
    </row>
    <row r="178" spans="1:22" x14ac:dyDescent="0.25">
      <c r="A178">
        <v>2025</v>
      </c>
      <c r="B178">
        <v>12</v>
      </c>
      <c r="C178" t="s">
        <v>72</v>
      </c>
      <c r="D178" t="s">
        <v>22</v>
      </c>
      <c r="E178" t="s">
        <v>151</v>
      </c>
      <c r="F178" t="s">
        <v>39</v>
      </c>
      <c r="G178" t="s">
        <v>24</v>
      </c>
      <c r="H178" t="s">
        <v>26</v>
      </c>
      <c r="I178" t="s">
        <v>26</v>
      </c>
      <c r="J178" t="s">
        <v>25</v>
      </c>
      <c r="K178">
        <v>466</v>
      </c>
      <c r="L178">
        <v>21</v>
      </c>
      <c r="M178">
        <v>11</v>
      </c>
      <c r="N178">
        <v>32</v>
      </c>
      <c r="O178">
        <v>205</v>
      </c>
      <c r="P178">
        <v>165</v>
      </c>
      <c r="Q178">
        <v>145</v>
      </c>
      <c r="R178">
        <v>108</v>
      </c>
      <c r="S178">
        <v>90</v>
      </c>
      <c r="T178">
        <v>43</v>
      </c>
      <c r="U178">
        <v>7</v>
      </c>
      <c r="V178">
        <v>441</v>
      </c>
    </row>
    <row r="179" spans="1:22" x14ac:dyDescent="0.25">
      <c r="A179">
        <v>2025</v>
      </c>
      <c r="B179">
        <v>12</v>
      </c>
      <c r="C179" t="s">
        <v>72</v>
      </c>
      <c r="D179" t="s">
        <v>22</v>
      </c>
      <c r="E179" t="s">
        <v>158</v>
      </c>
      <c r="F179" t="s">
        <v>54</v>
      </c>
      <c r="G179" t="s">
        <v>24</v>
      </c>
      <c r="H179" t="s">
        <v>25</v>
      </c>
      <c r="I179" t="s">
        <v>25</v>
      </c>
      <c r="J179" t="s">
        <v>25</v>
      </c>
      <c r="K179">
        <v>869</v>
      </c>
      <c r="L179">
        <v>3</v>
      </c>
      <c r="M179">
        <v>10</v>
      </c>
      <c r="N179">
        <v>13</v>
      </c>
      <c r="O179">
        <v>198</v>
      </c>
      <c r="P179">
        <v>117</v>
      </c>
      <c r="Q179">
        <v>91</v>
      </c>
      <c r="R179">
        <v>57</v>
      </c>
      <c r="S179">
        <v>30</v>
      </c>
      <c r="T179">
        <v>9</v>
      </c>
      <c r="U179">
        <v>1</v>
      </c>
      <c r="V179">
        <v>863</v>
      </c>
    </row>
    <row r="180" spans="1:22" x14ac:dyDescent="0.25">
      <c r="A180">
        <v>2025</v>
      </c>
      <c r="B180">
        <v>12</v>
      </c>
      <c r="C180" t="s">
        <v>72</v>
      </c>
      <c r="D180" t="s">
        <v>22</v>
      </c>
      <c r="E180" t="s">
        <v>61</v>
      </c>
      <c r="F180" t="s">
        <v>35</v>
      </c>
      <c r="G180" t="s">
        <v>24</v>
      </c>
      <c r="H180" t="s">
        <v>25</v>
      </c>
      <c r="I180" t="s">
        <v>26</v>
      </c>
      <c r="J180" t="s">
        <v>26</v>
      </c>
      <c r="K180">
        <v>37</v>
      </c>
      <c r="L180">
        <v>0</v>
      </c>
      <c r="M180">
        <v>0</v>
      </c>
      <c r="N180">
        <v>0</v>
      </c>
      <c r="O180">
        <v>15</v>
      </c>
      <c r="P180">
        <v>13</v>
      </c>
      <c r="Q180">
        <v>13</v>
      </c>
      <c r="R180">
        <v>8</v>
      </c>
      <c r="S180">
        <v>8</v>
      </c>
      <c r="T180">
        <v>4</v>
      </c>
      <c r="U180">
        <v>2</v>
      </c>
      <c r="V180">
        <v>37</v>
      </c>
    </row>
    <row r="181" spans="1:22" x14ac:dyDescent="0.25">
      <c r="A181">
        <v>2025</v>
      </c>
      <c r="B181">
        <v>12</v>
      </c>
      <c r="C181" t="s">
        <v>72</v>
      </c>
      <c r="D181" t="s">
        <v>22</v>
      </c>
      <c r="E181" t="s">
        <v>72</v>
      </c>
      <c r="F181" t="s">
        <v>23</v>
      </c>
      <c r="G181" t="s">
        <v>28</v>
      </c>
      <c r="H181" t="s">
        <v>25</v>
      </c>
      <c r="I181" t="s">
        <v>26</v>
      </c>
      <c r="J181" t="s">
        <v>25</v>
      </c>
      <c r="K181">
        <v>29873</v>
      </c>
      <c r="L181">
        <v>50</v>
      </c>
      <c r="M181">
        <v>414</v>
      </c>
      <c r="N181">
        <v>464</v>
      </c>
      <c r="O181">
        <v>4744</v>
      </c>
      <c r="P181">
        <v>2786</v>
      </c>
      <c r="Q181">
        <v>2228</v>
      </c>
      <c r="R181">
        <v>1135</v>
      </c>
      <c r="S181">
        <v>597</v>
      </c>
      <c r="T181">
        <v>103</v>
      </c>
      <c r="U181">
        <v>7</v>
      </c>
      <c r="V181">
        <v>29556</v>
      </c>
    </row>
    <row r="182" spans="1:22" x14ac:dyDescent="0.25">
      <c r="A182">
        <v>2025</v>
      </c>
      <c r="B182">
        <v>12</v>
      </c>
      <c r="C182" t="s">
        <v>72</v>
      </c>
      <c r="D182" t="s">
        <v>22</v>
      </c>
      <c r="E182" t="s">
        <v>72</v>
      </c>
      <c r="F182" t="s">
        <v>23</v>
      </c>
      <c r="G182" t="s">
        <v>24</v>
      </c>
      <c r="H182" t="s">
        <v>25</v>
      </c>
      <c r="I182" t="s">
        <v>26</v>
      </c>
      <c r="J182" t="s">
        <v>25</v>
      </c>
      <c r="K182">
        <v>2496</v>
      </c>
      <c r="L182">
        <v>7</v>
      </c>
      <c r="M182">
        <v>21</v>
      </c>
      <c r="N182">
        <v>28</v>
      </c>
      <c r="O182">
        <v>410</v>
      </c>
      <c r="P182">
        <v>223</v>
      </c>
      <c r="Q182">
        <v>168</v>
      </c>
      <c r="R182">
        <v>85</v>
      </c>
      <c r="S182">
        <v>45</v>
      </c>
      <c r="T182">
        <v>11</v>
      </c>
      <c r="U182">
        <v>0</v>
      </c>
      <c r="V182">
        <v>2476</v>
      </c>
    </row>
    <row r="183" spans="1:22" x14ac:dyDescent="0.25">
      <c r="A183">
        <v>2025</v>
      </c>
      <c r="B183">
        <v>12</v>
      </c>
      <c r="C183" t="s">
        <v>72</v>
      </c>
      <c r="D183" t="s">
        <v>22</v>
      </c>
      <c r="E183" t="s">
        <v>72</v>
      </c>
      <c r="F183" t="s">
        <v>23</v>
      </c>
      <c r="G183" t="s">
        <v>29</v>
      </c>
      <c r="H183" t="s">
        <v>25</v>
      </c>
      <c r="I183" t="s">
        <v>26</v>
      </c>
      <c r="J183" t="s">
        <v>25</v>
      </c>
      <c r="K183">
        <v>1</v>
      </c>
      <c r="L183">
        <v>1</v>
      </c>
      <c r="M183">
        <v>0</v>
      </c>
      <c r="N183">
        <v>1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</row>
    <row r="184" spans="1:22" x14ac:dyDescent="0.25">
      <c r="A184">
        <v>2025</v>
      </c>
      <c r="B184">
        <v>12</v>
      </c>
      <c r="C184" t="s">
        <v>72</v>
      </c>
      <c r="D184" t="s">
        <v>22</v>
      </c>
      <c r="E184" t="s">
        <v>72</v>
      </c>
      <c r="F184" t="s">
        <v>73</v>
      </c>
      <c r="G184" t="s">
        <v>28</v>
      </c>
      <c r="H184" t="s">
        <v>25</v>
      </c>
      <c r="I184" t="s">
        <v>25</v>
      </c>
      <c r="J184" t="s">
        <v>25</v>
      </c>
      <c r="K184">
        <v>17869</v>
      </c>
      <c r="L184">
        <v>32</v>
      </c>
      <c r="M184">
        <v>83</v>
      </c>
      <c r="N184">
        <v>115</v>
      </c>
      <c r="O184">
        <v>2290</v>
      </c>
      <c r="P184">
        <v>1171</v>
      </c>
      <c r="Q184">
        <v>925</v>
      </c>
      <c r="R184">
        <v>396</v>
      </c>
      <c r="S184">
        <v>215</v>
      </c>
      <c r="T184">
        <v>34</v>
      </c>
      <c r="U184">
        <v>2</v>
      </c>
      <c r="V184">
        <v>17775</v>
      </c>
    </row>
    <row r="185" spans="1:22" x14ac:dyDescent="0.25">
      <c r="A185">
        <v>2025</v>
      </c>
      <c r="B185">
        <v>12</v>
      </c>
      <c r="C185" t="s">
        <v>72</v>
      </c>
      <c r="D185" t="s">
        <v>22</v>
      </c>
      <c r="E185" t="s">
        <v>72</v>
      </c>
      <c r="F185" t="s">
        <v>73</v>
      </c>
      <c r="G185" t="s">
        <v>24</v>
      </c>
      <c r="H185" t="s">
        <v>25</v>
      </c>
      <c r="I185" t="s">
        <v>25</v>
      </c>
      <c r="J185" t="s">
        <v>25</v>
      </c>
      <c r="K185">
        <v>5447</v>
      </c>
      <c r="L185">
        <v>32</v>
      </c>
      <c r="M185">
        <v>0</v>
      </c>
      <c r="N185">
        <v>32</v>
      </c>
      <c r="O185">
        <v>274</v>
      </c>
      <c r="P185">
        <v>154</v>
      </c>
      <c r="Q185">
        <v>115</v>
      </c>
      <c r="R185">
        <v>60</v>
      </c>
      <c r="S185">
        <v>28</v>
      </c>
      <c r="T185">
        <v>5</v>
      </c>
      <c r="U185">
        <v>2</v>
      </c>
      <c r="V185">
        <v>5415</v>
      </c>
    </row>
    <row r="186" spans="1:22" x14ac:dyDescent="0.25">
      <c r="A186">
        <v>2025</v>
      </c>
      <c r="B186">
        <v>12</v>
      </c>
      <c r="C186" t="s">
        <v>72</v>
      </c>
      <c r="D186" t="s">
        <v>22</v>
      </c>
      <c r="E186" t="s">
        <v>72</v>
      </c>
      <c r="F186" t="s">
        <v>74</v>
      </c>
      <c r="G186" t="s">
        <v>28</v>
      </c>
      <c r="H186" t="s">
        <v>25</v>
      </c>
      <c r="I186" t="s">
        <v>25</v>
      </c>
      <c r="J186" t="s">
        <v>25</v>
      </c>
      <c r="K186">
        <v>4768</v>
      </c>
      <c r="L186">
        <v>24</v>
      </c>
      <c r="M186">
        <v>22</v>
      </c>
      <c r="N186">
        <v>46</v>
      </c>
      <c r="O186">
        <v>875</v>
      </c>
      <c r="P186">
        <v>480</v>
      </c>
      <c r="Q186">
        <v>366</v>
      </c>
      <c r="R186">
        <v>194</v>
      </c>
      <c r="S186">
        <v>100</v>
      </c>
      <c r="T186">
        <v>18</v>
      </c>
      <c r="U186">
        <v>0</v>
      </c>
      <c r="V186">
        <v>4727</v>
      </c>
    </row>
    <row r="187" spans="1:22" x14ac:dyDescent="0.25">
      <c r="A187">
        <v>2025</v>
      </c>
      <c r="B187">
        <v>12</v>
      </c>
      <c r="C187" t="s">
        <v>72</v>
      </c>
      <c r="D187" t="s">
        <v>22</v>
      </c>
      <c r="E187" t="s">
        <v>72</v>
      </c>
      <c r="F187" t="s">
        <v>74</v>
      </c>
      <c r="G187" t="s">
        <v>24</v>
      </c>
      <c r="H187" t="s">
        <v>25</v>
      </c>
      <c r="I187" t="s">
        <v>25</v>
      </c>
      <c r="J187" t="s">
        <v>25</v>
      </c>
      <c r="K187">
        <v>257</v>
      </c>
      <c r="L187">
        <v>2</v>
      </c>
      <c r="M187">
        <v>0</v>
      </c>
      <c r="N187">
        <v>2</v>
      </c>
      <c r="O187">
        <v>20</v>
      </c>
      <c r="P187">
        <v>10</v>
      </c>
      <c r="Q187">
        <v>8</v>
      </c>
      <c r="R187">
        <v>5</v>
      </c>
      <c r="S187">
        <v>5</v>
      </c>
      <c r="T187">
        <v>1</v>
      </c>
      <c r="U187">
        <v>0</v>
      </c>
      <c r="V187">
        <v>255</v>
      </c>
    </row>
    <row r="188" spans="1:22" x14ac:dyDescent="0.25">
      <c r="A188">
        <v>2025</v>
      </c>
      <c r="B188">
        <v>12</v>
      </c>
      <c r="C188" t="s">
        <v>72</v>
      </c>
      <c r="D188" t="s">
        <v>22</v>
      </c>
      <c r="E188" t="s">
        <v>72</v>
      </c>
      <c r="F188" t="s">
        <v>58</v>
      </c>
      <c r="G188" t="s">
        <v>28</v>
      </c>
      <c r="H188" t="s">
        <v>25</v>
      </c>
      <c r="I188" t="s">
        <v>25</v>
      </c>
      <c r="J188" t="s">
        <v>25</v>
      </c>
      <c r="K188">
        <v>29955</v>
      </c>
      <c r="L188">
        <v>54</v>
      </c>
      <c r="M188">
        <v>197</v>
      </c>
      <c r="N188">
        <v>251</v>
      </c>
      <c r="O188">
        <v>3310</v>
      </c>
      <c r="P188">
        <v>1802</v>
      </c>
      <c r="Q188">
        <v>1422</v>
      </c>
      <c r="R188">
        <v>643</v>
      </c>
      <c r="S188">
        <v>303</v>
      </c>
      <c r="T188">
        <v>48</v>
      </c>
      <c r="U188">
        <v>5</v>
      </c>
      <c r="V188">
        <v>29780</v>
      </c>
    </row>
    <row r="189" spans="1:22" x14ac:dyDescent="0.25">
      <c r="A189">
        <v>2025</v>
      </c>
      <c r="B189">
        <v>12</v>
      </c>
      <c r="C189" t="s">
        <v>72</v>
      </c>
      <c r="D189" t="s">
        <v>22</v>
      </c>
      <c r="E189" t="s">
        <v>72</v>
      </c>
      <c r="F189" t="s">
        <v>58</v>
      </c>
      <c r="G189" t="s">
        <v>24</v>
      </c>
      <c r="H189" t="s">
        <v>25</v>
      </c>
      <c r="I189" t="s">
        <v>25</v>
      </c>
      <c r="J189" t="s">
        <v>25</v>
      </c>
      <c r="K189">
        <v>2892</v>
      </c>
      <c r="L189">
        <v>19</v>
      </c>
      <c r="M189">
        <v>73</v>
      </c>
      <c r="N189">
        <v>92</v>
      </c>
      <c r="O189">
        <v>476</v>
      </c>
      <c r="P189">
        <v>291</v>
      </c>
      <c r="Q189">
        <v>232</v>
      </c>
      <c r="R189">
        <v>103</v>
      </c>
      <c r="S189">
        <v>49</v>
      </c>
      <c r="T189">
        <v>20</v>
      </c>
      <c r="U189">
        <v>0</v>
      </c>
      <c r="V189">
        <v>2825</v>
      </c>
    </row>
    <row r="190" spans="1:22" x14ac:dyDescent="0.25">
      <c r="A190">
        <v>2025</v>
      </c>
      <c r="B190">
        <v>12</v>
      </c>
      <c r="C190" t="s">
        <v>72</v>
      </c>
      <c r="D190" t="s">
        <v>22</v>
      </c>
      <c r="E190" t="s">
        <v>125</v>
      </c>
      <c r="F190" t="s">
        <v>23</v>
      </c>
      <c r="G190" t="s">
        <v>24</v>
      </c>
      <c r="H190" t="s">
        <v>25</v>
      </c>
      <c r="I190" t="s">
        <v>26</v>
      </c>
      <c r="J190" t="s">
        <v>25</v>
      </c>
      <c r="K190">
        <v>1496</v>
      </c>
      <c r="L190">
        <v>4</v>
      </c>
      <c r="M190">
        <v>24</v>
      </c>
      <c r="N190">
        <v>28</v>
      </c>
      <c r="O190">
        <v>189</v>
      </c>
      <c r="P190">
        <v>86</v>
      </c>
      <c r="Q190">
        <v>61</v>
      </c>
      <c r="R190">
        <v>25</v>
      </c>
      <c r="S190">
        <v>13</v>
      </c>
      <c r="T190">
        <v>2</v>
      </c>
      <c r="U190">
        <v>0</v>
      </c>
      <c r="V190">
        <v>1476</v>
      </c>
    </row>
    <row r="191" spans="1:22" x14ac:dyDescent="0.25">
      <c r="A191">
        <v>2025</v>
      </c>
      <c r="B191">
        <v>12</v>
      </c>
      <c r="C191" t="s">
        <v>72</v>
      </c>
      <c r="D191" t="s">
        <v>22</v>
      </c>
      <c r="E191" t="s">
        <v>125</v>
      </c>
      <c r="F191" t="s">
        <v>58</v>
      </c>
      <c r="G191" t="s">
        <v>24</v>
      </c>
      <c r="H191" t="s">
        <v>25</v>
      </c>
      <c r="I191" t="s">
        <v>25</v>
      </c>
      <c r="J191" t="s">
        <v>25</v>
      </c>
      <c r="K191">
        <v>424</v>
      </c>
      <c r="L191">
        <v>0</v>
      </c>
      <c r="M191">
        <v>1</v>
      </c>
      <c r="N191">
        <v>1</v>
      </c>
      <c r="O191">
        <v>48</v>
      </c>
      <c r="P191">
        <v>26</v>
      </c>
      <c r="Q191">
        <v>21</v>
      </c>
      <c r="R191">
        <v>5</v>
      </c>
      <c r="S191">
        <v>1</v>
      </c>
      <c r="T191">
        <v>0</v>
      </c>
      <c r="U191">
        <v>0</v>
      </c>
      <c r="V191">
        <v>424</v>
      </c>
    </row>
    <row r="192" spans="1:22" x14ac:dyDescent="0.25">
      <c r="A192">
        <v>2025</v>
      </c>
      <c r="B192">
        <v>12</v>
      </c>
      <c r="C192" t="s">
        <v>72</v>
      </c>
      <c r="D192" t="s">
        <v>22</v>
      </c>
      <c r="E192" t="s">
        <v>125</v>
      </c>
      <c r="F192" t="s">
        <v>117</v>
      </c>
      <c r="G192" t="s">
        <v>24</v>
      </c>
      <c r="H192" t="s">
        <v>25</v>
      </c>
      <c r="I192" t="s">
        <v>25</v>
      </c>
      <c r="J192" t="s">
        <v>25</v>
      </c>
      <c r="K192">
        <v>1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1</v>
      </c>
    </row>
    <row r="193" spans="1:22" x14ac:dyDescent="0.25">
      <c r="A193">
        <v>2025</v>
      </c>
      <c r="B193">
        <v>12</v>
      </c>
      <c r="C193" t="s">
        <v>72</v>
      </c>
      <c r="D193" t="s">
        <v>22</v>
      </c>
      <c r="E193" t="s">
        <v>75</v>
      </c>
      <c r="F193" t="s">
        <v>111</v>
      </c>
      <c r="G193" t="s">
        <v>24</v>
      </c>
      <c r="H193" t="s">
        <v>26</v>
      </c>
      <c r="I193" t="s">
        <v>26</v>
      </c>
      <c r="J193" t="s">
        <v>25</v>
      </c>
      <c r="K193">
        <v>36</v>
      </c>
      <c r="L193">
        <v>0</v>
      </c>
      <c r="M193">
        <v>0</v>
      </c>
      <c r="N193">
        <v>0</v>
      </c>
      <c r="O193">
        <v>20</v>
      </c>
      <c r="P193">
        <v>9</v>
      </c>
      <c r="Q193">
        <v>9</v>
      </c>
      <c r="R193">
        <v>6</v>
      </c>
      <c r="S193">
        <v>5</v>
      </c>
      <c r="T193">
        <v>3</v>
      </c>
      <c r="U193">
        <v>0</v>
      </c>
      <c r="V193">
        <v>36</v>
      </c>
    </row>
    <row r="194" spans="1:22" x14ac:dyDescent="0.25">
      <c r="A194">
        <v>2025</v>
      </c>
      <c r="B194">
        <v>12</v>
      </c>
      <c r="C194" t="s">
        <v>72</v>
      </c>
      <c r="D194" t="s">
        <v>22</v>
      </c>
      <c r="E194" t="s">
        <v>75</v>
      </c>
      <c r="F194" t="s">
        <v>27</v>
      </c>
      <c r="G194" t="s">
        <v>24</v>
      </c>
      <c r="H194" t="s">
        <v>26</v>
      </c>
      <c r="I194" t="s">
        <v>26</v>
      </c>
      <c r="J194" t="s">
        <v>25</v>
      </c>
      <c r="K194">
        <v>105</v>
      </c>
      <c r="L194">
        <v>0</v>
      </c>
      <c r="M194">
        <v>0</v>
      </c>
      <c r="N194">
        <v>0</v>
      </c>
      <c r="O194">
        <v>7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105</v>
      </c>
    </row>
    <row r="195" spans="1:22" x14ac:dyDescent="0.25">
      <c r="A195">
        <v>2025</v>
      </c>
      <c r="B195">
        <v>12</v>
      </c>
      <c r="C195" t="s">
        <v>72</v>
      </c>
      <c r="D195" t="s">
        <v>22</v>
      </c>
      <c r="E195" t="s">
        <v>75</v>
      </c>
      <c r="F195" t="s">
        <v>27</v>
      </c>
      <c r="G195" t="s">
        <v>29</v>
      </c>
      <c r="H195" t="s">
        <v>26</v>
      </c>
      <c r="I195" t="s">
        <v>26</v>
      </c>
      <c r="J195" t="s">
        <v>25</v>
      </c>
      <c r="K195">
        <v>3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V395"/>
  <sheetViews>
    <sheetView workbookViewId="0"/>
  </sheetViews>
  <sheetFormatPr defaultRowHeight="15" x14ac:dyDescent="0.25"/>
  <sheetData>
    <row r="1" spans="1:2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122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</row>
    <row r="2" spans="1:22" x14ac:dyDescent="0.25">
      <c r="A2">
        <v>2025</v>
      </c>
      <c r="B2">
        <v>1</v>
      </c>
      <c r="C2" t="s">
        <v>80</v>
      </c>
      <c r="D2" t="s">
        <v>22</v>
      </c>
      <c r="E2" t="s">
        <v>140</v>
      </c>
      <c r="F2" t="s">
        <v>34</v>
      </c>
      <c r="G2" t="s">
        <v>24</v>
      </c>
      <c r="H2" t="s">
        <v>25</v>
      </c>
      <c r="I2" t="s">
        <v>26</v>
      </c>
      <c r="J2" t="s">
        <v>26</v>
      </c>
      <c r="K2">
        <v>1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1</v>
      </c>
    </row>
    <row r="3" spans="1:22" x14ac:dyDescent="0.25">
      <c r="A3">
        <v>2025</v>
      </c>
      <c r="B3">
        <v>1</v>
      </c>
      <c r="C3" t="s">
        <v>80</v>
      </c>
      <c r="D3" t="s">
        <v>22</v>
      </c>
      <c r="E3" t="s">
        <v>144</v>
      </c>
      <c r="F3" t="s">
        <v>36</v>
      </c>
      <c r="G3" t="s">
        <v>24</v>
      </c>
      <c r="H3" t="s">
        <v>25</v>
      </c>
      <c r="I3" t="s">
        <v>26</v>
      </c>
      <c r="J3" t="s">
        <v>25</v>
      </c>
      <c r="K3">
        <v>13</v>
      </c>
      <c r="L3">
        <v>0</v>
      </c>
      <c r="M3">
        <v>0</v>
      </c>
      <c r="N3">
        <v>0</v>
      </c>
      <c r="O3">
        <v>4</v>
      </c>
      <c r="P3">
        <v>4</v>
      </c>
      <c r="Q3">
        <v>4</v>
      </c>
      <c r="R3">
        <v>2</v>
      </c>
      <c r="S3">
        <v>2</v>
      </c>
      <c r="T3">
        <v>0</v>
      </c>
      <c r="U3">
        <v>0</v>
      </c>
      <c r="V3">
        <v>13</v>
      </c>
    </row>
    <row r="4" spans="1:22" x14ac:dyDescent="0.25">
      <c r="A4">
        <v>2025</v>
      </c>
      <c r="B4">
        <v>1</v>
      </c>
      <c r="C4" t="s">
        <v>80</v>
      </c>
      <c r="D4" t="s">
        <v>22</v>
      </c>
      <c r="E4" t="s">
        <v>147</v>
      </c>
      <c r="F4" t="s">
        <v>32</v>
      </c>
      <c r="G4" t="s">
        <v>24</v>
      </c>
      <c r="H4" t="s">
        <v>25</v>
      </c>
      <c r="I4" t="s">
        <v>25</v>
      </c>
      <c r="J4" t="s">
        <v>25</v>
      </c>
      <c r="K4">
        <v>284</v>
      </c>
      <c r="L4">
        <v>0</v>
      </c>
      <c r="M4">
        <v>6</v>
      </c>
      <c r="N4">
        <v>6</v>
      </c>
      <c r="O4">
        <v>115</v>
      </c>
      <c r="P4">
        <v>100</v>
      </c>
      <c r="Q4">
        <v>92</v>
      </c>
      <c r="R4">
        <v>77</v>
      </c>
      <c r="S4">
        <v>63</v>
      </c>
      <c r="T4">
        <v>33</v>
      </c>
      <c r="U4">
        <v>15</v>
      </c>
      <c r="V4">
        <v>278</v>
      </c>
    </row>
    <row r="5" spans="1:22" x14ac:dyDescent="0.25">
      <c r="A5">
        <v>2025</v>
      </c>
      <c r="B5">
        <v>1</v>
      </c>
      <c r="C5" t="s">
        <v>80</v>
      </c>
      <c r="D5" t="s">
        <v>22</v>
      </c>
      <c r="E5" t="s">
        <v>147</v>
      </c>
      <c r="F5" t="s">
        <v>36</v>
      </c>
      <c r="G5" t="s">
        <v>24</v>
      </c>
      <c r="H5" t="s">
        <v>25</v>
      </c>
      <c r="I5" t="s">
        <v>26</v>
      </c>
      <c r="J5" t="s">
        <v>25</v>
      </c>
      <c r="K5">
        <v>4</v>
      </c>
      <c r="L5">
        <v>0</v>
      </c>
      <c r="M5">
        <v>0</v>
      </c>
      <c r="N5">
        <v>0</v>
      </c>
      <c r="O5">
        <v>3</v>
      </c>
      <c r="P5">
        <v>3</v>
      </c>
      <c r="Q5">
        <v>3</v>
      </c>
      <c r="R5">
        <v>3</v>
      </c>
      <c r="S5">
        <v>3</v>
      </c>
      <c r="T5">
        <v>2</v>
      </c>
      <c r="U5">
        <v>1</v>
      </c>
      <c r="V5">
        <v>4</v>
      </c>
    </row>
    <row r="6" spans="1:22" x14ac:dyDescent="0.25">
      <c r="A6">
        <v>2025</v>
      </c>
      <c r="B6">
        <v>1</v>
      </c>
      <c r="C6" t="s">
        <v>80</v>
      </c>
      <c r="D6" t="s">
        <v>22</v>
      </c>
      <c r="E6" t="s">
        <v>150</v>
      </c>
      <c r="F6" t="s">
        <v>32</v>
      </c>
      <c r="G6" t="s">
        <v>24</v>
      </c>
      <c r="H6" t="s">
        <v>25</v>
      </c>
      <c r="I6" t="s">
        <v>25</v>
      </c>
      <c r="J6" t="s">
        <v>25</v>
      </c>
      <c r="K6">
        <v>31</v>
      </c>
      <c r="L6">
        <v>0</v>
      </c>
      <c r="M6">
        <v>0</v>
      </c>
      <c r="N6">
        <v>0</v>
      </c>
      <c r="O6">
        <v>19</v>
      </c>
      <c r="P6">
        <v>19</v>
      </c>
      <c r="Q6">
        <v>14</v>
      </c>
      <c r="R6">
        <v>10</v>
      </c>
      <c r="S6">
        <v>4</v>
      </c>
      <c r="T6">
        <v>1</v>
      </c>
      <c r="U6">
        <v>0</v>
      </c>
      <c r="V6">
        <v>31</v>
      </c>
    </row>
    <row r="7" spans="1:22" x14ac:dyDescent="0.25">
      <c r="A7">
        <v>2025</v>
      </c>
      <c r="B7">
        <v>1</v>
      </c>
      <c r="C7" t="s">
        <v>80</v>
      </c>
      <c r="D7" t="s">
        <v>22</v>
      </c>
      <c r="E7" t="s">
        <v>61</v>
      </c>
      <c r="F7" t="s">
        <v>35</v>
      </c>
      <c r="G7" t="s">
        <v>28</v>
      </c>
      <c r="H7" t="s">
        <v>25</v>
      </c>
      <c r="I7" t="s">
        <v>26</v>
      </c>
      <c r="J7" t="s">
        <v>26</v>
      </c>
      <c r="K7">
        <v>52</v>
      </c>
      <c r="L7">
        <v>0</v>
      </c>
      <c r="M7">
        <v>0</v>
      </c>
      <c r="N7">
        <v>0</v>
      </c>
      <c r="O7">
        <v>18</v>
      </c>
      <c r="P7">
        <v>16</v>
      </c>
      <c r="Q7">
        <v>16</v>
      </c>
      <c r="R7">
        <v>14</v>
      </c>
      <c r="S7">
        <v>14</v>
      </c>
      <c r="T7">
        <v>7</v>
      </c>
      <c r="U7">
        <v>5</v>
      </c>
      <c r="V7">
        <v>52</v>
      </c>
    </row>
    <row r="8" spans="1:22" x14ac:dyDescent="0.25">
      <c r="A8">
        <v>2025</v>
      </c>
      <c r="B8">
        <v>1</v>
      </c>
      <c r="C8" t="s">
        <v>80</v>
      </c>
      <c r="D8" t="s">
        <v>22</v>
      </c>
      <c r="E8" t="s">
        <v>61</v>
      </c>
      <c r="F8" t="s">
        <v>35</v>
      </c>
      <c r="G8" t="s">
        <v>24</v>
      </c>
      <c r="H8" t="s">
        <v>25</v>
      </c>
      <c r="I8" t="s">
        <v>26</v>
      </c>
      <c r="J8" t="s">
        <v>26</v>
      </c>
      <c r="K8">
        <v>169</v>
      </c>
      <c r="L8">
        <v>1</v>
      </c>
      <c r="M8">
        <v>9</v>
      </c>
      <c r="N8">
        <v>10</v>
      </c>
      <c r="O8">
        <v>20</v>
      </c>
      <c r="P8">
        <v>19</v>
      </c>
      <c r="Q8">
        <v>17</v>
      </c>
      <c r="R8">
        <v>16</v>
      </c>
      <c r="S8">
        <v>15</v>
      </c>
      <c r="T8">
        <v>10</v>
      </c>
      <c r="U8">
        <v>4</v>
      </c>
      <c r="V8">
        <v>156</v>
      </c>
    </row>
    <row r="9" spans="1:22" x14ac:dyDescent="0.25">
      <c r="A9">
        <v>2025</v>
      </c>
      <c r="B9">
        <v>1</v>
      </c>
      <c r="C9" t="s">
        <v>80</v>
      </c>
      <c r="D9" t="s">
        <v>22</v>
      </c>
      <c r="E9" t="s">
        <v>61</v>
      </c>
      <c r="F9" t="s">
        <v>36</v>
      </c>
      <c r="G9" t="s">
        <v>24</v>
      </c>
      <c r="H9" t="s">
        <v>25</v>
      </c>
      <c r="I9" t="s">
        <v>26</v>
      </c>
      <c r="J9" t="s">
        <v>25</v>
      </c>
      <c r="K9">
        <v>121</v>
      </c>
      <c r="L9">
        <v>0</v>
      </c>
      <c r="M9">
        <v>0</v>
      </c>
      <c r="N9">
        <v>0</v>
      </c>
      <c r="O9">
        <v>8</v>
      </c>
      <c r="P9">
        <v>7</v>
      </c>
      <c r="Q9">
        <v>6</v>
      </c>
      <c r="R9">
        <v>6</v>
      </c>
      <c r="S9">
        <v>4</v>
      </c>
      <c r="T9">
        <v>2</v>
      </c>
      <c r="U9">
        <v>1</v>
      </c>
      <c r="V9">
        <v>121</v>
      </c>
    </row>
    <row r="10" spans="1:22" x14ac:dyDescent="0.25">
      <c r="A10">
        <v>2025</v>
      </c>
      <c r="B10">
        <v>1</v>
      </c>
      <c r="C10" t="s">
        <v>80</v>
      </c>
      <c r="D10" t="s">
        <v>22</v>
      </c>
      <c r="E10" t="s">
        <v>61</v>
      </c>
      <c r="F10" t="s">
        <v>41</v>
      </c>
      <c r="G10" t="s">
        <v>24</v>
      </c>
      <c r="H10" t="s">
        <v>26</v>
      </c>
      <c r="I10" t="s">
        <v>26</v>
      </c>
      <c r="J10" t="s">
        <v>25</v>
      </c>
      <c r="K10">
        <v>7</v>
      </c>
      <c r="L10">
        <v>0</v>
      </c>
      <c r="M10">
        <v>0</v>
      </c>
      <c r="N10">
        <v>0</v>
      </c>
      <c r="O10">
        <v>2</v>
      </c>
      <c r="P10">
        <v>2</v>
      </c>
      <c r="Q10">
        <v>2</v>
      </c>
      <c r="R10">
        <v>1</v>
      </c>
      <c r="S10">
        <v>0</v>
      </c>
      <c r="T10">
        <v>0</v>
      </c>
      <c r="U10">
        <v>0</v>
      </c>
      <c r="V10">
        <v>7</v>
      </c>
    </row>
    <row r="11" spans="1:22" x14ac:dyDescent="0.25">
      <c r="A11">
        <v>2025</v>
      </c>
      <c r="B11">
        <v>1</v>
      </c>
      <c r="C11" t="s">
        <v>80</v>
      </c>
      <c r="D11" t="s">
        <v>22</v>
      </c>
      <c r="E11" t="s">
        <v>169</v>
      </c>
      <c r="F11" t="s">
        <v>32</v>
      </c>
      <c r="G11" t="s">
        <v>24</v>
      </c>
      <c r="H11" t="s">
        <v>25</v>
      </c>
      <c r="I11" t="s">
        <v>25</v>
      </c>
      <c r="J11" t="s">
        <v>25</v>
      </c>
      <c r="K11">
        <v>61</v>
      </c>
      <c r="L11">
        <v>0</v>
      </c>
      <c r="M11">
        <v>0</v>
      </c>
      <c r="N11">
        <v>0</v>
      </c>
      <c r="O11">
        <v>2</v>
      </c>
      <c r="P11">
        <v>2</v>
      </c>
      <c r="Q11">
        <v>2</v>
      </c>
      <c r="R11">
        <v>2</v>
      </c>
      <c r="S11">
        <v>2</v>
      </c>
      <c r="T11">
        <v>2</v>
      </c>
      <c r="U11">
        <v>1</v>
      </c>
      <c r="V11">
        <v>54</v>
      </c>
    </row>
    <row r="12" spans="1:22" x14ac:dyDescent="0.25">
      <c r="A12">
        <v>2025</v>
      </c>
      <c r="B12">
        <v>1</v>
      </c>
      <c r="C12" t="s">
        <v>80</v>
      </c>
      <c r="D12" t="s">
        <v>22</v>
      </c>
      <c r="E12" t="s">
        <v>157</v>
      </c>
      <c r="F12" t="s">
        <v>31</v>
      </c>
      <c r="G12" t="s">
        <v>24</v>
      </c>
      <c r="H12" t="s">
        <v>25</v>
      </c>
      <c r="I12" t="s">
        <v>25</v>
      </c>
      <c r="J12" t="s">
        <v>25</v>
      </c>
      <c r="K12">
        <v>54</v>
      </c>
      <c r="L12">
        <v>0</v>
      </c>
      <c r="M12">
        <v>0</v>
      </c>
      <c r="N12">
        <v>0</v>
      </c>
      <c r="O12">
        <v>12</v>
      </c>
      <c r="P12">
        <v>10</v>
      </c>
      <c r="Q12">
        <v>8</v>
      </c>
      <c r="R12">
        <v>5</v>
      </c>
      <c r="S12">
        <v>5</v>
      </c>
      <c r="T12">
        <v>3</v>
      </c>
      <c r="U12">
        <v>0</v>
      </c>
      <c r="V12">
        <v>54</v>
      </c>
    </row>
    <row r="13" spans="1:22" x14ac:dyDescent="0.25">
      <c r="A13">
        <v>2025</v>
      </c>
      <c r="B13">
        <v>1</v>
      </c>
      <c r="C13" t="s">
        <v>80</v>
      </c>
      <c r="D13" t="s">
        <v>22</v>
      </c>
      <c r="E13" t="s">
        <v>157</v>
      </c>
      <c r="F13" t="s">
        <v>32</v>
      </c>
      <c r="G13" t="s">
        <v>24</v>
      </c>
      <c r="H13" t="s">
        <v>25</v>
      </c>
      <c r="I13" t="s">
        <v>25</v>
      </c>
      <c r="J13" t="s">
        <v>25</v>
      </c>
      <c r="K13">
        <v>54</v>
      </c>
      <c r="L13">
        <v>0</v>
      </c>
      <c r="M13">
        <v>4</v>
      </c>
      <c r="N13">
        <v>4</v>
      </c>
      <c r="O13">
        <v>10</v>
      </c>
      <c r="P13">
        <v>8</v>
      </c>
      <c r="Q13">
        <v>7</v>
      </c>
      <c r="R13">
        <v>6</v>
      </c>
      <c r="S13">
        <v>5</v>
      </c>
      <c r="T13">
        <v>3</v>
      </c>
      <c r="U13">
        <v>1</v>
      </c>
      <c r="V13">
        <v>51</v>
      </c>
    </row>
    <row r="14" spans="1:22" x14ac:dyDescent="0.25">
      <c r="A14">
        <v>2025</v>
      </c>
      <c r="B14">
        <v>1</v>
      </c>
      <c r="C14" t="s">
        <v>80</v>
      </c>
      <c r="D14" t="s">
        <v>22</v>
      </c>
      <c r="E14" t="s">
        <v>157</v>
      </c>
      <c r="F14" t="s">
        <v>34</v>
      </c>
      <c r="G14" t="s">
        <v>24</v>
      </c>
      <c r="H14" t="s">
        <v>25</v>
      </c>
      <c r="I14" t="s">
        <v>26</v>
      </c>
      <c r="J14" t="s">
        <v>26</v>
      </c>
      <c r="K14">
        <v>26</v>
      </c>
      <c r="L14">
        <v>0</v>
      </c>
      <c r="M14">
        <v>17</v>
      </c>
      <c r="N14">
        <v>17</v>
      </c>
      <c r="O14">
        <v>2</v>
      </c>
      <c r="P14">
        <v>2</v>
      </c>
      <c r="Q14">
        <v>2</v>
      </c>
      <c r="R14">
        <v>2</v>
      </c>
      <c r="S14">
        <v>2</v>
      </c>
      <c r="T14">
        <v>1</v>
      </c>
      <c r="U14">
        <v>1</v>
      </c>
      <c r="V14">
        <v>26</v>
      </c>
    </row>
    <row r="15" spans="1:22" x14ac:dyDescent="0.25">
      <c r="A15">
        <v>2025</v>
      </c>
      <c r="B15">
        <v>1</v>
      </c>
      <c r="C15" t="s">
        <v>80</v>
      </c>
      <c r="D15" t="s">
        <v>22</v>
      </c>
      <c r="E15" t="s">
        <v>69</v>
      </c>
      <c r="F15" t="s">
        <v>40</v>
      </c>
      <c r="G15" t="s">
        <v>24</v>
      </c>
      <c r="H15" t="s">
        <v>25</v>
      </c>
      <c r="I15" t="s">
        <v>26</v>
      </c>
      <c r="J15" t="s">
        <v>25</v>
      </c>
      <c r="K15">
        <v>50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50</v>
      </c>
    </row>
    <row r="16" spans="1:22" x14ac:dyDescent="0.25">
      <c r="A16">
        <v>2025</v>
      </c>
      <c r="B16">
        <v>1</v>
      </c>
      <c r="C16" t="s">
        <v>80</v>
      </c>
      <c r="D16" t="s">
        <v>22</v>
      </c>
      <c r="E16" t="s">
        <v>173</v>
      </c>
      <c r="F16" t="s">
        <v>32</v>
      </c>
      <c r="G16" t="s">
        <v>24</v>
      </c>
      <c r="H16" t="s">
        <v>25</v>
      </c>
      <c r="I16" t="s">
        <v>25</v>
      </c>
      <c r="J16" t="s">
        <v>25</v>
      </c>
      <c r="K16">
        <v>982</v>
      </c>
      <c r="L16">
        <v>5</v>
      </c>
      <c r="M16">
        <v>8</v>
      </c>
      <c r="N16">
        <v>13</v>
      </c>
      <c r="O16">
        <v>266</v>
      </c>
      <c r="P16">
        <v>198</v>
      </c>
      <c r="Q16">
        <v>164</v>
      </c>
      <c r="R16">
        <v>89</v>
      </c>
      <c r="S16">
        <v>50</v>
      </c>
      <c r="T16">
        <v>13</v>
      </c>
      <c r="U16">
        <v>3</v>
      </c>
      <c r="V16">
        <v>970</v>
      </c>
    </row>
    <row r="17" spans="1:22" x14ac:dyDescent="0.25">
      <c r="A17">
        <v>2025</v>
      </c>
      <c r="B17">
        <v>1</v>
      </c>
      <c r="C17" t="s">
        <v>80</v>
      </c>
      <c r="D17" t="s">
        <v>22</v>
      </c>
      <c r="E17" t="s">
        <v>80</v>
      </c>
      <c r="F17" t="s">
        <v>32</v>
      </c>
      <c r="G17" t="s">
        <v>28</v>
      </c>
      <c r="H17" t="s">
        <v>25</v>
      </c>
      <c r="I17" t="s">
        <v>25</v>
      </c>
      <c r="J17" t="s">
        <v>25</v>
      </c>
      <c r="K17">
        <v>92</v>
      </c>
      <c r="L17">
        <v>0</v>
      </c>
      <c r="M17">
        <v>0</v>
      </c>
      <c r="N17">
        <v>0</v>
      </c>
      <c r="O17">
        <v>43</v>
      </c>
      <c r="P17">
        <v>34</v>
      </c>
      <c r="Q17">
        <v>26</v>
      </c>
      <c r="R17">
        <v>15</v>
      </c>
      <c r="S17">
        <v>10</v>
      </c>
      <c r="T17">
        <v>5</v>
      </c>
      <c r="U17">
        <v>3</v>
      </c>
      <c r="V17">
        <v>92</v>
      </c>
    </row>
    <row r="18" spans="1:22" x14ac:dyDescent="0.25">
      <c r="A18">
        <v>2025</v>
      </c>
      <c r="B18">
        <v>1</v>
      </c>
      <c r="C18" t="s">
        <v>80</v>
      </c>
      <c r="D18" t="s">
        <v>22</v>
      </c>
      <c r="E18" t="s">
        <v>80</v>
      </c>
      <c r="F18" t="s">
        <v>34</v>
      </c>
      <c r="G18" t="s">
        <v>28</v>
      </c>
      <c r="H18" t="s">
        <v>25</v>
      </c>
      <c r="I18" t="s">
        <v>26</v>
      </c>
      <c r="J18" t="s">
        <v>26</v>
      </c>
      <c r="K18">
        <v>3</v>
      </c>
      <c r="L18">
        <v>0</v>
      </c>
      <c r="M18">
        <v>2</v>
      </c>
      <c r="N18">
        <v>2</v>
      </c>
      <c r="O18">
        <v>1</v>
      </c>
      <c r="P18">
        <v>1</v>
      </c>
      <c r="Q18">
        <v>1</v>
      </c>
      <c r="R18">
        <v>1</v>
      </c>
      <c r="S18">
        <v>1</v>
      </c>
      <c r="T18">
        <v>0</v>
      </c>
      <c r="U18">
        <v>0</v>
      </c>
      <c r="V18">
        <v>3</v>
      </c>
    </row>
    <row r="19" spans="1:22" x14ac:dyDescent="0.25">
      <c r="A19">
        <v>2025</v>
      </c>
      <c r="B19">
        <v>1</v>
      </c>
      <c r="C19" t="s">
        <v>80</v>
      </c>
      <c r="D19" t="s">
        <v>22</v>
      </c>
      <c r="E19" t="s">
        <v>80</v>
      </c>
      <c r="F19" t="s">
        <v>76</v>
      </c>
      <c r="G19" t="s">
        <v>28</v>
      </c>
      <c r="H19" t="s">
        <v>25</v>
      </c>
      <c r="I19" t="s">
        <v>26</v>
      </c>
      <c r="J19" t="s">
        <v>25</v>
      </c>
      <c r="K19">
        <v>5</v>
      </c>
      <c r="L19">
        <v>0</v>
      </c>
      <c r="M19">
        <v>1</v>
      </c>
      <c r="N19">
        <v>1</v>
      </c>
      <c r="O19">
        <v>2</v>
      </c>
      <c r="P19">
        <v>2</v>
      </c>
      <c r="Q19">
        <v>2</v>
      </c>
      <c r="R19">
        <v>2</v>
      </c>
      <c r="S19">
        <v>2</v>
      </c>
      <c r="T19">
        <v>1</v>
      </c>
      <c r="U19">
        <v>0</v>
      </c>
      <c r="V19">
        <v>4</v>
      </c>
    </row>
    <row r="20" spans="1:22" x14ac:dyDescent="0.25">
      <c r="A20">
        <v>2025</v>
      </c>
      <c r="B20">
        <v>1</v>
      </c>
      <c r="C20" t="s">
        <v>80</v>
      </c>
      <c r="D20" t="s">
        <v>22</v>
      </c>
      <c r="E20" t="s">
        <v>80</v>
      </c>
      <c r="F20" t="s">
        <v>81</v>
      </c>
      <c r="G20" t="s">
        <v>28</v>
      </c>
      <c r="H20" t="s">
        <v>25</v>
      </c>
      <c r="I20" t="s">
        <v>26</v>
      </c>
      <c r="J20" t="s">
        <v>25</v>
      </c>
      <c r="K20">
        <v>512</v>
      </c>
      <c r="L20">
        <v>0</v>
      </c>
      <c r="M20">
        <v>19</v>
      </c>
      <c r="N20">
        <v>19</v>
      </c>
      <c r="O20">
        <v>266</v>
      </c>
      <c r="P20">
        <v>214</v>
      </c>
      <c r="Q20">
        <v>182</v>
      </c>
      <c r="R20">
        <v>123</v>
      </c>
      <c r="S20">
        <v>100</v>
      </c>
      <c r="T20">
        <v>46</v>
      </c>
      <c r="U20">
        <v>17</v>
      </c>
      <c r="V20">
        <v>495</v>
      </c>
    </row>
    <row r="21" spans="1:22" x14ac:dyDescent="0.25">
      <c r="A21">
        <v>2025</v>
      </c>
      <c r="B21">
        <v>1</v>
      </c>
      <c r="C21" t="s">
        <v>80</v>
      </c>
      <c r="D21" t="s">
        <v>22</v>
      </c>
      <c r="E21" t="s">
        <v>80</v>
      </c>
      <c r="F21" t="s">
        <v>82</v>
      </c>
      <c r="G21" t="s">
        <v>28</v>
      </c>
      <c r="H21" t="s">
        <v>25</v>
      </c>
      <c r="I21" t="s">
        <v>26</v>
      </c>
      <c r="J21" t="s">
        <v>25</v>
      </c>
      <c r="K21">
        <v>296</v>
      </c>
      <c r="L21">
        <v>0</v>
      </c>
      <c r="M21">
        <v>9</v>
      </c>
      <c r="N21">
        <v>9</v>
      </c>
      <c r="O21">
        <v>142</v>
      </c>
      <c r="P21">
        <v>106</v>
      </c>
      <c r="Q21">
        <v>88</v>
      </c>
      <c r="R21">
        <v>64</v>
      </c>
      <c r="S21">
        <v>41</v>
      </c>
      <c r="T21">
        <v>17</v>
      </c>
      <c r="U21">
        <v>7</v>
      </c>
      <c r="V21">
        <v>288</v>
      </c>
    </row>
    <row r="22" spans="1:22" x14ac:dyDescent="0.25">
      <c r="A22">
        <v>2025</v>
      </c>
      <c r="B22">
        <v>1</v>
      </c>
      <c r="C22" t="s">
        <v>80</v>
      </c>
      <c r="D22" t="s">
        <v>22</v>
      </c>
      <c r="E22" t="s">
        <v>80</v>
      </c>
      <c r="F22" t="s">
        <v>83</v>
      </c>
      <c r="G22" t="s">
        <v>28</v>
      </c>
      <c r="H22" t="s">
        <v>26</v>
      </c>
      <c r="I22" t="s">
        <v>26</v>
      </c>
      <c r="J22" t="s">
        <v>25</v>
      </c>
      <c r="K22">
        <v>7091</v>
      </c>
      <c r="L22">
        <v>0</v>
      </c>
      <c r="M22">
        <v>176</v>
      </c>
      <c r="N22">
        <v>176</v>
      </c>
      <c r="O22">
        <v>2989</v>
      </c>
      <c r="P22">
        <v>2283</v>
      </c>
      <c r="Q22">
        <v>2057</v>
      </c>
      <c r="R22">
        <v>1453</v>
      </c>
      <c r="S22">
        <v>1071</v>
      </c>
      <c r="T22">
        <v>553</v>
      </c>
      <c r="U22">
        <v>171</v>
      </c>
      <c r="V22">
        <v>6934</v>
      </c>
    </row>
    <row r="23" spans="1:22" x14ac:dyDescent="0.25">
      <c r="A23">
        <v>2025</v>
      </c>
      <c r="B23">
        <v>1</v>
      </c>
      <c r="C23" t="s">
        <v>80</v>
      </c>
      <c r="D23" t="s">
        <v>22</v>
      </c>
      <c r="E23" t="s">
        <v>80</v>
      </c>
      <c r="F23" t="s">
        <v>83</v>
      </c>
      <c r="G23" t="s">
        <v>29</v>
      </c>
      <c r="H23" t="s">
        <v>26</v>
      </c>
      <c r="I23" t="s">
        <v>26</v>
      </c>
      <c r="J23" t="s">
        <v>25</v>
      </c>
      <c r="K23">
        <v>1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 x14ac:dyDescent="0.25">
      <c r="A24">
        <v>2025</v>
      </c>
      <c r="B24">
        <v>1</v>
      </c>
      <c r="C24" t="s">
        <v>80</v>
      </c>
      <c r="D24" t="s">
        <v>22</v>
      </c>
      <c r="E24" t="s">
        <v>80</v>
      </c>
      <c r="F24" t="s">
        <v>23</v>
      </c>
      <c r="G24" t="s">
        <v>28</v>
      </c>
      <c r="H24" t="s">
        <v>25</v>
      </c>
      <c r="I24" t="s">
        <v>26</v>
      </c>
      <c r="J24" t="s">
        <v>25</v>
      </c>
      <c r="K24">
        <v>3277</v>
      </c>
      <c r="L24">
        <v>0</v>
      </c>
      <c r="M24">
        <v>174</v>
      </c>
      <c r="N24">
        <v>174</v>
      </c>
      <c r="O24">
        <v>1283</v>
      </c>
      <c r="P24">
        <v>1018</v>
      </c>
      <c r="Q24">
        <v>910</v>
      </c>
      <c r="R24">
        <v>608</v>
      </c>
      <c r="S24">
        <v>437</v>
      </c>
      <c r="T24">
        <v>232</v>
      </c>
      <c r="U24">
        <v>89</v>
      </c>
      <c r="V24">
        <v>3129</v>
      </c>
    </row>
    <row r="25" spans="1:22" x14ac:dyDescent="0.25">
      <c r="A25">
        <v>2025</v>
      </c>
      <c r="B25">
        <v>1</v>
      </c>
      <c r="C25" t="s">
        <v>80</v>
      </c>
      <c r="D25" t="s">
        <v>22</v>
      </c>
      <c r="E25" t="s">
        <v>80</v>
      </c>
      <c r="F25" t="s">
        <v>84</v>
      </c>
      <c r="G25" t="s">
        <v>28</v>
      </c>
      <c r="H25" t="s">
        <v>25</v>
      </c>
      <c r="I25" t="s">
        <v>26</v>
      </c>
      <c r="J25" t="s">
        <v>26</v>
      </c>
      <c r="K25">
        <v>545</v>
      </c>
      <c r="L25">
        <v>0</v>
      </c>
      <c r="M25">
        <v>0</v>
      </c>
      <c r="N25">
        <v>0</v>
      </c>
      <c r="O25">
        <v>137</v>
      </c>
      <c r="P25">
        <v>114</v>
      </c>
      <c r="Q25">
        <v>101</v>
      </c>
      <c r="R25">
        <v>72</v>
      </c>
      <c r="S25">
        <v>59</v>
      </c>
      <c r="T25">
        <v>35</v>
      </c>
      <c r="U25">
        <v>19</v>
      </c>
      <c r="V25">
        <v>545</v>
      </c>
    </row>
    <row r="26" spans="1:22" x14ac:dyDescent="0.25">
      <c r="A26">
        <v>2025</v>
      </c>
      <c r="B26">
        <v>1</v>
      </c>
      <c r="C26" t="s">
        <v>80</v>
      </c>
      <c r="D26" t="s">
        <v>22</v>
      </c>
      <c r="E26" t="s">
        <v>80</v>
      </c>
      <c r="F26" t="s">
        <v>40</v>
      </c>
      <c r="G26" t="s">
        <v>28</v>
      </c>
      <c r="H26" t="s">
        <v>25</v>
      </c>
      <c r="I26" t="s">
        <v>26</v>
      </c>
      <c r="J26" t="s">
        <v>25</v>
      </c>
      <c r="K26">
        <v>5</v>
      </c>
      <c r="L26">
        <v>0</v>
      </c>
      <c r="M26">
        <v>4</v>
      </c>
      <c r="N26">
        <v>4</v>
      </c>
      <c r="O26">
        <v>1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4</v>
      </c>
    </row>
    <row r="27" spans="1:22" x14ac:dyDescent="0.25">
      <c r="A27">
        <v>2025</v>
      </c>
      <c r="B27">
        <v>1</v>
      </c>
      <c r="C27" t="s">
        <v>80</v>
      </c>
      <c r="D27" t="s">
        <v>22</v>
      </c>
      <c r="E27" t="s">
        <v>80</v>
      </c>
      <c r="F27" t="s">
        <v>85</v>
      </c>
      <c r="G27" t="s">
        <v>28</v>
      </c>
      <c r="H27" t="s">
        <v>25</v>
      </c>
      <c r="I27" t="s">
        <v>25</v>
      </c>
      <c r="J27" t="s">
        <v>25</v>
      </c>
      <c r="K27">
        <v>6721</v>
      </c>
      <c r="L27">
        <v>0</v>
      </c>
      <c r="M27">
        <v>327</v>
      </c>
      <c r="N27">
        <v>327</v>
      </c>
      <c r="O27">
        <v>468</v>
      </c>
      <c r="P27">
        <v>238</v>
      </c>
      <c r="Q27">
        <v>191</v>
      </c>
      <c r="R27">
        <v>100</v>
      </c>
      <c r="S27">
        <v>52</v>
      </c>
      <c r="T27">
        <v>12</v>
      </c>
      <c r="U27">
        <v>4</v>
      </c>
      <c r="V27">
        <v>6464</v>
      </c>
    </row>
    <row r="28" spans="1:22" x14ac:dyDescent="0.25">
      <c r="A28">
        <v>2025</v>
      </c>
      <c r="B28">
        <v>1</v>
      </c>
      <c r="C28" t="s">
        <v>80</v>
      </c>
      <c r="D28" t="s">
        <v>22</v>
      </c>
      <c r="E28" t="s">
        <v>80</v>
      </c>
      <c r="F28" t="s">
        <v>86</v>
      </c>
      <c r="G28" t="s">
        <v>28</v>
      </c>
      <c r="H28" t="s">
        <v>25</v>
      </c>
      <c r="I28" t="s">
        <v>25</v>
      </c>
      <c r="J28" t="s">
        <v>25</v>
      </c>
      <c r="K28">
        <v>3</v>
      </c>
      <c r="L28">
        <v>0</v>
      </c>
      <c r="M28">
        <v>1</v>
      </c>
      <c r="N28">
        <v>1</v>
      </c>
      <c r="O28">
        <v>1</v>
      </c>
      <c r="P28">
        <v>1</v>
      </c>
      <c r="Q28">
        <v>1</v>
      </c>
      <c r="R28">
        <v>0</v>
      </c>
      <c r="S28">
        <v>0</v>
      </c>
      <c r="T28">
        <v>0</v>
      </c>
      <c r="U28">
        <v>0</v>
      </c>
      <c r="V28">
        <v>2</v>
      </c>
    </row>
    <row r="29" spans="1:22" x14ac:dyDescent="0.25">
      <c r="A29">
        <v>2025</v>
      </c>
      <c r="B29">
        <v>1</v>
      </c>
      <c r="C29" t="s">
        <v>80</v>
      </c>
      <c r="D29" t="s">
        <v>22</v>
      </c>
      <c r="E29" t="s">
        <v>80</v>
      </c>
      <c r="F29" t="s">
        <v>86</v>
      </c>
      <c r="G29" t="s">
        <v>29</v>
      </c>
      <c r="H29" t="s">
        <v>25</v>
      </c>
      <c r="I29" t="s">
        <v>25</v>
      </c>
      <c r="J29" t="s">
        <v>25</v>
      </c>
      <c r="K29">
        <v>13</v>
      </c>
      <c r="L29">
        <v>3</v>
      </c>
      <c r="M29">
        <v>0</v>
      </c>
      <c r="N29">
        <v>3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 x14ac:dyDescent="0.25">
      <c r="A30">
        <v>2025</v>
      </c>
      <c r="B30">
        <v>1</v>
      </c>
      <c r="C30" t="s">
        <v>80</v>
      </c>
      <c r="D30" t="s">
        <v>22</v>
      </c>
      <c r="E30" t="s">
        <v>80</v>
      </c>
      <c r="F30" t="s">
        <v>87</v>
      </c>
      <c r="G30" t="s">
        <v>28</v>
      </c>
      <c r="H30" t="s">
        <v>25</v>
      </c>
      <c r="I30" t="s">
        <v>25</v>
      </c>
      <c r="J30" t="s">
        <v>25</v>
      </c>
      <c r="K30">
        <v>224570</v>
      </c>
      <c r="L30">
        <v>234</v>
      </c>
      <c r="M30">
        <v>7586</v>
      </c>
      <c r="N30">
        <v>7820</v>
      </c>
      <c r="O30">
        <v>42279</v>
      </c>
      <c r="P30">
        <v>23477</v>
      </c>
      <c r="Q30">
        <v>18494</v>
      </c>
      <c r="R30">
        <v>9176</v>
      </c>
      <c r="S30">
        <v>5310</v>
      </c>
      <c r="T30">
        <v>1693</v>
      </c>
      <c r="U30">
        <v>375</v>
      </c>
      <c r="V30">
        <v>217988</v>
      </c>
    </row>
    <row r="31" spans="1:22" x14ac:dyDescent="0.25">
      <c r="A31">
        <v>2025</v>
      </c>
      <c r="B31">
        <v>1</v>
      </c>
      <c r="C31" t="s">
        <v>80</v>
      </c>
      <c r="D31" t="s">
        <v>22</v>
      </c>
      <c r="E31" t="s">
        <v>80</v>
      </c>
      <c r="F31" t="s">
        <v>87</v>
      </c>
      <c r="G31" t="s">
        <v>24</v>
      </c>
      <c r="H31" t="s">
        <v>25</v>
      </c>
      <c r="I31" t="s">
        <v>25</v>
      </c>
      <c r="J31" t="s">
        <v>25</v>
      </c>
      <c r="K31">
        <v>5999</v>
      </c>
      <c r="L31">
        <v>260</v>
      </c>
      <c r="M31">
        <v>74</v>
      </c>
      <c r="N31">
        <v>334</v>
      </c>
      <c r="O31">
        <v>1247</v>
      </c>
      <c r="P31">
        <v>660</v>
      </c>
      <c r="Q31">
        <v>481</v>
      </c>
      <c r="R31">
        <v>193</v>
      </c>
      <c r="S31">
        <v>105</v>
      </c>
      <c r="T31">
        <v>18</v>
      </c>
      <c r="U31">
        <v>2</v>
      </c>
      <c r="V31">
        <v>5675</v>
      </c>
    </row>
    <row r="32" spans="1:22" x14ac:dyDescent="0.25">
      <c r="A32">
        <v>2025</v>
      </c>
      <c r="B32">
        <v>2</v>
      </c>
      <c r="C32" t="s">
        <v>80</v>
      </c>
      <c r="D32" t="s">
        <v>22</v>
      </c>
      <c r="E32" t="s">
        <v>153</v>
      </c>
      <c r="F32" t="s">
        <v>34</v>
      </c>
      <c r="G32" t="s">
        <v>24</v>
      </c>
      <c r="H32" t="s">
        <v>25</v>
      </c>
      <c r="I32" t="s">
        <v>26</v>
      </c>
      <c r="J32" t="s">
        <v>26</v>
      </c>
      <c r="K32">
        <v>2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2</v>
      </c>
    </row>
    <row r="33" spans="1:22" x14ac:dyDescent="0.25">
      <c r="A33">
        <v>2025</v>
      </c>
      <c r="B33">
        <v>2</v>
      </c>
      <c r="C33" t="s">
        <v>80</v>
      </c>
      <c r="D33" t="s">
        <v>22</v>
      </c>
      <c r="E33" t="s">
        <v>140</v>
      </c>
      <c r="F33" t="s">
        <v>34</v>
      </c>
      <c r="G33" t="s">
        <v>24</v>
      </c>
      <c r="H33" t="s">
        <v>25</v>
      </c>
      <c r="I33" t="s">
        <v>26</v>
      </c>
      <c r="J33" t="s">
        <v>26</v>
      </c>
      <c r="K33">
        <v>1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1</v>
      </c>
    </row>
    <row r="34" spans="1:22" x14ac:dyDescent="0.25">
      <c r="A34">
        <v>2025</v>
      </c>
      <c r="B34">
        <v>2</v>
      </c>
      <c r="C34" t="s">
        <v>80</v>
      </c>
      <c r="D34" t="s">
        <v>22</v>
      </c>
      <c r="E34" t="s">
        <v>144</v>
      </c>
      <c r="F34" t="s">
        <v>36</v>
      </c>
      <c r="G34" t="s">
        <v>24</v>
      </c>
      <c r="H34" t="s">
        <v>25</v>
      </c>
      <c r="I34" t="s">
        <v>26</v>
      </c>
      <c r="J34" t="s">
        <v>25</v>
      </c>
      <c r="K34">
        <v>19</v>
      </c>
      <c r="L34">
        <v>1</v>
      </c>
      <c r="M34">
        <v>0</v>
      </c>
      <c r="N34">
        <v>1</v>
      </c>
      <c r="O34">
        <v>12</v>
      </c>
      <c r="P34">
        <v>12</v>
      </c>
      <c r="Q34">
        <v>12</v>
      </c>
      <c r="R34">
        <v>8</v>
      </c>
      <c r="S34">
        <v>7</v>
      </c>
      <c r="T34">
        <v>1</v>
      </c>
      <c r="U34">
        <v>0</v>
      </c>
      <c r="V34">
        <v>18</v>
      </c>
    </row>
    <row r="35" spans="1:22" x14ac:dyDescent="0.25">
      <c r="A35">
        <v>2025</v>
      </c>
      <c r="B35">
        <v>2</v>
      </c>
      <c r="C35" t="s">
        <v>80</v>
      </c>
      <c r="D35" t="s">
        <v>22</v>
      </c>
      <c r="E35" t="s">
        <v>147</v>
      </c>
      <c r="F35" t="s">
        <v>32</v>
      </c>
      <c r="G35" t="s">
        <v>24</v>
      </c>
      <c r="H35" t="s">
        <v>25</v>
      </c>
      <c r="I35" t="s">
        <v>25</v>
      </c>
      <c r="J35" t="s">
        <v>25</v>
      </c>
      <c r="K35">
        <v>259</v>
      </c>
      <c r="L35">
        <v>0</v>
      </c>
      <c r="M35">
        <v>2</v>
      </c>
      <c r="N35">
        <v>2</v>
      </c>
      <c r="O35">
        <v>136</v>
      </c>
      <c r="P35">
        <v>126</v>
      </c>
      <c r="Q35">
        <v>121</v>
      </c>
      <c r="R35">
        <v>103</v>
      </c>
      <c r="S35">
        <v>83</v>
      </c>
      <c r="T35">
        <v>38</v>
      </c>
      <c r="U35">
        <v>6</v>
      </c>
      <c r="V35">
        <v>257</v>
      </c>
    </row>
    <row r="36" spans="1:22" x14ac:dyDescent="0.25">
      <c r="A36">
        <v>2025</v>
      </c>
      <c r="B36">
        <v>2</v>
      </c>
      <c r="C36" t="s">
        <v>80</v>
      </c>
      <c r="D36" t="s">
        <v>22</v>
      </c>
      <c r="E36" t="s">
        <v>147</v>
      </c>
      <c r="F36" t="s">
        <v>36</v>
      </c>
      <c r="G36" t="s">
        <v>24</v>
      </c>
      <c r="H36" t="s">
        <v>25</v>
      </c>
      <c r="I36" t="s">
        <v>26</v>
      </c>
      <c r="J36" t="s">
        <v>25</v>
      </c>
      <c r="K36">
        <v>2</v>
      </c>
      <c r="L36">
        <v>0</v>
      </c>
      <c r="M36">
        <v>0</v>
      </c>
      <c r="N36">
        <v>0</v>
      </c>
      <c r="O36">
        <v>2</v>
      </c>
      <c r="P36">
        <v>2</v>
      </c>
      <c r="Q36">
        <v>2</v>
      </c>
      <c r="R36">
        <v>2</v>
      </c>
      <c r="S36">
        <v>2</v>
      </c>
      <c r="T36">
        <v>1</v>
      </c>
      <c r="U36">
        <v>1</v>
      </c>
      <c r="V36">
        <v>2</v>
      </c>
    </row>
    <row r="37" spans="1:22" x14ac:dyDescent="0.25">
      <c r="A37">
        <v>2025</v>
      </c>
      <c r="B37">
        <v>2</v>
      </c>
      <c r="C37" t="s">
        <v>80</v>
      </c>
      <c r="D37" t="s">
        <v>22</v>
      </c>
      <c r="E37" t="s">
        <v>149</v>
      </c>
      <c r="F37" t="s">
        <v>38</v>
      </c>
      <c r="G37" t="s">
        <v>24</v>
      </c>
      <c r="H37" t="s">
        <v>25</v>
      </c>
      <c r="I37" t="s">
        <v>26</v>
      </c>
      <c r="J37" t="s">
        <v>25</v>
      </c>
      <c r="K37">
        <v>4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4</v>
      </c>
    </row>
    <row r="38" spans="1:22" x14ac:dyDescent="0.25">
      <c r="A38">
        <v>2025</v>
      </c>
      <c r="B38">
        <v>2</v>
      </c>
      <c r="C38" t="s">
        <v>80</v>
      </c>
      <c r="D38" t="s">
        <v>22</v>
      </c>
      <c r="E38" t="s">
        <v>150</v>
      </c>
      <c r="F38" t="s">
        <v>32</v>
      </c>
      <c r="G38" t="s">
        <v>24</v>
      </c>
      <c r="H38" t="s">
        <v>25</v>
      </c>
      <c r="I38" t="s">
        <v>25</v>
      </c>
      <c r="J38" t="s">
        <v>25</v>
      </c>
      <c r="K38">
        <v>22</v>
      </c>
      <c r="L38">
        <v>0</v>
      </c>
      <c r="M38">
        <v>0</v>
      </c>
      <c r="N38">
        <v>0</v>
      </c>
      <c r="O38">
        <v>12</v>
      </c>
      <c r="P38">
        <v>9</v>
      </c>
      <c r="Q38">
        <v>5</v>
      </c>
      <c r="R38">
        <v>4</v>
      </c>
      <c r="S38">
        <v>4</v>
      </c>
      <c r="T38">
        <v>0</v>
      </c>
      <c r="U38">
        <v>0</v>
      </c>
      <c r="V38">
        <v>22</v>
      </c>
    </row>
    <row r="39" spans="1:22" x14ac:dyDescent="0.25">
      <c r="A39">
        <v>2025</v>
      </c>
      <c r="B39">
        <v>2</v>
      </c>
      <c r="C39" t="s">
        <v>80</v>
      </c>
      <c r="D39" t="s">
        <v>22</v>
      </c>
      <c r="E39" t="s">
        <v>61</v>
      </c>
      <c r="F39" t="s">
        <v>35</v>
      </c>
      <c r="G39" t="s">
        <v>28</v>
      </c>
      <c r="H39" t="s">
        <v>25</v>
      </c>
      <c r="I39" t="s">
        <v>26</v>
      </c>
      <c r="J39" t="s">
        <v>26</v>
      </c>
      <c r="K39">
        <v>7</v>
      </c>
      <c r="L39">
        <v>0</v>
      </c>
      <c r="M39">
        <v>2</v>
      </c>
      <c r="N39">
        <v>2</v>
      </c>
      <c r="O39">
        <v>3</v>
      </c>
      <c r="P39">
        <v>3</v>
      </c>
      <c r="Q39">
        <v>3</v>
      </c>
      <c r="R39">
        <v>2</v>
      </c>
      <c r="S39">
        <v>2</v>
      </c>
      <c r="T39">
        <v>1</v>
      </c>
      <c r="U39">
        <v>0</v>
      </c>
      <c r="V39">
        <v>6</v>
      </c>
    </row>
    <row r="40" spans="1:22" x14ac:dyDescent="0.25">
      <c r="A40">
        <v>2025</v>
      </c>
      <c r="B40">
        <v>2</v>
      </c>
      <c r="C40" t="s">
        <v>80</v>
      </c>
      <c r="D40" t="s">
        <v>22</v>
      </c>
      <c r="E40" t="s">
        <v>61</v>
      </c>
      <c r="F40" t="s">
        <v>35</v>
      </c>
      <c r="G40" t="s">
        <v>24</v>
      </c>
      <c r="H40" t="s">
        <v>25</v>
      </c>
      <c r="I40" t="s">
        <v>26</v>
      </c>
      <c r="J40" t="s">
        <v>26</v>
      </c>
      <c r="K40">
        <v>183</v>
      </c>
      <c r="L40">
        <v>1</v>
      </c>
      <c r="M40">
        <v>4</v>
      </c>
      <c r="N40">
        <v>5</v>
      </c>
      <c r="O40">
        <v>33</v>
      </c>
      <c r="P40">
        <v>28</v>
      </c>
      <c r="Q40">
        <v>28</v>
      </c>
      <c r="R40">
        <v>24</v>
      </c>
      <c r="S40">
        <v>22</v>
      </c>
      <c r="T40">
        <v>14</v>
      </c>
      <c r="U40">
        <v>6</v>
      </c>
      <c r="V40">
        <v>180</v>
      </c>
    </row>
    <row r="41" spans="1:22" x14ac:dyDescent="0.25">
      <c r="A41">
        <v>2025</v>
      </c>
      <c r="B41">
        <v>2</v>
      </c>
      <c r="C41" t="s">
        <v>80</v>
      </c>
      <c r="D41" t="s">
        <v>22</v>
      </c>
      <c r="E41" t="s">
        <v>61</v>
      </c>
      <c r="F41" t="s">
        <v>36</v>
      </c>
      <c r="G41" t="s">
        <v>24</v>
      </c>
      <c r="H41" t="s">
        <v>25</v>
      </c>
      <c r="I41" t="s">
        <v>26</v>
      </c>
      <c r="J41" t="s">
        <v>25</v>
      </c>
      <c r="K41">
        <v>112</v>
      </c>
      <c r="L41">
        <v>0</v>
      </c>
      <c r="M41">
        <v>0</v>
      </c>
      <c r="N41">
        <v>0</v>
      </c>
      <c r="O41">
        <v>9</v>
      </c>
      <c r="P41">
        <v>5</v>
      </c>
      <c r="Q41">
        <v>5</v>
      </c>
      <c r="R41">
        <v>5</v>
      </c>
      <c r="S41">
        <v>4</v>
      </c>
      <c r="T41">
        <v>2</v>
      </c>
      <c r="U41">
        <v>1</v>
      </c>
      <c r="V41">
        <v>112</v>
      </c>
    </row>
    <row r="42" spans="1:22" x14ac:dyDescent="0.25">
      <c r="A42">
        <v>2025</v>
      </c>
      <c r="B42">
        <v>2</v>
      </c>
      <c r="C42" t="s">
        <v>80</v>
      </c>
      <c r="D42" t="s">
        <v>22</v>
      </c>
      <c r="E42" t="s">
        <v>61</v>
      </c>
      <c r="F42" t="s">
        <v>41</v>
      </c>
      <c r="G42" t="s">
        <v>24</v>
      </c>
      <c r="H42" t="s">
        <v>26</v>
      </c>
      <c r="I42" t="s">
        <v>26</v>
      </c>
      <c r="J42" t="s">
        <v>25</v>
      </c>
      <c r="K42">
        <v>12</v>
      </c>
      <c r="L42">
        <v>0</v>
      </c>
      <c r="M42">
        <v>0</v>
      </c>
      <c r="N42">
        <v>0</v>
      </c>
      <c r="O42">
        <v>3</v>
      </c>
      <c r="P42">
        <v>2</v>
      </c>
      <c r="Q42">
        <v>2</v>
      </c>
      <c r="R42">
        <v>2</v>
      </c>
      <c r="S42">
        <v>1</v>
      </c>
      <c r="T42">
        <v>0</v>
      </c>
      <c r="U42">
        <v>0</v>
      </c>
      <c r="V42">
        <v>12</v>
      </c>
    </row>
    <row r="43" spans="1:22" x14ac:dyDescent="0.25">
      <c r="A43">
        <v>2025</v>
      </c>
      <c r="B43">
        <v>2</v>
      </c>
      <c r="C43" t="s">
        <v>80</v>
      </c>
      <c r="D43" t="s">
        <v>22</v>
      </c>
      <c r="E43" t="s">
        <v>169</v>
      </c>
      <c r="F43" t="s">
        <v>32</v>
      </c>
      <c r="G43" t="s">
        <v>24</v>
      </c>
      <c r="H43" t="s">
        <v>25</v>
      </c>
      <c r="I43" t="s">
        <v>25</v>
      </c>
      <c r="J43" t="s">
        <v>25</v>
      </c>
      <c r="K43">
        <v>56</v>
      </c>
      <c r="L43">
        <v>0</v>
      </c>
      <c r="M43">
        <v>0</v>
      </c>
      <c r="N43">
        <v>0</v>
      </c>
      <c r="O43">
        <v>1</v>
      </c>
      <c r="P43">
        <v>1</v>
      </c>
      <c r="Q43">
        <v>1</v>
      </c>
      <c r="R43">
        <v>0</v>
      </c>
      <c r="S43">
        <v>0</v>
      </c>
      <c r="T43">
        <v>0</v>
      </c>
      <c r="U43">
        <v>0</v>
      </c>
      <c r="V43">
        <v>56</v>
      </c>
    </row>
    <row r="44" spans="1:22" x14ac:dyDescent="0.25">
      <c r="A44">
        <v>2025</v>
      </c>
      <c r="B44">
        <v>2</v>
      </c>
      <c r="C44" t="s">
        <v>80</v>
      </c>
      <c r="D44" t="s">
        <v>22</v>
      </c>
      <c r="E44" t="s">
        <v>157</v>
      </c>
      <c r="F44" t="s">
        <v>31</v>
      </c>
      <c r="G44" t="s">
        <v>24</v>
      </c>
      <c r="H44" t="s">
        <v>25</v>
      </c>
      <c r="I44" t="s">
        <v>25</v>
      </c>
      <c r="J44" t="s">
        <v>25</v>
      </c>
      <c r="K44">
        <v>112</v>
      </c>
      <c r="L44">
        <v>0</v>
      </c>
      <c r="M44">
        <v>0</v>
      </c>
      <c r="N44">
        <v>0</v>
      </c>
      <c r="O44">
        <v>7</v>
      </c>
      <c r="P44">
        <v>6</v>
      </c>
      <c r="Q44">
        <v>5</v>
      </c>
      <c r="R44">
        <v>4</v>
      </c>
      <c r="S44">
        <v>3</v>
      </c>
      <c r="T44">
        <v>0</v>
      </c>
      <c r="U44">
        <v>0</v>
      </c>
      <c r="V44">
        <v>112</v>
      </c>
    </row>
    <row r="45" spans="1:22" x14ac:dyDescent="0.25">
      <c r="A45">
        <v>2025</v>
      </c>
      <c r="B45">
        <v>2</v>
      </c>
      <c r="C45" t="s">
        <v>80</v>
      </c>
      <c r="D45" t="s">
        <v>22</v>
      </c>
      <c r="E45" t="s">
        <v>157</v>
      </c>
      <c r="F45" t="s">
        <v>32</v>
      </c>
      <c r="G45" t="s">
        <v>24</v>
      </c>
      <c r="H45" t="s">
        <v>25</v>
      </c>
      <c r="I45" t="s">
        <v>25</v>
      </c>
      <c r="J45" t="s">
        <v>25</v>
      </c>
      <c r="K45">
        <v>44</v>
      </c>
      <c r="L45">
        <v>0</v>
      </c>
      <c r="M45">
        <v>5</v>
      </c>
      <c r="N45">
        <v>5</v>
      </c>
      <c r="O45">
        <v>8</v>
      </c>
      <c r="P45">
        <v>7</v>
      </c>
      <c r="Q45">
        <v>5</v>
      </c>
      <c r="R45">
        <v>3</v>
      </c>
      <c r="S45">
        <v>2</v>
      </c>
      <c r="T45">
        <v>1</v>
      </c>
      <c r="U45">
        <v>0</v>
      </c>
      <c r="V45">
        <v>41</v>
      </c>
    </row>
    <row r="46" spans="1:22" x14ac:dyDescent="0.25">
      <c r="A46">
        <v>2025</v>
      </c>
      <c r="B46">
        <v>2</v>
      </c>
      <c r="C46" t="s">
        <v>80</v>
      </c>
      <c r="D46" t="s">
        <v>22</v>
      </c>
      <c r="E46" t="s">
        <v>157</v>
      </c>
      <c r="F46" t="s">
        <v>34</v>
      </c>
      <c r="G46" t="s">
        <v>24</v>
      </c>
      <c r="H46" t="s">
        <v>25</v>
      </c>
      <c r="I46" t="s">
        <v>26</v>
      </c>
      <c r="J46" t="s">
        <v>26</v>
      </c>
      <c r="K46">
        <v>26</v>
      </c>
      <c r="L46">
        <v>0</v>
      </c>
      <c r="M46">
        <v>23</v>
      </c>
      <c r="N46">
        <v>23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26</v>
      </c>
    </row>
    <row r="47" spans="1:22" x14ac:dyDescent="0.25">
      <c r="A47">
        <v>2025</v>
      </c>
      <c r="B47">
        <v>2</v>
      </c>
      <c r="C47" t="s">
        <v>80</v>
      </c>
      <c r="D47" t="s">
        <v>22</v>
      </c>
      <c r="E47" t="s">
        <v>157</v>
      </c>
      <c r="F47" t="s">
        <v>23</v>
      </c>
      <c r="G47" t="s">
        <v>24</v>
      </c>
      <c r="H47" t="s">
        <v>25</v>
      </c>
      <c r="I47" t="s">
        <v>26</v>
      </c>
      <c r="J47" t="s">
        <v>25</v>
      </c>
      <c r="K47">
        <v>1</v>
      </c>
      <c r="L47">
        <v>0</v>
      </c>
      <c r="M47">
        <v>0</v>
      </c>
      <c r="N47">
        <v>0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</row>
    <row r="48" spans="1:22" x14ac:dyDescent="0.25">
      <c r="A48">
        <v>2025</v>
      </c>
      <c r="B48">
        <v>2</v>
      </c>
      <c r="C48" t="s">
        <v>80</v>
      </c>
      <c r="D48" t="s">
        <v>22</v>
      </c>
      <c r="E48" t="s">
        <v>69</v>
      </c>
      <c r="F48" t="s">
        <v>40</v>
      </c>
      <c r="G48" t="s">
        <v>24</v>
      </c>
      <c r="H48" t="s">
        <v>25</v>
      </c>
      <c r="I48" t="s">
        <v>26</v>
      </c>
      <c r="J48" t="s">
        <v>25</v>
      </c>
      <c r="K48">
        <v>48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48</v>
      </c>
    </row>
    <row r="49" spans="1:22" x14ac:dyDescent="0.25">
      <c r="A49">
        <v>2025</v>
      </c>
      <c r="B49">
        <v>2</v>
      </c>
      <c r="C49" t="s">
        <v>80</v>
      </c>
      <c r="D49" t="s">
        <v>22</v>
      </c>
      <c r="E49" t="s">
        <v>173</v>
      </c>
      <c r="F49" t="s">
        <v>32</v>
      </c>
      <c r="G49" t="s">
        <v>24</v>
      </c>
      <c r="H49" t="s">
        <v>25</v>
      </c>
      <c r="I49" t="s">
        <v>25</v>
      </c>
      <c r="J49" t="s">
        <v>25</v>
      </c>
      <c r="K49">
        <v>1013</v>
      </c>
      <c r="L49">
        <v>0</v>
      </c>
      <c r="M49">
        <v>0</v>
      </c>
      <c r="N49">
        <v>0</v>
      </c>
      <c r="O49">
        <v>239</v>
      </c>
      <c r="P49">
        <v>167</v>
      </c>
      <c r="Q49">
        <v>138</v>
      </c>
      <c r="R49">
        <v>72</v>
      </c>
      <c r="S49">
        <v>28</v>
      </c>
      <c r="T49">
        <v>9</v>
      </c>
      <c r="U49">
        <v>2</v>
      </c>
      <c r="V49">
        <v>1013</v>
      </c>
    </row>
    <row r="50" spans="1:22" x14ac:dyDescent="0.25">
      <c r="A50">
        <v>2025</v>
      </c>
      <c r="B50">
        <v>2</v>
      </c>
      <c r="C50" t="s">
        <v>80</v>
      </c>
      <c r="D50" t="s">
        <v>22</v>
      </c>
      <c r="E50" t="s">
        <v>80</v>
      </c>
      <c r="F50" t="s">
        <v>102</v>
      </c>
      <c r="G50" t="s">
        <v>28</v>
      </c>
      <c r="H50" t="s">
        <v>25</v>
      </c>
      <c r="I50" t="s">
        <v>25</v>
      </c>
      <c r="J50" t="s">
        <v>25</v>
      </c>
      <c r="K50">
        <v>1</v>
      </c>
      <c r="L50">
        <v>0</v>
      </c>
      <c r="M50">
        <v>1</v>
      </c>
      <c r="N50">
        <v>1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1</v>
      </c>
    </row>
    <row r="51" spans="1:22" x14ac:dyDescent="0.25">
      <c r="A51">
        <v>2025</v>
      </c>
      <c r="B51">
        <v>2</v>
      </c>
      <c r="C51" t="s">
        <v>80</v>
      </c>
      <c r="D51" t="s">
        <v>22</v>
      </c>
      <c r="E51" t="s">
        <v>80</v>
      </c>
      <c r="F51" t="s">
        <v>32</v>
      </c>
      <c r="G51" t="s">
        <v>28</v>
      </c>
      <c r="H51" t="s">
        <v>25</v>
      </c>
      <c r="I51" t="s">
        <v>25</v>
      </c>
      <c r="J51" t="s">
        <v>25</v>
      </c>
      <c r="K51">
        <v>23</v>
      </c>
      <c r="L51">
        <v>0</v>
      </c>
      <c r="M51">
        <v>0</v>
      </c>
      <c r="N51">
        <v>0</v>
      </c>
      <c r="O51">
        <v>11</v>
      </c>
      <c r="P51">
        <v>9</v>
      </c>
      <c r="Q51">
        <v>9</v>
      </c>
      <c r="R51">
        <v>6</v>
      </c>
      <c r="S51">
        <v>4</v>
      </c>
      <c r="T51">
        <v>3</v>
      </c>
      <c r="U51">
        <v>0</v>
      </c>
      <c r="V51">
        <v>23</v>
      </c>
    </row>
    <row r="52" spans="1:22" x14ac:dyDescent="0.25">
      <c r="A52">
        <v>2025</v>
      </c>
      <c r="B52">
        <v>2</v>
      </c>
      <c r="C52" t="s">
        <v>80</v>
      </c>
      <c r="D52" t="s">
        <v>22</v>
      </c>
      <c r="E52" t="s">
        <v>80</v>
      </c>
      <c r="F52" t="s">
        <v>76</v>
      </c>
      <c r="G52" t="s">
        <v>28</v>
      </c>
      <c r="H52" t="s">
        <v>25</v>
      </c>
      <c r="I52" t="s">
        <v>26</v>
      </c>
      <c r="J52" t="s">
        <v>25</v>
      </c>
      <c r="K52">
        <v>3</v>
      </c>
      <c r="L52">
        <v>0</v>
      </c>
      <c r="M52">
        <v>0</v>
      </c>
      <c r="N52">
        <v>0</v>
      </c>
      <c r="O52">
        <v>2</v>
      </c>
      <c r="P52">
        <v>2</v>
      </c>
      <c r="Q52">
        <v>1</v>
      </c>
      <c r="R52">
        <v>1</v>
      </c>
      <c r="S52">
        <v>1</v>
      </c>
      <c r="T52">
        <v>1</v>
      </c>
      <c r="U52">
        <v>0</v>
      </c>
      <c r="V52">
        <v>3</v>
      </c>
    </row>
    <row r="53" spans="1:22" x14ac:dyDescent="0.25">
      <c r="A53">
        <v>2025</v>
      </c>
      <c r="B53">
        <v>2</v>
      </c>
      <c r="C53" t="s">
        <v>80</v>
      </c>
      <c r="D53" t="s">
        <v>22</v>
      </c>
      <c r="E53" t="s">
        <v>80</v>
      </c>
      <c r="F53" t="s">
        <v>81</v>
      </c>
      <c r="G53" t="s">
        <v>28</v>
      </c>
      <c r="H53" t="s">
        <v>25</v>
      </c>
      <c r="I53" t="s">
        <v>26</v>
      </c>
      <c r="J53" t="s">
        <v>25</v>
      </c>
      <c r="K53">
        <v>463</v>
      </c>
      <c r="L53">
        <v>0</v>
      </c>
      <c r="M53">
        <v>1</v>
      </c>
      <c r="N53">
        <v>1</v>
      </c>
      <c r="O53">
        <v>262</v>
      </c>
      <c r="P53">
        <v>214</v>
      </c>
      <c r="Q53">
        <v>194</v>
      </c>
      <c r="R53">
        <v>131</v>
      </c>
      <c r="S53">
        <v>82</v>
      </c>
      <c r="T53">
        <v>32</v>
      </c>
      <c r="U53">
        <v>8</v>
      </c>
      <c r="V53">
        <v>462</v>
      </c>
    </row>
    <row r="54" spans="1:22" x14ac:dyDescent="0.25">
      <c r="A54">
        <v>2025</v>
      </c>
      <c r="B54">
        <v>2</v>
      </c>
      <c r="C54" t="s">
        <v>80</v>
      </c>
      <c r="D54" t="s">
        <v>22</v>
      </c>
      <c r="E54" t="s">
        <v>80</v>
      </c>
      <c r="F54" t="s">
        <v>82</v>
      </c>
      <c r="G54" t="s">
        <v>28</v>
      </c>
      <c r="H54" t="s">
        <v>25</v>
      </c>
      <c r="I54" t="s">
        <v>26</v>
      </c>
      <c r="J54" t="s">
        <v>25</v>
      </c>
      <c r="K54">
        <v>275</v>
      </c>
      <c r="L54">
        <v>0</v>
      </c>
      <c r="M54">
        <v>0</v>
      </c>
      <c r="N54">
        <v>0</v>
      </c>
      <c r="O54">
        <v>149</v>
      </c>
      <c r="P54">
        <v>114</v>
      </c>
      <c r="Q54">
        <v>106</v>
      </c>
      <c r="R54">
        <v>63</v>
      </c>
      <c r="S54">
        <v>39</v>
      </c>
      <c r="T54">
        <v>19</v>
      </c>
      <c r="U54">
        <v>7</v>
      </c>
      <c r="V54">
        <v>275</v>
      </c>
    </row>
    <row r="55" spans="1:22" x14ac:dyDescent="0.25">
      <c r="A55">
        <v>2025</v>
      </c>
      <c r="B55">
        <v>2</v>
      </c>
      <c r="C55" t="s">
        <v>80</v>
      </c>
      <c r="D55" t="s">
        <v>22</v>
      </c>
      <c r="E55" t="s">
        <v>80</v>
      </c>
      <c r="F55" t="s">
        <v>83</v>
      </c>
      <c r="G55" t="s">
        <v>28</v>
      </c>
      <c r="H55" t="s">
        <v>26</v>
      </c>
      <c r="I55" t="s">
        <v>26</v>
      </c>
      <c r="J55" t="s">
        <v>25</v>
      </c>
      <c r="K55">
        <v>6458</v>
      </c>
      <c r="L55">
        <v>0</v>
      </c>
      <c r="M55">
        <v>6</v>
      </c>
      <c r="N55">
        <v>6</v>
      </c>
      <c r="O55">
        <v>2841</v>
      </c>
      <c r="P55">
        <v>2182</v>
      </c>
      <c r="Q55">
        <v>1940</v>
      </c>
      <c r="R55">
        <v>1278</v>
      </c>
      <c r="S55">
        <v>886</v>
      </c>
      <c r="T55">
        <v>390</v>
      </c>
      <c r="U55">
        <v>117</v>
      </c>
      <c r="V55">
        <v>6456</v>
      </c>
    </row>
    <row r="56" spans="1:22" x14ac:dyDescent="0.25">
      <c r="A56">
        <v>2025</v>
      </c>
      <c r="B56">
        <v>2</v>
      </c>
      <c r="C56" t="s">
        <v>80</v>
      </c>
      <c r="D56" t="s">
        <v>22</v>
      </c>
      <c r="E56" t="s">
        <v>80</v>
      </c>
      <c r="F56" t="s">
        <v>23</v>
      </c>
      <c r="G56" t="s">
        <v>28</v>
      </c>
      <c r="H56" t="s">
        <v>25</v>
      </c>
      <c r="I56" t="s">
        <v>26</v>
      </c>
      <c r="J56" t="s">
        <v>25</v>
      </c>
      <c r="K56">
        <v>2806</v>
      </c>
      <c r="L56">
        <v>0</v>
      </c>
      <c r="M56">
        <v>63</v>
      </c>
      <c r="N56">
        <v>63</v>
      </c>
      <c r="O56">
        <v>1017</v>
      </c>
      <c r="P56">
        <v>817</v>
      </c>
      <c r="Q56">
        <v>733</v>
      </c>
      <c r="R56">
        <v>489</v>
      </c>
      <c r="S56">
        <v>326</v>
      </c>
      <c r="T56">
        <v>152</v>
      </c>
      <c r="U56">
        <v>48</v>
      </c>
      <c r="V56">
        <v>2757</v>
      </c>
    </row>
    <row r="57" spans="1:22" x14ac:dyDescent="0.25">
      <c r="A57">
        <v>2025</v>
      </c>
      <c r="B57">
        <v>2</v>
      </c>
      <c r="C57" t="s">
        <v>80</v>
      </c>
      <c r="D57" t="s">
        <v>22</v>
      </c>
      <c r="E57" t="s">
        <v>80</v>
      </c>
      <c r="F57" t="s">
        <v>84</v>
      </c>
      <c r="G57" t="s">
        <v>28</v>
      </c>
      <c r="H57" t="s">
        <v>25</v>
      </c>
      <c r="I57" t="s">
        <v>26</v>
      </c>
      <c r="J57" t="s">
        <v>26</v>
      </c>
      <c r="K57">
        <v>540</v>
      </c>
      <c r="L57">
        <v>0</v>
      </c>
      <c r="M57">
        <v>0</v>
      </c>
      <c r="N57">
        <v>0</v>
      </c>
      <c r="O57">
        <v>108</v>
      </c>
      <c r="P57">
        <v>86</v>
      </c>
      <c r="Q57">
        <v>73</v>
      </c>
      <c r="R57">
        <v>52</v>
      </c>
      <c r="S57">
        <v>38</v>
      </c>
      <c r="T57">
        <v>20</v>
      </c>
      <c r="U57">
        <v>6</v>
      </c>
      <c r="V57">
        <v>540</v>
      </c>
    </row>
    <row r="58" spans="1:22" x14ac:dyDescent="0.25">
      <c r="A58">
        <v>2025</v>
      </c>
      <c r="B58">
        <v>2</v>
      </c>
      <c r="C58" t="s">
        <v>80</v>
      </c>
      <c r="D58" t="s">
        <v>22</v>
      </c>
      <c r="E58" t="s">
        <v>80</v>
      </c>
      <c r="F58" t="s">
        <v>40</v>
      </c>
      <c r="G58" t="s">
        <v>28</v>
      </c>
      <c r="H58" t="s">
        <v>25</v>
      </c>
      <c r="I58" t="s">
        <v>26</v>
      </c>
      <c r="J58" t="s">
        <v>25</v>
      </c>
      <c r="K58">
        <v>5</v>
      </c>
      <c r="L58">
        <v>0</v>
      </c>
      <c r="M58">
        <v>1</v>
      </c>
      <c r="N58">
        <v>1</v>
      </c>
      <c r="O58">
        <v>2</v>
      </c>
      <c r="P58">
        <v>2</v>
      </c>
      <c r="Q58">
        <v>2</v>
      </c>
      <c r="R58">
        <v>2</v>
      </c>
      <c r="S58">
        <v>2</v>
      </c>
      <c r="T58">
        <v>1</v>
      </c>
      <c r="U58">
        <v>1</v>
      </c>
      <c r="V58">
        <v>5</v>
      </c>
    </row>
    <row r="59" spans="1:22" x14ac:dyDescent="0.25">
      <c r="A59">
        <v>2025</v>
      </c>
      <c r="B59">
        <v>2</v>
      </c>
      <c r="C59" t="s">
        <v>80</v>
      </c>
      <c r="D59" t="s">
        <v>22</v>
      </c>
      <c r="E59" t="s">
        <v>80</v>
      </c>
      <c r="F59" t="s">
        <v>85</v>
      </c>
      <c r="G59" t="s">
        <v>28</v>
      </c>
      <c r="H59" t="s">
        <v>25</v>
      </c>
      <c r="I59" t="s">
        <v>25</v>
      </c>
      <c r="J59" t="s">
        <v>25</v>
      </c>
      <c r="K59">
        <v>5989</v>
      </c>
      <c r="L59">
        <v>0</v>
      </c>
      <c r="M59">
        <v>154</v>
      </c>
      <c r="N59">
        <v>154</v>
      </c>
      <c r="O59">
        <v>395</v>
      </c>
      <c r="P59">
        <v>201</v>
      </c>
      <c r="Q59">
        <v>162</v>
      </c>
      <c r="R59">
        <v>89</v>
      </c>
      <c r="S59">
        <v>49</v>
      </c>
      <c r="T59">
        <v>17</v>
      </c>
      <c r="U59">
        <v>2</v>
      </c>
      <c r="V59">
        <v>5886</v>
      </c>
    </row>
    <row r="60" spans="1:22" x14ac:dyDescent="0.25">
      <c r="A60">
        <v>2025</v>
      </c>
      <c r="B60">
        <v>2</v>
      </c>
      <c r="C60" t="s">
        <v>80</v>
      </c>
      <c r="D60" t="s">
        <v>22</v>
      </c>
      <c r="E60" t="s">
        <v>80</v>
      </c>
      <c r="F60" t="s">
        <v>86</v>
      </c>
      <c r="G60" t="s">
        <v>28</v>
      </c>
      <c r="H60" t="s">
        <v>25</v>
      </c>
      <c r="I60" t="s">
        <v>25</v>
      </c>
      <c r="J60" t="s">
        <v>25</v>
      </c>
      <c r="K60">
        <v>12</v>
      </c>
      <c r="L60">
        <v>0</v>
      </c>
      <c r="M60">
        <v>0</v>
      </c>
      <c r="N60">
        <v>0</v>
      </c>
      <c r="O60">
        <v>8</v>
      </c>
      <c r="P60">
        <v>8</v>
      </c>
      <c r="Q60">
        <v>7</v>
      </c>
      <c r="R60">
        <v>6</v>
      </c>
      <c r="S60">
        <v>6</v>
      </c>
      <c r="T60">
        <v>4</v>
      </c>
      <c r="U60">
        <v>4</v>
      </c>
      <c r="V60">
        <v>12</v>
      </c>
    </row>
    <row r="61" spans="1:22" x14ac:dyDescent="0.25">
      <c r="A61">
        <v>2025</v>
      </c>
      <c r="B61">
        <v>2</v>
      </c>
      <c r="C61" t="s">
        <v>80</v>
      </c>
      <c r="D61" t="s">
        <v>22</v>
      </c>
      <c r="E61" t="s">
        <v>80</v>
      </c>
      <c r="F61" t="s">
        <v>86</v>
      </c>
      <c r="G61" t="s">
        <v>29</v>
      </c>
      <c r="H61" t="s">
        <v>25</v>
      </c>
      <c r="I61" t="s">
        <v>25</v>
      </c>
      <c r="J61" t="s">
        <v>25</v>
      </c>
      <c r="K61">
        <v>5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  <row r="62" spans="1:22" x14ac:dyDescent="0.25">
      <c r="A62">
        <v>2025</v>
      </c>
      <c r="B62">
        <v>2</v>
      </c>
      <c r="C62" t="s">
        <v>80</v>
      </c>
      <c r="D62" t="s">
        <v>22</v>
      </c>
      <c r="E62" t="s">
        <v>80</v>
      </c>
      <c r="F62" t="s">
        <v>87</v>
      </c>
      <c r="G62" t="s">
        <v>28</v>
      </c>
      <c r="H62" t="s">
        <v>25</v>
      </c>
      <c r="I62" t="s">
        <v>25</v>
      </c>
      <c r="J62" t="s">
        <v>25</v>
      </c>
      <c r="K62">
        <v>207603</v>
      </c>
      <c r="L62">
        <v>192</v>
      </c>
      <c r="M62">
        <v>4397</v>
      </c>
      <c r="N62">
        <v>4589</v>
      </c>
      <c r="O62">
        <v>37866</v>
      </c>
      <c r="P62">
        <v>20521</v>
      </c>
      <c r="Q62">
        <v>15956</v>
      </c>
      <c r="R62">
        <v>7745</v>
      </c>
      <c r="S62">
        <v>4293</v>
      </c>
      <c r="T62">
        <v>1292</v>
      </c>
      <c r="U62">
        <v>244</v>
      </c>
      <c r="V62">
        <v>203802</v>
      </c>
    </row>
    <row r="63" spans="1:22" x14ac:dyDescent="0.25">
      <c r="A63">
        <v>2025</v>
      </c>
      <c r="B63">
        <v>2</v>
      </c>
      <c r="C63" t="s">
        <v>80</v>
      </c>
      <c r="D63" t="s">
        <v>22</v>
      </c>
      <c r="E63" t="s">
        <v>80</v>
      </c>
      <c r="F63" t="s">
        <v>87</v>
      </c>
      <c r="G63" t="s">
        <v>24</v>
      </c>
      <c r="H63" t="s">
        <v>25</v>
      </c>
      <c r="I63" t="s">
        <v>25</v>
      </c>
      <c r="J63" t="s">
        <v>25</v>
      </c>
      <c r="K63">
        <v>5415</v>
      </c>
      <c r="L63">
        <v>146</v>
      </c>
      <c r="M63">
        <v>52</v>
      </c>
      <c r="N63">
        <v>198</v>
      </c>
      <c r="O63">
        <v>1095</v>
      </c>
      <c r="P63">
        <v>557</v>
      </c>
      <c r="Q63">
        <v>420</v>
      </c>
      <c r="R63">
        <v>136</v>
      </c>
      <c r="S63">
        <v>69</v>
      </c>
      <c r="T63">
        <v>19</v>
      </c>
      <c r="U63">
        <v>2</v>
      </c>
      <c r="V63">
        <v>5223</v>
      </c>
    </row>
    <row r="64" spans="1:22" x14ac:dyDescent="0.25">
      <c r="A64">
        <v>2025</v>
      </c>
      <c r="B64">
        <v>2</v>
      </c>
      <c r="C64" t="s">
        <v>80</v>
      </c>
      <c r="D64" t="s">
        <v>22</v>
      </c>
      <c r="E64" t="s">
        <v>80</v>
      </c>
      <c r="F64" t="s">
        <v>87</v>
      </c>
      <c r="G64" t="s">
        <v>29</v>
      </c>
      <c r="H64" t="s">
        <v>25</v>
      </c>
      <c r="I64" t="s">
        <v>25</v>
      </c>
      <c r="J64" t="s">
        <v>25</v>
      </c>
      <c r="K64">
        <v>1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</row>
    <row r="65" spans="1:22" x14ac:dyDescent="0.25">
      <c r="A65">
        <v>2025</v>
      </c>
      <c r="B65">
        <v>3</v>
      </c>
      <c r="C65" t="s">
        <v>80</v>
      </c>
      <c r="D65" t="s">
        <v>22</v>
      </c>
      <c r="E65" t="s">
        <v>144</v>
      </c>
      <c r="F65" t="s">
        <v>36</v>
      </c>
      <c r="G65" t="s">
        <v>24</v>
      </c>
      <c r="H65" t="s">
        <v>25</v>
      </c>
      <c r="I65" t="s">
        <v>26</v>
      </c>
      <c r="J65" t="s">
        <v>25</v>
      </c>
      <c r="K65">
        <v>14</v>
      </c>
      <c r="L65">
        <v>1</v>
      </c>
      <c r="M65">
        <v>0</v>
      </c>
      <c r="N65">
        <v>1</v>
      </c>
      <c r="O65">
        <v>3</v>
      </c>
      <c r="P65">
        <v>3</v>
      </c>
      <c r="Q65">
        <v>3</v>
      </c>
      <c r="R65">
        <v>3</v>
      </c>
      <c r="S65">
        <v>3</v>
      </c>
      <c r="T65">
        <v>2</v>
      </c>
      <c r="U65">
        <v>0</v>
      </c>
      <c r="V65">
        <v>13</v>
      </c>
    </row>
    <row r="66" spans="1:22" x14ac:dyDescent="0.25">
      <c r="A66">
        <v>2025</v>
      </c>
      <c r="B66">
        <v>3</v>
      </c>
      <c r="C66" t="s">
        <v>80</v>
      </c>
      <c r="D66" t="s">
        <v>22</v>
      </c>
      <c r="E66" t="s">
        <v>147</v>
      </c>
      <c r="F66" t="s">
        <v>32</v>
      </c>
      <c r="G66" t="s">
        <v>24</v>
      </c>
      <c r="H66" t="s">
        <v>25</v>
      </c>
      <c r="I66" t="s">
        <v>25</v>
      </c>
      <c r="J66" t="s">
        <v>25</v>
      </c>
      <c r="K66">
        <v>276</v>
      </c>
      <c r="L66">
        <v>0</v>
      </c>
      <c r="M66">
        <v>10</v>
      </c>
      <c r="N66">
        <v>10</v>
      </c>
      <c r="O66">
        <v>129</v>
      </c>
      <c r="P66">
        <v>111</v>
      </c>
      <c r="Q66">
        <v>104</v>
      </c>
      <c r="R66">
        <v>86</v>
      </c>
      <c r="S66">
        <v>61</v>
      </c>
      <c r="T66">
        <v>22</v>
      </c>
      <c r="U66">
        <v>8</v>
      </c>
      <c r="V66">
        <v>266</v>
      </c>
    </row>
    <row r="67" spans="1:22" x14ac:dyDescent="0.25">
      <c r="A67">
        <v>2025</v>
      </c>
      <c r="B67">
        <v>3</v>
      </c>
      <c r="C67" t="s">
        <v>80</v>
      </c>
      <c r="D67" t="s">
        <v>22</v>
      </c>
      <c r="E67" t="s">
        <v>147</v>
      </c>
      <c r="F67" t="s">
        <v>36</v>
      </c>
      <c r="G67" t="s">
        <v>24</v>
      </c>
      <c r="H67" t="s">
        <v>25</v>
      </c>
      <c r="I67" t="s">
        <v>26</v>
      </c>
      <c r="J67" t="s">
        <v>25</v>
      </c>
      <c r="K67">
        <v>9</v>
      </c>
      <c r="L67">
        <v>0</v>
      </c>
      <c r="M67">
        <v>0</v>
      </c>
      <c r="N67">
        <v>0</v>
      </c>
      <c r="O67">
        <v>7</v>
      </c>
      <c r="P67">
        <v>6</v>
      </c>
      <c r="Q67">
        <v>6</v>
      </c>
      <c r="R67">
        <v>5</v>
      </c>
      <c r="S67">
        <v>4</v>
      </c>
      <c r="T67">
        <v>2</v>
      </c>
      <c r="U67">
        <v>1</v>
      </c>
      <c r="V67">
        <v>9</v>
      </c>
    </row>
    <row r="68" spans="1:22" x14ac:dyDescent="0.25">
      <c r="A68">
        <v>2025</v>
      </c>
      <c r="B68">
        <v>3</v>
      </c>
      <c r="C68" t="s">
        <v>80</v>
      </c>
      <c r="D68" t="s">
        <v>22</v>
      </c>
      <c r="E68" t="s">
        <v>149</v>
      </c>
      <c r="F68" t="s">
        <v>38</v>
      </c>
      <c r="G68" t="s">
        <v>24</v>
      </c>
      <c r="H68" t="s">
        <v>25</v>
      </c>
      <c r="I68" t="s">
        <v>26</v>
      </c>
      <c r="J68" t="s">
        <v>25</v>
      </c>
      <c r="K68">
        <v>2</v>
      </c>
      <c r="L68">
        <v>0</v>
      </c>
      <c r="M68">
        <v>0</v>
      </c>
      <c r="N68">
        <v>0</v>
      </c>
      <c r="O68">
        <v>1</v>
      </c>
      <c r="P68">
        <v>1</v>
      </c>
      <c r="Q68">
        <v>1</v>
      </c>
      <c r="R68">
        <v>1</v>
      </c>
      <c r="S68">
        <v>0</v>
      </c>
      <c r="T68">
        <v>0</v>
      </c>
      <c r="U68">
        <v>0</v>
      </c>
      <c r="V68">
        <v>2</v>
      </c>
    </row>
    <row r="69" spans="1:22" x14ac:dyDescent="0.25">
      <c r="A69">
        <v>2025</v>
      </c>
      <c r="B69">
        <v>3</v>
      </c>
      <c r="C69" t="s">
        <v>80</v>
      </c>
      <c r="D69" t="s">
        <v>22</v>
      </c>
      <c r="E69" t="s">
        <v>150</v>
      </c>
      <c r="F69" t="s">
        <v>32</v>
      </c>
      <c r="G69" t="s">
        <v>24</v>
      </c>
      <c r="H69" t="s">
        <v>25</v>
      </c>
      <c r="I69" t="s">
        <v>25</v>
      </c>
      <c r="J69" t="s">
        <v>25</v>
      </c>
      <c r="K69">
        <v>31</v>
      </c>
      <c r="L69">
        <v>0</v>
      </c>
      <c r="M69">
        <v>0</v>
      </c>
      <c r="N69">
        <v>0</v>
      </c>
      <c r="O69">
        <v>15</v>
      </c>
      <c r="P69">
        <v>10</v>
      </c>
      <c r="Q69">
        <v>8</v>
      </c>
      <c r="R69">
        <v>3</v>
      </c>
      <c r="S69">
        <v>2</v>
      </c>
      <c r="T69">
        <v>0</v>
      </c>
      <c r="U69">
        <v>0</v>
      </c>
      <c r="V69">
        <v>31</v>
      </c>
    </row>
    <row r="70" spans="1:22" x14ac:dyDescent="0.25">
      <c r="A70">
        <v>2025</v>
      </c>
      <c r="B70">
        <v>3</v>
      </c>
      <c r="C70" t="s">
        <v>80</v>
      </c>
      <c r="D70" t="s">
        <v>22</v>
      </c>
      <c r="E70" t="s">
        <v>61</v>
      </c>
      <c r="F70" t="s">
        <v>35</v>
      </c>
      <c r="G70" t="s">
        <v>28</v>
      </c>
      <c r="H70" t="s">
        <v>25</v>
      </c>
      <c r="I70" t="s">
        <v>26</v>
      </c>
      <c r="J70" t="s">
        <v>26</v>
      </c>
      <c r="K70">
        <v>1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1</v>
      </c>
    </row>
    <row r="71" spans="1:22" x14ac:dyDescent="0.25">
      <c r="A71">
        <v>2025</v>
      </c>
      <c r="B71">
        <v>3</v>
      </c>
      <c r="C71" t="s">
        <v>80</v>
      </c>
      <c r="D71" t="s">
        <v>22</v>
      </c>
      <c r="E71" t="s">
        <v>61</v>
      </c>
      <c r="F71" t="s">
        <v>35</v>
      </c>
      <c r="G71" t="s">
        <v>24</v>
      </c>
      <c r="H71" t="s">
        <v>25</v>
      </c>
      <c r="I71" t="s">
        <v>26</v>
      </c>
      <c r="J71" t="s">
        <v>26</v>
      </c>
      <c r="K71">
        <v>217</v>
      </c>
      <c r="L71">
        <v>0</v>
      </c>
      <c r="M71">
        <v>1</v>
      </c>
      <c r="N71">
        <v>1</v>
      </c>
      <c r="O71">
        <v>35</v>
      </c>
      <c r="P71">
        <v>29</v>
      </c>
      <c r="Q71">
        <v>27</v>
      </c>
      <c r="R71">
        <v>22</v>
      </c>
      <c r="S71">
        <v>18</v>
      </c>
      <c r="T71">
        <v>12</v>
      </c>
      <c r="U71">
        <v>3</v>
      </c>
      <c r="V71">
        <v>217</v>
      </c>
    </row>
    <row r="72" spans="1:22" x14ac:dyDescent="0.25">
      <c r="A72">
        <v>2025</v>
      </c>
      <c r="B72">
        <v>3</v>
      </c>
      <c r="C72" t="s">
        <v>80</v>
      </c>
      <c r="D72" t="s">
        <v>22</v>
      </c>
      <c r="E72" t="s">
        <v>61</v>
      </c>
      <c r="F72" t="s">
        <v>36</v>
      </c>
      <c r="G72" t="s">
        <v>24</v>
      </c>
      <c r="H72" t="s">
        <v>25</v>
      </c>
      <c r="I72" t="s">
        <v>26</v>
      </c>
      <c r="J72" t="s">
        <v>25</v>
      </c>
      <c r="K72">
        <v>124</v>
      </c>
      <c r="L72">
        <v>0</v>
      </c>
      <c r="M72">
        <v>0</v>
      </c>
      <c r="N72">
        <v>0</v>
      </c>
      <c r="O72">
        <v>4</v>
      </c>
      <c r="P72">
        <v>4</v>
      </c>
      <c r="Q72">
        <v>4</v>
      </c>
      <c r="R72">
        <v>1</v>
      </c>
      <c r="S72">
        <v>0</v>
      </c>
      <c r="T72">
        <v>0</v>
      </c>
      <c r="U72">
        <v>0</v>
      </c>
      <c r="V72">
        <v>124</v>
      </c>
    </row>
    <row r="73" spans="1:22" x14ac:dyDescent="0.25">
      <c r="A73">
        <v>2025</v>
      </c>
      <c r="B73">
        <v>3</v>
      </c>
      <c r="C73" t="s">
        <v>80</v>
      </c>
      <c r="D73" t="s">
        <v>22</v>
      </c>
      <c r="E73" t="s">
        <v>61</v>
      </c>
      <c r="F73" t="s">
        <v>41</v>
      </c>
      <c r="G73" t="s">
        <v>24</v>
      </c>
      <c r="H73" t="s">
        <v>26</v>
      </c>
      <c r="I73" t="s">
        <v>26</v>
      </c>
      <c r="J73" t="s">
        <v>25</v>
      </c>
      <c r="K73">
        <v>2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2</v>
      </c>
    </row>
    <row r="74" spans="1:22" x14ac:dyDescent="0.25">
      <c r="A74">
        <v>2025</v>
      </c>
      <c r="B74">
        <v>3</v>
      </c>
      <c r="C74" t="s">
        <v>80</v>
      </c>
      <c r="D74" t="s">
        <v>22</v>
      </c>
      <c r="E74" t="s">
        <v>169</v>
      </c>
      <c r="F74" t="s">
        <v>32</v>
      </c>
      <c r="G74" t="s">
        <v>24</v>
      </c>
      <c r="H74" t="s">
        <v>25</v>
      </c>
      <c r="I74" t="s">
        <v>25</v>
      </c>
      <c r="J74" t="s">
        <v>25</v>
      </c>
      <c r="K74">
        <v>56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56</v>
      </c>
    </row>
    <row r="75" spans="1:22" x14ac:dyDescent="0.25">
      <c r="A75">
        <v>2025</v>
      </c>
      <c r="B75">
        <v>3</v>
      </c>
      <c r="C75" t="s">
        <v>80</v>
      </c>
      <c r="D75" t="s">
        <v>22</v>
      </c>
      <c r="E75" t="s">
        <v>157</v>
      </c>
      <c r="F75" t="s">
        <v>31</v>
      </c>
      <c r="G75" t="s">
        <v>24</v>
      </c>
      <c r="H75" t="s">
        <v>25</v>
      </c>
      <c r="I75" t="s">
        <v>25</v>
      </c>
      <c r="J75" t="s">
        <v>25</v>
      </c>
      <c r="K75">
        <v>124</v>
      </c>
      <c r="L75">
        <v>0</v>
      </c>
      <c r="M75">
        <v>0</v>
      </c>
      <c r="N75">
        <v>0</v>
      </c>
      <c r="O75">
        <v>22</v>
      </c>
      <c r="P75">
        <v>15</v>
      </c>
      <c r="Q75">
        <v>14</v>
      </c>
      <c r="R75">
        <v>5</v>
      </c>
      <c r="S75">
        <v>3</v>
      </c>
      <c r="T75">
        <v>0</v>
      </c>
      <c r="U75">
        <v>0</v>
      </c>
      <c r="V75">
        <v>124</v>
      </c>
    </row>
    <row r="76" spans="1:22" x14ac:dyDescent="0.25">
      <c r="A76">
        <v>2025</v>
      </c>
      <c r="B76">
        <v>3</v>
      </c>
      <c r="C76" t="s">
        <v>80</v>
      </c>
      <c r="D76" t="s">
        <v>22</v>
      </c>
      <c r="E76" t="s">
        <v>157</v>
      </c>
      <c r="F76" t="s">
        <v>32</v>
      </c>
      <c r="G76" t="s">
        <v>24</v>
      </c>
      <c r="H76" t="s">
        <v>25</v>
      </c>
      <c r="I76" t="s">
        <v>25</v>
      </c>
      <c r="J76" t="s">
        <v>25</v>
      </c>
      <c r="K76">
        <v>71</v>
      </c>
      <c r="L76">
        <v>0</v>
      </c>
      <c r="M76">
        <v>0</v>
      </c>
      <c r="N76">
        <v>0</v>
      </c>
      <c r="O76">
        <v>18</v>
      </c>
      <c r="P76">
        <v>13</v>
      </c>
      <c r="Q76">
        <v>12</v>
      </c>
      <c r="R76">
        <v>12</v>
      </c>
      <c r="S76">
        <v>11</v>
      </c>
      <c r="T76">
        <v>8</v>
      </c>
      <c r="U76">
        <v>2</v>
      </c>
      <c r="V76">
        <v>71</v>
      </c>
    </row>
    <row r="77" spans="1:22" x14ac:dyDescent="0.25">
      <c r="A77">
        <v>2025</v>
      </c>
      <c r="B77">
        <v>3</v>
      </c>
      <c r="C77" t="s">
        <v>80</v>
      </c>
      <c r="D77" t="s">
        <v>22</v>
      </c>
      <c r="E77" t="s">
        <v>157</v>
      </c>
      <c r="F77" t="s">
        <v>34</v>
      </c>
      <c r="G77" t="s">
        <v>24</v>
      </c>
      <c r="H77" t="s">
        <v>25</v>
      </c>
      <c r="I77" t="s">
        <v>26</v>
      </c>
      <c r="J77" t="s">
        <v>26</v>
      </c>
      <c r="K77">
        <v>29</v>
      </c>
      <c r="L77">
        <v>0</v>
      </c>
      <c r="M77">
        <v>24</v>
      </c>
      <c r="N77">
        <v>24</v>
      </c>
      <c r="O77">
        <v>1</v>
      </c>
      <c r="P77">
        <v>1</v>
      </c>
      <c r="Q77">
        <v>1</v>
      </c>
      <c r="R77">
        <v>1</v>
      </c>
      <c r="S77">
        <v>1</v>
      </c>
      <c r="T77">
        <v>0</v>
      </c>
      <c r="U77">
        <v>0</v>
      </c>
      <c r="V77">
        <v>29</v>
      </c>
    </row>
    <row r="78" spans="1:22" x14ac:dyDescent="0.25">
      <c r="A78">
        <v>2025</v>
      </c>
      <c r="B78">
        <v>3</v>
      </c>
      <c r="C78" t="s">
        <v>80</v>
      </c>
      <c r="D78" t="s">
        <v>22</v>
      </c>
      <c r="E78" t="s">
        <v>157</v>
      </c>
      <c r="F78" t="s">
        <v>23</v>
      </c>
      <c r="G78" t="s">
        <v>24</v>
      </c>
      <c r="H78" t="s">
        <v>25</v>
      </c>
      <c r="I78" t="s">
        <v>26</v>
      </c>
      <c r="J78" t="s">
        <v>25</v>
      </c>
      <c r="K78">
        <v>1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1</v>
      </c>
    </row>
    <row r="79" spans="1:22" x14ac:dyDescent="0.25">
      <c r="A79">
        <v>2025</v>
      </c>
      <c r="B79">
        <v>3</v>
      </c>
      <c r="C79" t="s">
        <v>80</v>
      </c>
      <c r="D79" t="s">
        <v>22</v>
      </c>
      <c r="E79" t="s">
        <v>157</v>
      </c>
      <c r="F79" t="s">
        <v>41</v>
      </c>
      <c r="G79" t="s">
        <v>24</v>
      </c>
      <c r="H79" t="s">
        <v>26</v>
      </c>
      <c r="I79" t="s">
        <v>26</v>
      </c>
      <c r="J79" t="s">
        <v>25</v>
      </c>
      <c r="K79">
        <v>1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1</v>
      </c>
    </row>
    <row r="80" spans="1:22" x14ac:dyDescent="0.25">
      <c r="A80">
        <v>2025</v>
      </c>
      <c r="B80">
        <v>3</v>
      </c>
      <c r="C80" t="s">
        <v>80</v>
      </c>
      <c r="D80" t="s">
        <v>22</v>
      </c>
      <c r="E80" t="s">
        <v>69</v>
      </c>
      <c r="F80" t="s">
        <v>40</v>
      </c>
      <c r="G80" t="s">
        <v>24</v>
      </c>
      <c r="H80" t="s">
        <v>25</v>
      </c>
      <c r="I80" t="s">
        <v>26</v>
      </c>
      <c r="J80" t="s">
        <v>25</v>
      </c>
      <c r="K80">
        <v>50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50</v>
      </c>
    </row>
    <row r="81" spans="1:22" x14ac:dyDescent="0.25">
      <c r="A81">
        <v>2025</v>
      </c>
      <c r="B81">
        <v>3</v>
      </c>
      <c r="C81" t="s">
        <v>80</v>
      </c>
      <c r="D81" t="s">
        <v>22</v>
      </c>
      <c r="E81" t="s">
        <v>173</v>
      </c>
      <c r="F81" t="s">
        <v>32</v>
      </c>
      <c r="G81" t="s">
        <v>24</v>
      </c>
      <c r="H81" t="s">
        <v>25</v>
      </c>
      <c r="I81" t="s">
        <v>25</v>
      </c>
      <c r="J81" t="s">
        <v>25</v>
      </c>
      <c r="K81">
        <v>1148</v>
      </c>
      <c r="L81">
        <v>2</v>
      </c>
      <c r="M81">
        <v>4</v>
      </c>
      <c r="N81">
        <v>6</v>
      </c>
      <c r="O81">
        <v>274</v>
      </c>
      <c r="P81">
        <v>188</v>
      </c>
      <c r="Q81">
        <v>153</v>
      </c>
      <c r="R81">
        <v>69</v>
      </c>
      <c r="S81">
        <v>43</v>
      </c>
      <c r="T81">
        <v>15</v>
      </c>
      <c r="U81">
        <v>3</v>
      </c>
      <c r="V81">
        <v>1143</v>
      </c>
    </row>
    <row r="82" spans="1:22" x14ac:dyDescent="0.25">
      <c r="A82">
        <v>2025</v>
      </c>
      <c r="B82">
        <v>3</v>
      </c>
      <c r="C82" t="s">
        <v>80</v>
      </c>
      <c r="D82" t="s">
        <v>22</v>
      </c>
      <c r="E82" t="s">
        <v>173</v>
      </c>
      <c r="F82" t="s">
        <v>23</v>
      </c>
      <c r="G82" t="s">
        <v>24</v>
      </c>
      <c r="H82" t="s">
        <v>25</v>
      </c>
      <c r="I82" t="s">
        <v>26</v>
      </c>
      <c r="J82" t="s">
        <v>25</v>
      </c>
      <c r="K82">
        <v>1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1</v>
      </c>
    </row>
    <row r="83" spans="1:22" x14ac:dyDescent="0.25">
      <c r="A83">
        <v>2025</v>
      </c>
      <c r="B83">
        <v>3</v>
      </c>
      <c r="C83" t="s">
        <v>80</v>
      </c>
      <c r="D83" t="s">
        <v>22</v>
      </c>
      <c r="E83" t="s">
        <v>80</v>
      </c>
      <c r="F83" t="s">
        <v>32</v>
      </c>
      <c r="G83" t="s">
        <v>28</v>
      </c>
      <c r="H83" t="s">
        <v>25</v>
      </c>
      <c r="I83" t="s">
        <v>25</v>
      </c>
      <c r="J83" t="s">
        <v>25</v>
      </c>
      <c r="K83">
        <v>5</v>
      </c>
      <c r="L83">
        <v>0</v>
      </c>
      <c r="M83">
        <v>2</v>
      </c>
      <c r="N83">
        <v>2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3</v>
      </c>
    </row>
    <row r="84" spans="1:22" x14ac:dyDescent="0.25">
      <c r="A84">
        <v>2025</v>
      </c>
      <c r="B84">
        <v>3</v>
      </c>
      <c r="C84" t="s">
        <v>80</v>
      </c>
      <c r="D84" t="s">
        <v>22</v>
      </c>
      <c r="E84" t="s">
        <v>80</v>
      </c>
      <c r="F84" t="s">
        <v>34</v>
      </c>
      <c r="G84" t="s">
        <v>28</v>
      </c>
      <c r="H84" t="s">
        <v>25</v>
      </c>
      <c r="I84" t="s">
        <v>26</v>
      </c>
      <c r="J84" t="s">
        <v>26</v>
      </c>
      <c r="K84">
        <v>1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1</v>
      </c>
    </row>
    <row r="85" spans="1:22" x14ac:dyDescent="0.25">
      <c r="A85">
        <v>2025</v>
      </c>
      <c r="B85">
        <v>3</v>
      </c>
      <c r="C85" t="s">
        <v>80</v>
      </c>
      <c r="D85" t="s">
        <v>22</v>
      </c>
      <c r="E85" t="s">
        <v>80</v>
      </c>
      <c r="F85" t="s">
        <v>76</v>
      </c>
      <c r="G85" t="s">
        <v>28</v>
      </c>
      <c r="H85" t="s">
        <v>25</v>
      </c>
      <c r="I85" t="s">
        <v>26</v>
      </c>
      <c r="J85" t="s">
        <v>25</v>
      </c>
      <c r="K85">
        <v>31</v>
      </c>
      <c r="L85">
        <v>0</v>
      </c>
      <c r="M85">
        <v>7</v>
      </c>
      <c r="N85">
        <v>7</v>
      </c>
      <c r="O85">
        <v>11</v>
      </c>
      <c r="P85">
        <v>10</v>
      </c>
      <c r="Q85">
        <v>8</v>
      </c>
      <c r="R85">
        <v>8</v>
      </c>
      <c r="S85">
        <v>5</v>
      </c>
      <c r="T85">
        <v>4</v>
      </c>
      <c r="U85">
        <v>3</v>
      </c>
      <c r="V85">
        <v>27</v>
      </c>
    </row>
    <row r="86" spans="1:22" x14ac:dyDescent="0.25">
      <c r="A86">
        <v>2025</v>
      </c>
      <c r="B86">
        <v>3</v>
      </c>
      <c r="C86" t="s">
        <v>80</v>
      </c>
      <c r="D86" t="s">
        <v>22</v>
      </c>
      <c r="E86" t="s">
        <v>80</v>
      </c>
      <c r="F86" t="s">
        <v>81</v>
      </c>
      <c r="G86" t="s">
        <v>28</v>
      </c>
      <c r="H86" t="s">
        <v>25</v>
      </c>
      <c r="I86" t="s">
        <v>26</v>
      </c>
      <c r="J86" t="s">
        <v>25</v>
      </c>
      <c r="K86">
        <v>501</v>
      </c>
      <c r="L86">
        <v>0</v>
      </c>
      <c r="M86">
        <v>7</v>
      </c>
      <c r="N86">
        <v>7</v>
      </c>
      <c r="O86">
        <v>254</v>
      </c>
      <c r="P86">
        <v>189</v>
      </c>
      <c r="Q86">
        <v>156</v>
      </c>
      <c r="R86">
        <v>103</v>
      </c>
      <c r="S86">
        <v>72</v>
      </c>
      <c r="T86">
        <v>30</v>
      </c>
      <c r="U86">
        <v>9</v>
      </c>
      <c r="V86">
        <v>494</v>
      </c>
    </row>
    <row r="87" spans="1:22" x14ac:dyDescent="0.25">
      <c r="A87">
        <v>2025</v>
      </c>
      <c r="B87">
        <v>3</v>
      </c>
      <c r="C87" t="s">
        <v>80</v>
      </c>
      <c r="D87" t="s">
        <v>22</v>
      </c>
      <c r="E87" t="s">
        <v>80</v>
      </c>
      <c r="F87" t="s">
        <v>82</v>
      </c>
      <c r="G87" t="s">
        <v>28</v>
      </c>
      <c r="H87" t="s">
        <v>25</v>
      </c>
      <c r="I87" t="s">
        <v>26</v>
      </c>
      <c r="J87" t="s">
        <v>25</v>
      </c>
      <c r="K87">
        <v>293</v>
      </c>
      <c r="L87">
        <v>0</v>
      </c>
      <c r="M87">
        <v>2</v>
      </c>
      <c r="N87">
        <v>2</v>
      </c>
      <c r="O87">
        <v>166</v>
      </c>
      <c r="P87">
        <v>145</v>
      </c>
      <c r="Q87">
        <v>126</v>
      </c>
      <c r="R87">
        <v>77</v>
      </c>
      <c r="S87">
        <v>58</v>
      </c>
      <c r="T87">
        <v>25</v>
      </c>
      <c r="U87">
        <v>7</v>
      </c>
      <c r="V87">
        <v>291</v>
      </c>
    </row>
    <row r="88" spans="1:22" x14ac:dyDescent="0.25">
      <c r="A88">
        <v>2025</v>
      </c>
      <c r="B88">
        <v>3</v>
      </c>
      <c r="C88" t="s">
        <v>80</v>
      </c>
      <c r="D88" t="s">
        <v>22</v>
      </c>
      <c r="E88" t="s">
        <v>80</v>
      </c>
      <c r="F88" t="s">
        <v>83</v>
      </c>
      <c r="G88" t="s">
        <v>28</v>
      </c>
      <c r="H88" t="s">
        <v>26</v>
      </c>
      <c r="I88" t="s">
        <v>26</v>
      </c>
      <c r="J88" t="s">
        <v>25</v>
      </c>
      <c r="K88">
        <v>7132</v>
      </c>
      <c r="L88">
        <v>0</v>
      </c>
      <c r="M88">
        <v>77</v>
      </c>
      <c r="N88">
        <v>77</v>
      </c>
      <c r="O88">
        <v>2848</v>
      </c>
      <c r="P88">
        <v>2174</v>
      </c>
      <c r="Q88">
        <v>1913</v>
      </c>
      <c r="R88">
        <v>1266</v>
      </c>
      <c r="S88">
        <v>860</v>
      </c>
      <c r="T88">
        <v>411</v>
      </c>
      <c r="U88">
        <v>141</v>
      </c>
      <c r="V88">
        <v>7065</v>
      </c>
    </row>
    <row r="89" spans="1:22" x14ac:dyDescent="0.25">
      <c r="A89">
        <v>2025</v>
      </c>
      <c r="B89">
        <v>3</v>
      </c>
      <c r="C89" t="s">
        <v>80</v>
      </c>
      <c r="D89" t="s">
        <v>22</v>
      </c>
      <c r="E89" t="s">
        <v>80</v>
      </c>
      <c r="F89" t="s">
        <v>23</v>
      </c>
      <c r="G89" t="s">
        <v>28</v>
      </c>
      <c r="H89" t="s">
        <v>25</v>
      </c>
      <c r="I89" t="s">
        <v>26</v>
      </c>
      <c r="J89" t="s">
        <v>25</v>
      </c>
      <c r="K89">
        <v>3099</v>
      </c>
      <c r="L89">
        <v>0</v>
      </c>
      <c r="M89">
        <v>41</v>
      </c>
      <c r="N89">
        <v>41</v>
      </c>
      <c r="O89">
        <v>1106</v>
      </c>
      <c r="P89">
        <v>892</v>
      </c>
      <c r="Q89">
        <v>815</v>
      </c>
      <c r="R89">
        <v>545</v>
      </c>
      <c r="S89">
        <v>372</v>
      </c>
      <c r="T89">
        <v>179</v>
      </c>
      <c r="U89">
        <v>60</v>
      </c>
      <c r="V89">
        <v>3071</v>
      </c>
    </row>
    <row r="90" spans="1:22" x14ac:dyDescent="0.25">
      <c r="A90">
        <v>2025</v>
      </c>
      <c r="B90">
        <v>3</v>
      </c>
      <c r="C90" t="s">
        <v>80</v>
      </c>
      <c r="D90" t="s">
        <v>22</v>
      </c>
      <c r="E90" t="s">
        <v>80</v>
      </c>
      <c r="F90" t="s">
        <v>84</v>
      </c>
      <c r="G90" t="s">
        <v>28</v>
      </c>
      <c r="H90" t="s">
        <v>25</v>
      </c>
      <c r="I90" t="s">
        <v>26</v>
      </c>
      <c r="J90" t="s">
        <v>26</v>
      </c>
      <c r="K90">
        <v>545</v>
      </c>
      <c r="L90">
        <v>0</v>
      </c>
      <c r="M90">
        <v>0</v>
      </c>
      <c r="N90">
        <v>0</v>
      </c>
      <c r="O90">
        <v>134</v>
      </c>
      <c r="P90">
        <v>108</v>
      </c>
      <c r="Q90">
        <v>94</v>
      </c>
      <c r="R90">
        <v>58</v>
      </c>
      <c r="S90">
        <v>37</v>
      </c>
      <c r="T90">
        <v>13</v>
      </c>
      <c r="U90">
        <v>6</v>
      </c>
      <c r="V90">
        <v>545</v>
      </c>
    </row>
    <row r="91" spans="1:22" x14ac:dyDescent="0.25">
      <c r="A91">
        <v>2025</v>
      </c>
      <c r="B91">
        <v>3</v>
      </c>
      <c r="C91" t="s">
        <v>80</v>
      </c>
      <c r="D91" t="s">
        <v>22</v>
      </c>
      <c r="E91" t="s">
        <v>80</v>
      </c>
      <c r="F91" t="s">
        <v>40</v>
      </c>
      <c r="G91" t="s">
        <v>28</v>
      </c>
      <c r="H91" t="s">
        <v>25</v>
      </c>
      <c r="I91" t="s">
        <v>26</v>
      </c>
      <c r="J91" t="s">
        <v>25</v>
      </c>
      <c r="K91">
        <v>3</v>
      </c>
      <c r="L91">
        <v>0</v>
      </c>
      <c r="M91">
        <v>0</v>
      </c>
      <c r="N91">
        <v>0</v>
      </c>
      <c r="O91">
        <v>2</v>
      </c>
      <c r="P91">
        <v>2</v>
      </c>
      <c r="Q91">
        <v>2</v>
      </c>
      <c r="R91">
        <v>2</v>
      </c>
      <c r="S91">
        <v>2</v>
      </c>
      <c r="T91">
        <v>0</v>
      </c>
      <c r="U91">
        <v>0</v>
      </c>
      <c r="V91">
        <v>3</v>
      </c>
    </row>
    <row r="92" spans="1:22" x14ac:dyDescent="0.25">
      <c r="A92">
        <v>2025</v>
      </c>
      <c r="B92">
        <v>3</v>
      </c>
      <c r="C92" t="s">
        <v>80</v>
      </c>
      <c r="D92" t="s">
        <v>22</v>
      </c>
      <c r="E92" t="s">
        <v>80</v>
      </c>
      <c r="F92" t="s">
        <v>85</v>
      </c>
      <c r="G92" t="s">
        <v>28</v>
      </c>
      <c r="H92" t="s">
        <v>25</v>
      </c>
      <c r="I92" t="s">
        <v>25</v>
      </c>
      <c r="J92" t="s">
        <v>25</v>
      </c>
      <c r="K92">
        <v>6715</v>
      </c>
      <c r="L92">
        <v>0</v>
      </c>
      <c r="M92">
        <v>421</v>
      </c>
      <c r="N92">
        <v>421</v>
      </c>
      <c r="O92">
        <v>478</v>
      </c>
      <c r="P92">
        <v>268</v>
      </c>
      <c r="Q92">
        <v>215</v>
      </c>
      <c r="R92">
        <v>131</v>
      </c>
      <c r="S92">
        <v>74</v>
      </c>
      <c r="T92">
        <v>26</v>
      </c>
      <c r="U92">
        <v>2</v>
      </c>
      <c r="V92">
        <v>6392</v>
      </c>
    </row>
    <row r="93" spans="1:22" x14ac:dyDescent="0.25">
      <c r="A93">
        <v>2025</v>
      </c>
      <c r="B93">
        <v>3</v>
      </c>
      <c r="C93" t="s">
        <v>80</v>
      </c>
      <c r="D93" t="s">
        <v>22</v>
      </c>
      <c r="E93" t="s">
        <v>80</v>
      </c>
      <c r="F93" t="s">
        <v>86</v>
      </c>
      <c r="G93" t="s">
        <v>28</v>
      </c>
      <c r="H93" t="s">
        <v>25</v>
      </c>
      <c r="I93" t="s">
        <v>25</v>
      </c>
      <c r="J93" t="s">
        <v>25</v>
      </c>
      <c r="K93">
        <v>30</v>
      </c>
      <c r="L93">
        <v>0</v>
      </c>
      <c r="M93">
        <v>3</v>
      </c>
      <c r="N93">
        <v>3</v>
      </c>
      <c r="O93">
        <v>9</v>
      </c>
      <c r="P93">
        <v>9</v>
      </c>
      <c r="Q93">
        <v>8</v>
      </c>
      <c r="R93">
        <v>6</v>
      </c>
      <c r="S93">
        <v>6</v>
      </c>
      <c r="T93">
        <v>4</v>
      </c>
      <c r="U93">
        <v>2</v>
      </c>
      <c r="V93">
        <v>27</v>
      </c>
    </row>
    <row r="94" spans="1:22" x14ac:dyDescent="0.25">
      <c r="A94">
        <v>2025</v>
      </c>
      <c r="B94">
        <v>3</v>
      </c>
      <c r="C94" t="s">
        <v>80</v>
      </c>
      <c r="D94" t="s">
        <v>22</v>
      </c>
      <c r="E94" t="s">
        <v>80</v>
      </c>
      <c r="F94" t="s">
        <v>86</v>
      </c>
      <c r="G94" t="s">
        <v>29</v>
      </c>
      <c r="H94" t="s">
        <v>25</v>
      </c>
      <c r="I94" t="s">
        <v>25</v>
      </c>
      <c r="J94" t="s">
        <v>25</v>
      </c>
      <c r="K94">
        <v>4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</row>
    <row r="95" spans="1:22" x14ac:dyDescent="0.25">
      <c r="A95">
        <v>2025</v>
      </c>
      <c r="B95">
        <v>3</v>
      </c>
      <c r="C95" t="s">
        <v>80</v>
      </c>
      <c r="D95" t="s">
        <v>22</v>
      </c>
      <c r="E95" t="s">
        <v>80</v>
      </c>
      <c r="F95" t="s">
        <v>87</v>
      </c>
      <c r="G95" t="s">
        <v>28</v>
      </c>
      <c r="H95" t="s">
        <v>25</v>
      </c>
      <c r="I95" t="s">
        <v>25</v>
      </c>
      <c r="J95" t="s">
        <v>25</v>
      </c>
      <c r="K95">
        <v>225137</v>
      </c>
      <c r="L95">
        <v>173</v>
      </c>
      <c r="M95">
        <v>7271</v>
      </c>
      <c r="N95">
        <v>7444</v>
      </c>
      <c r="O95">
        <v>40287</v>
      </c>
      <c r="P95">
        <v>21842</v>
      </c>
      <c r="Q95">
        <v>17003</v>
      </c>
      <c r="R95">
        <v>8429</v>
      </c>
      <c r="S95">
        <v>4724</v>
      </c>
      <c r="T95">
        <v>1379</v>
      </c>
      <c r="U95">
        <v>231</v>
      </c>
      <c r="V95">
        <v>219116</v>
      </c>
    </row>
    <row r="96" spans="1:22" x14ac:dyDescent="0.25">
      <c r="A96">
        <v>2025</v>
      </c>
      <c r="B96">
        <v>3</v>
      </c>
      <c r="C96" t="s">
        <v>80</v>
      </c>
      <c r="D96" t="s">
        <v>22</v>
      </c>
      <c r="E96" t="s">
        <v>80</v>
      </c>
      <c r="F96" t="s">
        <v>87</v>
      </c>
      <c r="G96" t="s">
        <v>24</v>
      </c>
      <c r="H96" t="s">
        <v>25</v>
      </c>
      <c r="I96" t="s">
        <v>25</v>
      </c>
      <c r="J96" t="s">
        <v>25</v>
      </c>
      <c r="K96">
        <v>4704</v>
      </c>
      <c r="L96">
        <v>117</v>
      </c>
      <c r="M96">
        <v>16</v>
      </c>
      <c r="N96">
        <v>133</v>
      </c>
      <c r="O96">
        <v>879</v>
      </c>
      <c r="P96">
        <v>428</v>
      </c>
      <c r="Q96">
        <v>317</v>
      </c>
      <c r="R96">
        <v>135</v>
      </c>
      <c r="S96">
        <v>86</v>
      </c>
      <c r="T96">
        <v>27</v>
      </c>
      <c r="U96">
        <v>2</v>
      </c>
      <c r="V96">
        <v>4574</v>
      </c>
    </row>
    <row r="97" spans="1:22" x14ac:dyDescent="0.25">
      <c r="A97">
        <v>2025</v>
      </c>
      <c r="B97">
        <v>4</v>
      </c>
      <c r="C97" t="s">
        <v>80</v>
      </c>
      <c r="D97" t="s">
        <v>22</v>
      </c>
      <c r="E97" t="s">
        <v>144</v>
      </c>
      <c r="F97" t="s">
        <v>36</v>
      </c>
      <c r="G97" t="s">
        <v>24</v>
      </c>
      <c r="H97" t="s">
        <v>25</v>
      </c>
      <c r="I97" t="s">
        <v>26</v>
      </c>
      <c r="J97" t="s">
        <v>25</v>
      </c>
      <c r="K97">
        <v>19</v>
      </c>
      <c r="L97">
        <v>0</v>
      </c>
      <c r="M97">
        <v>0</v>
      </c>
      <c r="N97">
        <v>0</v>
      </c>
      <c r="O97">
        <v>3</v>
      </c>
      <c r="P97">
        <v>3</v>
      </c>
      <c r="Q97">
        <v>3</v>
      </c>
      <c r="R97">
        <v>3</v>
      </c>
      <c r="S97">
        <v>3</v>
      </c>
      <c r="T97">
        <v>1</v>
      </c>
      <c r="U97">
        <v>0</v>
      </c>
      <c r="V97">
        <v>19</v>
      </c>
    </row>
    <row r="98" spans="1:22" x14ac:dyDescent="0.25">
      <c r="A98">
        <v>2025</v>
      </c>
      <c r="B98">
        <v>4</v>
      </c>
      <c r="C98" t="s">
        <v>80</v>
      </c>
      <c r="D98" t="s">
        <v>22</v>
      </c>
      <c r="E98" t="s">
        <v>154</v>
      </c>
      <c r="F98" t="s">
        <v>32</v>
      </c>
      <c r="G98" t="s">
        <v>24</v>
      </c>
      <c r="H98" t="s">
        <v>25</v>
      </c>
      <c r="I98" t="s">
        <v>25</v>
      </c>
      <c r="J98" t="s">
        <v>25</v>
      </c>
      <c r="K98">
        <v>12</v>
      </c>
      <c r="L98">
        <v>0</v>
      </c>
      <c r="M98">
        <v>0</v>
      </c>
      <c r="N98">
        <v>0</v>
      </c>
      <c r="O98">
        <v>6</v>
      </c>
      <c r="P98">
        <v>5</v>
      </c>
      <c r="Q98">
        <v>5</v>
      </c>
      <c r="R98">
        <v>5</v>
      </c>
      <c r="S98">
        <v>4</v>
      </c>
      <c r="T98">
        <v>2</v>
      </c>
      <c r="U98">
        <v>1</v>
      </c>
      <c r="V98">
        <v>12</v>
      </c>
    </row>
    <row r="99" spans="1:22" x14ac:dyDescent="0.25">
      <c r="A99">
        <v>2025</v>
      </c>
      <c r="B99">
        <v>4</v>
      </c>
      <c r="C99" t="s">
        <v>80</v>
      </c>
      <c r="D99" t="s">
        <v>22</v>
      </c>
      <c r="E99" t="s">
        <v>147</v>
      </c>
      <c r="F99" t="s">
        <v>32</v>
      </c>
      <c r="G99" t="s">
        <v>24</v>
      </c>
      <c r="H99" t="s">
        <v>25</v>
      </c>
      <c r="I99" t="s">
        <v>25</v>
      </c>
      <c r="J99" t="s">
        <v>25</v>
      </c>
      <c r="K99">
        <v>246</v>
      </c>
      <c r="L99">
        <v>0</v>
      </c>
      <c r="M99">
        <v>0</v>
      </c>
      <c r="N99">
        <v>0</v>
      </c>
      <c r="O99">
        <v>109</v>
      </c>
      <c r="P99">
        <v>94</v>
      </c>
      <c r="Q99">
        <v>90</v>
      </c>
      <c r="R99">
        <v>71</v>
      </c>
      <c r="S99">
        <v>50</v>
      </c>
      <c r="T99">
        <v>19</v>
      </c>
      <c r="U99">
        <v>7</v>
      </c>
      <c r="V99">
        <v>246</v>
      </c>
    </row>
    <row r="100" spans="1:22" x14ac:dyDescent="0.25">
      <c r="A100">
        <v>2025</v>
      </c>
      <c r="B100">
        <v>4</v>
      </c>
      <c r="C100" t="s">
        <v>80</v>
      </c>
      <c r="D100" t="s">
        <v>22</v>
      </c>
      <c r="E100" t="s">
        <v>147</v>
      </c>
      <c r="F100" t="s">
        <v>36</v>
      </c>
      <c r="G100" t="s">
        <v>24</v>
      </c>
      <c r="H100" t="s">
        <v>25</v>
      </c>
      <c r="I100" t="s">
        <v>26</v>
      </c>
      <c r="J100" t="s">
        <v>25</v>
      </c>
      <c r="K100">
        <v>14</v>
      </c>
      <c r="L100">
        <v>0</v>
      </c>
      <c r="M100">
        <v>0</v>
      </c>
      <c r="N100">
        <v>0</v>
      </c>
      <c r="O100">
        <v>6</v>
      </c>
      <c r="P100">
        <v>4</v>
      </c>
      <c r="Q100">
        <v>4</v>
      </c>
      <c r="R100">
        <v>4</v>
      </c>
      <c r="S100">
        <v>4</v>
      </c>
      <c r="T100">
        <v>4</v>
      </c>
      <c r="U100">
        <v>1</v>
      </c>
      <c r="V100">
        <v>14</v>
      </c>
    </row>
    <row r="101" spans="1:22" x14ac:dyDescent="0.25">
      <c r="A101">
        <v>2025</v>
      </c>
      <c r="B101">
        <v>4</v>
      </c>
      <c r="C101" t="s">
        <v>80</v>
      </c>
      <c r="D101" t="s">
        <v>22</v>
      </c>
      <c r="E101" t="s">
        <v>150</v>
      </c>
      <c r="F101" t="s">
        <v>32</v>
      </c>
      <c r="G101" t="s">
        <v>24</v>
      </c>
      <c r="H101" t="s">
        <v>25</v>
      </c>
      <c r="I101" t="s">
        <v>25</v>
      </c>
      <c r="J101" t="s">
        <v>25</v>
      </c>
      <c r="K101">
        <v>20</v>
      </c>
      <c r="L101">
        <v>0</v>
      </c>
      <c r="M101">
        <v>0</v>
      </c>
      <c r="N101">
        <v>0</v>
      </c>
      <c r="O101">
        <v>8</v>
      </c>
      <c r="P101">
        <v>6</v>
      </c>
      <c r="Q101">
        <v>3</v>
      </c>
      <c r="R101">
        <v>0</v>
      </c>
      <c r="S101">
        <v>0</v>
      </c>
      <c r="T101">
        <v>0</v>
      </c>
      <c r="U101">
        <v>0</v>
      </c>
      <c r="V101">
        <v>20</v>
      </c>
    </row>
    <row r="102" spans="1:22" x14ac:dyDescent="0.25">
      <c r="A102">
        <v>2025</v>
      </c>
      <c r="B102">
        <v>4</v>
      </c>
      <c r="C102" t="s">
        <v>80</v>
      </c>
      <c r="D102" t="s">
        <v>22</v>
      </c>
      <c r="E102" t="s">
        <v>61</v>
      </c>
      <c r="F102" t="s">
        <v>35</v>
      </c>
      <c r="G102" t="s">
        <v>28</v>
      </c>
      <c r="H102" t="s">
        <v>25</v>
      </c>
      <c r="I102" t="s">
        <v>26</v>
      </c>
      <c r="J102" t="s">
        <v>26</v>
      </c>
      <c r="K102">
        <v>13</v>
      </c>
      <c r="L102">
        <v>0</v>
      </c>
      <c r="M102">
        <v>0</v>
      </c>
      <c r="N102">
        <v>0</v>
      </c>
      <c r="O102">
        <v>7</v>
      </c>
      <c r="P102">
        <v>7</v>
      </c>
      <c r="Q102">
        <v>7</v>
      </c>
      <c r="R102">
        <v>5</v>
      </c>
      <c r="S102">
        <v>4</v>
      </c>
      <c r="T102">
        <v>2</v>
      </c>
      <c r="U102">
        <v>2</v>
      </c>
      <c r="V102">
        <v>13</v>
      </c>
    </row>
    <row r="103" spans="1:22" x14ac:dyDescent="0.25">
      <c r="A103">
        <v>2025</v>
      </c>
      <c r="B103">
        <v>4</v>
      </c>
      <c r="C103" t="s">
        <v>80</v>
      </c>
      <c r="D103" t="s">
        <v>22</v>
      </c>
      <c r="E103" t="s">
        <v>61</v>
      </c>
      <c r="F103" t="s">
        <v>35</v>
      </c>
      <c r="G103" t="s">
        <v>24</v>
      </c>
      <c r="H103" t="s">
        <v>25</v>
      </c>
      <c r="I103" t="s">
        <v>26</v>
      </c>
      <c r="J103" t="s">
        <v>26</v>
      </c>
      <c r="K103">
        <v>185</v>
      </c>
      <c r="L103">
        <v>0</v>
      </c>
      <c r="M103">
        <v>6</v>
      </c>
      <c r="N103">
        <v>6</v>
      </c>
      <c r="O103">
        <v>43</v>
      </c>
      <c r="P103">
        <v>39</v>
      </c>
      <c r="Q103">
        <v>35</v>
      </c>
      <c r="R103">
        <v>27</v>
      </c>
      <c r="S103">
        <v>22</v>
      </c>
      <c r="T103">
        <v>7</v>
      </c>
      <c r="U103">
        <v>3</v>
      </c>
      <c r="V103">
        <v>183</v>
      </c>
    </row>
    <row r="104" spans="1:22" x14ac:dyDescent="0.25">
      <c r="A104">
        <v>2025</v>
      </c>
      <c r="B104">
        <v>4</v>
      </c>
      <c r="C104" t="s">
        <v>80</v>
      </c>
      <c r="D104" t="s">
        <v>22</v>
      </c>
      <c r="E104" t="s">
        <v>61</v>
      </c>
      <c r="F104" t="s">
        <v>36</v>
      </c>
      <c r="G104" t="s">
        <v>28</v>
      </c>
      <c r="H104" t="s">
        <v>25</v>
      </c>
      <c r="I104" t="s">
        <v>26</v>
      </c>
      <c r="J104" t="s">
        <v>25</v>
      </c>
      <c r="K104">
        <v>1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1</v>
      </c>
    </row>
    <row r="105" spans="1:22" x14ac:dyDescent="0.25">
      <c r="A105">
        <v>2025</v>
      </c>
      <c r="B105">
        <v>4</v>
      </c>
      <c r="C105" t="s">
        <v>80</v>
      </c>
      <c r="D105" t="s">
        <v>22</v>
      </c>
      <c r="E105" t="s">
        <v>61</v>
      </c>
      <c r="F105" t="s">
        <v>36</v>
      </c>
      <c r="G105" t="s">
        <v>24</v>
      </c>
      <c r="H105" t="s">
        <v>25</v>
      </c>
      <c r="I105" t="s">
        <v>26</v>
      </c>
      <c r="J105" t="s">
        <v>25</v>
      </c>
      <c r="K105">
        <v>101</v>
      </c>
      <c r="L105">
        <v>0</v>
      </c>
      <c r="M105">
        <v>0</v>
      </c>
      <c r="N105">
        <v>0</v>
      </c>
      <c r="O105">
        <v>6</v>
      </c>
      <c r="P105">
        <v>6</v>
      </c>
      <c r="Q105">
        <v>6</v>
      </c>
      <c r="R105">
        <v>5</v>
      </c>
      <c r="S105">
        <v>2</v>
      </c>
      <c r="T105">
        <v>0</v>
      </c>
      <c r="U105">
        <v>0</v>
      </c>
      <c r="V105">
        <v>101</v>
      </c>
    </row>
    <row r="106" spans="1:22" x14ac:dyDescent="0.25">
      <c r="A106">
        <v>2025</v>
      </c>
      <c r="B106">
        <v>4</v>
      </c>
      <c r="C106" t="s">
        <v>80</v>
      </c>
      <c r="D106" t="s">
        <v>22</v>
      </c>
      <c r="E106" t="s">
        <v>61</v>
      </c>
      <c r="F106" t="s">
        <v>41</v>
      </c>
      <c r="G106" t="s">
        <v>24</v>
      </c>
      <c r="H106" t="s">
        <v>26</v>
      </c>
      <c r="I106" t="s">
        <v>26</v>
      </c>
      <c r="J106" t="s">
        <v>25</v>
      </c>
      <c r="K106">
        <v>3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3</v>
      </c>
    </row>
    <row r="107" spans="1:22" x14ac:dyDescent="0.25">
      <c r="A107">
        <v>2025</v>
      </c>
      <c r="B107">
        <v>4</v>
      </c>
      <c r="C107" t="s">
        <v>80</v>
      </c>
      <c r="D107" t="s">
        <v>22</v>
      </c>
      <c r="E107" t="s">
        <v>169</v>
      </c>
      <c r="F107" t="s">
        <v>32</v>
      </c>
      <c r="G107" t="s">
        <v>24</v>
      </c>
      <c r="H107" t="s">
        <v>25</v>
      </c>
      <c r="I107" t="s">
        <v>25</v>
      </c>
      <c r="J107" t="s">
        <v>25</v>
      </c>
      <c r="K107">
        <v>28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28</v>
      </c>
    </row>
    <row r="108" spans="1:22" x14ac:dyDescent="0.25">
      <c r="A108">
        <v>2025</v>
      </c>
      <c r="B108">
        <v>4</v>
      </c>
      <c r="C108" t="s">
        <v>80</v>
      </c>
      <c r="D108" t="s">
        <v>22</v>
      </c>
      <c r="E108" t="s">
        <v>157</v>
      </c>
      <c r="F108" t="s">
        <v>31</v>
      </c>
      <c r="G108" t="s">
        <v>24</v>
      </c>
      <c r="H108" t="s">
        <v>25</v>
      </c>
      <c r="I108" t="s">
        <v>25</v>
      </c>
      <c r="J108" t="s">
        <v>25</v>
      </c>
      <c r="K108">
        <v>112</v>
      </c>
      <c r="L108">
        <v>0</v>
      </c>
      <c r="M108">
        <v>0</v>
      </c>
      <c r="N108">
        <v>0</v>
      </c>
      <c r="O108">
        <v>24</v>
      </c>
      <c r="P108">
        <v>19</v>
      </c>
      <c r="Q108">
        <v>13</v>
      </c>
      <c r="R108">
        <v>8</v>
      </c>
      <c r="S108">
        <v>5</v>
      </c>
      <c r="T108">
        <v>0</v>
      </c>
      <c r="U108">
        <v>0</v>
      </c>
      <c r="V108">
        <v>112</v>
      </c>
    </row>
    <row r="109" spans="1:22" x14ac:dyDescent="0.25">
      <c r="A109">
        <v>2025</v>
      </c>
      <c r="B109">
        <v>4</v>
      </c>
      <c r="C109" t="s">
        <v>80</v>
      </c>
      <c r="D109" t="s">
        <v>22</v>
      </c>
      <c r="E109" t="s">
        <v>157</v>
      </c>
      <c r="F109" t="s">
        <v>32</v>
      </c>
      <c r="G109" t="s">
        <v>24</v>
      </c>
      <c r="H109" t="s">
        <v>25</v>
      </c>
      <c r="I109" t="s">
        <v>25</v>
      </c>
      <c r="J109" t="s">
        <v>25</v>
      </c>
      <c r="K109">
        <v>52</v>
      </c>
      <c r="L109">
        <v>0</v>
      </c>
      <c r="M109">
        <v>1</v>
      </c>
      <c r="N109">
        <v>1</v>
      </c>
      <c r="O109">
        <v>6</v>
      </c>
      <c r="P109">
        <v>6</v>
      </c>
      <c r="Q109">
        <v>6</v>
      </c>
      <c r="R109">
        <v>6</v>
      </c>
      <c r="S109">
        <v>6</v>
      </c>
      <c r="T109">
        <v>2</v>
      </c>
      <c r="U109">
        <v>1</v>
      </c>
      <c r="V109">
        <v>51</v>
      </c>
    </row>
    <row r="110" spans="1:22" x14ac:dyDescent="0.25">
      <c r="A110">
        <v>2025</v>
      </c>
      <c r="B110">
        <v>4</v>
      </c>
      <c r="C110" t="s">
        <v>80</v>
      </c>
      <c r="D110" t="s">
        <v>22</v>
      </c>
      <c r="E110" t="s">
        <v>157</v>
      </c>
      <c r="F110" t="s">
        <v>34</v>
      </c>
      <c r="G110" t="s">
        <v>24</v>
      </c>
      <c r="H110" t="s">
        <v>25</v>
      </c>
      <c r="I110" t="s">
        <v>26</v>
      </c>
      <c r="J110" t="s">
        <v>26</v>
      </c>
      <c r="K110">
        <v>27</v>
      </c>
      <c r="L110">
        <v>0</v>
      </c>
      <c r="M110">
        <v>22</v>
      </c>
      <c r="N110">
        <v>22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1</v>
      </c>
      <c r="V110">
        <v>27</v>
      </c>
    </row>
    <row r="111" spans="1:22" x14ac:dyDescent="0.25">
      <c r="A111">
        <v>2025</v>
      </c>
      <c r="B111">
        <v>4</v>
      </c>
      <c r="C111" t="s">
        <v>80</v>
      </c>
      <c r="D111" t="s">
        <v>22</v>
      </c>
      <c r="E111" t="s">
        <v>157</v>
      </c>
      <c r="F111" t="s">
        <v>23</v>
      </c>
      <c r="G111" t="s">
        <v>24</v>
      </c>
      <c r="H111" t="s">
        <v>25</v>
      </c>
      <c r="I111" t="s">
        <v>26</v>
      </c>
      <c r="J111" t="s">
        <v>25</v>
      </c>
      <c r="K111">
        <v>1</v>
      </c>
      <c r="L111">
        <v>0</v>
      </c>
      <c r="M111">
        <v>0</v>
      </c>
      <c r="N111">
        <v>0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1</v>
      </c>
      <c r="U111">
        <v>1</v>
      </c>
      <c r="V111">
        <v>1</v>
      </c>
    </row>
    <row r="112" spans="1:22" x14ac:dyDescent="0.25">
      <c r="A112">
        <v>2025</v>
      </c>
      <c r="B112">
        <v>4</v>
      </c>
      <c r="C112" t="s">
        <v>80</v>
      </c>
      <c r="D112" t="s">
        <v>22</v>
      </c>
      <c r="E112" t="s">
        <v>157</v>
      </c>
      <c r="F112" t="s">
        <v>41</v>
      </c>
      <c r="G112" t="s">
        <v>24</v>
      </c>
      <c r="H112" t="s">
        <v>26</v>
      </c>
      <c r="I112" t="s">
        <v>26</v>
      </c>
      <c r="J112" t="s">
        <v>25</v>
      </c>
      <c r="K112">
        <v>1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1</v>
      </c>
    </row>
    <row r="113" spans="1:22" x14ac:dyDescent="0.25">
      <c r="A113">
        <v>2025</v>
      </c>
      <c r="B113">
        <v>4</v>
      </c>
      <c r="C113" t="s">
        <v>80</v>
      </c>
      <c r="D113" t="s">
        <v>22</v>
      </c>
      <c r="E113" t="s">
        <v>69</v>
      </c>
      <c r="F113" t="s">
        <v>40</v>
      </c>
      <c r="G113" t="s">
        <v>24</v>
      </c>
      <c r="H113" t="s">
        <v>25</v>
      </c>
      <c r="I113" t="s">
        <v>26</v>
      </c>
      <c r="J113" t="s">
        <v>25</v>
      </c>
      <c r="K113">
        <v>39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39</v>
      </c>
    </row>
    <row r="114" spans="1:22" x14ac:dyDescent="0.25">
      <c r="A114">
        <v>2025</v>
      </c>
      <c r="B114">
        <v>4</v>
      </c>
      <c r="C114" t="s">
        <v>80</v>
      </c>
      <c r="D114" t="s">
        <v>22</v>
      </c>
      <c r="E114" t="s">
        <v>173</v>
      </c>
      <c r="F114" t="s">
        <v>32</v>
      </c>
      <c r="G114" t="s">
        <v>24</v>
      </c>
      <c r="H114" t="s">
        <v>25</v>
      </c>
      <c r="I114" t="s">
        <v>25</v>
      </c>
      <c r="J114" t="s">
        <v>25</v>
      </c>
      <c r="K114">
        <v>1054</v>
      </c>
      <c r="L114">
        <v>0</v>
      </c>
      <c r="M114">
        <v>10</v>
      </c>
      <c r="N114">
        <v>10</v>
      </c>
      <c r="O114">
        <v>279</v>
      </c>
      <c r="P114">
        <v>193</v>
      </c>
      <c r="Q114">
        <v>157</v>
      </c>
      <c r="R114">
        <v>90</v>
      </c>
      <c r="S114">
        <v>54</v>
      </c>
      <c r="T114">
        <v>23</v>
      </c>
      <c r="U114">
        <v>3</v>
      </c>
      <c r="V114">
        <v>1046</v>
      </c>
    </row>
    <row r="115" spans="1:22" x14ac:dyDescent="0.25">
      <c r="A115">
        <v>2025</v>
      </c>
      <c r="B115">
        <v>4</v>
      </c>
      <c r="C115" t="s">
        <v>80</v>
      </c>
      <c r="D115" t="s">
        <v>22</v>
      </c>
      <c r="E115" t="s">
        <v>174</v>
      </c>
      <c r="F115" t="s">
        <v>32</v>
      </c>
      <c r="G115" t="s">
        <v>24</v>
      </c>
      <c r="H115" t="s">
        <v>25</v>
      </c>
      <c r="I115" t="s">
        <v>25</v>
      </c>
      <c r="J115" t="s">
        <v>25</v>
      </c>
      <c r="K115">
        <v>1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1</v>
      </c>
    </row>
    <row r="116" spans="1:22" x14ac:dyDescent="0.25">
      <c r="A116">
        <v>2025</v>
      </c>
      <c r="B116">
        <v>4</v>
      </c>
      <c r="C116" t="s">
        <v>80</v>
      </c>
      <c r="D116" t="s">
        <v>22</v>
      </c>
      <c r="E116" t="s">
        <v>80</v>
      </c>
      <c r="F116" t="s">
        <v>32</v>
      </c>
      <c r="G116" t="s">
        <v>28</v>
      </c>
      <c r="H116" t="s">
        <v>25</v>
      </c>
      <c r="I116" t="s">
        <v>25</v>
      </c>
      <c r="J116" t="s">
        <v>25</v>
      </c>
      <c r="K116">
        <v>63</v>
      </c>
      <c r="L116">
        <v>0</v>
      </c>
      <c r="M116">
        <v>0</v>
      </c>
      <c r="N116">
        <v>0</v>
      </c>
      <c r="O116">
        <v>31</v>
      </c>
      <c r="P116">
        <v>26</v>
      </c>
      <c r="Q116">
        <v>22</v>
      </c>
      <c r="R116">
        <v>13</v>
      </c>
      <c r="S116">
        <v>9</v>
      </c>
      <c r="T116">
        <v>0</v>
      </c>
      <c r="U116">
        <v>0</v>
      </c>
      <c r="V116">
        <v>63</v>
      </c>
    </row>
    <row r="117" spans="1:22" x14ac:dyDescent="0.25">
      <c r="A117">
        <v>2025</v>
      </c>
      <c r="B117">
        <v>4</v>
      </c>
      <c r="C117" t="s">
        <v>80</v>
      </c>
      <c r="D117" t="s">
        <v>22</v>
      </c>
      <c r="E117" t="s">
        <v>80</v>
      </c>
      <c r="F117" t="s">
        <v>32</v>
      </c>
      <c r="G117" t="s">
        <v>29</v>
      </c>
      <c r="H117" t="s">
        <v>25</v>
      </c>
      <c r="I117" t="s">
        <v>25</v>
      </c>
      <c r="J117" t="s">
        <v>25</v>
      </c>
      <c r="K117">
        <v>1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</row>
    <row r="118" spans="1:22" x14ac:dyDescent="0.25">
      <c r="A118">
        <v>2025</v>
      </c>
      <c r="B118">
        <v>4</v>
      </c>
      <c r="C118" t="s">
        <v>80</v>
      </c>
      <c r="D118" t="s">
        <v>22</v>
      </c>
      <c r="E118" t="s">
        <v>80</v>
      </c>
      <c r="F118" t="s">
        <v>34</v>
      </c>
      <c r="G118" t="s">
        <v>28</v>
      </c>
      <c r="H118" t="s">
        <v>25</v>
      </c>
      <c r="I118" t="s">
        <v>26</v>
      </c>
      <c r="J118" t="s">
        <v>26</v>
      </c>
      <c r="K118">
        <v>2</v>
      </c>
      <c r="L118">
        <v>0</v>
      </c>
      <c r="M118">
        <v>0</v>
      </c>
      <c r="N118">
        <v>0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1</v>
      </c>
      <c r="U118">
        <v>0</v>
      </c>
      <c r="V118">
        <v>2</v>
      </c>
    </row>
    <row r="119" spans="1:22" x14ac:dyDescent="0.25">
      <c r="A119">
        <v>2025</v>
      </c>
      <c r="B119">
        <v>4</v>
      </c>
      <c r="C119" t="s">
        <v>80</v>
      </c>
      <c r="D119" t="s">
        <v>22</v>
      </c>
      <c r="E119" t="s">
        <v>80</v>
      </c>
      <c r="F119" t="s">
        <v>76</v>
      </c>
      <c r="G119" t="s">
        <v>28</v>
      </c>
      <c r="H119" t="s">
        <v>25</v>
      </c>
      <c r="I119" t="s">
        <v>26</v>
      </c>
      <c r="J119" t="s">
        <v>25</v>
      </c>
      <c r="K119">
        <v>26</v>
      </c>
      <c r="L119">
        <v>0</v>
      </c>
      <c r="M119">
        <v>2</v>
      </c>
      <c r="N119">
        <v>2</v>
      </c>
      <c r="O119">
        <v>19</v>
      </c>
      <c r="P119">
        <v>13</v>
      </c>
      <c r="Q119">
        <v>13</v>
      </c>
      <c r="R119">
        <v>11</v>
      </c>
      <c r="S119">
        <v>9</v>
      </c>
      <c r="T119">
        <v>5</v>
      </c>
      <c r="U119">
        <v>2</v>
      </c>
      <c r="V119">
        <v>24</v>
      </c>
    </row>
    <row r="120" spans="1:22" x14ac:dyDescent="0.25">
      <c r="A120">
        <v>2025</v>
      </c>
      <c r="B120">
        <v>4</v>
      </c>
      <c r="C120" t="s">
        <v>80</v>
      </c>
      <c r="D120" t="s">
        <v>22</v>
      </c>
      <c r="E120" t="s">
        <v>80</v>
      </c>
      <c r="F120" t="s">
        <v>81</v>
      </c>
      <c r="G120" t="s">
        <v>28</v>
      </c>
      <c r="H120" t="s">
        <v>25</v>
      </c>
      <c r="I120" t="s">
        <v>26</v>
      </c>
      <c r="J120" t="s">
        <v>25</v>
      </c>
      <c r="K120">
        <v>476</v>
      </c>
      <c r="L120">
        <v>0</v>
      </c>
      <c r="M120">
        <v>0</v>
      </c>
      <c r="N120">
        <v>0</v>
      </c>
      <c r="O120">
        <v>272</v>
      </c>
      <c r="P120">
        <v>222</v>
      </c>
      <c r="Q120">
        <v>199</v>
      </c>
      <c r="R120">
        <v>135</v>
      </c>
      <c r="S120">
        <v>97</v>
      </c>
      <c r="T120">
        <v>44</v>
      </c>
      <c r="U120">
        <v>13</v>
      </c>
      <c r="V120">
        <v>476</v>
      </c>
    </row>
    <row r="121" spans="1:22" x14ac:dyDescent="0.25">
      <c r="A121">
        <v>2025</v>
      </c>
      <c r="B121">
        <v>4</v>
      </c>
      <c r="C121" t="s">
        <v>80</v>
      </c>
      <c r="D121" t="s">
        <v>22</v>
      </c>
      <c r="E121" t="s">
        <v>80</v>
      </c>
      <c r="F121" t="s">
        <v>82</v>
      </c>
      <c r="G121" t="s">
        <v>28</v>
      </c>
      <c r="H121" t="s">
        <v>25</v>
      </c>
      <c r="I121" t="s">
        <v>26</v>
      </c>
      <c r="J121" t="s">
        <v>25</v>
      </c>
      <c r="K121">
        <v>283</v>
      </c>
      <c r="L121">
        <v>0</v>
      </c>
      <c r="M121">
        <v>2</v>
      </c>
      <c r="N121">
        <v>2</v>
      </c>
      <c r="O121">
        <v>177</v>
      </c>
      <c r="P121">
        <v>153</v>
      </c>
      <c r="Q121">
        <v>147</v>
      </c>
      <c r="R121">
        <v>113</v>
      </c>
      <c r="S121">
        <v>75</v>
      </c>
      <c r="T121">
        <v>35</v>
      </c>
      <c r="U121">
        <v>13</v>
      </c>
      <c r="V121">
        <v>283</v>
      </c>
    </row>
    <row r="122" spans="1:22" x14ac:dyDescent="0.25">
      <c r="A122">
        <v>2025</v>
      </c>
      <c r="B122">
        <v>4</v>
      </c>
      <c r="C122" t="s">
        <v>80</v>
      </c>
      <c r="D122" t="s">
        <v>22</v>
      </c>
      <c r="E122" t="s">
        <v>80</v>
      </c>
      <c r="F122" t="s">
        <v>83</v>
      </c>
      <c r="G122" t="s">
        <v>28</v>
      </c>
      <c r="H122" t="s">
        <v>26</v>
      </c>
      <c r="I122" t="s">
        <v>26</v>
      </c>
      <c r="J122" t="s">
        <v>25</v>
      </c>
      <c r="K122">
        <v>6594</v>
      </c>
      <c r="L122">
        <v>0</v>
      </c>
      <c r="M122">
        <v>12</v>
      </c>
      <c r="N122">
        <v>12</v>
      </c>
      <c r="O122">
        <v>2719</v>
      </c>
      <c r="P122">
        <v>2067</v>
      </c>
      <c r="Q122">
        <v>1863</v>
      </c>
      <c r="R122">
        <v>1289</v>
      </c>
      <c r="S122">
        <v>939</v>
      </c>
      <c r="T122">
        <v>472</v>
      </c>
      <c r="U122">
        <v>157</v>
      </c>
      <c r="V122">
        <v>6588</v>
      </c>
    </row>
    <row r="123" spans="1:22" x14ac:dyDescent="0.25">
      <c r="A123">
        <v>2025</v>
      </c>
      <c r="B123">
        <v>4</v>
      </c>
      <c r="C123" t="s">
        <v>80</v>
      </c>
      <c r="D123" t="s">
        <v>22</v>
      </c>
      <c r="E123" t="s">
        <v>80</v>
      </c>
      <c r="F123" t="s">
        <v>23</v>
      </c>
      <c r="G123" t="s">
        <v>28</v>
      </c>
      <c r="H123" t="s">
        <v>25</v>
      </c>
      <c r="I123" t="s">
        <v>26</v>
      </c>
      <c r="J123" t="s">
        <v>25</v>
      </c>
      <c r="K123">
        <v>2818</v>
      </c>
      <c r="L123">
        <v>0</v>
      </c>
      <c r="M123">
        <v>16</v>
      </c>
      <c r="N123">
        <v>16</v>
      </c>
      <c r="O123">
        <v>1005</v>
      </c>
      <c r="P123">
        <v>784</v>
      </c>
      <c r="Q123">
        <v>700</v>
      </c>
      <c r="R123">
        <v>492</v>
      </c>
      <c r="S123">
        <v>333</v>
      </c>
      <c r="T123">
        <v>154</v>
      </c>
      <c r="U123">
        <v>65</v>
      </c>
      <c r="V123">
        <v>2809</v>
      </c>
    </row>
    <row r="124" spans="1:22" x14ac:dyDescent="0.25">
      <c r="A124">
        <v>2025</v>
      </c>
      <c r="B124">
        <v>4</v>
      </c>
      <c r="C124" t="s">
        <v>80</v>
      </c>
      <c r="D124" t="s">
        <v>22</v>
      </c>
      <c r="E124" t="s">
        <v>80</v>
      </c>
      <c r="F124" t="s">
        <v>84</v>
      </c>
      <c r="G124" t="s">
        <v>28</v>
      </c>
      <c r="H124" t="s">
        <v>25</v>
      </c>
      <c r="I124" t="s">
        <v>26</v>
      </c>
      <c r="J124" t="s">
        <v>26</v>
      </c>
      <c r="K124">
        <v>529</v>
      </c>
      <c r="L124">
        <v>0</v>
      </c>
      <c r="M124">
        <v>0</v>
      </c>
      <c r="N124">
        <v>0</v>
      </c>
      <c r="O124">
        <v>151</v>
      </c>
      <c r="P124">
        <v>121</v>
      </c>
      <c r="Q124">
        <v>113</v>
      </c>
      <c r="R124">
        <v>90</v>
      </c>
      <c r="S124">
        <v>70</v>
      </c>
      <c r="T124">
        <v>43</v>
      </c>
      <c r="U124">
        <v>21</v>
      </c>
      <c r="V124">
        <v>529</v>
      </c>
    </row>
    <row r="125" spans="1:22" x14ac:dyDescent="0.25">
      <c r="A125">
        <v>2025</v>
      </c>
      <c r="B125">
        <v>4</v>
      </c>
      <c r="C125" t="s">
        <v>80</v>
      </c>
      <c r="D125" t="s">
        <v>22</v>
      </c>
      <c r="E125" t="s">
        <v>80</v>
      </c>
      <c r="F125" t="s">
        <v>40</v>
      </c>
      <c r="G125" t="s">
        <v>28</v>
      </c>
      <c r="H125" t="s">
        <v>25</v>
      </c>
      <c r="I125" t="s">
        <v>26</v>
      </c>
      <c r="J125" t="s">
        <v>25</v>
      </c>
      <c r="K125">
        <v>3</v>
      </c>
      <c r="L125">
        <v>0</v>
      </c>
      <c r="M125">
        <v>1</v>
      </c>
      <c r="N125">
        <v>1</v>
      </c>
      <c r="O125">
        <v>2</v>
      </c>
      <c r="P125">
        <v>2</v>
      </c>
      <c r="Q125">
        <v>2</v>
      </c>
      <c r="R125">
        <v>2</v>
      </c>
      <c r="S125">
        <v>1</v>
      </c>
      <c r="T125">
        <v>1</v>
      </c>
      <c r="U125">
        <v>1</v>
      </c>
      <c r="V125">
        <v>2</v>
      </c>
    </row>
    <row r="126" spans="1:22" x14ac:dyDescent="0.25">
      <c r="A126">
        <v>2025</v>
      </c>
      <c r="B126">
        <v>4</v>
      </c>
      <c r="C126" t="s">
        <v>80</v>
      </c>
      <c r="D126" t="s">
        <v>22</v>
      </c>
      <c r="E126" t="s">
        <v>80</v>
      </c>
      <c r="F126" t="s">
        <v>85</v>
      </c>
      <c r="G126" t="s">
        <v>28</v>
      </c>
      <c r="H126" t="s">
        <v>25</v>
      </c>
      <c r="I126" t="s">
        <v>25</v>
      </c>
      <c r="J126" t="s">
        <v>25</v>
      </c>
      <c r="K126">
        <v>6256</v>
      </c>
      <c r="L126">
        <v>0</v>
      </c>
      <c r="M126">
        <v>110</v>
      </c>
      <c r="N126">
        <v>110</v>
      </c>
      <c r="O126">
        <v>357</v>
      </c>
      <c r="P126">
        <v>159</v>
      </c>
      <c r="Q126">
        <v>125</v>
      </c>
      <c r="R126">
        <v>64</v>
      </c>
      <c r="S126">
        <v>36</v>
      </c>
      <c r="T126">
        <v>13</v>
      </c>
      <c r="U126">
        <v>3</v>
      </c>
      <c r="V126">
        <v>6183</v>
      </c>
    </row>
    <row r="127" spans="1:22" x14ac:dyDescent="0.25">
      <c r="A127">
        <v>2025</v>
      </c>
      <c r="B127">
        <v>4</v>
      </c>
      <c r="C127" t="s">
        <v>80</v>
      </c>
      <c r="D127" t="s">
        <v>22</v>
      </c>
      <c r="E127" t="s">
        <v>80</v>
      </c>
      <c r="F127" t="s">
        <v>86</v>
      </c>
      <c r="G127" t="s">
        <v>28</v>
      </c>
      <c r="H127" t="s">
        <v>25</v>
      </c>
      <c r="I127" t="s">
        <v>25</v>
      </c>
      <c r="J127" t="s">
        <v>25</v>
      </c>
      <c r="K127">
        <v>12</v>
      </c>
      <c r="L127">
        <v>0</v>
      </c>
      <c r="M127">
        <v>4</v>
      </c>
      <c r="N127">
        <v>4</v>
      </c>
      <c r="O127">
        <v>5</v>
      </c>
      <c r="P127">
        <v>5</v>
      </c>
      <c r="Q127">
        <v>5</v>
      </c>
      <c r="R127">
        <v>4</v>
      </c>
      <c r="S127">
        <v>3</v>
      </c>
      <c r="T127">
        <v>3</v>
      </c>
      <c r="U127">
        <v>2</v>
      </c>
      <c r="V127">
        <v>8</v>
      </c>
    </row>
    <row r="128" spans="1:22" x14ac:dyDescent="0.25">
      <c r="A128">
        <v>2025</v>
      </c>
      <c r="B128">
        <v>4</v>
      </c>
      <c r="C128" t="s">
        <v>80</v>
      </c>
      <c r="D128" t="s">
        <v>22</v>
      </c>
      <c r="E128" t="s">
        <v>80</v>
      </c>
      <c r="F128" t="s">
        <v>86</v>
      </c>
      <c r="G128" t="s">
        <v>29</v>
      </c>
      <c r="H128" t="s">
        <v>25</v>
      </c>
      <c r="I128" t="s">
        <v>25</v>
      </c>
      <c r="J128" t="s">
        <v>25</v>
      </c>
      <c r="K128">
        <v>2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</row>
    <row r="129" spans="1:22" x14ac:dyDescent="0.25">
      <c r="A129">
        <v>2025</v>
      </c>
      <c r="B129">
        <v>4</v>
      </c>
      <c r="C129" t="s">
        <v>80</v>
      </c>
      <c r="D129" t="s">
        <v>22</v>
      </c>
      <c r="E129" t="s">
        <v>80</v>
      </c>
      <c r="F129" t="s">
        <v>87</v>
      </c>
      <c r="G129" t="s">
        <v>28</v>
      </c>
      <c r="H129" t="s">
        <v>25</v>
      </c>
      <c r="I129" t="s">
        <v>25</v>
      </c>
      <c r="J129" t="s">
        <v>25</v>
      </c>
      <c r="K129">
        <v>216285</v>
      </c>
      <c r="L129">
        <v>43</v>
      </c>
      <c r="M129">
        <v>4007</v>
      </c>
      <c r="N129">
        <v>4050</v>
      </c>
      <c r="O129">
        <v>39741</v>
      </c>
      <c r="P129">
        <v>21597</v>
      </c>
      <c r="Q129">
        <v>16877</v>
      </c>
      <c r="R129">
        <v>8459</v>
      </c>
      <c r="S129">
        <v>4817</v>
      </c>
      <c r="T129">
        <v>1523</v>
      </c>
      <c r="U129">
        <v>280</v>
      </c>
      <c r="V129">
        <v>213216</v>
      </c>
    </row>
    <row r="130" spans="1:22" x14ac:dyDescent="0.25">
      <c r="A130">
        <v>2025</v>
      </c>
      <c r="B130">
        <v>4</v>
      </c>
      <c r="C130" t="s">
        <v>80</v>
      </c>
      <c r="D130" t="s">
        <v>22</v>
      </c>
      <c r="E130" t="s">
        <v>80</v>
      </c>
      <c r="F130" t="s">
        <v>87</v>
      </c>
      <c r="G130" t="s">
        <v>24</v>
      </c>
      <c r="H130" t="s">
        <v>25</v>
      </c>
      <c r="I130" t="s">
        <v>25</v>
      </c>
      <c r="J130" t="s">
        <v>25</v>
      </c>
      <c r="K130">
        <v>5196</v>
      </c>
      <c r="L130">
        <v>83</v>
      </c>
      <c r="M130">
        <v>32</v>
      </c>
      <c r="N130">
        <v>115</v>
      </c>
      <c r="O130">
        <v>820</v>
      </c>
      <c r="P130">
        <v>454</v>
      </c>
      <c r="Q130">
        <v>351</v>
      </c>
      <c r="R130">
        <v>151</v>
      </c>
      <c r="S130">
        <v>86</v>
      </c>
      <c r="T130">
        <v>23</v>
      </c>
      <c r="U130">
        <v>1</v>
      </c>
      <c r="V130">
        <v>5086</v>
      </c>
    </row>
    <row r="131" spans="1:22" x14ac:dyDescent="0.25">
      <c r="A131">
        <v>2025</v>
      </c>
      <c r="B131">
        <v>4</v>
      </c>
      <c r="C131" t="s">
        <v>80</v>
      </c>
      <c r="D131" t="s">
        <v>22</v>
      </c>
      <c r="E131" t="s">
        <v>80</v>
      </c>
      <c r="F131" t="s">
        <v>87</v>
      </c>
      <c r="G131" t="s">
        <v>29</v>
      </c>
      <c r="H131" t="s">
        <v>25</v>
      </c>
      <c r="I131" t="s">
        <v>25</v>
      </c>
      <c r="J131" t="s">
        <v>25</v>
      </c>
      <c r="K131">
        <v>1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</row>
    <row r="132" spans="1:22" x14ac:dyDescent="0.25">
      <c r="A132">
        <v>2025</v>
      </c>
      <c r="B132">
        <v>5</v>
      </c>
      <c r="C132" t="s">
        <v>80</v>
      </c>
      <c r="D132" t="s">
        <v>22</v>
      </c>
      <c r="E132" t="s">
        <v>153</v>
      </c>
      <c r="F132" t="s">
        <v>34</v>
      </c>
      <c r="G132" t="s">
        <v>24</v>
      </c>
      <c r="H132" t="s">
        <v>25</v>
      </c>
      <c r="I132" t="s">
        <v>26</v>
      </c>
      <c r="J132" t="s">
        <v>26</v>
      </c>
      <c r="K132">
        <v>1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1</v>
      </c>
    </row>
    <row r="133" spans="1:22" x14ac:dyDescent="0.25">
      <c r="A133">
        <v>2025</v>
      </c>
      <c r="B133">
        <v>5</v>
      </c>
      <c r="C133" t="s">
        <v>80</v>
      </c>
      <c r="D133" t="s">
        <v>22</v>
      </c>
      <c r="E133" t="s">
        <v>140</v>
      </c>
      <c r="F133" t="s">
        <v>34</v>
      </c>
      <c r="G133" t="s">
        <v>24</v>
      </c>
      <c r="H133" t="s">
        <v>25</v>
      </c>
      <c r="I133" t="s">
        <v>26</v>
      </c>
      <c r="J133" t="s">
        <v>26</v>
      </c>
      <c r="K133">
        <v>1</v>
      </c>
      <c r="L133">
        <v>0</v>
      </c>
      <c r="M133">
        <v>0</v>
      </c>
      <c r="N133">
        <v>0</v>
      </c>
      <c r="O133">
        <v>1</v>
      </c>
      <c r="P133">
        <v>1</v>
      </c>
      <c r="Q133">
        <v>1</v>
      </c>
      <c r="R133">
        <v>0</v>
      </c>
      <c r="S133">
        <v>0</v>
      </c>
      <c r="T133">
        <v>0</v>
      </c>
      <c r="U133">
        <v>0</v>
      </c>
      <c r="V133">
        <v>1</v>
      </c>
    </row>
    <row r="134" spans="1:22" x14ac:dyDescent="0.25">
      <c r="A134">
        <v>2025</v>
      </c>
      <c r="B134">
        <v>5</v>
      </c>
      <c r="C134" t="s">
        <v>80</v>
      </c>
      <c r="D134" t="s">
        <v>22</v>
      </c>
      <c r="E134" t="s">
        <v>144</v>
      </c>
      <c r="F134" t="s">
        <v>36</v>
      </c>
      <c r="G134" t="s">
        <v>24</v>
      </c>
      <c r="H134" t="s">
        <v>25</v>
      </c>
      <c r="I134" t="s">
        <v>26</v>
      </c>
      <c r="J134" t="s">
        <v>25</v>
      </c>
      <c r="K134">
        <v>3</v>
      </c>
      <c r="L134">
        <v>0</v>
      </c>
      <c r="M134">
        <v>0</v>
      </c>
      <c r="N134">
        <v>0</v>
      </c>
      <c r="O134">
        <v>1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3</v>
      </c>
    </row>
    <row r="135" spans="1:22" x14ac:dyDescent="0.25">
      <c r="A135">
        <v>2025</v>
      </c>
      <c r="B135">
        <v>5</v>
      </c>
      <c r="C135" t="s">
        <v>80</v>
      </c>
      <c r="D135" t="s">
        <v>22</v>
      </c>
      <c r="E135" t="s">
        <v>154</v>
      </c>
      <c r="F135" t="s">
        <v>32</v>
      </c>
      <c r="G135" t="s">
        <v>24</v>
      </c>
      <c r="H135" t="s">
        <v>25</v>
      </c>
      <c r="I135" t="s">
        <v>25</v>
      </c>
      <c r="J135" t="s">
        <v>25</v>
      </c>
      <c r="K135">
        <v>18</v>
      </c>
      <c r="L135">
        <v>0</v>
      </c>
      <c r="M135">
        <v>0</v>
      </c>
      <c r="N135">
        <v>0</v>
      </c>
      <c r="O135">
        <v>15</v>
      </c>
      <c r="P135">
        <v>14</v>
      </c>
      <c r="Q135">
        <v>14</v>
      </c>
      <c r="R135">
        <v>12</v>
      </c>
      <c r="S135">
        <v>10</v>
      </c>
      <c r="T135">
        <v>5</v>
      </c>
      <c r="U135">
        <v>1</v>
      </c>
      <c r="V135">
        <v>18</v>
      </c>
    </row>
    <row r="136" spans="1:22" x14ac:dyDescent="0.25">
      <c r="A136">
        <v>2025</v>
      </c>
      <c r="B136">
        <v>5</v>
      </c>
      <c r="C136" t="s">
        <v>80</v>
      </c>
      <c r="D136" t="s">
        <v>22</v>
      </c>
      <c r="E136" t="s">
        <v>147</v>
      </c>
      <c r="F136" t="s">
        <v>32</v>
      </c>
      <c r="G136" t="s">
        <v>24</v>
      </c>
      <c r="H136" t="s">
        <v>25</v>
      </c>
      <c r="I136" t="s">
        <v>25</v>
      </c>
      <c r="J136" t="s">
        <v>25</v>
      </c>
      <c r="K136">
        <v>295</v>
      </c>
      <c r="L136">
        <v>0</v>
      </c>
      <c r="M136">
        <v>2</v>
      </c>
      <c r="N136">
        <v>2</v>
      </c>
      <c r="O136">
        <v>170</v>
      </c>
      <c r="P136">
        <v>150</v>
      </c>
      <c r="Q136">
        <v>142</v>
      </c>
      <c r="R136">
        <v>101</v>
      </c>
      <c r="S136">
        <v>69</v>
      </c>
      <c r="T136">
        <v>34</v>
      </c>
      <c r="U136">
        <v>18</v>
      </c>
      <c r="V136">
        <v>293</v>
      </c>
    </row>
    <row r="137" spans="1:22" x14ac:dyDescent="0.25">
      <c r="A137">
        <v>2025</v>
      </c>
      <c r="B137">
        <v>5</v>
      </c>
      <c r="C137" t="s">
        <v>80</v>
      </c>
      <c r="D137" t="s">
        <v>22</v>
      </c>
      <c r="E137" t="s">
        <v>147</v>
      </c>
      <c r="F137" t="s">
        <v>87</v>
      </c>
      <c r="G137" t="s">
        <v>24</v>
      </c>
      <c r="H137" t="s">
        <v>25</v>
      </c>
      <c r="I137" t="s">
        <v>25</v>
      </c>
      <c r="J137" t="s">
        <v>25</v>
      </c>
      <c r="K137">
        <v>1</v>
      </c>
      <c r="L137">
        <v>0</v>
      </c>
      <c r="M137">
        <v>0</v>
      </c>
      <c r="N137">
        <v>0</v>
      </c>
      <c r="O137">
        <v>1</v>
      </c>
      <c r="P137">
        <v>1</v>
      </c>
      <c r="Q137">
        <v>1</v>
      </c>
      <c r="R137">
        <v>0</v>
      </c>
      <c r="S137">
        <v>0</v>
      </c>
      <c r="T137">
        <v>0</v>
      </c>
      <c r="U137">
        <v>0</v>
      </c>
      <c r="V137">
        <v>1</v>
      </c>
    </row>
    <row r="138" spans="1:22" x14ac:dyDescent="0.25">
      <c r="A138">
        <v>2025</v>
      </c>
      <c r="B138">
        <v>5</v>
      </c>
      <c r="C138" t="s">
        <v>80</v>
      </c>
      <c r="D138" t="s">
        <v>22</v>
      </c>
      <c r="E138" t="s">
        <v>147</v>
      </c>
      <c r="F138" t="s">
        <v>36</v>
      </c>
      <c r="G138" t="s">
        <v>24</v>
      </c>
      <c r="H138" t="s">
        <v>25</v>
      </c>
      <c r="I138" t="s">
        <v>26</v>
      </c>
      <c r="J138" t="s">
        <v>25</v>
      </c>
      <c r="K138">
        <v>11</v>
      </c>
      <c r="L138">
        <v>0</v>
      </c>
      <c r="M138">
        <v>0</v>
      </c>
      <c r="N138">
        <v>0</v>
      </c>
      <c r="O138">
        <v>6</v>
      </c>
      <c r="P138">
        <v>5</v>
      </c>
      <c r="Q138">
        <v>5</v>
      </c>
      <c r="R138">
        <v>4</v>
      </c>
      <c r="S138">
        <v>3</v>
      </c>
      <c r="T138">
        <v>2</v>
      </c>
      <c r="U138">
        <v>0</v>
      </c>
      <c r="V138">
        <v>11</v>
      </c>
    </row>
    <row r="139" spans="1:22" x14ac:dyDescent="0.25">
      <c r="A139">
        <v>2025</v>
      </c>
      <c r="B139">
        <v>5</v>
      </c>
      <c r="C139" t="s">
        <v>80</v>
      </c>
      <c r="D139" t="s">
        <v>22</v>
      </c>
      <c r="E139" t="s">
        <v>150</v>
      </c>
      <c r="F139" t="s">
        <v>32</v>
      </c>
      <c r="G139" t="s">
        <v>24</v>
      </c>
      <c r="H139" t="s">
        <v>25</v>
      </c>
      <c r="I139" t="s">
        <v>25</v>
      </c>
      <c r="J139" t="s">
        <v>25</v>
      </c>
      <c r="K139">
        <v>27</v>
      </c>
      <c r="L139">
        <v>0</v>
      </c>
      <c r="M139">
        <v>0</v>
      </c>
      <c r="N139">
        <v>0</v>
      </c>
      <c r="O139">
        <v>12</v>
      </c>
      <c r="P139">
        <v>11</v>
      </c>
      <c r="Q139">
        <v>10</v>
      </c>
      <c r="R139">
        <v>3</v>
      </c>
      <c r="S139">
        <v>2</v>
      </c>
      <c r="T139">
        <v>0</v>
      </c>
      <c r="U139">
        <v>0</v>
      </c>
      <c r="V139">
        <v>27</v>
      </c>
    </row>
    <row r="140" spans="1:22" x14ac:dyDescent="0.25">
      <c r="A140">
        <v>2025</v>
      </c>
      <c r="B140">
        <v>5</v>
      </c>
      <c r="C140" t="s">
        <v>80</v>
      </c>
      <c r="D140" t="s">
        <v>22</v>
      </c>
      <c r="E140" t="s">
        <v>150</v>
      </c>
      <c r="F140" t="s">
        <v>38</v>
      </c>
      <c r="G140" t="s">
        <v>24</v>
      </c>
      <c r="H140" t="s">
        <v>25</v>
      </c>
      <c r="I140" t="s">
        <v>26</v>
      </c>
      <c r="J140" t="s">
        <v>25</v>
      </c>
      <c r="K140">
        <v>1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1</v>
      </c>
    </row>
    <row r="141" spans="1:22" x14ac:dyDescent="0.25">
      <c r="A141">
        <v>2025</v>
      </c>
      <c r="B141">
        <v>5</v>
      </c>
      <c r="C141" t="s">
        <v>80</v>
      </c>
      <c r="D141" t="s">
        <v>22</v>
      </c>
      <c r="E141" t="s">
        <v>61</v>
      </c>
      <c r="F141" t="s">
        <v>35</v>
      </c>
      <c r="G141" t="s">
        <v>28</v>
      </c>
      <c r="H141" t="s">
        <v>25</v>
      </c>
      <c r="I141" t="s">
        <v>26</v>
      </c>
      <c r="J141" t="s">
        <v>26</v>
      </c>
      <c r="K141">
        <v>2</v>
      </c>
      <c r="L141">
        <v>0</v>
      </c>
      <c r="M141">
        <v>0</v>
      </c>
      <c r="N141">
        <v>0</v>
      </c>
      <c r="O141">
        <v>1</v>
      </c>
      <c r="P141">
        <v>1</v>
      </c>
      <c r="Q141">
        <v>1</v>
      </c>
      <c r="R141">
        <v>1</v>
      </c>
      <c r="S141">
        <v>1</v>
      </c>
      <c r="T141">
        <v>0</v>
      </c>
      <c r="U141">
        <v>0</v>
      </c>
      <c r="V141">
        <v>2</v>
      </c>
    </row>
    <row r="142" spans="1:22" x14ac:dyDescent="0.25">
      <c r="A142">
        <v>2025</v>
      </c>
      <c r="B142">
        <v>5</v>
      </c>
      <c r="C142" t="s">
        <v>80</v>
      </c>
      <c r="D142" t="s">
        <v>22</v>
      </c>
      <c r="E142" t="s">
        <v>61</v>
      </c>
      <c r="F142" t="s">
        <v>35</v>
      </c>
      <c r="G142" t="s">
        <v>24</v>
      </c>
      <c r="H142" t="s">
        <v>25</v>
      </c>
      <c r="I142" t="s">
        <v>26</v>
      </c>
      <c r="J142" t="s">
        <v>26</v>
      </c>
      <c r="K142">
        <v>202</v>
      </c>
      <c r="L142">
        <v>0</v>
      </c>
      <c r="M142">
        <v>0</v>
      </c>
      <c r="N142">
        <v>0</v>
      </c>
      <c r="O142">
        <v>62</v>
      </c>
      <c r="P142">
        <v>55</v>
      </c>
      <c r="Q142">
        <v>53</v>
      </c>
      <c r="R142">
        <v>43</v>
      </c>
      <c r="S142">
        <v>31</v>
      </c>
      <c r="T142">
        <v>14</v>
      </c>
      <c r="U142">
        <v>11</v>
      </c>
      <c r="V142">
        <v>202</v>
      </c>
    </row>
    <row r="143" spans="1:22" x14ac:dyDescent="0.25">
      <c r="A143">
        <v>2025</v>
      </c>
      <c r="B143">
        <v>5</v>
      </c>
      <c r="C143" t="s">
        <v>80</v>
      </c>
      <c r="D143" t="s">
        <v>22</v>
      </c>
      <c r="E143" t="s">
        <v>61</v>
      </c>
      <c r="F143" t="s">
        <v>36</v>
      </c>
      <c r="G143" t="s">
        <v>24</v>
      </c>
      <c r="H143" t="s">
        <v>25</v>
      </c>
      <c r="I143" t="s">
        <v>26</v>
      </c>
      <c r="J143" t="s">
        <v>25</v>
      </c>
      <c r="K143">
        <v>122</v>
      </c>
      <c r="L143">
        <v>0</v>
      </c>
      <c r="M143">
        <v>0</v>
      </c>
      <c r="N143">
        <v>0</v>
      </c>
      <c r="O143">
        <v>4</v>
      </c>
      <c r="P143">
        <v>3</v>
      </c>
      <c r="Q143">
        <v>3</v>
      </c>
      <c r="R143">
        <v>3</v>
      </c>
      <c r="S143">
        <v>3</v>
      </c>
      <c r="T143">
        <v>2</v>
      </c>
      <c r="U143">
        <v>1</v>
      </c>
      <c r="V143">
        <v>122</v>
      </c>
    </row>
    <row r="144" spans="1:22" x14ac:dyDescent="0.25">
      <c r="A144">
        <v>2025</v>
      </c>
      <c r="B144">
        <v>5</v>
      </c>
      <c r="C144" t="s">
        <v>80</v>
      </c>
      <c r="D144" t="s">
        <v>22</v>
      </c>
      <c r="E144" t="s">
        <v>61</v>
      </c>
      <c r="F144" t="s">
        <v>41</v>
      </c>
      <c r="G144" t="s">
        <v>24</v>
      </c>
      <c r="H144" t="s">
        <v>26</v>
      </c>
      <c r="I144" t="s">
        <v>26</v>
      </c>
      <c r="J144" t="s">
        <v>25</v>
      </c>
      <c r="K144">
        <v>3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3</v>
      </c>
    </row>
    <row r="145" spans="1:22" x14ac:dyDescent="0.25">
      <c r="A145">
        <v>2025</v>
      </c>
      <c r="B145">
        <v>5</v>
      </c>
      <c r="C145" t="s">
        <v>80</v>
      </c>
      <c r="D145" t="s">
        <v>22</v>
      </c>
      <c r="E145" t="s">
        <v>169</v>
      </c>
      <c r="F145" t="s">
        <v>32</v>
      </c>
      <c r="G145" t="s">
        <v>24</v>
      </c>
      <c r="H145" t="s">
        <v>25</v>
      </c>
      <c r="I145" t="s">
        <v>25</v>
      </c>
      <c r="J145" t="s">
        <v>25</v>
      </c>
      <c r="K145">
        <v>20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20</v>
      </c>
    </row>
    <row r="146" spans="1:22" x14ac:dyDescent="0.25">
      <c r="A146">
        <v>2025</v>
      </c>
      <c r="B146">
        <v>5</v>
      </c>
      <c r="C146" t="s">
        <v>80</v>
      </c>
      <c r="D146" t="s">
        <v>22</v>
      </c>
      <c r="E146" t="s">
        <v>157</v>
      </c>
      <c r="F146" t="s">
        <v>31</v>
      </c>
      <c r="G146" t="s">
        <v>24</v>
      </c>
      <c r="H146" t="s">
        <v>25</v>
      </c>
      <c r="I146" t="s">
        <v>25</v>
      </c>
      <c r="J146" t="s">
        <v>25</v>
      </c>
      <c r="K146">
        <v>124</v>
      </c>
      <c r="L146">
        <v>0</v>
      </c>
      <c r="M146">
        <v>0</v>
      </c>
      <c r="N146">
        <v>0</v>
      </c>
      <c r="O146">
        <v>27</v>
      </c>
      <c r="P146">
        <v>24</v>
      </c>
      <c r="Q146">
        <v>22</v>
      </c>
      <c r="R146">
        <v>17</v>
      </c>
      <c r="S146">
        <v>13</v>
      </c>
      <c r="T146">
        <v>7</v>
      </c>
      <c r="U146">
        <v>2</v>
      </c>
      <c r="V146">
        <v>124</v>
      </c>
    </row>
    <row r="147" spans="1:22" x14ac:dyDescent="0.25">
      <c r="A147">
        <v>2025</v>
      </c>
      <c r="B147">
        <v>5</v>
      </c>
      <c r="C147" t="s">
        <v>80</v>
      </c>
      <c r="D147" t="s">
        <v>22</v>
      </c>
      <c r="E147" t="s">
        <v>157</v>
      </c>
      <c r="F147" t="s">
        <v>32</v>
      </c>
      <c r="G147" t="s">
        <v>24</v>
      </c>
      <c r="H147" t="s">
        <v>25</v>
      </c>
      <c r="I147" t="s">
        <v>25</v>
      </c>
      <c r="J147" t="s">
        <v>25</v>
      </c>
      <c r="K147">
        <v>59</v>
      </c>
      <c r="L147">
        <v>0</v>
      </c>
      <c r="M147">
        <v>2</v>
      </c>
      <c r="N147">
        <v>2</v>
      </c>
      <c r="O147">
        <v>8</v>
      </c>
      <c r="P147">
        <v>5</v>
      </c>
      <c r="Q147">
        <v>5</v>
      </c>
      <c r="R147">
        <v>4</v>
      </c>
      <c r="S147">
        <v>3</v>
      </c>
      <c r="T147">
        <v>1</v>
      </c>
      <c r="U147">
        <v>1</v>
      </c>
      <c r="V147">
        <v>57</v>
      </c>
    </row>
    <row r="148" spans="1:22" x14ac:dyDescent="0.25">
      <c r="A148">
        <v>2025</v>
      </c>
      <c r="B148">
        <v>5</v>
      </c>
      <c r="C148" t="s">
        <v>80</v>
      </c>
      <c r="D148" t="s">
        <v>22</v>
      </c>
      <c r="E148" t="s">
        <v>157</v>
      </c>
      <c r="F148" t="s">
        <v>34</v>
      </c>
      <c r="G148" t="s">
        <v>24</v>
      </c>
      <c r="H148" t="s">
        <v>25</v>
      </c>
      <c r="I148" t="s">
        <v>26</v>
      </c>
      <c r="J148" t="s">
        <v>26</v>
      </c>
      <c r="K148">
        <v>29</v>
      </c>
      <c r="L148">
        <v>0</v>
      </c>
      <c r="M148">
        <v>24</v>
      </c>
      <c r="N148">
        <v>24</v>
      </c>
      <c r="O148">
        <v>1</v>
      </c>
      <c r="P148">
        <v>1</v>
      </c>
      <c r="Q148">
        <v>1</v>
      </c>
      <c r="R148">
        <v>1</v>
      </c>
      <c r="S148">
        <v>1</v>
      </c>
      <c r="T148">
        <v>0</v>
      </c>
      <c r="U148">
        <v>0</v>
      </c>
      <c r="V148">
        <v>29</v>
      </c>
    </row>
    <row r="149" spans="1:22" x14ac:dyDescent="0.25">
      <c r="A149">
        <v>2025</v>
      </c>
      <c r="B149">
        <v>5</v>
      </c>
      <c r="C149" t="s">
        <v>80</v>
      </c>
      <c r="D149" t="s">
        <v>22</v>
      </c>
      <c r="E149" t="s">
        <v>69</v>
      </c>
      <c r="F149" t="s">
        <v>40</v>
      </c>
      <c r="G149" t="s">
        <v>24</v>
      </c>
      <c r="H149" t="s">
        <v>25</v>
      </c>
      <c r="I149" t="s">
        <v>26</v>
      </c>
      <c r="J149" t="s">
        <v>25</v>
      </c>
      <c r="K149">
        <v>44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44</v>
      </c>
    </row>
    <row r="150" spans="1:22" x14ac:dyDescent="0.25">
      <c r="A150">
        <v>2025</v>
      </c>
      <c r="B150">
        <v>5</v>
      </c>
      <c r="C150" t="s">
        <v>80</v>
      </c>
      <c r="D150" t="s">
        <v>22</v>
      </c>
      <c r="E150" t="s">
        <v>173</v>
      </c>
      <c r="F150" t="s">
        <v>32</v>
      </c>
      <c r="G150" t="s">
        <v>24</v>
      </c>
      <c r="H150" t="s">
        <v>25</v>
      </c>
      <c r="I150" t="s">
        <v>25</v>
      </c>
      <c r="J150" t="s">
        <v>25</v>
      </c>
      <c r="K150">
        <v>1111</v>
      </c>
      <c r="L150">
        <v>3</v>
      </c>
      <c r="M150">
        <v>6</v>
      </c>
      <c r="N150">
        <v>9</v>
      </c>
      <c r="O150">
        <v>399</v>
      </c>
      <c r="P150">
        <v>301</v>
      </c>
      <c r="Q150">
        <v>242</v>
      </c>
      <c r="R150">
        <v>135</v>
      </c>
      <c r="S150">
        <v>74</v>
      </c>
      <c r="T150">
        <v>24</v>
      </c>
      <c r="U150">
        <v>8</v>
      </c>
      <c r="V150">
        <v>1104</v>
      </c>
    </row>
    <row r="151" spans="1:22" x14ac:dyDescent="0.25">
      <c r="A151">
        <v>2025</v>
      </c>
      <c r="B151">
        <v>5</v>
      </c>
      <c r="C151" t="s">
        <v>80</v>
      </c>
      <c r="D151" t="s">
        <v>22</v>
      </c>
      <c r="E151" t="s">
        <v>173</v>
      </c>
      <c r="F151" t="s">
        <v>34</v>
      </c>
      <c r="G151" t="s">
        <v>24</v>
      </c>
      <c r="H151" t="s">
        <v>25</v>
      </c>
      <c r="I151" t="s">
        <v>26</v>
      </c>
      <c r="J151" t="s">
        <v>26</v>
      </c>
      <c r="K151">
        <v>1</v>
      </c>
      <c r="L151">
        <v>0</v>
      </c>
      <c r="M151">
        <v>1</v>
      </c>
      <c r="N151">
        <v>1</v>
      </c>
      <c r="O151">
        <v>1</v>
      </c>
      <c r="P151">
        <v>1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1</v>
      </c>
    </row>
    <row r="152" spans="1:22" x14ac:dyDescent="0.25">
      <c r="A152">
        <v>2025</v>
      </c>
      <c r="B152">
        <v>5</v>
      </c>
      <c r="C152" t="s">
        <v>80</v>
      </c>
      <c r="D152" t="s">
        <v>22</v>
      </c>
      <c r="E152" t="s">
        <v>80</v>
      </c>
      <c r="F152" t="s">
        <v>102</v>
      </c>
      <c r="G152" t="s">
        <v>28</v>
      </c>
      <c r="H152" t="s">
        <v>25</v>
      </c>
      <c r="I152" t="s">
        <v>25</v>
      </c>
      <c r="J152" t="s">
        <v>25</v>
      </c>
      <c r="K152">
        <v>2</v>
      </c>
      <c r="L152">
        <v>0</v>
      </c>
      <c r="M152">
        <v>0</v>
      </c>
      <c r="N152">
        <v>0</v>
      </c>
      <c r="O152">
        <v>2</v>
      </c>
      <c r="P152">
        <v>2</v>
      </c>
      <c r="Q152">
        <v>2</v>
      </c>
      <c r="R152">
        <v>2</v>
      </c>
      <c r="S152">
        <v>2</v>
      </c>
      <c r="T152">
        <v>1</v>
      </c>
      <c r="U152">
        <v>0</v>
      </c>
      <c r="V152">
        <v>2</v>
      </c>
    </row>
    <row r="153" spans="1:22" x14ac:dyDescent="0.25">
      <c r="A153">
        <v>2025</v>
      </c>
      <c r="B153">
        <v>5</v>
      </c>
      <c r="C153" t="s">
        <v>80</v>
      </c>
      <c r="D153" t="s">
        <v>22</v>
      </c>
      <c r="E153" t="s">
        <v>80</v>
      </c>
      <c r="F153" t="s">
        <v>32</v>
      </c>
      <c r="G153" t="s">
        <v>28</v>
      </c>
      <c r="H153" t="s">
        <v>25</v>
      </c>
      <c r="I153" t="s">
        <v>25</v>
      </c>
      <c r="J153" t="s">
        <v>25</v>
      </c>
      <c r="K153">
        <v>6</v>
      </c>
      <c r="L153">
        <v>0</v>
      </c>
      <c r="M153">
        <v>0</v>
      </c>
      <c r="N153">
        <v>0</v>
      </c>
      <c r="O153">
        <v>5</v>
      </c>
      <c r="P153">
        <v>3</v>
      </c>
      <c r="Q153">
        <v>3</v>
      </c>
      <c r="R153">
        <v>2</v>
      </c>
      <c r="S153">
        <v>1</v>
      </c>
      <c r="T153">
        <v>0</v>
      </c>
      <c r="U153">
        <v>0</v>
      </c>
      <c r="V153">
        <v>6</v>
      </c>
    </row>
    <row r="154" spans="1:22" x14ac:dyDescent="0.25">
      <c r="A154">
        <v>2025</v>
      </c>
      <c r="B154">
        <v>5</v>
      </c>
      <c r="C154" t="s">
        <v>80</v>
      </c>
      <c r="D154" t="s">
        <v>22</v>
      </c>
      <c r="E154" t="s">
        <v>80</v>
      </c>
      <c r="F154" t="s">
        <v>76</v>
      </c>
      <c r="G154" t="s">
        <v>28</v>
      </c>
      <c r="H154" t="s">
        <v>25</v>
      </c>
      <c r="I154" t="s">
        <v>26</v>
      </c>
      <c r="J154" t="s">
        <v>25</v>
      </c>
      <c r="K154">
        <v>33</v>
      </c>
      <c r="L154">
        <v>0</v>
      </c>
      <c r="M154">
        <v>1</v>
      </c>
      <c r="N154">
        <v>1</v>
      </c>
      <c r="O154">
        <v>10</v>
      </c>
      <c r="P154">
        <v>10</v>
      </c>
      <c r="Q154">
        <v>10</v>
      </c>
      <c r="R154">
        <v>8</v>
      </c>
      <c r="S154">
        <v>6</v>
      </c>
      <c r="T154">
        <v>3</v>
      </c>
      <c r="U154">
        <v>1</v>
      </c>
      <c r="V154">
        <v>33</v>
      </c>
    </row>
    <row r="155" spans="1:22" x14ac:dyDescent="0.25">
      <c r="A155">
        <v>2025</v>
      </c>
      <c r="B155">
        <v>5</v>
      </c>
      <c r="C155" t="s">
        <v>80</v>
      </c>
      <c r="D155" t="s">
        <v>22</v>
      </c>
      <c r="E155" t="s">
        <v>80</v>
      </c>
      <c r="F155" t="s">
        <v>76</v>
      </c>
      <c r="G155" t="s">
        <v>24</v>
      </c>
      <c r="H155" t="s">
        <v>25</v>
      </c>
      <c r="I155" t="s">
        <v>26</v>
      </c>
      <c r="J155" t="s">
        <v>25</v>
      </c>
      <c r="K155">
        <v>2</v>
      </c>
      <c r="L155">
        <v>0</v>
      </c>
      <c r="M155">
        <v>0</v>
      </c>
      <c r="N155">
        <v>0</v>
      </c>
      <c r="O155">
        <v>2</v>
      </c>
      <c r="P155">
        <v>2</v>
      </c>
      <c r="Q155">
        <v>2</v>
      </c>
      <c r="R155">
        <v>2</v>
      </c>
      <c r="S155">
        <v>2</v>
      </c>
      <c r="T155">
        <v>1</v>
      </c>
      <c r="U155">
        <v>0</v>
      </c>
      <c r="V155">
        <v>2</v>
      </c>
    </row>
    <row r="156" spans="1:22" x14ac:dyDescent="0.25">
      <c r="A156">
        <v>2025</v>
      </c>
      <c r="B156">
        <v>5</v>
      </c>
      <c r="C156" t="s">
        <v>80</v>
      </c>
      <c r="D156" t="s">
        <v>22</v>
      </c>
      <c r="E156" t="s">
        <v>80</v>
      </c>
      <c r="F156" t="s">
        <v>76</v>
      </c>
      <c r="G156" t="s">
        <v>29</v>
      </c>
      <c r="H156" t="s">
        <v>25</v>
      </c>
      <c r="I156" t="s">
        <v>26</v>
      </c>
      <c r="J156" t="s">
        <v>25</v>
      </c>
      <c r="K156">
        <v>1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</row>
    <row r="157" spans="1:22" x14ac:dyDescent="0.25">
      <c r="A157">
        <v>2025</v>
      </c>
      <c r="B157">
        <v>5</v>
      </c>
      <c r="C157" t="s">
        <v>80</v>
      </c>
      <c r="D157" t="s">
        <v>22</v>
      </c>
      <c r="E157" t="s">
        <v>80</v>
      </c>
      <c r="F157" t="s">
        <v>81</v>
      </c>
      <c r="G157" t="s">
        <v>28</v>
      </c>
      <c r="H157" t="s">
        <v>25</v>
      </c>
      <c r="I157" t="s">
        <v>26</v>
      </c>
      <c r="J157" t="s">
        <v>25</v>
      </c>
      <c r="K157">
        <v>515</v>
      </c>
      <c r="L157">
        <v>0</v>
      </c>
      <c r="M157">
        <v>27</v>
      </c>
      <c r="N157">
        <v>27</v>
      </c>
      <c r="O157">
        <v>327</v>
      </c>
      <c r="P157">
        <v>291</v>
      </c>
      <c r="Q157">
        <v>270</v>
      </c>
      <c r="R157">
        <v>189</v>
      </c>
      <c r="S157">
        <v>137</v>
      </c>
      <c r="T157">
        <v>68</v>
      </c>
      <c r="U157">
        <v>26</v>
      </c>
      <c r="V157">
        <v>490</v>
      </c>
    </row>
    <row r="158" spans="1:22" x14ac:dyDescent="0.25">
      <c r="A158">
        <v>2025</v>
      </c>
      <c r="B158">
        <v>5</v>
      </c>
      <c r="C158" t="s">
        <v>80</v>
      </c>
      <c r="D158" t="s">
        <v>22</v>
      </c>
      <c r="E158" t="s">
        <v>80</v>
      </c>
      <c r="F158" t="s">
        <v>82</v>
      </c>
      <c r="G158" t="s">
        <v>28</v>
      </c>
      <c r="H158" t="s">
        <v>25</v>
      </c>
      <c r="I158" t="s">
        <v>26</v>
      </c>
      <c r="J158" t="s">
        <v>25</v>
      </c>
      <c r="K158">
        <v>301</v>
      </c>
      <c r="L158">
        <v>0</v>
      </c>
      <c r="M158">
        <v>8</v>
      </c>
      <c r="N158">
        <v>8</v>
      </c>
      <c r="O158">
        <v>178</v>
      </c>
      <c r="P158">
        <v>153</v>
      </c>
      <c r="Q158">
        <v>143</v>
      </c>
      <c r="R158">
        <v>102</v>
      </c>
      <c r="S158">
        <v>65</v>
      </c>
      <c r="T158">
        <v>32</v>
      </c>
      <c r="U158">
        <v>16</v>
      </c>
      <c r="V158">
        <v>294</v>
      </c>
    </row>
    <row r="159" spans="1:22" x14ac:dyDescent="0.25">
      <c r="A159">
        <v>2025</v>
      </c>
      <c r="B159">
        <v>5</v>
      </c>
      <c r="C159" t="s">
        <v>80</v>
      </c>
      <c r="D159" t="s">
        <v>22</v>
      </c>
      <c r="E159" t="s">
        <v>80</v>
      </c>
      <c r="F159" t="s">
        <v>83</v>
      </c>
      <c r="G159" t="s">
        <v>28</v>
      </c>
      <c r="H159" t="s">
        <v>26</v>
      </c>
      <c r="I159" t="s">
        <v>26</v>
      </c>
      <c r="J159" t="s">
        <v>25</v>
      </c>
      <c r="K159">
        <v>7119</v>
      </c>
      <c r="L159">
        <v>0</v>
      </c>
      <c r="M159">
        <v>205</v>
      </c>
      <c r="N159">
        <v>205</v>
      </c>
      <c r="O159">
        <v>3184</v>
      </c>
      <c r="P159">
        <v>2537</v>
      </c>
      <c r="Q159">
        <v>2260</v>
      </c>
      <c r="R159">
        <v>1603</v>
      </c>
      <c r="S159">
        <v>1167</v>
      </c>
      <c r="T159">
        <v>584</v>
      </c>
      <c r="U159">
        <v>178</v>
      </c>
      <c r="V159">
        <v>6931</v>
      </c>
    </row>
    <row r="160" spans="1:22" x14ac:dyDescent="0.25">
      <c r="A160">
        <v>2025</v>
      </c>
      <c r="B160">
        <v>5</v>
      </c>
      <c r="C160" t="s">
        <v>80</v>
      </c>
      <c r="D160" t="s">
        <v>22</v>
      </c>
      <c r="E160" t="s">
        <v>80</v>
      </c>
      <c r="F160" t="s">
        <v>23</v>
      </c>
      <c r="G160" t="s">
        <v>28</v>
      </c>
      <c r="H160" t="s">
        <v>25</v>
      </c>
      <c r="I160" t="s">
        <v>26</v>
      </c>
      <c r="J160" t="s">
        <v>25</v>
      </c>
      <c r="K160">
        <v>3145</v>
      </c>
      <c r="L160">
        <v>0</v>
      </c>
      <c r="M160">
        <v>125</v>
      </c>
      <c r="N160">
        <v>125</v>
      </c>
      <c r="O160">
        <v>1216</v>
      </c>
      <c r="P160">
        <v>979</v>
      </c>
      <c r="Q160">
        <v>915</v>
      </c>
      <c r="R160">
        <v>645</v>
      </c>
      <c r="S160">
        <v>466</v>
      </c>
      <c r="T160">
        <v>227</v>
      </c>
      <c r="U160">
        <v>82</v>
      </c>
      <c r="V160">
        <v>3042</v>
      </c>
    </row>
    <row r="161" spans="1:22" x14ac:dyDescent="0.25">
      <c r="A161">
        <v>2025</v>
      </c>
      <c r="B161">
        <v>5</v>
      </c>
      <c r="C161" t="s">
        <v>80</v>
      </c>
      <c r="D161" t="s">
        <v>22</v>
      </c>
      <c r="E161" t="s">
        <v>80</v>
      </c>
      <c r="F161" t="s">
        <v>84</v>
      </c>
      <c r="G161" t="s">
        <v>28</v>
      </c>
      <c r="H161" t="s">
        <v>25</v>
      </c>
      <c r="I161" t="s">
        <v>26</v>
      </c>
      <c r="J161" t="s">
        <v>26</v>
      </c>
      <c r="K161">
        <v>595</v>
      </c>
      <c r="L161">
        <v>0</v>
      </c>
      <c r="M161">
        <v>0</v>
      </c>
      <c r="N161">
        <v>0</v>
      </c>
      <c r="O161">
        <v>182</v>
      </c>
      <c r="P161">
        <v>151</v>
      </c>
      <c r="Q161">
        <v>137</v>
      </c>
      <c r="R161">
        <v>108</v>
      </c>
      <c r="S161">
        <v>85</v>
      </c>
      <c r="T161">
        <v>56</v>
      </c>
      <c r="U161">
        <v>32</v>
      </c>
      <c r="V161">
        <v>595</v>
      </c>
    </row>
    <row r="162" spans="1:22" x14ac:dyDescent="0.25">
      <c r="A162">
        <v>2025</v>
      </c>
      <c r="B162">
        <v>5</v>
      </c>
      <c r="C162" t="s">
        <v>80</v>
      </c>
      <c r="D162" t="s">
        <v>22</v>
      </c>
      <c r="E162" t="s">
        <v>80</v>
      </c>
      <c r="F162" t="s">
        <v>40</v>
      </c>
      <c r="G162" t="s">
        <v>28</v>
      </c>
      <c r="H162" t="s">
        <v>25</v>
      </c>
      <c r="I162" t="s">
        <v>26</v>
      </c>
      <c r="J162" t="s">
        <v>25</v>
      </c>
      <c r="K162">
        <v>6</v>
      </c>
      <c r="L162">
        <v>0</v>
      </c>
      <c r="M162">
        <v>3</v>
      </c>
      <c r="N162">
        <v>3</v>
      </c>
      <c r="O162">
        <v>1</v>
      </c>
      <c r="P162">
        <v>1</v>
      </c>
      <c r="Q162">
        <v>1</v>
      </c>
      <c r="R162">
        <v>1</v>
      </c>
      <c r="S162">
        <v>1</v>
      </c>
      <c r="T162">
        <v>1</v>
      </c>
      <c r="U162">
        <v>0</v>
      </c>
      <c r="V162">
        <v>5</v>
      </c>
    </row>
    <row r="163" spans="1:22" x14ac:dyDescent="0.25">
      <c r="A163">
        <v>2025</v>
      </c>
      <c r="B163">
        <v>5</v>
      </c>
      <c r="C163" t="s">
        <v>80</v>
      </c>
      <c r="D163" t="s">
        <v>22</v>
      </c>
      <c r="E163" t="s">
        <v>80</v>
      </c>
      <c r="F163" t="s">
        <v>85</v>
      </c>
      <c r="G163" t="s">
        <v>28</v>
      </c>
      <c r="H163" t="s">
        <v>25</v>
      </c>
      <c r="I163" t="s">
        <v>25</v>
      </c>
      <c r="J163" t="s">
        <v>25</v>
      </c>
      <c r="K163">
        <v>6734</v>
      </c>
      <c r="L163">
        <v>0</v>
      </c>
      <c r="M163">
        <v>457</v>
      </c>
      <c r="N163">
        <v>457</v>
      </c>
      <c r="O163">
        <v>468</v>
      </c>
      <c r="P163">
        <v>273</v>
      </c>
      <c r="Q163">
        <v>228</v>
      </c>
      <c r="R163">
        <v>113</v>
      </c>
      <c r="S163">
        <v>71</v>
      </c>
      <c r="T163">
        <v>19</v>
      </c>
      <c r="U163">
        <v>4</v>
      </c>
      <c r="V163">
        <v>6342</v>
      </c>
    </row>
    <row r="164" spans="1:22" x14ac:dyDescent="0.25">
      <c r="A164">
        <v>2025</v>
      </c>
      <c r="B164">
        <v>5</v>
      </c>
      <c r="C164" t="s">
        <v>80</v>
      </c>
      <c r="D164" t="s">
        <v>22</v>
      </c>
      <c r="E164" t="s">
        <v>80</v>
      </c>
      <c r="F164" t="s">
        <v>86</v>
      </c>
      <c r="G164" t="s">
        <v>28</v>
      </c>
      <c r="H164" t="s">
        <v>25</v>
      </c>
      <c r="I164" t="s">
        <v>25</v>
      </c>
      <c r="J164" t="s">
        <v>25</v>
      </c>
      <c r="K164">
        <v>30</v>
      </c>
      <c r="L164">
        <v>0</v>
      </c>
      <c r="M164">
        <v>4</v>
      </c>
      <c r="N164">
        <v>4</v>
      </c>
      <c r="O164">
        <v>11</v>
      </c>
      <c r="P164">
        <v>10</v>
      </c>
      <c r="Q164">
        <v>10</v>
      </c>
      <c r="R164">
        <v>10</v>
      </c>
      <c r="S164">
        <v>9</v>
      </c>
      <c r="T164">
        <v>7</v>
      </c>
      <c r="U164">
        <v>1</v>
      </c>
      <c r="V164">
        <v>26</v>
      </c>
    </row>
    <row r="165" spans="1:22" x14ac:dyDescent="0.25">
      <c r="A165">
        <v>2025</v>
      </c>
      <c r="B165">
        <v>5</v>
      </c>
      <c r="C165" t="s">
        <v>80</v>
      </c>
      <c r="D165" t="s">
        <v>22</v>
      </c>
      <c r="E165" t="s">
        <v>80</v>
      </c>
      <c r="F165" t="s">
        <v>86</v>
      </c>
      <c r="G165" t="s">
        <v>29</v>
      </c>
      <c r="H165" t="s">
        <v>25</v>
      </c>
      <c r="I165" t="s">
        <v>25</v>
      </c>
      <c r="J165" t="s">
        <v>25</v>
      </c>
      <c r="K165">
        <v>9</v>
      </c>
      <c r="L165">
        <v>2</v>
      </c>
      <c r="M165">
        <v>0</v>
      </c>
      <c r="N165">
        <v>2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</row>
    <row r="166" spans="1:22" x14ac:dyDescent="0.25">
      <c r="A166">
        <v>2025</v>
      </c>
      <c r="B166">
        <v>5</v>
      </c>
      <c r="C166" t="s">
        <v>80</v>
      </c>
      <c r="D166" t="s">
        <v>22</v>
      </c>
      <c r="E166" t="s">
        <v>80</v>
      </c>
      <c r="F166" t="s">
        <v>87</v>
      </c>
      <c r="G166" t="s">
        <v>28</v>
      </c>
      <c r="H166" t="s">
        <v>25</v>
      </c>
      <c r="I166" t="s">
        <v>25</v>
      </c>
      <c r="J166" t="s">
        <v>25</v>
      </c>
      <c r="K166">
        <v>233406</v>
      </c>
      <c r="L166">
        <v>121</v>
      </c>
      <c r="M166">
        <v>11523</v>
      </c>
      <c r="N166">
        <v>11644</v>
      </c>
      <c r="O166">
        <v>47552</v>
      </c>
      <c r="P166">
        <v>27622</v>
      </c>
      <c r="Q166">
        <v>22193</v>
      </c>
      <c r="R166">
        <v>11714</v>
      </c>
      <c r="S166">
        <v>7067</v>
      </c>
      <c r="T166">
        <v>2442</v>
      </c>
      <c r="U166">
        <v>495</v>
      </c>
      <c r="V166">
        <v>223270</v>
      </c>
    </row>
    <row r="167" spans="1:22" x14ac:dyDescent="0.25">
      <c r="A167">
        <v>2025</v>
      </c>
      <c r="B167">
        <v>5</v>
      </c>
      <c r="C167" t="s">
        <v>80</v>
      </c>
      <c r="D167" t="s">
        <v>22</v>
      </c>
      <c r="E167" t="s">
        <v>80</v>
      </c>
      <c r="F167" t="s">
        <v>87</v>
      </c>
      <c r="G167" t="s">
        <v>24</v>
      </c>
      <c r="H167" t="s">
        <v>25</v>
      </c>
      <c r="I167" t="s">
        <v>25</v>
      </c>
      <c r="J167" t="s">
        <v>25</v>
      </c>
      <c r="K167">
        <v>5877</v>
      </c>
      <c r="L167">
        <v>156</v>
      </c>
      <c r="M167">
        <v>80</v>
      </c>
      <c r="N167">
        <v>236</v>
      </c>
      <c r="O167">
        <v>1075</v>
      </c>
      <c r="P167">
        <v>604</v>
      </c>
      <c r="Q167">
        <v>493</v>
      </c>
      <c r="R167">
        <v>227</v>
      </c>
      <c r="S167">
        <v>139</v>
      </c>
      <c r="T167">
        <v>22</v>
      </c>
      <c r="U167">
        <v>3</v>
      </c>
      <c r="V167">
        <v>5655</v>
      </c>
    </row>
    <row r="168" spans="1:22" x14ac:dyDescent="0.25">
      <c r="A168">
        <v>2025</v>
      </c>
      <c r="B168">
        <v>6</v>
      </c>
      <c r="C168" t="s">
        <v>80</v>
      </c>
      <c r="D168" t="s">
        <v>22</v>
      </c>
      <c r="E168" t="s">
        <v>144</v>
      </c>
      <c r="F168" t="s">
        <v>36</v>
      </c>
      <c r="G168" t="s">
        <v>24</v>
      </c>
      <c r="H168" t="s">
        <v>25</v>
      </c>
      <c r="I168" t="s">
        <v>26</v>
      </c>
      <c r="J168" t="s">
        <v>25</v>
      </c>
      <c r="K168">
        <v>7</v>
      </c>
      <c r="L168">
        <v>0</v>
      </c>
      <c r="M168">
        <v>0</v>
      </c>
      <c r="N168">
        <v>0</v>
      </c>
      <c r="O168">
        <v>4</v>
      </c>
      <c r="P168">
        <v>4</v>
      </c>
      <c r="Q168">
        <v>4</v>
      </c>
      <c r="R168">
        <v>2</v>
      </c>
      <c r="S168">
        <v>2</v>
      </c>
      <c r="T168">
        <v>1</v>
      </c>
      <c r="U168">
        <v>1</v>
      </c>
      <c r="V168">
        <v>7</v>
      </c>
    </row>
    <row r="169" spans="1:22" x14ac:dyDescent="0.25">
      <c r="A169">
        <v>2025</v>
      </c>
      <c r="B169">
        <v>6</v>
      </c>
      <c r="C169" t="s">
        <v>80</v>
      </c>
      <c r="D169" t="s">
        <v>22</v>
      </c>
      <c r="E169" t="s">
        <v>154</v>
      </c>
      <c r="F169" t="s">
        <v>32</v>
      </c>
      <c r="G169" t="s">
        <v>24</v>
      </c>
      <c r="H169" t="s">
        <v>25</v>
      </c>
      <c r="I169" t="s">
        <v>25</v>
      </c>
      <c r="J169" t="s">
        <v>25</v>
      </c>
      <c r="K169">
        <v>18</v>
      </c>
      <c r="L169">
        <v>0</v>
      </c>
      <c r="M169">
        <v>0</v>
      </c>
      <c r="N169">
        <v>0</v>
      </c>
      <c r="O169">
        <v>16</v>
      </c>
      <c r="P169">
        <v>15</v>
      </c>
      <c r="Q169">
        <v>15</v>
      </c>
      <c r="R169">
        <v>10</v>
      </c>
      <c r="S169">
        <v>8</v>
      </c>
      <c r="T169">
        <v>2</v>
      </c>
      <c r="U169">
        <v>1</v>
      </c>
      <c r="V169">
        <v>18</v>
      </c>
    </row>
    <row r="170" spans="1:22" x14ac:dyDescent="0.25">
      <c r="A170">
        <v>2025</v>
      </c>
      <c r="B170">
        <v>6</v>
      </c>
      <c r="C170" t="s">
        <v>80</v>
      </c>
      <c r="D170" t="s">
        <v>22</v>
      </c>
      <c r="E170" t="s">
        <v>147</v>
      </c>
      <c r="F170" t="s">
        <v>32</v>
      </c>
      <c r="G170" t="s">
        <v>24</v>
      </c>
      <c r="H170" t="s">
        <v>25</v>
      </c>
      <c r="I170" t="s">
        <v>25</v>
      </c>
      <c r="J170" t="s">
        <v>25</v>
      </c>
      <c r="K170">
        <v>269</v>
      </c>
      <c r="L170">
        <v>0</v>
      </c>
      <c r="M170">
        <v>4</v>
      </c>
      <c r="N170">
        <v>4</v>
      </c>
      <c r="O170">
        <v>163</v>
      </c>
      <c r="P170">
        <v>143</v>
      </c>
      <c r="Q170">
        <v>134</v>
      </c>
      <c r="R170">
        <v>107</v>
      </c>
      <c r="S170">
        <v>82</v>
      </c>
      <c r="T170">
        <v>43</v>
      </c>
      <c r="U170">
        <v>17</v>
      </c>
      <c r="V170">
        <v>265</v>
      </c>
    </row>
    <row r="171" spans="1:22" x14ac:dyDescent="0.25">
      <c r="A171">
        <v>2025</v>
      </c>
      <c r="B171">
        <v>6</v>
      </c>
      <c r="C171" t="s">
        <v>80</v>
      </c>
      <c r="D171" t="s">
        <v>22</v>
      </c>
      <c r="E171" t="s">
        <v>147</v>
      </c>
      <c r="F171" t="s">
        <v>36</v>
      </c>
      <c r="G171" t="s">
        <v>24</v>
      </c>
      <c r="H171" t="s">
        <v>25</v>
      </c>
      <c r="I171" t="s">
        <v>26</v>
      </c>
      <c r="J171" t="s">
        <v>25</v>
      </c>
      <c r="K171">
        <v>24</v>
      </c>
      <c r="L171">
        <v>0</v>
      </c>
      <c r="M171">
        <v>5</v>
      </c>
      <c r="N171">
        <v>5</v>
      </c>
      <c r="O171">
        <v>20</v>
      </c>
      <c r="P171">
        <v>17</v>
      </c>
      <c r="Q171">
        <v>16</v>
      </c>
      <c r="R171">
        <v>14</v>
      </c>
      <c r="S171">
        <v>11</v>
      </c>
      <c r="T171">
        <v>10</v>
      </c>
      <c r="U171">
        <v>4</v>
      </c>
      <c r="V171">
        <v>21</v>
      </c>
    </row>
    <row r="172" spans="1:22" x14ac:dyDescent="0.25">
      <c r="A172">
        <v>2025</v>
      </c>
      <c r="B172">
        <v>6</v>
      </c>
      <c r="C172" t="s">
        <v>80</v>
      </c>
      <c r="D172" t="s">
        <v>22</v>
      </c>
      <c r="E172" t="s">
        <v>149</v>
      </c>
      <c r="F172" t="s">
        <v>38</v>
      </c>
      <c r="G172" t="s">
        <v>24</v>
      </c>
      <c r="H172" t="s">
        <v>25</v>
      </c>
      <c r="I172" t="s">
        <v>26</v>
      </c>
      <c r="J172" t="s">
        <v>25</v>
      </c>
      <c r="K172">
        <v>1</v>
      </c>
      <c r="L172">
        <v>0</v>
      </c>
      <c r="M172">
        <v>0</v>
      </c>
      <c r="N172">
        <v>0</v>
      </c>
      <c r="O172">
        <v>1</v>
      </c>
      <c r="P172">
        <v>1</v>
      </c>
      <c r="Q172">
        <v>1</v>
      </c>
      <c r="R172">
        <v>1</v>
      </c>
      <c r="S172">
        <v>0</v>
      </c>
      <c r="T172">
        <v>0</v>
      </c>
      <c r="U172">
        <v>0</v>
      </c>
      <c r="V172">
        <v>1</v>
      </c>
    </row>
    <row r="173" spans="1:22" x14ac:dyDescent="0.25">
      <c r="A173">
        <v>2025</v>
      </c>
      <c r="B173">
        <v>6</v>
      </c>
      <c r="C173" t="s">
        <v>80</v>
      </c>
      <c r="D173" t="s">
        <v>22</v>
      </c>
      <c r="E173" t="s">
        <v>150</v>
      </c>
      <c r="F173" t="s">
        <v>32</v>
      </c>
      <c r="G173" t="s">
        <v>24</v>
      </c>
      <c r="H173" t="s">
        <v>25</v>
      </c>
      <c r="I173" t="s">
        <v>25</v>
      </c>
      <c r="J173" t="s">
        <v>25</v>
      </c>
      <c r="K173">
        <v>18</v>
      </c>
      <c r="L173">
        <v>0</v>
      </c>
      <c r="M173">
        <v>0</v>
      </c>
      <c r="N173">
        <v>0</v>
      </c>
      <c r="O173">
        <v>13</v>
      </c>
      <c r="P173">
        <v>9</v>
      </c>
      <c r="Q173">
        <v>7</v>
      </c>
      <c r="R173">
        <v>2</v>
      </c>
      <c r="S173">
        <v>1</v>
      </c>
      <c r="T173">
        <v>1</v>
      </c>
      <c r="U173">
        <v>0</v>
      </c>
      <c r="V173">
        <v>18</v>
      </c>
    </row>
    <row r="174" spans="1:22" x14ac:dyDescent="0.25">
      <c r="A174">
        <v>2025</v>
      </c>
      <c r="B174">
        <v>6</v>
      </c>
      <c r="C174" t="s">
        <v>80</v>
      </c>
      <c r="D174" t="s">
        <v>22</v>
      </c>
      <c r="E174" t="s">
        <v>156</v>
      </c>
      <c r="F174" t="s">
        <v>34</v>
      </c>
      <c r="G174" t="s">
        <v>24</v>
      </c>
      <c r="H174" t="s">
        <v>25</v>
      </c>
      <c r="I174" t="s">
        <v>26</v>
      </c>
      <c r="J174" t="s">
        <v>26</v>
      </c>
      <c r="K174">
        <v>1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1</v>
      </c>
    </row>
    <row r="175" spans="1:22" x14ac:dyDescent="0.25">
      <c r="A175">
        <v>2025</v>
      </c>
      <c r="B175">
        <v>6</v>
      </c>
      <c r="C175" t="s">
        <v>80</v>
      </c>
      <c r="D175" t="s">
        <v>22</v>
      </c>
      <c r="E175" t="s">
        <v>61</v>
      </c>
      <c r="F175" t="s">
        <v>35</v>
      </c>
      <c r="G175" t="s">
        <v>28</v>
      </c>
      <c r="H175" t="s">
        <v>25</v>
      </c>
      <c r="I175" t="s">
        <v>26</v>
      </c>
      <c r="J175" t="s">
        <v>26</v>
      </c>
      <c r="K175">
        <v>1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1</v>
      </c>
    </row>
    <row r="176" spans="1:22" x14ac:dyDescent="0.25">
      <c r="A176">
        <v>2025</v>
      </c>
      <c r="B176">
        <v>6</v>
      </c>
      <c r="C176" t="s">
        <v>80</v>
      </c>
      <c r="D176" t="s">
        <v>22</v>
      </c>
      <c r="E176" t="s">
        <v>61</v>
      </c>
      <c r="F176" t="s">
        <v>35</v>
      </c>
      <c r="G176" t="s">
        <v>24</v>
      </c>
      <c r="H176" t="s">
        <v>25</v>
      </c>
      <c r="I176" t="s">
        <v>26</v>
      </c>
      <c r="J176" t="s">
        <v>26</v>
      </c>
      <c r="K176">
        <v>210</v>
      </c>
      <c r="L176">
        <v>1</v>
      </c>
      <c r="M176">
        <v>2</v>
      </c>
      <c r="N176">
        <v>3</v>
      </c>
      <c r="O176">
        <v>61</v>
      </c>
      <c r="P176">
        <v>52</v>
      </c>
      <c r="Q176">
        <v>50</v>
      </c>
      <c r="R176">
        <v>38</v>
      </c>
      <c r="S176">
        <v>31</v>
      </c>
      <c r="T176">
        <v>17</v>
      </c>
      <c r="U176">
        <v>8</v>
      </c>
      <c r="V176">
        <v>208</v>
      </c>
    </row>
    <row r="177" spans="1:22" x14ac:dyDescent="0.25">
      <c r="A177">
        <v>2025</v>
      </c>
      <c r="B177">
        <v>6</v>
      </c>
      <c r="C177" t="s">
        <v>80</v>
      </c>
      <c r="D177" t="s">
        <v>22</v>
      </c>
      <c r="E177" t="s">
        <v>61</v>
      </c>
      <c r="F177" t="s">
        <v>36</v>
      </c>
      <c r="G177" t="s">
        <v>24</v>
      </c>
      <c r="H177" t="s">
        <v>25</v>
      </c>
      <c r="I177" t="s">
        <v>26</v>
      </c>
      <c r="J177" t="s">
        <v>25</v>
      </c>
      <c r="K177">
        <v>120</v>
      </c>
      <c r="L177">
        <v>0</v>
      </c>
      <c r="M177">
        <v>0</v>
      </c>
      <c r="N177">
        <v>0</v>
      </c>
      <c r="O177">
        <v>9</v>
      </c>
      <c r="P177">
        <v>8</v>
      </c>
      <c r="Q177">
        <v>6</v>
      </c>
      <c r="R177">
        <v>5</v>
      </c>
      <c r="S177">
        <v>4</v>
      </c>
      <c r="T177">
        <v>4</v>
      </c>
      <c r="U177">
        <v>0</v>
      </c>
      <c r="V177">
        <v>120</v>
      </c>
    </row>
    <row r="178" spans="1:22" x14ac:dyDescent="0.25">
      <c r="A178">
        <v>2025</v>
      </c>
      <c r="B178">
        <v>6</v>
      </c>
      <c r="C178" t="s">
        <v>80</v>
      </c>
      <c r="D178" t="s">
        <v>22</v>
      </c>
      <c r="E178" t="s">
        <v>61</v>
      </c>
      <c r="F178" t="s">
        <v>41</v>
      </c>
      <c r="G178" t="s">
        <v>24</v>
      </c>
      <c r="H178" t="s">
        <v>26</v>
      </c>
      <c r="I178" t="s">
        <v>26</v>
      </c>
      <c r="J178" t="s">
        <v>25</v>
      </c>
      <c r="K178">
        <v>3</v>
      </c>
      <c r="L178">
        <v>0</v>
      </c>
      <c r="M178">
        <v>0</v>
      </c>
      <c r="N178">
        <v>0</v>
      </c>
      <c r="O178">
        <v>1</v>
      </c>
      <c r="P178">
        <v>1</v>
      </c>
      <c r="Q178">
        <v>1</v>
      </c>
      <c r="R178">
        <v>1</v>
      </c>
      <c r="S178">
        <v>0</v>
      </c>
      <c r="T178">
        <v>0</v>
      </c>
      <c r="U178">
        <v>0</v>
      </c>
      <c r="V178">
        <v>3</v>
      </c>
    </row>
    <row r="179" spans="1:22" x14ac:dyDescent="0.25">
      <c r="A179">
        <v>2025</v>
      </c>
      <c r="B179">
        <v>6</v>
      </c>
      <c r="C179" t="s">
        <v>80</v>
      </c>
      <c r="D179" t="s">
        <v>22</v>
      </c>
      <c r="E179" t="s">
        <v>157</v>
      </c>
      <c r="F179" t="s">
        <v>31</v>
      </c>
      <c r="G179" t="s">
        <v>24</v>
      </c>
      <c r="H179" t="s">
        <v>25</v>
      </c>
      <c r="I179" t="s">
        <v>25</v>
      </c>
      <c r="J179" t="s">
        <v>25</v>
      </c>
      <c r="K179">
        <v>120</v>
      </c>
      <c r="L179">
        <v>0</v>
      </c>
      <c r="M179">
        <v>0</v>
      </c>
      <c r="N179">
        <v>0</v>
      </c>
      <c r="O179">
        <v>17</v>
      </c>
      <c r="P179">
        <v>14</v>
      </c>
      <c r="Q179">
        <v>10</v>
      </c>
      <c r="R179">
        <v>8</v>
      </c>
      <c r="S179">
        <v>5</v>
      </c>
      <c r="T179">
        <v>1</v>
      </c>
      <c r="U179">
        <v>1</v>
      </c>
      <c r="V179">
        <v>120</v>
      </c>
    </row>
    <row r="180" spans="1:22" x14ac:dyDescent="0.25">
      <c r="A180">
        <v>2025</v>
      </c>
      <c r="B180">
        <v>6</v>
      </c>
      <c r="C180" t="s">
        <v>80</v>
      </c>
      <c r="D180" t="s">
        <v>22</v>
      </c>
      <c r="E180" t="s">
        <v>157</v>
      </c>
      <c r="F180" t="s">
        <v>32</v>
      </c>
      <c r="G180" t="s">
        <v>24</v>
      </c>
      <c r="H180" t="s">
        <v>25</v>
      </c>
      <c r="I180" t="s">
        <v>25</v>
      </c>
      <c r="J180" t="s">
        <v>25</v>
      </c>
      <c r="K180">
        <v>57</v>
      </c>
      <c r="L180">
        <v>0</v>
      </c>
      <c r="M180">
        <v>2</v>
      </c>
      <c r="N180">
        <v>2</v>
      </c>
      <c r="O180">
        <v>17</v>
      </c>
      <c r="P180">
        <v>16</v>
      </c>
      <c r="Q180">
        <v>15</v>
      </c>
      <c r="R180">
        <v>12</v>
      </c>
      <c r="S180">
        <v>10</v>
      </c>
      <c r="T180">
        <v>4</v>
      </c>
      <c r="U180">
        <v>2</v>
      </c>
      <c r="V180">
        <v>56</v>
      </c>
    </row>
    <row r="181" spans="1:22" x14ac:dyDescent="0.25">
      <c r="A181">
        <v>2025</v>
      </c>
      <c r="B181">
        <v>6</v>
      </c>
      <c r="C181" t="s">
        <v>80</v>
      </c>
      <c r="D181" t="s">
        <v>22</v>
      </c>
      <c r="E181" t="s">
        <v>157</v>
      </c>
      <c r="F181" t="s">
        <v>34</v>
      </c>
      <c r="G181" t="s">
        <v>24</v>
      </c>
      <c r="H181" t="s">
        <v>25</v>
      </c>
      <c r="I181" t="s">
        <v>26</v>
      </c>
      <c r="J181" t="s">
        <v>26</v>
      </c>
      <c r="K181">
        <v>29</v>
      </c>
      <c r="L181">
        <v>0</v>
      </c>
      <c r="M181">
        <v>0</v>
      </c>
      <c r="N181">
        <v>0</v>
      </c>
      <c r="O181">
        <v>1</v>
      </c>
      <c r="P181">
        <v>1</v>
      </c>
      <c r="Q181">
        <v>1</v>
      </c>
      <c r="R181">
        <v>1</v>
      </c>
      <c r="S181">
        <v>1</v>
      </c>
      <c r="T181">
        <v>1</v>
      </c>
      <c r="U181">
        <v>0</v>
      </c>
      <c r="V181">
        <v>29</v>
      </c>
    </row>
    <row r="182" spans="1:22" x14ac:dyDescent="0.25">
      <c r="A182">
        <v>2025</v>
      </c>
      <c r="B182">
        <v>6</v>
      </c>
      <c r="C182" t="s">
        <v>80</v>
      </c>
      <c r="D182" t="s">
        <v>22</v>
      </c>
      <c r="E182" t="s">
        <v>157</v>
      </c>
      <c r="F182" t="s">
        <v>23</v>
      </c>
      <c r="G182" t="s">
        <v>24</v>
      </c>
      <c r="H182" t="s">
        <v>25</v>
      </c>
      <c r="I182" t="s">
        <v>26</v>
      </c>
      <c r="J182" t="s">
        <v>25</v>
      </c>
      <c r="K182">
        <v>1</v>
      </c>
      <c r="L182">
        <v>0</v>
      </c>
      <c r="M182">
        <v>0</v>
      </c>
      <c r="N182">
        <v>0</v>
      </c>
      <c r="O182">
        <v>1</v>
      </c>
      <c r="P182">
        <v>1</v>
      </c>
      <c r="Q182">
        <v>1</v>
      </c>
      <c r="R182">
        <v>1</v>
      </c>
      <c r="S182">
        <v>1</v>
      </c>
      <c r="T182">
        <v>1</v>
      </c>
      <c r="U182">
        <v>1</v>
      </c>
      <c r="V182">
        <v>1</v>
      </c>
    </row>
    <row r="183" spans="1:22" x14ac:dyDescent="0.25">
      <c r="A183">
        <v>2025</v>
      </c>
      <c r="B183">
        <v>6</v>
      </c>
      <c r="C183" t="s">
        <v>80</v>
      </c>
      <c r="D183" t="s">
        <v>22</v>
      </c>
      <c r="E183" t="s">
        <v>69</v>
      </c>
      <c r="F183" t="s">
        <v>40</v>
      </c>
      <c r="G183" t="s">
        <v>24</v>
      </c>
      <c r="H183" t="s">
        <v>25</v>
      </c>
      <c r="I183" t="s">
        <v>26</v>
      </c>
      <c r="J183" t="s">
        <v>25</v>
      </c>
      <c r="K183">
        <v>52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52</v>
      </c>
    </row>
    <row r="184" spans="1:22" x14ac:dyDescent="0.25">
      <c r="A184">
        <v>2025</v>
      </c>
      <c r="B184">
        <v>6</v>
      </c>
      <c r="C184" t="s">
        <v>80</v>
      </c>
      <c r="D184" t="s">
        <v>22</v>
      </c>
      <c r="E184" t="s">
        <v>173</v>
      </c>
      <c r="F184" t="s">
        <v>32</v>
      </c>
      <c r="G184" t="s">
        <v>24</v>
      </c>
      <c r="H184" t="s">
        <v>25</v>
      </c>
      <c r="I184" t="s">
        <v>25</v>
      </c>
      <c r="J184" t="s">
        <v>25</v>
      </c>
      <c r="K184">
        <v>898</v>
      </c>
      <c r="L184">
        <v>2</v>
      </c>
      <c r="M184">
        <v>11</v>
      </c>
      <c r="N184">
        <v>13</v>
      </c>
      <c r="O184">
        <v>258</v>
      </c>
      <c r="P184">
        <v>212</v>
      </c>
      <c r="Q184">
        <v>181</v>
      </c>
      <c r="R184">
        <v>110</v>
      </c>
      <c r="S184">
        <v>74</v>
      </c>
      <c r="T184">
        <v>30</v>
      </c>
      <c r="U184">
        <v>6</v>
      </c>
      <c r="V184">
        <v>886</v>
      </c>
    </row>
    <row r="185" spans="1:22" x14ac:dyDescent="0.25">
      <c r="A185">
        <v>2025</v>
      </c>
      <c r="B185">
        <v>6</v>
      </c>
      <c r="C185" t="s">
        <v>80</v>
      </c>
      <c r="D185" t="s">
        <v>22</v>
      </c>
      <c r="E185" t="s">
        <v>80</v>
      </c>
      <c r="F185" t="s">
        <v>32</v>
      </c>
      <c r="G185" t="s">
        <v>28</v>
      </c>
      <c r="H185" t="s">
        <v>25</v>
      </c>
      <c r="I185" t="s">
        <v>25</v>
      </c>
      <c r="J185" t="s">
        <v>25</v>
      </c>
      <c r="K185">
        <v>42</v>
      </c>
      <c r="L185">
        <v>0</v>
      </c>
      <c r="M185">
        <v>1</v>
      </c>
      <c r="N185">
        <v>1</v>
      </c>
      <c r="O185">
        <v>33</v>
      </c>
      <c r="P185">
        <v>28</v>
      </c>
      <c r="Q185">
        <v>24</v>
      </c>
      <c r="R185">
        <v>19</v>
      </c>
      <c r="S185">
        <v>13</v>
      </c>
      <c r="T185">
        <v>4</v>
      </c>
      <c r="U185">
        <v>3</v>
      </c>
      <c r="V185">
        <v>42</v>
      </c>
    </row>
    <row r="186" spans="1:22" x14ac:dyDescent="0.25">
      <c r="A186">
        <v>2025</v>
      </c>
      <c r="B186">
        <v>6</v>
      </c>
      <c r="C186" t="s">
        <v>80</v>
      </c>
      <c r="D186" t="s">
        <v>22</v>
      </c>
      <c r="E186" t="s">
        <v>80</v>
      </c>
      <c r="F186" t="s">
        <v>34</v>
      </c>
      <c r="G186" t="s">
        <v>28</v>
      </c>
      <c r="H186" t="s">
        <v>25</v>
      </c>
      <c r="I186" t="s">
        <v>26</v>
      </c>
      <c r="J186" t="s">
        <v>26</v>
      </c>
      <c r="K186">
        <v>1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1</v>
      </c>
    </row>
    <row r="187" spans="1:22" x14ac:dyDescent="0.25">
      <c r="A187">
        <v>2025</v>
      </c>
      <c r="B187">
        <v>6</v>
      </c>
      <c r="C187" t="s">
        <v>80</v>
      </c>
      <c r="D187" t="s">
        <v>22</v>
      </c>
      <c r="E187" t="s">
        <v>80</v>
      </c>
      <c r="F187" t="s">
        <v>76</v>
      </c>
      <c r="G187" t="s">
        <v>28</v>
      </c>
      <c r="H187" t="s">
        <v>25</v>
      </c>
      <c r="I187" t="s">
        <v>26</v>
      </c>
      <c r="J187" t="s">
        <v>25</v>
      </c>
      <c r="K187">
        <v>39</v>
      </c>
      <c r="L187">
        <v>0</v>
      </c>
      <c r="M187">
        <v>4</v>
      </c>
      <c r="N187">
        <v>4</v>
      </c>
      <c r="O187">
        <v>18</v>
      </c>
      <c r="P187">
        <v>17</v>
      </c>
      <c r="Q187">
        <v>17</v>
      </c>
      <c r="R187">
        <v>14</v>
      </c>
      <c r="S187">
        <v>10</v>
      </c>
      <c r="T187">
        <v>2</v>
      </c>
      <c r="U187">
        <v>0</v>
      </c>
      <c r="V187">
        <v>36</v>
      </c>
    </row>
    <row r="188" spans="1:22" x14ac:dyDescent="0.25">
      <c r="A188">
        <v>2025</v>
      </c>
      <c r="B188">
        <v>6</v>
      </c>
      <c r="C188" t="s">
        <v>80</v>
      </c>
      <c r="D188" t="s">
        <v>22</v>
      </c>
      <c r="E188" t="s">
        <v>80</v>
      </c>
      <c r="F188" t="s">
        <v>76</v>
      </c>
      <c r="G188" t="s">
        <v>29</v>
      </c>
      <c r="H188" t="s">
        <v>25</v>
      </c>
      <c r="I188" t="s">
        <v>26</v>
      </c>
      <c r="J188" t="s">
        <v>25</v>
      </c>
      <c r="K188">
        <v>1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</row>
    <row r="189" spans="1:22" x14ac:dyDescent="0.25">
      <c r="A189">
        <v>2025</v>
      </c>
      <c r="B189">
        <v>6</v>
      </c>
      <c r="C189" t="s">
        <v>80</v>
      </c>
      <c r="D189" t="s">
        <v>22</v>
      </c>
      <c r="E189" t="s">
        <v>80</v>
      </c>
      <c r="F189" t="s">
        <v>81</v>
      </c>
      <c r="G189" t="s">
        <v>28</v>
      </c>
      <c r="H189" t="s">
        <v>25</v>
      </c>
      <c r="I189" t="s">
        <v>26</v>
      </c>
      <c r="J189" t="s">
        <v>25</v>
      </c>
      <c r="K189">
        <v>507</v>
      </c>
      <c r="L189">
        <v>0</v>
      </c>
      <c r="M189">
        <v>16</v>
      </c>
      <c r="N189">
        <v>16</v>
      </c>
      <c r="O189">
        <v>332</v>
      </c>
      <c r="P189">
        <v>289</v>
      </c>
      <c r="Q189">
        <v>267</v>
      </c>
      <c r="R189">
        <v>198</v>
      </c>
      <c r="S189">
        <v>155</v>
      </c>
      <c r="T189">
        <v>68</v>
      </c>
      <c r="U189">
        <v>33</v>
      </c>
      <c r="V189">
        <v>491</v>
      </c>
    </row>
    <row r="190" spans="1:22" x14ac:dyDescent="0.25">
      <c r="A190">
        <v>2025</v>
      </c>
      <c r="B190">
        <v>6</v>
      </c>
      <c r="C190" t="s">
        <v>80</v>
      </c>
      <c r="D190" t="s">
        <v>22</v>
      </c>
      <c r="E190" t="s">
        <v>80</v>
      </c>
      <c r="F190" t="s">
        <v>82</v>
      </c>
      <c r="G190" t="s">
        <v>28</v>
      </c>
      <c r="H190" t="s">
        <v>25</v>
      </c>
      <c r="I190" t="s">
        <v>26</v>
      </c>
      <c r="J190" t="s">
        <v>25</v>
      </c>
      <c r="K190">
        <v>281</v>
      </c>
      <c r="L190">
        <v>0</v>
      </c>
      <c r="M190">
        <v>8</v>
      </c>
      <c r="N190">
        <v>8</v>
      </c>
      <c r="O190">
        <v>181</v>
      </c>
      <c r="P190">
        <v>159</v>
      </c>
      <c r="Q190">
        <v>152</v>
      </c>
      <c r="R190">
        <v>113</v>
      </c>
      <c r="S190">
        <v>82</v>
      </c>
      <c r="T190">
        <v>50</v>
      </c>
      <c r="U190">
        <v>19</v>
      </c>
      <c r="V190">
        <v>273</v>
      </c>
    </row>
    <row r="191" spans="1:22" x14ac:dyDescent="0.25">
      <c r="A191">
        <v>2025</v>
      </c>
      <c r="B191">
        <v>6</v>
      </c>
      <c r="C191" t="s">
        <v>80</v>
      </c>
      <c r="D191" t="s">
        <v>22</v>
      </c>
      <c r="E191" t="s">
        <v>80</v>
      </c>
      <c r="F191" t="s">
        <v>83</v>
      </c>
      <c r="G191" t="s">
        <v>28</v>
      </c>
      <c r="H191" t="s">
        <v>26</v>
      </c>
      <c r="I191" t="s">
        <v>26</v>
      </c>
      <c r="J191" t="s">
        <v>25</v>
      </c>
      <c r="K191">
        <v>6768</v>
      </c>
      <c r="L191">
        <v>0</v>
      </c>
      <c r="M191">
        <v>180</v>
      </c>
      <c r="N191">
        <v>180</v>
      </c>
      <c r="O191">
        <v>3461</v>
      </c>
      <c r="P191">
        <v>2862</v>
      </c>
      <c r="Q191">
        <v>2654</v>
      </c>
      <c r="R191">
        <v>2053</v>
      </c>
      <c r="S191">
        <v>1578</v>
      </c>
      <c r="T191">
        <v>899</v>
      </c>
      <c r="U191">
        <v>353</v>
      </c>
      <c r="V191">
        <v>6627</v>
      </c>
    </row>
    <row r="192" spans="1:22" x14ac:dyDescent="0.25">
      <c r="A192">
        <v>2025</v>
      </c>
      <c r="B192">
        <v>6</v>
      </c>
      <c r="C192" t="s">
        <v>80</v>
      </c>
      <c r="D192" t="s">
        <v>22</v>
      </c>
      <c r="E192" t="s">
        <v>80</v>
      </c>
      <c r="F192" t="s">
        <v>23</v>
      </c>
      <c r="G192" t="s">
        <v>28</v>
      </c>
      <c r="H192" t="s">
        <v>25</v>
      </c>
      <c r="I192" t="s">
        <v>26</v>
      </c>
      <c r="J192" t="s">
        <v>25</v>
      </c>
      <c r="K192">
        <v>3068</v>
      </c>
      <c r="L192">
        <v>0</v>
      </c>
      <c r="M192">
        <v>78</v>
      </c>
      <c r="N192">
        <v>78</v>
      </c>
      <c r="O192">
        <v>1533</v>
      </c>
      <c r="P192">
        <v>1298</v>
      </c>
      <c r="Q192">
        <v>1202</v>
      </c>
      <c r="R192">
        <v>893</v>
      </c>
      <c r="S192">
        <v>655</v>
      </c>
      <c r="T192">
        <v>357</v>
      </c>
      <c r="U192">
        <v>138</v>
      </c>
      <c r="V192">
        <v>3016</v>
      </c>
    </row>
    <row r="193" spans="1:22" x14ac:dyDescent="0.25">
      <c r="A193">
        <v>2025</v>
      </c>
      <c r="B193">
        <v>6</v>
      </c>
      <c r="C193" t="s">
        <v>80</v>
      </c>
      <c r="D193" t="s">
        <v>22</v>
      </c>
      <c r="E193" t="s">
        <v>80</v>
      </c>
      <c r="F193" t="s">
        <v>84</v>
      </c>
      <c r="G193" t="s">
        <v>28</v>
      </c>
      <c r="H193" t="s">
        <v>25</v>
      </c>
      <c r="I193" t="s">
        <v>26</v>
      </c>
      <c r="J193" t="s">
        <v>26</v>
      </c>
      <c r="K193">
        <v>607</v>
      </c>
      <c r="L193">
        <v>0</v>
      </c>
      <c r="M193">
        <v>0</v>
      </c>
      <c r="N193">
        <v>0</v>
      </c>
      <c r="O193">
        <v>178</v>
      </c>
      <c r="P193">
        <v>151</v>
      </c>
      <c r="Q193">
        <v>145</v>
      </c>
      <c r="R193">
        <v>117</v>
      </c>
      <c r="S193">
        <v>98</v>
      </c>
      <c r="T193">
        <v>62</v>
      </c>
      <c r="U193">
        <v>28</v>
      </c>
      <c r="V193">
        <v>607</v>
      </c>
    </row>
    <row r="194" spans="1:22" x14ac:dyDescent="0.25">
      <c r="A194">
        <v>2025</v>
      </c>
      <c r="B194">
        <v>6</v>
      </c>
      <c r="C194" t="s">
        <v>80</v>
      </c>
      <c r="D194" t="s">
        <v>22</v>
      </c>
      <c r="E194" t="s">
        <v>80</v>
      </c>
      <c r="F194" t="s">
        <v>40</v>
      </c>
      <c r="G194" t="s">
        <v>28</v>
      </c>
      <c r="H194" t="s">
        <v>25</v>
      </c>
      <c r="I194" t="s">
        <v>26</v>
      </c>
      <c r="J194" t="s">
        <v>25</v>
      </c>
      <c r="K194">
        <v>9</v>
      </c>
      <c r="L194">
        <v>0</v>
      </c>
      <c r="M194">
        <v>2</v>
      </c>
      <c r="N194">
        <v>2</v>
      </c>
      <c r="O194">
        <v>5</v>
      </c>
      <c r="P194">
        <v>4</v>
      </c>
      <c r="Q194">
        <v>4</v>
      </c>
      <c r="R194">
        <v>4</v>
      </c>
      <c r="S194">
        <v>4</v>
      </c>
      <c r="T194">
        <v>3</v>
      </c>
      <c r="U194">
        <v>2</v>
      </c>
      <c r="V194">
        <v>8</v>
      </c>
    </row>
    <row r="195" spans="1:22" x14ac:dyDescent="0.25">
      <c r="A195">
        <v>2025</v>
      </c>
      <c r="B195">
        <v>6</v>
      </c>
      <c r="C195" t="s">
        <v>80</v>
      </c>
      <c r="D195" t="s">
        <v>22</v>
      </c>
      <c r="E195" t="s">
        <v>80</v>
      </c>
      <c r="F195" t="s">
        <v>85</v>
      </c>
      <c r="G195" t="s">
        <v>28</v>
      </c>
      <c r="H195" t="s">
        <v>25</v>
      </c>
      <c r="I195" t="s">
        <v>25</v>
      </c>
      <c r="J195" t="s">
        <v>25</v>
      </c>
      <c r="K195">
        <v>6666</v>
      </c>
      <c r="L195">
        <v>0</v>
      </c>
      <c r="M195">
        <v>246</v>
      </c>
      <c r="N195">
        <v>246</v>
      </c>
      <c r="O195">
        <v>506</v>
      </c>
      <c r="P195">
        <v>237</v>
      </c>
      <c r="Q195">
        <v>184</v>
      </c>
      <c r="R195">
        <v>91</v>
      </c>
      <c r="S195">
        <v>47</v>
      </c>
      <c r="T195">
        <v>16</v>
      </c>
      <c r="U195">
        <v>3</v>
      </c>
      <c r="V195">
        <v>6460</v>
      </c>
    </row>
    <row r="196" spans="1:22" x14ac:dyDescent="0.25">
      <c r="A196">
        <v>2025</v>
      </c>
      <c r="B196">
        <v>6</v>
      </c>
      <c r="C196" t="s">
        <v>80</v>
      </c>
      <c r="D196" t="s">
        <v>22</v>
      </c>
      <c r="E196" t="s">
        <v>80</v>
      </c>
      <c r="F196" t="s">
        <v>86</v>
      </c>
      <c r="G196" t="s">
        <v>28</v>
      </c>
      <c r="H196" t="s">
        <v>25</v>
      </c>
      <c r="I196" t="s">
        <v>25</v>
      </c>
      <c r="J196" t="s">
        <v>25</v>
      </c>
      <c r="K196">
        <v>9</v>
      </c>
      <c r="L196">
        <v>0</v>
      </c>
      <c r="M196">
        <v>0</v>
      </c>
      <c r="N196">
        <v>0</v>
      </c>
      <c r="O196">
        <v>5</v>
      </c>
      <c r="P196">
        <v>4</v>
      </c>
      <c r="Q196">
        <v>4</v>
      </c>
      <c r="R196">
        <v>3</v>
      </c>
      <c r="S196">
        <v>2</v>
      </c>
      <c r="T196">
        <v>2</v>
      </c>
      <c r="U196">
        <v>1</v>
      </c>
      <c r="V196">
        <v>9</v>
      </c>
    </row>
    <row r="197" spans="1:22" x14ac:dyDescent="0.25">
      <c r="A197">
        <v>2025</v>
      </c>
      <c r="B197">
        <v>6</v>
      </c>
      <c r="C197" t="s">
        <v>80</v>
      </c>
      <c r="D197" t="s">
        <v>22</v>
      </c>
      <c r="E197" t="s">
        <v>80</v>
      </c>
      <c r="F197" t="s">
        <v>87</v>
      </c>
      <c r="G197" t="s">
        <v>28</v>
      </c>
      <c r="H197" t="s">
        <v>25</v>
      </c>
      <c r="I197" t="s">
        <v>25</v>
      </c>
      <c r="J197" t="s">
        <v>25</v>
      </c>
      <c r="K197">
        <v>216599</v>
      </c>
      <c r="L197">
        <v>190</v>
      </c>
      <c r="M197">
        <v>8739</v>
      </c>
      <c r="N197">
        <v>8929</v>
      </c>
      <c r="O197">
        <v>42648</v>
      </c>
      <c r="P197">
        <v>24776</v>
      </c>
      <c r="Q197">
        <v>19910</v>
      </c>
      <c r="R197">
        <v>10605</v>
      </c>
      <c r="S197">
        <v>6348</v>
      </c>
      <c r="T197">
        <v>2140</v>
      </c>
      <c r="U197">
        <v>420</v>
      </c>
      <c r="V197">
        <v>208992</v>
      </c>
    </row>
    <row r="198" spans="1:22" x14ac:dyDescent="0.25">
      <c r="A198">
        <v>2025</v>
      </c>
      <c r="B198">
        <v>6</v>
      </c>
      <c r="C198" t="s">
        <v>80</v>
      </c>
      <c r="D198" t="s">
        <v>22</v>
      </c>
      <c r="E198" t="s">
        <v>80</v>
      </c>
      <c r="F198" t="s">
        <v>87</v>
      </c>
      <c r="G198" t="s">
        <v>24</v>
      </c>
      <c r="H198" t="s">
        <v>25</v>
      </c>
      <c r="I198" t="s">
        <v>25</v>
      </c>
      <c r="J198" t="s">
        <v>25</v>
      </c>
      <c r="K198">
        <v>5434</v>
      </c>
      <c r="L198">
        <v>290</v>
      </c>
      <c r="M198">
        <v>132</v>
      </c>
      <c r="N198">
        <v>422</v>
      </c>
      <c r="O198">
        <v>1191</v>
      </c>
      <c r="P198">
        <v>745</v>
      </c>
      <c r="Q198">
        <v>623</v>
      </c>
      <c r="R198">
        <v>328</v>
      </c>
      <c r="S198">
        <v>201</v>
      </c>
      <c r="T198">
        <v>61</v>
      </c>
      <c r="U198">
        <v>8</v>
      </c>
      <c r="V198">
        <v>5026</v>
      </c>
    </row>
    <row r="199" spans="1:22" x14ac:dyDescent="0.25">
      <c r="A199">
        <v>2025</v>
      </c>
      <c r="B199">
        <v>6</v>
      </c>
      <c r="C199" t="s">
        <v>80</v>
      </c>
      <c r="D199" t="s">
        <v>22</v>
      </c>
      <c r="E199" t="s">
        <v>80</v>
      </c>
      <c r="F199" t="s">
        <v>87</v>
      </c>
      <c r="G199" t="s">
        <v>29</v>
      </c>
      <c r="H199" t="s">
        <v>25</v>
      </c>
      <c r="I199" t="s">
        <v>25</v>
      </c>
      <c r="J199" t="s">
        <v>25</v>
      </c>
      <c r="K199">
        <v>3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</row>
    <row r="200" spans="1:22" x14ac:dyDescent="0.25">
      <c r="A200">
        <v>2025</v>
      </c>
      <c r="B200">
        <v>7</v>
      </c>
      <c r="C200" t="s">
        <v>80</v>
      </c>
      <c r="D200" t="s">
        <v>22</v>
      </c>
      <c r="E200" t="s">
        <v>144</v>
      </c>
      <c r="F200" t="s">
        <v>36</v>
      </c>
      <c r="G200" t="s">
        <v>24</v>
      </c>
      <c r="H200" t="s">
        <v>25</v>
      </c>
      <c r="I200" t="s">
        <v>26</v>
      </c>
      <c r="J200" t="s">
        <v>25</v>
      </c>
      <c r="K200">
        <v>10</v>
      </c>
      <c r="L200">
        <v>2</v>
      </c>
      <c r="M200">
        <v>0</v>
      </c>
      <c r="N200">
        <v>2</v>
      </c>
      <c r="O200">
        <v>6</v>
      </c>
      <c r="P200">
        <v>6</v>
      </c>
      <c r="Q200">
        <v>6</v>
      </c>
      <c r="R200">
        <v>6</v>
      </c>
      <c r="S200">
        <v>5</v>
      </c>
      <c r="T200">
        <v>3</v>
      </c>
      <c r="U200">
        <v>2</v>
      </c>
      <c r="V200">
        <v>8</v>
      </c>
    </row>
    <row r="201" spans="1:22" x14ac:dyDescent="0.25">
      <c r="A201">
        <v>2025</v>
      </c>
      <c r="B201">
        <v>7</v>
      </c>
      <c r="C201" t="s">
        <v>80</v>
      </c>
      <c r="D201" t="s">
        <v>22</v>
      </c>
      <c r="E201" t="s">
        <v>154</v>
      </c>
      <c r="F201" t="s">
        <v>32</v>
      </c>
      <c r="G201" t="s">
        <v>24</v>
      </c>
      <c r="H201" t="s">
        <v>25</v>
      </c>
      <c r="I201" t="s">
        <v>25</v>
      </c>
      <c r="J201" t="s">
        <v>25</v>
      </c>
      <c r="K201">
        <v>16</v>
      </c>
      <c r="L201">
        <v>0</v>
      </c>
      <c r="M201">
        <v>0</v>
      </c>
      <c r="N201">
        <v>0</v>
      </c>
      <c r="O201">
        <v>13</v>
      </c>
      <c r="P201">
        <v>10</v>
      </c>
      <c r="Q201">
        <v>9</v>
      </c>
      <c r="R201">
        <v>7</v>
      </c>
      <c r="S201">
        <v>6</v>
      </c>
      <c r="T201">
        <v>5</v>
      </c>
      <c r="U201">
        <v>0</v>
      </c>
      <c r="V201">
        <v>16</v>
      </c>
    </row>
    <row r="202" spans="1:22" x14ac:dyDescent="0.25">
      <c r="A202">
        <v>2025</v>
      </c>
      <c r="B202">
        <v>7</v>
      </c>
      <c r="C202" t="s">
        <v>80</v>
      </c>
      <c r="D202" t="s">
        <v>22</v>
      </c>
      <c r="E202" t="s">
        <v>147</v>
      </c>
      <c r="F202" t="s">
        <v>32</v>
      </c>
      <c r="G202" t="s">
        <v>24</v>
      </c>
      <c r="H202" t="s">
        <v>25</v>
      </c>
      <c r="I202" t="s">
        <v>25</v>
      </c>
      <c r="J202" t="s">
        <v>25</v>
      </c>
      <c r="K202">
        <v>292</v>
      </c>
      <c r="L202">
        <v>0</v>
      </c>
      <c r="M202">
        <v>3</v>
      </c>
      <c r="N202">
        <v>3</v>
      </c>
      <c r="O202">
        <v>168</v>
      </c>
      <c r="P202">
        <v>150</v>
      </c>
      <c r="Q202">
        <v>136</v>
      </c>
      <c r="R202">
        <v>113</v>
      </c>
      <c r="S202">
        <v>89</v>
      </c>
      <c r="T202">
        <v>42</v>
      </c>
      <c r="U202">
        <v>9</v>
      </c>
      <c r="V202">
        <v>289</v>
      </c>
    </row>
    <row r="203" spans="1:22" x14ac:dyDescent="0.25">
      <c r="A203">
        <v>2025</v>
      </c>
      <c r="B203">
        <v>7</v>
      </c>
      <c r="C203" t="s">
        <v>80</v>
      </c>
      <c r="D203" t="s">
        <v>22</v>
      </c>
      <c r="E203" t="s">
        <v>147</v>
      </c>
      <c r="F203" t="s">
        <v>36</v>
      </c>
      <c r="G203" t="s">
        <v>24</v>
      </c>
      <c r="H203" t="s">
        <v>25</v>
      </c>
      <c r="I203" t="s">
        <v>26</v>
      </c>
      <c r="J203" t="s">
        <v>25</v>
      </c>
      <c r="K203">
        <v>8</v>
      </c>
      <c r="L203">
        <v>0</v>
      </c>
      <c r="M203">
        <v>0</v>
      </c>
      <c r="N203">
        <v>0</v>
      </c>
      <c r="O203">
        <v>6</v>
      </c>
      <c r="P203">
        <v>5</v>
      </c>
      <c r="Q203">
        <v>5</v>
      </c>
      <c r="R203">
        <v>5</v>
      </c>
      <c r="S203">
        <v>5</v>
      </c>
      <c r="T203">
        <v>4</v>
      </c>
      <c r="U203">
        <v>2</v>
      </c>
      <c r="V203">
        <v>8</v>
      </c>
    </row>
    <row r="204" spans="1:22" x14ac:dyDescent="0.25">
      <c r="A204">
        <v>2025</v>
      </c>
      <c r="B204">
        <v>7</v>
      </c>
      <c r="C204" t="s">
        <v>80</v>
      </c>
      <c r="D204" t="s">
        <v>22</v>
      </c>
      <c r="E204" t="s">
        <v>149</v>
      </c>
      <c r="F204" t="s">
        <v>38</v>
      </c>
      <c r="G204" t="s">
        <v>24</v>
      </c>
      <c r="H204" t="s">
        <v>25</v>
      </c>
      <c r="I204" t="s">
        <v>26</v>
      </c>
      <c r="J204" t="s">
        <v>25</v>
      </c>
      <c r="K204">
        <v>4</v>
      </c>
      <c r="L204">
        <v>0</v>
      </c>
      <c r="M204">
        <v>0</v>
      </c>
      <c r="N204">
        <v>0</v>
      </c>
      <c r="O204">
        <v>1</v>
      </c>
      <c r="P204">
        <v>1</v>
      </c>
      <c r="Q204">
        <v>1</v>
      </c>
      <c r="R204">
        <v>1</v>
      </c>
      <c r="S204">
        <v>1</v>
      </c>
      <c r="T204">
        <v>1</v>
      </c>
      <c r="U204">
        <v>0</v>
      </c>
      <c r="V204">
        <v>4</v>
      </c>
    </row>
    <row r="205" spans="1:22" x14ac:dyDescent="0.25">
      <c r="A205">
        <v>2025</v>
      </c>
      <c r="B205">
        <v>7</v>
      </c>
      <c r="C205" t="s">
        <v>80</v>
      </c>
      <c r="D205" t="s">
        <v>22</v>
      </c>
      <c r="E205" t="s">
        <v>150</v>
      </c>
      <c r="F205" t="s">
        <v>32</v>
      </c>
      <c r="G205" t="s">
        <v>24</v>
      </c>
      <c r="H205" t="s">
        <v>25</v>
      </c>
      <c r="I205" t="s">
        <v>25</v>
      </c>
      <c r="J205" t="s">
        <v>25</v>
      </c>
      <c r="K205">
        <v>25</v>
      </c>
      <c r="L205">
        <v>0</v>
      </c>
      <c r="M205">
        <v>0</v>
      </c>
      <c r="N205">
        <v>0</v>
      </c>
      <c r="O205">
        <v>15</v>
      </c>
      <c r="P205">
        <v>11</v>
      </c>
      <c r="Q205">
        <v>8</v>
      </c>
      <c r="R205">
        <v>7</v>
      </c>
      <c r="S205">
        <v>4</v>
      </c>
      <c r="T205">
        <v>2</v>
      </c>
      <c r="U205">
        <v>0</v>
      </c>
      <c r="V205">
        <v>25</v>
      </c>
    </row>
    <row r="206" spans="1:22" x14ac:dyDescent="0.25">
      <c r="A206">
        <v>2025</v>
      </c>
      <c r="B206">
        <v>7</v>
      </c>
      <c r="C206" t="s">
        <v>80</v>
      </c>
      <c r="D206" t="s">
        <v>22</v>
      </c>
      <c r="E206" t="s">
        <v>61</v>
      </c>
      <c r="F206" t="s">
        <v>35</v>
      </c>
      <c r="G206" t="s">
        <v>28</v>
      </c>
      <c r="H206" t="s">
        <v>25</v>
      </c>
      <c r="I206" t="s">
        <v>26</v>
      </c>
      <c r="J206" t="s">
        <v>26</v>
      </c>
      <c r="K206">
        <v>3</v>
      </c>
      <c r="L206">
        <v>0</v>
      </c>
      <c r="M206">
        <v>0</v>
      </c>
      <c r="N206">
        <v>0</v>
      </c>
      <c r="O206">
        <v>3</v>
      </c>
      <c r="P206">
        <v>3</v>
      </c>
      <c r="Q206">
        <v>3</v>
      </c>
      <c r="R206">
        <v>2</v>
      </c>
      <c r="S206">
        <v>1</v>
      </c>
      <c r="T206">
        <v>1</v>
      </c>
      <c r="U206">
        <v>0</v>
      </c>
      <c r="V206">
        <v>3</v>
      </c>
    </row>
    <row r="207" spans="1:22" x14ac:dyDescent="0.25">
      <c r="A207">
        <v>2025</v>
      </c>
      <c r="B207">
        <v>7</v>
      </c>
      <c r="C207" t="s">
        <v>80</v>
      </c>
      <c r="D207" t="s">
        <v>22</v>
      </c>
      <c r="E207" t="s">
        <v>61</v>
      </c>
      <c r="F207" t="s">
        <v>35</v>
      </c>
      <c r="G207" t="s">
        <v>24</v>
      </c>
      <c r="H207" t="s">
        <v>25</v>
      </c>
      <c r="I207" t="s">
        <v>26</v>
      </c>
      <c r="J207" t="s">
        <v>26</v>
      </c>
      <c r="K207">
        <v>286</v>
      </c>
      <c r="L207">
        <v>0</v>
      </c>
      <c r="M207">
        <v>1</v>
      </c>
      <c r="N207">
        <v>1</v>
      </c>
      <c r="O207">
        <v>104</v>
      </c>
      <c r="P207">
        <v>94</v>
      </c>
      <c r="Q207">
        <v>87</v>
      </c>
      <c r="R207">
        <v>67</v>
      </c>
      <c r="S207">
        <v>62</v>
      </c>
      <c r="T207">
        <v>48</v>
      </c>
      <c r="U207">
        <v>19</v>
      </c>
      <c r="V207">
        <v>285</v>
      </c>
    </row>
    <row r="208" spans="1:22" x14ac:dyDescent="0.25">
      <c r="A208">
        <v>2025</v>
      </c>
      <c r="B208">
        <v>7</v>
      </c>
      <c r="C208" t="s">
        <v>80</v>
      </c>
      <c r="D208" t="s">
        <v>22</v>
      </c>
      <c r="E208" t="s">
        <v>61</v>
      </c>
      <c r="F208" t="s">
        <v>36</v>
      </c>
      <c r="G208" t="s">
        <v>24</v>
      </c>
      <c r="H208" t="s">
        <v>25</v>
      </c>
      <c r="I208" t="s">
        <v>26</v>
      </c>
      <c r="J208" t="s">
        <v>25</v>
      </c>
      <c r="K208">
        <v>124</v>
      </c>
      <c r="L208">
        <v>0</v>
      </c>
      <c r="M208">
        <v>0</v>
      </c>
      <c r="N208">
        <v>0</v>
      </c>
      <c r="O208">
        <v>17</v>
      </c>
      <c r="P208">
        <v>15</v>
      </c>
      <c r="Q208">
        <v>14</v>
      </c>
      <c r="R208">
        <v>13</v>
      </c>
      <c r="S208">
        <v>10</v>
      </c>
      <c r="T208">
        <v>5</v>
      </c>
      <c r="U208">
        <v>2</v>
      </c>
      <c r="V208">
        <v>124</v>
      </c>
    </row>
    <row r="209" spans="1:22" x14ac:dyDescent="0.25">
      <c r="A209">
        <v>2025</v>
      </c>
      <c r="B209">
        <v>7</v>
      </c>
      <c r="C209" t="s">
        <v>80</v>
      </c>
      <c r="D209" t="s">
        <v>22</v>
      </c>
      <c r="E209" t="s">
        <v>61</v>
      </c>
      <c r="F209" t="s">
        <v>41</v>
      </c>
      <c r="G209" t="s">
        <v>24</v>
      </c>
      <c r="H209" t="s">
        <v>26</v>
      </c>
      <c r="I209" t="s">
        <v>26</v>
      </c>
      <c r="J209" t="s">
        <v>25</v>
      </c>
      <c r="K209">
        <v>5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5</v>
      </c>
    </row>
    <row r="210" spans="1:22" x14ac:dyDescent="0.25">
      <c r="A210">
        <v>2025</v>
      </c>
      <c r="B210">
        <v>7</v>
      </c>
      <c r="C210" t="s">
        <v>80</v>
      </c>
      <c r="D210" t="s">
        <v>22</v>
      </c>
      <c r="E210" t="s">
        <v>157</v>
      </c>
      <c r="F210" t="s">
        <v>31</v>
      </c>
      <c r="G210" t="s">
        <v>24</v>
      </c>
      <c r="H210" t="s">
        <v>25</v>
      </c>
      <c r="I210" t="s">
        <v>25</v>
      </c>
      <c r="J210" t="s">
        <v>25</v>
      </c>
      <c r="K210">
        <v>124</v>
      </c>
      <c r="L210">
        <v>0</v>
      </c>
      <c r="M210">
        <v>0</v>
      </c>
      <c r="N210">
        <v>0</v>
      </c>
      <c r="O210">
        <v>18</v>
      </c>
      <c r="P210">
        <v>18</v>
      </c>
      <c r="Q210">
        <v>16</v>
      </c>
      <c r="R210">
        <v>11</v>
      </c>
      <c r="S210">
        <v>7</v>
      </c>
      <c r="T210">
        <v>2</v>
      </c>
      <c r="U210">
        <v>1</v>
      </c>
      <c r="V210">
        <v>124</v>
      </c>
    </row>
    <row r="211" spans="1:22" x14ac:dyDescent="0.25">
      <c r="A211">
        <v>2025</v>
      </c>
      <c r="B211">
        <v>7</v>
      </c>
      <c r="C211" t="s">
        <v>80</v>
      </c>
      <c r="D211" t="s">
        <v>22</v>
      </c>
      <c r="E211" t="s">
        <v>157</v>
      </c>
      <c r="F211" t="s">
        <v>32</v>
      </c>
      <c r="G211" t="s">
        <v>24</v>
      </c>
      <c r="H211" t="s">
        <v>25</v>
      </c>
      <c r="I211" t="s">
        <v>25</v>
      </c>
      <c r="J211" t="s">
        <v>25</v>
      </c>
      <c r="K211">
        <v>58</v>
      </c>
      <c r="L211">
        <v>0</v>
      </c>
      <c r="M211">
        <v>3</v>
      </c>
      <c r="N211">
        <v>3</v>
      </c>
      <c r="O211">
        <v>13</v>
      </c>
      <c r="P211">
        <v>10</v>
      </c>
      <c r="Q211">
        <v>10</v>
      </c>
      <c r="R211">
        <v>7</v>
      </c>
      <c r="S211">
        <v>6</v>
      </c>
      <c r="T211">
        <v>3</v>
      </c>
      <c r="U211">
        <v>2</v>
      </c>
      <c r="V211">
        <v>55</v>
      </c>
    </row>
    <row r="212" spans="1:22" x14ac:dyDescent="0.25">
      <c r="A212">
        <v>2025</v>
      </c>
      <c r="B212">
        <v>7</v>
      </c>
      <c r="C212" t="s">
        <v>80</v>
      </c>
      <c r="D212" t="s">
        <v>22</v>
      </c>
      <c r="E212" t="s">
        <v>157</v>
      </c>
      <c r="F212" t="s">
        <v>34</v>
      </c>
      <c r="G212" t="s">
        <v>24</v>
      </c>
      <c r="H212" t="s">
        <v>25</v>
      </c>
      <c r="I212" t="s">
        <v>26</v>
      </c>
      <c r="J212" t="s">
        <v>26</v>
      </c>
      <c r="K212">
        <v>30</v>
      </c>
      <c r="L212">
        <v>0</v>
      </c>
      <c r="M212">
        <v>0</v>
      </c>
      <c r="N212">
        <v>0</v>
      </c>
      <c r="O212">
        <v>3</v>
      </c>
      <c r="P212">
        <v>3</v>
      </c>
      <c r="Q212">
        <v>3</v>
      </c>
      <c r="R212">
        <v>3</v>
      </c>
      <c r="S212">
        <v>3</v>
      </c>
      <c r="T212">
        <v>3</v>
      </c>
      <c r="U212">
        <v>3</v>
      </c>
      <c r="V212">
        <v>30</v>
      </c>
    </row>
    <row r="213" spans="1:22" x14ac:dyDescent="0.25">
      <c r="A213">
        <v>2025</v>
      </c>
      <c r="B213">
        <v>7</v>
      </c>
      <c r="C213" t="s">
        <v>80</v>
      </c>
      <c r="D213" t="s">
        <v>22</v>
      </c>
      <c r="E213" t="s">
        <v>157</v>
      </c>
      <c r="F213" t="s">
        <v>23</v>
      </c>
      <c r="G213" t="s">
        <v>24</v>
      </c>
      <c r="H213" t="s">
        <v>25</v>
      </c>
      <c r="I213" t="s">
        <v>26</v>
      </c>
      <c r="J213" t="s">
        <v>25</v>
      </c>
      <c r="K213">
        <v>2</v>
      </c>
      <c r="L213">
        <v>0</v>
      </c>
      <c r="M213">
        <v>0</v>
      </c>
      <c r="N213">
        <v>0</v>
      </c>
      <c r="O213">
        <v>1</v>
      </c>
      <c r="P213">
        <v>1</v>
      </c>
      <c r="Q213">
        <v>1</v>
      </c>
      <c r="R213">
        <v>0</v>
      </c>
      <c r="S213">
        <v>0</v>
      </c>
      <c r="T213">
        <v>0</v>
      </c>
      <c r="U213">
        <v>0</v>
      </c>
      <c r="V213">
        <v>2</v>
      </c>
    </row>
    <row r="214" spans="1:22" x14ac:dyDescent="0.25">
      <c r="A214">
        <v>2025</v>
      </c>
      <c r="B214">
        <v>7</v>
      </c>
      <c r="C214" t="s">
        <v>80</v>
      </c>
      <c r="D214" t="s">
        <v>22</v>
      </c>
      <c r="E214" t="s">
        <v>69</v>
      </c>
      <c r="F214" t="s">
        <v>40</v>
      </c>
      <c r="G214" t="s">
        <v>24</v>
      </c>
      <c r="H214" t="s">
        <v>25</v>
      </c>
      <c r="I214" t="s">
        <v>26</v>
      </c>
      <c r="J214" t="s">
        <v>25</v>
      </c>
      <c r="K214">
        <v>53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53</v>
      </c>
    </row>
    <row r="215" spans="1:22" x14ac:dyDescent="0.25">
      <c r="A215">
        <v>2025</v>
      </c>
      <c r="B215">
        <v>7</v>
      </c>
      <c r="C215" t="s">
        <v>80</v>
      </c>
      <c r="D215" t="s">
        <v>22</v>
      </c>
      <c r="E215" t="s">
        <v>173</v>
      </c>
      <c r="F215" t="s">
        <v>32</v>
      </c>
      <c r="G215" t="s">
        <v>24</v>
      </c>
      <c r="H215" t="s">
        <v>25</v>
      </c>
      <c r="I215" t="s">
        <v>25</v>
      </c>
      <c r="J215" t="s">
        <v>25</v>
      </c>
      <c r="K215">
        <v>880</v>
      </c>
      <c r="L215">
        <v>9</v>
      </c>
      <c r="M215">
        <v>13</v>
      </c>
      <c r="N215">
        <v>22</v>
      </c>
      <c r="O215">
        <v>290</v>
      </c>
      <c r="P215">
        <v>237</v>
      </c>
      <c r="Q215">
        <v>214</v>
      </c>
      <c r="R215">
        <v>150</v>
      </c>
      <c r="S215">
        <v>96</v>
      </c>
      <c r="T215">
        <v>44</v>
      </c>
      <c r="U215">
        <v>7</v>
      </c>
      <c r="V215">
        <v>858</v>
      </c>
    </row>
    <row r="216" spans="1:22" x14ac:dyDescent="0.25">
      <c r="A216">
        <v>2025</v>
      </c>
      <c r="B216">
        <v>7</v>
      </c>
      <c r="C216" t="s">
        <v>80</v>
      </c>
      <c r="D216" t="s">
        <v>22</v>
      </c>
      <c r="E216" t="s">
        <v>173</v>
      </c>
      <c r="F216" t="s">
        <v>23</v>
      </c>
      <c r="G216" t="s">
        <v>24</v>
      </c>
      <c r="H216" t="s">
        <v>25</v>
      </c>
      <c r="I216" t="s">
        <v>26</v>
      </c>
      <c r="J216" t="s">
        <v>25</v>
      </c>
      <c r="K216">
        <v>1</v>
      </c>
      <c r="L216">
        <v>0</v>
      </c>
      <c r="M216">
        <v>0</v>
      </c>
      <c r="N216">
        <v>0</v>
      </c>
      <c r="O216">
        <v>1</v>
      </c>
      <c r="P216">
        <v>1</v>
      </c>
      <c r="Q216">
        <v>1</v>
      </c>
      <c r="R216">
        <v>0</v>
      </c>
      <c r="S216">
        <v>0</v>
      </c>
      <c r="T216">
        <v>0</v>
      </c>
      <c r="U216">
        <v>0</v>
      </c>
      <c r="V216">
        <v>1</v>
      </c>
    </row>
    <row r="217" spans="1:22" x14ac:dyDescent="0.25">
      <c r="A217">
        <v>2025</v>
      </c>
      <c r="B217">
        <v>7</v>
      </c>
      <c r="C217" t="s">
        <v>80</v>
      </c>
      <c r="D217" t="s">
        <v>22</v>
      </c>
      <c r="E217" t="s">
        <v>80</v>
      </c>
      <c r="F217" t="s">
        <v>102</v>
      </c>
      <c r="G217" t="s">
        <v>28</v>
      </c>
      <c r="H217" t="s">
        <v>25</v>
      </c>
      <c r="I217" t="s">
        <v>25</v>
      </c>
      <c r="J217" t="s">
        <v>25</v>
      </c>
      <c r="K217">
        <v>1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1</v>
      </c>
    </row>
    <row r="218" spans="1:22" x14ac:dyDescent="0.25">
      <c r="A218">
        <v>2025</v>
      </c>
      <c r="B218">
        <v>7</v>
      </c>
      <c r="C218" t="s">
        <v>80</v>
      </c>
      <c r="D218" t="s">
        <v>22</v>
      </c>
      <c r="E218" t="s">
        <v>80</v>
      </c>
      <c r="F218" t="s">
        <v>32</v>
      </c>
      <c r="G218" t="s">
        <v>28</v>
      </c>
      <c r="H218" t="s">
        <v>25</v>
      </c>
      <c r="I218" t="s">
        <v>25</v>
      </c>
      <c r="J218" t="s">
        <v>25</v>
      </c>
      <c r="K218">
        <v>52</v>
      </c>
      <c r="L218">
        <v>0</v>
      </c>
      <c r="M218">
        <v>0</v>
      </c>
      <c r="N218">
        <v>0</v>
      </c>
      <c r="O218">
        <v>38</v>
      </c>
      <c r="P218">
        <v>35</v>
      </c>
      <c r="Q218">
        <v>28</v>
      </c>
      <c r="R218">
        <v>20</v>
      </c>
      <c r="S218">
        <v>13</v>
      </c>
      <c r="T218">
        <v>8</v>
      </c>
      <c r="U218">
        <v>1</v>
      </c>
      <c r="V218">
        <v>52</v>
      </c>
    </row>
    <row r="219" spans="1:22" x14ac:dyDescent="0.25">
      <c r="A219">
        <v>2025</v>
      </c>
      <c r="B219">
        <v>7</v>
      </c>
      <c r="C219" t="s">
        <v>80</v>
      </c>
      <c r="D219" t="s">
        <v>22</v>
      </c>
      <c r="E219" t="s">
        <v>80</v>
      </c>
      <c r="F219" t="s">
        <v>34</v>
      </c>
      <c r="G219" t="s">
        <v>28</v>
      </c>
      <c r="H219" t="s">
        <v>25</v>
      </c>
      <c r="I219" t="s">
        <v>26</v>
      </c>
      <c r="J219" t="s">
        <v>26</v>
      </c>
      <c r="K219">
        <v>4</v>
      </c>
      <c r="L219">
        <v>0</v>
      </c>
      <c r="M219">
        <v>0</v>
      </c>
      <c r="N219">
        <v>0</v>
      </c>
      <c r="O219">
        <v>2</v>
      </c>
      <c r="P219">
        <v>2</v>
      </c>
      <c r="Q219">
        <v>2</v>
      </c>
      <c r="R219">
        <v>1</v>
      </c>
      <c r="S219">
        <v>1</v>
      </c>
      <c r="T219">
        <v>0</v>
      </c>
      <c r="U219">
        <v>0</v>
      </c>
      <c r="V219">
        <v>4</v>
      </c>
    </row>
    <row r="220" spans="1:22" x14ac:dyDescent="0.25">
      <c r="A220">
        <v>2025</v>
      </c>
      <c r="B220">
        <v>7</v>
      </c>
      <c r="C220" t="s">
        <v>80</v>
      </c>
      <c r="D220" t="s">
        <v>22</v>
      </c>
      <c r="E220" t="s">
        <v>80</v>
      </c>
      <c r="F220" t="s">
        <v>76</v>
      </c>
      <c r="G220" t="s">
        <v>28</v>
      </c>
      <c r="H220" t="s">
        <v>25</v>
      </c>
      <c r="I220" t="s">
        <v>26</v>
      </c>
      <c r="J220" t="s">
        <v>25</v>
      </c>
      <c r="K220">
        <v>48</v>
      </c>
      <c r="L220">
        <v>0</v>
      </c>
      <c r="M220">
        <v>2</v>
      </c>
      <c r="N220">
        <v>2</v>
      </c>
      <c r="O220">
        <v>19</v>
      </c>
      <c r="P220">
        <v>17</v>
      </c>
      <c r="Q220">
        <v>17</v>
      </c>
      <c r="R220">
        <v>14</v>
      </c>
      <c r="S220">
        <v>10</v>
      </c>
      <c r="T220">
        <v>8</v>
      </c>
      <c r="U220">
        <v>3</v>
      </c>
      <c r="V220">
        <v>47</v>
      </c>
    </row>
    <row r="221" spans="1:22" x14ac:dyDescent="0.25">
      <c r="A221">
        <v>2025</v>
      </c>
      <c r="B221">
        <v>7</v>
      </c>
      <c r="C221" t="s">
        <v>80</v>
      </c>
      <c r="D221" t="s">
        <v>22</v>
      </c>
      <c r="E221" t="s">
        <v>80</v>
      </c>
      <c r="F221" t="s">
        <v>76</v>
      </c>
      <c r="G221" t="s">
        <v>24</v>
      </c>
      <c r="H221" t="s">
        <v>25</v>
      </c>
      <c r="I221" t="s">
        <v>26</v>
      </c>
      <c r="J221" t="s">
        <v>25</v>
      </c>
      <c r="K221">
        <v>1</v>
      </c>
      <c r="L221">
        <v>0</v>
      </c>
      <c r="M221">
        <v>0</v>
      </c>
      <c r="N221">
        <v>0</v>
      </c>
      <c r="O221">
        <v>1</v>
      </c>
      <c r="P221">
        <v>1</v>
      </c>
      <c r="Q221">
        <v>1</v>
      </c>
      <c r="R221">
        <v>1</v>
      </c>
      <c r="S221">
        <v>1</v>
      </c>
      <c r="T221">
        <v>0</v>
      </c>
      <c r="U221">
        <v>0</v>
      </c>
      <c r="V221">
        <v>1</v>
      </c>
    </row>
    <row r="222" spans="1:22" x14ac:dyDescent="0.25">
      <c r="A222">
        <v>2025</v>
      </c>
      <c r="B222">
        <v>7</v>
      </c>
      <c r="C222" t="s">
        <v>80</v>
      </c>
      <c r="D222" t="s">
        <v>22</v>
      </c>
      <c r="E222" t="s">
        <v>80</v>
      </c>
      <c r="F222" t="s">
        <v>76</v>
      </c>
      <c r="G222" t="s">
        <v>29</v>
      </c>
      <c r="H222" t="s">
        <v>25</v>
      </c>
      <c r="I222" t="s">
        <v>26</v>
      </c>
      <c r="J222" t="s">
        <v>25</v>
      </c>
      <c r="K222">
        <v>1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</row>
    <row r="223" spans="1:22" x14ac:dyDescent="0.25">
      <c r="A223">
        <v>2025</v>
      </c>
      <c r="B223">
        <v>7</v>
      </c>
      <c r="C223" t="s">
        <v>80</v>
      </c>
      <c r="D223" t="s">
        <v>22</v>
      </c>
      <c r="E223" t="s">
        <v>80</v>
      </c>
      <c r="F223" t="s">
        <v>81</v>
      </c>
      <c r="G223" t="s">
        <v>28</v>
      </c>
      <c r="H223" t="s">
        <v>25</v>
      </c>
      <c r="I223" t="s">
        <v>26</v>
      </c>
      <c r="J223" t="s">
        <v>25</v>
      </c>
      <c r="K223">
        <v>567</v>
      </c>
      <c r="L223">
        <v>0</v>
      </c>
      <c r="M223">
        <v>13</v>
      </c>
      <c r="N223">
        <v>13</v>
      </c>
      <c r="O223">
        <v>339</v>
      </c>
      <c r="P223">
        <v>292</v>
      </c>
      <c r="Q223">
        <v>266</v>
      </c>
      <c r="R223">
        <v>208</v>
      </c>
      <c r="S223">
        <v>166</v>
      </c>
      <c r="T223">
        <v>96</v>
      </c>
      <c r="U223">
        <v>37</v>
      </c>
      <c r="V223">
        <v>555</v>
      </c>
    </row>
    <row r="224" spans="1:22" x14ac:dyDescent="0.25">
      <c r="A224">
        <v>2025</v>
      </c>
      <c r="B224">
        <v>7</v>
      </c>
      <c r="C224" t="s">
        <v>80</v>
      </c>
      <c r="D224" t="s">
        <v>22</v>
      </c>
      <c r="E224" t="s">
        <v>80</v>
      </c>
      <c r="F224" t="s">
        <v>82</v>
      </c>
      <c r="G224" t="s">
        <v>28</v>
      </c>
      <c r="H224" t="s">
        <v>25</v>
      </c>
      <c r="I224" t="s">
        <v>26</v>
      </c>
      <c r="J224" t="s">
        <v>25</v>
      </c>
      <c r="K224">
        <v>298</v>
      </c>
      <c r="L224">
        <v>0</v>
      </c>
      <c r="M224">
        <v>6</v>
      </c>
      <c r="N224">
        <v>6</v>
      </c>
      <c r="O224">
        <v>171</v>
      </c>
      <c r="P224">
        <v>141</v>
      </c>
      <c r="Q224">
        <v>132</v>
      </c>
      <c r="R224">
        <v>88</v>
      </c>
      <c r="S224">
        <v>67</v>
      </c>
      <c r="T224">
        <v>27</v>
      </c>
      <c r="U224">
        <v>8</v>
      </c>
      <c r="V224">
        <v>292</v>
      </c>
    </row>
    <row r="225" spans="1:22" x14ac:dyDescent="0.25">
      <c r="A225">
        <v>2025</v>
      </c>
      <c r="B225">
        <v>7</v>
      </c>
      <c r="C225" t="s">
        <v>80</v>
      </c>
      <c r="D225" t="s">
        <v>22</v>
      </c>
      <c r="E225" t="s">
        <v>80</v>
      </c>
      <c r="F225" t="s">
        <v>83</v>
      </c>
      <c r="G225" t="s">
        <v>28</v>
      </c>
      <c r="H225" t="s">
        <v>26</v>
      </c>
      <c r="I225" t="s">
        <v>26</v>
      </c>
      <c r="J225" t="s">
        <v>25</v>
      </c>
      <c r="K225">
        <v>6805</v>
      </c>
      <c r="L225">
        <v>0</v>
      </c>
      <c r="M225">
        <v>169</v>
      </c>
      <c r="N225">
        <v>169</v>
      </c>
      <c r="O225">
        <v>3438</v>
      </c>
      <c r="P225">
        <v>2834</v>
      </c>
      <c r="Q225">
        <v>2614</v>
      </c>
      <c r="R225">
        <v>1912</v>
      </c>
      <c r="S225">
        <v>1431</v>
      </c>
      <c r="T225">
        <v>789</v>
      </c>
      <c r="U225">
        <v>293</v>
      </c>
      <c r="V225">
        <v>6660</v>
      </c>
    </row>
    <row r="226" spans="1:22" x14ac:dyDescent="0.25">
      <c r="A226">
        <v>2025</v>
      </c>
      <c r="B226">
        <v>7</v>
      </c>
      <c r="C226" t="s">
        <v>80</v>
      </c>
      <c r="D226" t="s">
        <v>22</v>
      </c>
      <c r="E226" t="s">
        <v>80</v>
      </c>
      <c r="F226" t="s">
        <v>23</v>
      </c>
      <c r="G226" t="s">
        <v>28</v>
      </c>
      <c r="H226" t="s">
        <v>25</v>
      </c>
      <c r="I226" t="s">
        <v>26</v>
      </c>
      <c r="J226" t="s">
        <v>25</v>
      </c>
      <c r="K226">
        <v>3056</v>
      </c>
      <c r="L226">
        <v>0</v>
      </c>
      <c r="M226">
        <v>125</v>
      </c>
      <c r="N226">
        <v>125</v>
      </c>
      <c r="O226">
        <v>1509</v>
      </c>
      <c r="P226">
        <v>1303</v>
      </c>
      <c r="Q226">
        <v>1220</v>
      </c>
      <c r="R226">
        <v>935</v>
      </c>
      <c r="S226">
        <v>717</v>
      </c>
      <c r="T226">
        <v>387</v>
      </c>
      <c r="U226">
        <v>147</v>
      </c>
      <c r="V226">
        <v>2956</v>
      </c>
    </row>
    <row r="227" spans="1:22" x14ac:dyDescent="0.25">
      <c r="A227">
        <v>2025</v>
      </c>
      <c r="B227">
        <v>7</v>
      </c>
      <c r="C227" t="s">
        <v>80</v>
      </c>
      <c r="D227" t="s">
        <v>22</v>
      </c>
      <c r="E227" t="s">
        <v>80</v>
      </c>
      <c r="F227" t="s">
        <v>84</v>
      </c>
      <c r="G227" t="s">
        <v>28</v>
      </c>
      <c r="H227" t="s">
        <v>25</v>
      </c>
      <c r="I227" t="s">
        <v>26</v>
      </c>
      <c r="J227" t="s">
        <v>26</v>
      </c>
      <c r="K227">
        <v>582</v>
      </c>
      <c r="L227">
        <v>0</v>
      </c>
      <c r="M227">
        <v>0</v>
      </c>
      <c r="N227">
        <v>0</v>
      </c>
      <c r="O227">
        <v>198</v>
      </c>
      <c r="P227">
        <v>166</v>
      </c>
      <c r="Q227">
        <v>154</v>
      </c>
      <c r="R227">
        <v>115</v>
      </c>
      <c r="S227">
        <v>90</v>
      </c>
      <c r="T227">
        <v>58</v>
      </c>
      <c r="U227">
        <v>24</v>
      </c>
      <c r="V227">
        <v>582</v>
      </c>
    </row>
    <row r="228" spans="1:22" x14ac:dyDescent="0.25">
      <c r="A228">
        <v>2025</v>
      </c>
      <c r="B228">
        <v>7</v>
      </c>
      <c r="C228" t="s">
        <v>80</v>
      </c>
      <c r="D228" t="s">
        <v>22</v>
      </c>
      <c r="E228" t="s">
        <v>80</v>
      </c>
      <c r="F228" t="s">
        <v>40</v>
      </c>
      <c r="G228" t="s">
        <v>28</v>
      </c>
      <c r="H228" t="s">
        <v>25</v>
      </c>
      <c r="I228" t="s">
        <v>26</v>
      </c>
      <c r="J228" t="s">
        <v>25</v>
      </c>
      <c r="K228">
        <v>11</v>
      </c>
      <c r="L228">
        <v>0</v>
      </c>
      <c r="M228">
        <v>2</v>
      </c>
      <c r="N228">
        <v>2</v>
      </c>
      <c r="O228">
        <v>6</v>
      </c>
      <c r="P228">
        <v>6</v>
      </c>
      <c r="Q228">
        <v>6</v>
      </c>
      <c r="R228">
        <v>4</v>
      </c>
      <c r="S228">
        <v>4</v>
      </c>
      <c r="T228">
        <v>4</v>
      </c>
      <c r="U228">
        <v>1</v>
      </c>
      <c r="V228">
        <v>10</v>
      </c>
    </row>
    <row r="229" spans="1:22" x14ac:dyDescent="0.25">
      <c r="A229">
        <v>2025</v>
      </c>
      <c r="B229">
        <v>7</v>
      </c>
      <c r="C229" t="s">
        <v>80</v>
      </c>
      <c r="D229" t="s">
        <v>22</v>
      </c>
      <c r="E229" t="s">
        <v>80</v>
      </c>
      <c r="F229" t="s">
        <v>85</v>
      </c>
      <c r="G229" t="s">
        <v>28</v>
      </c>
      <c r="H229" t="s">
        <v>25</v>
      </c>
      <c r="I229" t="s">
        <v>25</v>
      </c>
      <c r="J229" t="s">
        <v>25</v>
      </c>
      <c r="K229">
        <v>6572</v>
      </c>
      <c r="L229">
        <v>0</v>
      </c>
      <c r="M229">
        <v>536</v>
      </c>
      <c r="N229">
        <v>536</v>
      </c>
      <c r="O229">
        <v>504</v>
      </c>
      <c r="P229">
        <v>253</v>
      </c>
      <c r="Q229">
        <v>217</v>
      </c>
      <c r="R229">
        <v>138</v>
      </c>
      <c r="S229">
        <v>71</v>
      </c>
      <c r="T229">
        <v>19</v>
      </c>
      <c r="U229">
        <v>6</v>
      </c>
      <c r="V229">
        <v>6177</v>
      </c>
    </row>
    <row r="230" spans="1:22" x14ac:dyDescent="0.25">
      <c r="A230">
        <v>2025</v>
      </c>
      <c r="B230">
        <v>7</v>
      </c>
      <c r="C230" t="s">
        <v>80</v>
      </c>
      <c r="D230" t="s">
        <v>22</v>
      </c>
      <c r="E230" t="s">
        <v>80</v>
      </c>
      <c r="F230" t="s">
        <v>86</v>
      </c>
      <c r="G230" t="s">
        <v>28</v>
      </c>
      <c r="H230" t="s">
        <v>25</v>
      </c>
      <c r="I230" t="s">
        <v>25</v>
      </c>
      <c r="J230" t="s">
        <v>25</v>
      </c>
      <c r="K230">
        <v>7</v>
      </c>
      <c r="L230">
        <v>0</v>
      </c>
      <c r="M230">
        <v>3</v>
      </c>
      <c r="N230">
        <v>3</v>
      </c>
      <c r="O230">
        <v>4</v>
      </c>
      <c r="P230">
        <v>3</v>
      </c>
      <c r="Q230">
        <v>3</v>
      </c>
      <c r="R230">
        <v>3</v>
      </c>
      <c r="S230">
        <v>1</v>
      </c>
      <c r="T230">
        <v>1</v>
      </c>
      <c r="U230">
        <v>1</v>
      </c>
      <c r="V230">
        <v>5</v>
      </c>
    </row>
    <row r="231" spans="1:22" x14ac:dyDescent="0.25">
      <c r="A231">
        <v>2025</v>
      </c>
      <c r="B231">
        <v>7</v>
      </c>
      <c r="C231" t="s">
        <v>80</v>
      </c>
      <c r="D231" t="s">
        <v>22</v>
      </c>
      <c r="E231" t="s">
        <v>80</v>
      </c>
      <c r="F231" t="s">
        <v>86</v>
      </c>
      <c r="G231" t="s">
        <v>29</v>
      </c>
      <c r="H231" t="s">
        <v>25</v>
      </c>
      <c r="I231" t="s">
        <v>25</v>
      </c>
      <c r="J231" t="s">
        <v>25</v>
      </c>
      <c r="K231">
        <v>6</v>
      </c>
      <c r="L231">
        <v>1</v>
      </c>
      <c r="M231">
        <v>0</v>
      </c>
      <c r="N231">
        <v>1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</row>
    <row r="232" spans="1:22" x14ac:dyDescent="0.25">
      <c r="A232">
        <v>2025</v>
      </c>
      <c r="B232">
        <v>7</v>
      </c>
      <c r="C232" t="s">
        <v>80</v>
      </c>
      <c r="D232" t="s">
        <v>22</v>
      </c>
      <c r="E232" t="s">
        <v>80</v>
      </c>
      <c r="F232" t="s">
        <v>87</v>
      </c>
      <c r="G232" t="s">
        <v>28</v>
      </c>
      <c r="H232" t="s">
        <v>25</v>
      </c>
      <c r="I232" t="s">
        <v>25</v>
      </c>
      <c r="J232" t="s">
        <v>25</v>
      </c>
      <c r="K232">
        <v>218878</v>
      </c>
      <c r="L232">
        <v>226</v>
      </c>
      <c r="M232">
        <v>8275</v>
      </c>
      <c r="N232">
        <v>8501</v>
      </c>
      <c r="O232">
        <v>40618</v>
      </c>
      <c r="P232">
        <v>23528</v>
      </c>
      <c r="Q232">
        <v>18835</v>
      </c>
      <c r="R232">
        <v>9907</v>
      </c>
      <c r="S232">
        <v>5933</v>
      </c>
      <c r="T232">
        <v>2082</v>
      </c>
      <c r="U232">
        <v>479</v>
      </c>
      <c r="V232">
        <v>211615</v>
      </c>
    </row>
    <row r="233" spans="1:22" x14ac:dyDescent="0.25">
      <c r="A233">
        <v>2025</v>
      </c>
      <c r="B233">
        <v>7</v>
      </c>
      <c r="C233" t="s">
        <v>80</v>
      </c>
      <c r="D233" t="s">
        <v>22</v>
      </c>
      <c r="E233" t="s">
        <v>80</v>
      </c>
      <c r="F233" t="s">
        <v>87</v>
      </c>
      <c r="G233" t="s">
        <v>24</v>
      </c>
      <c r="H233" t="s">
        <v>25</v>
      </c>
      <c r="I233" t="s">
        <v>25</v>
      </c>
      <c r="J233" t="s">
        <v>25</v>
      </c>
      <c r="K233">
        <v>5464</v>
      </c>
      <c r="L233">
        <v>233</v>
      </c>
      <c r="M233">
        <v>136</v>
      </c>
      <c r="N233">
        <v>369</v>
      </c>
      <c r="O233">
        <v>1221</v>
      </c>
      <c r="P233">
        <v>744</v>
      </c>
      <c r="Q233">
        <v>614</v>
      </c>
      <c r="R233">
        <v>302</v>
      </c>
      <c r="S233">
        <v>173</v>
      </c>
      <c r="T233">
        <v>40</v>
      </c>
      <c r="U233">
        <v>3</v>
      </c>
      <c r="V233">
        <v>5119</v>
      </c>
    </row>
    <row r="234" spans="1:22" x14ac:dyDescent="0.25">
      <c r="A234">
        <v>2025</v>
      </c>
      <c r="B234">
        <v>7</v>
      </c>
      <c r="C234" t="s">
        <v>80</v>
      </c>
      <c r="D234" t="s">
        <v>22</v>
      </c>
      <c r="E234" t="s">
        <v>80</v>
      </c>
      <c r="F234" t="s">
        <v>87</v>
      </c>
      <c r="G234" t="s">
        <v>29</v>
      </c>
      <c r="H234" t="s">
        <v>25</v>
      </c>
      <c r="I234" t="s">
        <v>25</v>
      </c>
      <c r="J234" t="s">
        <v>25</v>
      </c>
      <c r="K234">
        <v>7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</row>
    <row r="235" spans="1:22" x14ac:dyDescent="0.25">
      <c r="A235">
        <v>2025</v>
      </c>
      <c r="B235">
        <v>8</v>
      </c>
      <c r="C235" t="s">
        <v>80</v>
      </c>
      <c r="D235" t="s">
        <v>22</v>
      </c>
      <c r="E235" t="s">
        <v>144</v>
      </c>
      <c r="F235" t="s">
        <v>36</v>
      </c>
      <c r="G235" t="s">
        <v>24</v>
      </c>
      <c r="H235" t="s">
        <v>25</v>
      </c>
      <c r="I235" t="s">
        <v>26</v>
      </c>
      <c r="J235" t="s">
        <v>25</v>
      </c>
      <c r="K235">
        <v>66</v>
      </c>
      <c r="L235">
        <v>1</v>
      </c>
      <c r="M235">
        <v>0</v>
      </c>
      <c r="N235">
        <v>1</v>
      </c>
      <c r="O235">
        <v>20</v>
      </c>
      <c r="P235">
        <v>18</v>
      </c>
      <c r="Q235">
        <v>18</v>
      </c>
      <c r="R235">
        <v>17</v>
      </c>
      <c r="S235">
        <v>17</v>
      </c>
      <c r="T235">
        <v>9</v>
      </c>
      <c r="U235">
        <v>4</v>
      </c>
      <c r="V235">
        <v>65</v>
      </c>
    </row>
    <row r="236" spans="1:22" x14ac:dyDescent="0.25">
      <c r="A236">
        <v>2025</v>
      </c>
      <c r="B236">
        <v>8</v>
      </c>
      <c r="C236" t="s">
        <v>80</v>
      </c>
      <c r="D236" t="s">
        <v>22</v>
      </c>
      <c r="E236" t="s">
        <v>154</v>
      </c>
      <c r="F236" t="s">
        <v>32</v>
      </c>
      <c r="G236" t="s">
        <v>24</v>
      </c>
      <c r="H236" t="s">
        <v>25</v>
      </c>
      <c r="I236" t="s">
        <v>25</v>
      </c>
      <c r="J236" t="s">
        <v>25</v>
      </c>
      <c r="K236">
        <v>8</v>
      </c>
      <c r="L236">
        <v>0</v>
      </c>
      <c r="M236">
        <v>0</v>
      </c>
      <c r="N236">
        <v>0</v>
      </c>
      <c r="O236">
        <v>6</v>
      </c>
      <c r="P236">
        <v>5</v>
      </c>
      <c r="Q236">
        <v>5</v>
      </c>
      <c r="R236">
        <v>4</v>
      </c>
      <c r="S236">
        <v>3</v>
      </c>
      <c r="T236">
        <v>0</v>
      </c>
      <c r="U236">
        <v>0</v>
      </c>
      <c r="V236">
        <v>8</v>
      </c>
    </row>
    <row r="237" spans="1:22" x14ac:dyDescent="0.25">
      <c r="A237">
        <v>2025</v>
      </c>
      <c r="B237">
        <v>8</v>
      </c>
      <c r="C237" t="s">
        <v>80</v>
      </c>
      <c r="D237" t="s">
        <v>22</v>
      </c>
      <c r="E237" t="s">
        <v>147</v>
      </c>
      <c r="F237" t="s">
        <v>32</v>
      </c>
      <c r="G237" t="s">
        <v>24</v>
      </c>
      <c r="H237" t="s">
        <v>25</v>
      </c>
      <c r="I237" t="s">
        <v>25</v>
      </c>
      <c r="J237" t="s">
        <v>25</v>
      </c>
      <c r="K237">
        <v>181</v>
      </c>
      <c r="L237">
        <v>0</v>
      </c>
      <c r="M237">
        <v>6</v>
      </c>
      <c r="N237">
        <v>6</v>
      </c>
      <c r="O237">
        <v>103</v>
      </c>
      <c r="P237">
        <v>92</v>
      </c>
      <c r="Q237">
        <v>87</v>
      </c>
      <c r="R237">
        <v>61</v>
      </c>
      <c r="S237">
        <v>39</v>
      </c>
      <c r="T237">
        <v>13</v>
      </c>
      <c r="U237">
        <v>5</v>
      </c>
      <c r="V237">
        <v>179</v>
      </c>
    </row>
    <row r="238" spans="1:22" x14ac:dyDescent="0.25">
      <c r="A238">
        <v>2025</v>
      </c>
      <c r="B238">
        <v>8</v>
      </c>
      <c r="C238" t="s">
        <v>80</v>
      </c>
      <c r="D238" t="s">
        <v>22</v>
      </c>
      <c r="E238" t="s">
        <v>147</v>
      </c>
      <c r="F238" t="s">
        <v>36</v>
      </c>
      <c r="G238" t="s">
        <v>24</v>
      </c>
      <c r="H238" t="s">
        <v>25</v>
      </c>
      <c r="I238" t="s">
        <v>26</v>
      </c>
      <c r="J238" t="s">
        <v>25</v>
      </c>
      <c r="K238">
        <v>13</v>
      </c>
      <c r="L238">
        <v>0</v>
      </c>
      <c r="M238">
        <v>0</v>
      </c>
      <c r="N238">
        <v>0</v>
      </c>
      <c r="O238">
        <v>9</v>
      </c>
      <c r="P238">
        <v>8</v>
      </c>
      <c r="Q238">
        <v>8</v>
      </c>
      <c r="R238">
        <v>6</v>
      </c>
      <c r="S238">
        <v>6</v>
      </c>
      <c r="T238">
        <v>4</v>
      </c>
      <c r="U238">
        <v>2</v>
      </c>
      <c r="V238">
        <v>13</v>
      </c>
    </row>
    <row r="239" spans="1:22" x14ac:dyDescent="0.25">
      <c r="A239">
        <v>2025</v>
      </c>
      <c r="B239">
        <v>8</v>
      </c>
      <c r="C239" t="s">
        <v>80</v>
      </c>
      <c r="D239" t="s">
        <v>22</v>
      </c>
      <c r="E239" t="s">
        <v>150</v>
      </c>
      <c r="F239" t="s">
        <v>32</v>
      </c>
      <c r="G239" t="s">
        <v>24</v>
      </c>
      <c r="H239" t="s">
        <v>25</v>
      </c>
      <c r="I239" t="s">
        <v>25</v>
      </c>
      <c r="J239" t="s">
        <v>25</v>
      </c>
      <c r="K239">
        <v>29</v>
      </c>
      <c r="L239">
        <v>0</v>
      </c>
      <c r="M239">
        <v>0</v>
      </c>
      <c r="N239">
        <v>0</v>
      </c>
      <c r="O239">
        <v>11</v>
      </c>
      <c r="P239">
        <v>11</v>
      </c>
      <c r="Q239">
        <v>7</v>
      </c>
      <c r="R239">
        <v>5</v>
      </c>
      <c r="S239">
        <v>0</v>
      </c>
      <c r="T239">
        <v>0</v>
      </c>
      <c r="U239">
        <v>0</v>
      </c>
      <c r="V239">
        <v>29</v>
      </c>
    </row>
    <row r="240" spans="1:22" x14ac:dyDescent="0.25">
      <c r="A240">
        <v>2025</v>
      </c>
      <c r="B240">
        <v>8</v>
      </c>
      <c r="C240" t="s">
        <v>80</v>
      </c>
      <c r="D240" t="s">
        <v>22</v>
      </c>
      <c r="E240" t="s">
        <v>61</v>
      </c>
      <c r="F240" t="s">
        <v>35</v>
      </c>
      <c r="G240" t="s">
        <v>28</v>
      </c>
      <c r="H240" t="s">
        <v>25</v>
      </c>
      <c r="I240" t="s">
        <v>26</v>
      </c>
      <c r="J240" t="s">
        <v>26</v>
      </c>
      <c r="K240">
        <v>2</v>
      </c>
      <c r="L240">
        <v>0</v>
      </c>
      <c r="M240">
        <v>0</v>
      </c>
      <c r="N240">
        <v>0</v>
      </c>
      <c r="O240">
        <v>2</v>
      </c>
      <c r="P240">
        <v>2</v>
      </c>
      <c r="Q240">
        <v>2</v>
      </c>
      <c r="R240">
        <v>2</v>
      </c>
      <c r="S240">
        <v>2</v>
      </c>
      <c r="T240">
        <v>1</v>
      </c>
      <c r="U240">
        <v>0</v>
      </c>
      <c r="V240">
        <v>2</v>
      </c>
    </row>
    <row r="241" spans="1:22" x14ac:dyDescent="0.25">
      <c r="A241">
        <v>2025</v>
      </c>
      <c r="B241">
        <v>8</v>
      </c>
      <c r="C241" t="s">
        <v>80</v>
      </c>
      <c r="D241" t="s">
        <v>22</v>
      </c>
      <c r="E241" t="s">
        <v>61</v>
      </c>
      <c r="F241" t="s">
        <v>35</v>
      </c>
      <c r="G241" t="s">
        <v>24</v>
      </c>
      <c r="H241" t="s">
        <v>25</v>
      </c>
      <c r="I241" t="s">
        <v>26</v>
      </c>
      <c r="J241" t="s">
        <v>26</v>
      </c>
      <c r="K241">
        <v>342</v>
      </c>
      <c r="L241">
        <v>0</v>
      </c>
      <c r="M241">
        <v>0</v>
      </c>
      <c r="N241">
        <v>0</v>
      </c>
      <c r="O241">
        <v>104</v>
      </c>
      <c r="P241">
        <v>94</v>
      </c>
      <c r="Q241">
        <v>86</v>
      </c>
      <c r="R241">
        <v>74</v>
      </c>
      <c r="S241">
        <v>59</v>
      </c>
      <c r="T241">
        <v>33</v>
      </c>
      <c r="U241">
        <v>12</v>
      </c>
      <c r="V241">
        <v>342</v>
      </c>
    </row>
    <row r="242" spans="1:22" x14ac:dyDescent="0.25">
      <c r="A242">
        <v>2025</v>
      </c>
      <c r="B242">
        <v>8</v>
      </c>
      <c r="C242" t="s">
        <v>80</v>
      </c>
      <c r="D242" t="s">
        <v>22</v>
      </c>
      <c r="E242" t="s">
        <v>61</v>
      </c>
      <c r="F242" t="s">
        <v>36</v>
      </c>
      <c r="G242" t="s">
        <v>24</v>
      </c>
      <c r="H242" t="s">
        <v>25</v>
      </c>
      <c r="I242" t="s">
        <v>26</v>
      </c>
      <c r="J242" t="s">
        <v>25</v>
      </c>
      <c r="K242">
        <v>124</v>
      </c>
      <c r="L242">
        <v>0</v>
      </c>
      <c r="M242">
        <v>0</v>
      </c>
      <c r="N242">
        <v>0</v>
      </c>
      <c r="O242">
        <v>24</v>
      </c>
      <c r="P242">
        <v>16</v>
      </c>
      <c r="Q242">
        <v>14</v>
      </c>
      <c r="R242">
        <v>9</v>
      </c>
      <c r="S242">
        <v>8</v>
      </c>
      <c r="T242">
        <v>4</v>
      </c>
      <c r="U242">
        <v>1</v>
      </c>
      <c r="V242">
        <v>124</v>
      </c>
    </row>
    <row r="243" spans="1:22" x14ac:dyDescent="0.25">
      <c r="A243">
        <v>2025</v>
      </c>
      <c r="B243">
        <v>8</v>
      </c>
      <c r="C243" t="s">
        <v>80</v>
      </c>
      <c r="D243" t="s">
        <v>22</v>
      </c>
      <c r="E243" t="s">
        <v>61</v>
      </c>
      <c r="F243" t="s">
        <v>41</v>
      </c>
      <c r="G243" t="s">
        <v>24</v>
      </c>
      <c r="H243" t="s">
        <v>26</v>
      </c>
      <c r="I243" t="s">
        <v>26</v>
      </c>
      <c r="J243" t="s">
        <v>25</v>
      </c>
      <c r="K243">
        <v>2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2</v>
      </c>
    </row>
    <row r="244" spans="1:22" x14ac:dyDescent="0.25">
      <c r="A244">
        <v>2025</v>
      </c>
      <c r="B244">
        <v>8</v>
      </c>
      <c r="C244" t="s">
        <v>80</v>
      </c>
      <c r="D244" t="s">
        <v>22</v>
      </c>
      <c r="E244" t="s">
        <v>157</v>
      </c>
      <c r="F244" t="s">
        <v>31</v>
      </c>
      <c r="G244" t="s">
        <v>24</v>
      </c>
      <c r="H244" t="s">
        <v>25</v>
      </c>
      <c r="I244" t="s">
        <v>25</v>
      </c>
      <c r="J244" t="s">
        <v>25</v>
      </c>
      <c r="K244">
        <v>124</v>
      </c>
      <c r="L244">
        <v>0</v>
      </c>
      <c r="M244">
        <v>0</v>
      </c>
      <c r="N244">
        <v>0</v>
      </c>
      <c r="O244">
        <v>16</v>
      </c>
      <c r="P244">
        <v>15</v>
      </c>
      <c r="Q244">
        <v>14</v>
      </c>
      <c r="R244">
        <v>8</v>
      </c>
      <c r="S244">
        <v>7</v>
      </c>
      <c r="T244">
        <v>3</v>
      </c>
      <c r="U244">
        <v>1</v>
      </c>
      <c r="V244">
        <v>124</v>
      </c>
    </row>
    <row r="245" spans="1:22" x14ac:dyDescent="0.25">
      <c r="A245">
        <v>2025</v>
      </c>
      <c r="B245">
        <v>8</v>
      </c>
      <c r="C245" t="s">
        <v>80</v>
      </c>
      <c r="D245" t="s">
        <v>22</v>
      </c>
      <c r="E245" t="s">
        <v>157</v>
      </c>
      <c r="F245" t="s">
        <v>32</v>
      </c>
      <c r="G245" t="s">
        <v>24</v>
      </c>
      <c r="H245" t="s">
        <v>25</v>
      </c>
      <c r="I245" t="s">
        <v>25</v>
      </c>
      <c r="J245" t="s">
        <v>25</v>
      </c>
      <c r="K245">
        <v>46</v>
      </c>
      <c r="L245">
        <v>0</v>
      </c>
      <c r="M245">
        <v>1</v>
      </c>
      <c r="N245">
        <v>1</v>
      </c>
      <c r="O245">
        <v>9</v>
      </c>
      <c r="P245">
        <v>9</v>
      </c>
      <c r="Q245">
        <v>8</v>
      </c>
      <c r="R245">
        <v>8</v>
      </c>
      <c r="S245">
        <v>7</v>
      </c>
      <c r="T245">
        <v>2</v>
      </c>
      <c r="U245">
        <v>2</v>
      </c>
      <c r="V245">
        <v>45</v>
      </c>
    </row>
    <row r="246" spans="1:22" x14ac:dyDescent="0.25">
      <c r="A246">
        <v>2025</v>
      </c>
      <c r="B246">
        <v>8</v>
      </c>
      <c r="C246" t="s">
        <v>80</v>
      </c>
      <c r="D246" t="s">
        <v>22</v>
      </c>
      <c r="E246" t="s">
        <v>157</v>
      </c>
      <c r="F246" t="s">
        <v>34</v>
      </c>
      <c r="G246" t="s">
        <v>24</v>
      </c>
      <c r="H246" t="s">
        <v>25</v>
      </c>
      <c r="I246" t="s">
        <v>26</v>
      </c>
      <c r="J246" t="s">
        <v>26</v>
      </c>
      <c r="K246">
        <v>29</v>
      </c>
      <c r="L246">
        <v>0</v>
      </c>
      <c r="M246">
        <v>0</v>
      </c>
      <c r="N246">
        <v>0</v>
      </c>
      <c r="O246">
        <v>4</v>
      </c>
      <c r="P246">
        <v>4</v>
      </c>
      <c r="Q246">
        <v>4</v>
      </c>
      <c r="R246">
        <v>4</v>
      </c>
      <c r="S246">
        <v>4</v>
      </c>
      <c r="T246">
        <v>4</v>
      </c>
      <c r="U246">
        <v>4</v>
      </c>
      <c r="V246">
        <v>29</v>
      </c>
    </row>
    <row r="247" spans="1:22" x14ac:dyDescent="0.25">
      <c r="A247">
        <v>2025</v>
      </c>
      <c r="B247">
        <v>8</v>
      </c>
      <c r="C247" t="s">
        <v>80</v>
      </c>
      <c r="D247" t="s">
        <v>22</v>
      </c>
      <c r="E247" t="s">
        <v>157</v>
      </c>
      <c r="F247" t="s">
        <v>41</v>
      </c>
      <c r="G247" t="s">
        <v>24</v>
      </c>
      <c r="H247" t="s">
        <v>26</v>
      </c>
      <c r="I247" t="s">
        <v>26</v>
      </c>
      <c r="J247" t="s">
        <v>25</v>
      </c>
      <c r="K247">
        <v>1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1</v>
      </c>
    </row>
    <row r="248" spans="1:22" x14ac:dyDescent="0.25">
      <c r="A248">
        <v>2025</v>
      </c>
      <c r="B248">
        <v>8</v>
      </c>
      <c r="C248" t="s">
        <v>80</v>
      </c>
      <c r="D248" t="s">
        <v>22</v>
      </c>
      <c r="E248" t="s">
        <v>69</v>
      </c>
      <c r="F248" t="s">
        <v>40</v>
      </c>
      <c r="G248" t="s">
        <v>24</v>
      </c>
      <c r="H248" t="s">
        <v>25</v>
      </c>
      <c r="I248" t="s">
        <v>26</v>
      </c>
      <c r="J248" t="s">
        <v>25</v>
      </c>
      <c r="K248">
        <v>54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54</v>
      </c>
    </row>
    <row r="249" spans="1:22" x14ac:dyDescent="0.25">
      <c r="A249">
        <v>2025</v>
      </c>
      <c r="B249">
        <v>8</v>
      </c>
      <c r="C249" t="s">
        <v>80</v>
      </c>
      <c r="D249" t="s">
        <v>22</v>
      </c>
      <c r="E249" t="s">
        <v>173</v>
      </c>
      <c r="F249" t="s">
        <v>32</v>
      </c>
      <c r="G249" t="s">
        <v>24</v>
      </c>
      <c r="H249" t="s">
        <v>25</v>
      </c>
      <c r="I249" t="s">
        <v>25</v>
      </c>
      <c r="J249" t="s">
        <v>25</v>
      </c>
      <c r="K249">
        <v>1068</v>
      </c>
      <c r="L249">
        <v>0</v>
      </c>
      <c r="M249">
        <v>6</v>
      </c>
      <c r="N249">
        <v>6</v>
      </c>
      <c r="O249">
        <v>295</v>
      </c>
      <c r="P249">
        <v>233</v>
      </c>
      <c r="Q249">
        <v>195</v>
      </c>
      <c r="R249">
        <v>93</v>
      </c>
      <c r="S249">
        <v>49</v>
      </c>
      <c r="T249">
        <v>16</v>
      </c>
      <c r="U249">
        <v>2</v>
      </c>
      <c r="V249">
        <v>1062</v>
      </c>
    </row>
    <row r="250" spans="1:22" x14ac:dyDescent="0.25">
      <c r="A250">
        <v>2025</v>
      </c>
      <c r="B250">
        <v>8</v>
      </c>
      <c r="C250" t="s">
        <v>80</v>
      </c>
      <c r="D250" t="s">
        <v>22</v>
      </c>
      <c r="E250" t="s">
        <v>173</v>
      </c>
      <c r="F250" t="s">
        <v>23</v>
      </c>
      <c r="G250" t="s">
        <v>24</v>
      </c>
      <c r="H250" t="s">
        <v>25</v>
      </c>
      <c r="I250" t="s">
        <v>26</v>
      </c>
      <c r="J250" t="s">
        <v>25</v>
      </c>
      <c r="K250">
        <v>1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1</v>
      </c>
    </row>
    <row r="251" spans="1:22" x14ac:dyDescent="0.25">
      <c r="A251">
        <v>2025</v>
      </c>
      <c r="B251">
        <v>8</v>
      </c>
      <c r="C251" t="s">
        <v>80</v>
      </c>
      <c r="D251" t="s">
        <v>22</v>
      </c>
      <c r="E251" t="s">
        <v>80</v>
      </c>
      <c r="F251" t="s">
        <v>32</v>
      </c>
      <c r="G251" t="s">
        <v>28</v>
      </c>
      <c r="H251" t="s">
        <v>25</v>
      </c>
      <c r="I251" t="s">
        <v>25</v>
      </c>
      <c r="J251" t="s">
        <v>25</v>
      </c>
      <c r="K251">
        <v>78</v>
      </c>
      <c r="L251">
        <v>0</v>
      </c>
      <c r="M251">
        <v>6</v>
      </c>
      <c r="N251">
        <v>6</v>
      </c>
      <c r="O251">
        <v>37</v>
      </c>
      <c r="P251">
        <v>33</v>
      </c>
      <c r="Q251">
        <v>32</v>
      </c>
      <c r="R251">
        <v>25</v>
      </c>
      <c r="S251">
        <v>21</v>
      </c>
      <c r="T251">
        <v>14</v>
      </c>
      <c r="U251">
        <v>6</v>
      </c>
      <c r="V251">
        <v>74</v>
      </c>
    </row>
    <row r="252" spans="1:22" x14ac:dyDescent="0.25">
      <c r="A252">
        <v>2025</v>
      </c>
      <c r="B252">
        <v>8</v>
      </c>
      <c r="C252" t="s">
        <v>80</v>
      </c>
      <c r="D252" t="s">
        <v>22</v>
      </c>
      <c r="E252" t="s">
        <v>80</v>
      </c>
      <c r="F252" t="s">
        <v>34</v>
      </c>
      <c r="G252" t="s">
        <v>28</v>
      </c>
      <c r="H252" t="s">
        <v>25</v>
      </c>
      <c r="I252" t="s">
        <v>26</v>
      </c>
      <c r="J252" t="s">
        <v>26</v>
      </c>
      <c r="K252">
        <v>2</v>
      </c>
      <c r="L252">
        <v>0</v>
      </c>
      <c r="M252">
        <v>0</v>
      </c>
      <c r="N252">
        <v>0</v>
      </c>
      <c r="O252">
        <v>2</v>
      </c>
      <c r="P252">
        <v>2</v>
      </c>
      <c r="Q252">
        <v>2</v>
      </c>
      <c r="R252">
        <v>1</v>
      </c>
      <c r="S252">
        <v>1</v>
      </c>
      <c r="T252">
        <v>1</v>
      </c>
      <c r="U252">
        <v>1</v>
      </c>
      <c r="V252">
        <v>2</v>
      </c>
    </row>
    <row r="253" spans="1:22" x14ac:dyDescent="0.25">
      <c r="A253">
        <v>2025</v>
      </c>
      <c r="B253">
        <v>8</v>
      </c>
      <c r="C253" t="s">
        <v>80</v>
      </c>
      <c r="D253" t="s">
        <v>22</v>
      </c>
      <c r="E253" t="s">
        <v>80</v>
      </c>
      <c r="F253" t="s">
        <v>76</v>
      </c>
      <c r="G253" t="s">
        <v>28</v>
      </c>
      <c r="H253" t="s">
        <v>25</v>
      </c>
      <c r="I253" t="s">
        <v>26</v>
      </c>
      <c r="J253" t="s">
        <v>25</v>
      </c>
      <c r="K253">
        <v>49</v>
      </c>
      <c r="L253">
        <v>0</v>
      </c>
      <c r="M253">
        <v>6</v>
      </c>
      <c r="N253">
        <v>6</v>
      </c>
      <c r="O253">
        <v>22</v>
      </c>
      <c r="P253">
        <v>20</v>
      </c>
      <c r="Q253">
        <v>18</v>
      </c>
      <c r="R253">
        <v>15</v>
      </c>
      <c r="S253">
        <v>14</v>
      </c>
      <c r="T253">
        <v>7</v>
      </c>
      <c r="U253">
        <v>3</v>
      </c>
      <c r="V253">
        <v>46</v>
      </c>
    </row>
    <row r="254" spans="1:22" x14ac:dyDescent="0.25">
      <c r="A254">
        <v>2025</v>
      </c>
      <c r="B254">
        <v>8</v>
      </c>
      <c r="C254" t="s">
        <v>80</v>
      </c>
      <c r="D254" t="s">
        <v>22</v>
      </c>
      <c r="E254" t="s">
        <v>80</v>
      </c>
      <c r="F254" t="s">
        <v>81</v>
      </c>
      <c r="G254" t="s">
        <v>28</v>
      </c>
      <c r="H254" t="s">
        <v>25</v>
      </c>
      <c r="I254" t="s">
        <v>26</v>
      </c>
      <c r="J254" t="s">
        <v>25</v>
      </c>
      <c r="K254">
        <v>538</v>
      </c>
      <c r="L254">
        <v>0</v>
      </c>
      <c r="M254">
        <v>4</v>
      </c>
      <c r="N254">
        <v>4</v>
      </c>
      <c r="O254">
        <v>223</v>
      </c>
      <c r="P254">
        <v>177</v>
      </c>
      <c r="Q254">
        <v>158</v>
      </c>
      <c r="R254">
        <v>102</v>
      </c>
      <c r="S254">
        <v>70</v>
      </c>
      <c r="T254">
        <v>38</v>
      </c>
      <c r="U254">
        <v>10</v>
      </c>
      <c r="V254">
        <v>537</v>
      </c>
    </row>
    <row r="255" spans="1:22" x14ac:dyDescent="0.25">
      <c r="A255">
        <v>2025</v>
      </c>
      <c r="B255">
        <v>8</v>
      </c>
      <c r="C255" t="s">
        <v>80</v>
      </c>
      <c r="D255" t="s">
        <v>22</v>
      </c>
      <c r="E255" t="s">
        <v>80</v>
      </c>
      <c r="F255" t="s">
        <v>82</v>
      </c>
      <c r="G255" t="s">
        <v>28</v>
      </c>
      <c r="H255" t="s">
        <v>25</v>
      </c>
      <c r="I255" t="s">
        <v>26</v>
      </c>
      <c r="J255" t="s">
        <v>25</v>
      </c>
      <c r="K255">
        <v>292</v>
      </c>
      <c r="L255">
        <v>0</v>
      </c>
      <c r="M255">
        <v>3</v>
      </c>
      <c r="N255">
        <v>3</v>
      </c>
      <c r="O255">
        <v>206</v>
      </c>
      <c r="P255">
        <v>184</v>
      </c>
      <c r="Q255">
        <v>165</v>
      </c>
      <c r="R255">
        <v>129</v>
      </c>
      <c r="S255">
        <v>102</v>
      </c>
      <c r="T255">
        <v>52</v>
      </c>
      <c r="U255">
        <v>19</v>
      </c>
      <c r="V255">
        <v>290</v>
      </c>
    </row>
    <row r="256" spans="1:22" x14ac:dyDescent="0.25">
      <c r="A256">
        <v>2025</v>
      </c>
      <c r="B256">
        <v>8</v>
      </c>
      <c r="C256" t="s">
        <v>80</v>
      </c>
      <c r="D256" t="s">
        <v>22</v>
      </c>
      <c r="E256" t="s">
        <v>80</v>
      </c>
      <c r="F256" t="s">
        <v>83</v>
      </c>
      <c r="G256" t="s">
        <v>28</v>
      </c>
      <c r="H256" t="s">
        <v>26</v>
      </c>
      <c r="I256" t="s">
        <v>26</v>
      </c>
      <c r="J256" t="s">
        <v>25</v>
      </c>
      <c r="K256">
        <v>5785</v>
      </c>
      <c r="L256">
        <v>0</v>
      </c>
      <c r="M256">
        <v>26</v>
      </c>
      <c r="N256">
        <v>26</v>
      </c>
      <c r="O256">
        <v>1897</v>
      </c>
      <c r="P256">
        <v>1443</v>
      </c>
      <c r="Q256">
        <v>1287</v>
      </c>
      <c r="R256">
        <v>892</v>
      </c>
      <c r="S256">
        <v>607</v>
      </c>
      <c r="T256">
        <v>288</v>
      </c>
      <c r="U256">
        <v>90</v>
      </c>
      <c r="V256">
        <v>5769</v>
      </c>
    </row>
    <row r="257" spans="1:22" x14ac:dyDescent="0.25">
      <c r="A257">
        <v>2025</v>
      </c>
      <c r="B257">
        <v>8</v>
      </c>
      <c r="C257" t="s">
        <v>80</v>
      </c>
      <c r="D257" t="s">
        <v>22</v>
      </c>
      <c r="E257" t="s">
        <v>80</v>
      </c>
      <c r="F257" t="s">
        <v>23</v>
      </c>
      <c r="G257" t="s">
        <v>28</v>
      </c>
      <c r="H257" t="s">
        <v>25</v>
      </c>
      <c r="I257" t="s">
        <v>26</v>
      </c>
      <c r="J257" t="s">
        <v>25</v>
      </c>
      <c r="K257">
        <v>3039</v>
      </c>
      <c r="L257">
        <v>0</v>
      </c>
      <c r="M257">
        <v>47</v>
      </c>
      <c r="N257">
        <v>47</v>
      </c>
      <c r="O257">
        <v>1286</v>
      </c>
      <c r="P257">
        <v>1054</v>
      </c>
      <c r="Q257">
        <v>988</v>
      </c>
      <c r="R257">
        <v>741</v>
      </c>
      <c r="S257">
        <v>519</v>
      </c>
      <c r="T257">
        <v>270</v>
      </c>
      <c r="U257">
        <v>106</v>
      </c>
      <c r="V257">
        <v>3006</v>
      </c>
    </row>
    <row r="258" spans="1:22" x14ac:dyDescent="0.25">
      <c r="A258">
        <v>2025</v>
      </c>
      <c r="B258">
        <v>8</v>
      </c>
      <c r="C258" t="s">
        <v>80</v>
      </c>
      <c r="D258" t="s">
        <v>22</v>
      </c>
      <c r="E258" t="s">
        <v>80</v>
      </c>
      <c r="F258" t="s">
        <v>84</v>
      </c>
      <c r="G258" t="s">
        <v>28</v>
      </c>
      <c r="H258" t="s">
        <v>25</v>
      </c>
      <c r="I258" t="s">
        <v>26</v>
      </c>
      <c r="J258" t="s">
        <v>26</v>
      </c>
      <c r="K258">
        <v>652</v>
      </c>
      <c r="L258">
        <v>0</v>
      </c>
      <c r="M258">
        <v>0</v>
      </c>
      <c r="N258">
        <v>0</v>
      </c>
      <c r="O258">
        <v>165</v>
      </c>
      <c r="P258">
        <v>126</v>
      </c>
      <c r="Q258">
        <v>113</v>
      </c>
      <c r="R258">
        <v>70</v>
      </c>
      <c r="S258">
        <v>54</v>
      </c>
      <c r="T258">
        <v>31</v>
      </c>
      <c r="U258">
        <v>11</v>
      </c>
      <c r="V258">
        <v>652</v>
      </c>
    </row>
    <row r="259" spans="1:22" x14ac:dyDescent="0.25">
      <c r="A259">
        <v>2025</v>
      </c>
      <c r="B259">
        <v>8</v>
      </c>
      <c r="C259" t="s">
        <v>80</v>
      </c>
      <c r="D259" t="s">
        <v>22</v>
      </c>
      <c r="E259" t="s">
        <v>80</v>
      </c>
      <c r="F259" t="s">
        <v>40</v>
      </c>
      <c r="G259" t="s">
        <v>28</v>
      </c>
      <c r="H259" t="s">
        <v>25</v>
      </c>
      <c r="I259" t="s">
        <v>26</v>
      </c>
      <c r="J259" t="s">
        <v>25</v>
      </c>
      <c r="K259">
        <v>1</v>
      </c>
      <c r="L259">
        <v>0</v>
      </c>
      <c r="M259">
        <v>1</v>
      </c>
      <c r="N259">
        <v>1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1</v>
      </c>
    </row>
    <row r="260" spans="1:22" x14ac:dyDescent="0.25">
      <c r="A260">
        <v>2025</v>
      </c>
      <c r="B260">
        <v>8</v>
      </c>
      <c r="C260" t="s">
        <v>80</v>
      </c>
      <c r="D260" t="s">
        <v>22</v>
      </c>
      <c r="E260" t="s">
        <v>80</v>
      </c>
      <c r="F260" t="s">
        <v>85</v>
      </c>
      <c r="G260" t="s">
        <v>28</v>
      </c>
      <c r="H260" t="s">
        <v>25</v>
      </c>
      <c r="I260" t="s">
        <v>25</v>
      </c>
      <c r="J260" t="s">
        <v>25</v>
      </c>
      <c r="K260">
        <v>6565</v>
      </c>
      <c r="L260">
        <v>0</v>
      </c>
      <c r="M260">
        <v>104</v>
      </c>
      <c r="N260">
        <v>104</v>
      </c>
      <c r="O260">
        <v>284</v>
      </c>
      <c r="P260">
        <v>93</v>
      </c>
      <c r="Q260">
        <v>67</v>
      </c>
      <c r="R260">
        <v>35</v>
      </c>
      <c r="S260">
        <v>20</v>
      </c>
      <c r="T260">
        <v>2</v>
      </c>
      <c r="U260">
        <v>0</v>
      </c>
      <c r="V260">
        <v>6490</v>
      </c>
    </row>
    <row r="261" spans="1:22" x14ac:dyDescent="0.25">
      <c r="A261">
        <v>2025</v>
      </c>
      <c r="B261">
        <v>8</v>
      </c>
      <c r="C261" t="s">
        <v>80</v>
      </c>
      <c r="D261" t="s">
        <v>22</v>
      </c>
      <c r="E261" t="s">
        <v>80</v>
      </c>
      <c r="F261" t="s">
        <v>86</v>
      </c>
      <c r="G261" t="s">
        <v>28</v>
      </c>
      <c r="H261" t="s">
        <v>25</v>
      </c>
      <c r="I261" t="s">
        <v>25</v>
      </c>
      <c r="J261" t="s">
        <v>25</v>
      </c>
      <c r="K261">
        <v>22</v>
      </c>
      <c r="L261">
        <v>0</v>
      </c>
      <c r="M261">
        <v>1</v>
      </c>
      <c r="N261">
        <v>1</v>
      </c>
      <c r="O261">
        <v>16</v>
      </c>
      <c r="P261">
        <v>15</v>
      </c>
      <c r="Q261">
        <v>13</v>
      </c>
      <c r="R261">
        <v>12</v>
      </c>
      <c r="S261">
        <v>12</v>
      </c>
      <c r="T261">
        <v>10</v>
      </c>
      <c r="U261">
        <v>6</v>
      </c>
      <c r="V261">
        <v>22</v>
      </c>
    </row>
    <row r="262" spans="1:22" x14ac:dyDescent="0.25">
      <c r="A262">
        <v>2025</v>
      </c>
      <c r="B262">
        <v>8</v>
      </c>
      <c r="C262" t="s">
        <v>80</v>
      </c>
      <c r="D262" t="s">
        <v>22</v>
      </c>
      <c r="E262" t="s">
        <v>80</v>
      </c>
      <c r="F262" t="s">
        <v>86</v>
      </c>
      <c r="G262" t="s">
        <v>24</v>
      </c>
      <c r="H262" t="s">
        <v>25</v>
      </c>
      <c r="I262" t="s">
        <v>25</v>
      </c>
      <c r="J262" t="s">
        <v>25</v>
      </c>
      <c r="K262">
        <v>1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1</v>
      </c>
    </row>
    <row r="263" spans="1:22" x14ac:dyDescent="0.25">
      <c r="A263">
        <v>2025</v>
      </c>
      <c r="B263">
        <v>8</v>
      </c>
      <c r="C263" t="s">
        <v>80</v>
      </c>
      <c r="D263" t="s">
        <v>22</v>
      </c>
      <c r="E263" t="s">
        <v>80</v>
      </c>
      <c r="F263" t="s">
        <v>87</v>
      </c>
      <c r="G263" t="s">
        <v>28</v>
      </c>
      <c r="H263" t="s">
        <v>25</v>
      </c>
      <c r="I263" t="s">
        <v>25</v>
      </c>
      <c r="J263" t="s">
        <v>25</v>
      </c>
      <c r="K263">
        <v>204400</v>
      </c>
      <c r="L263">
        <v>23</v>
      </c>
      <c r="M263">
        <v>3758</v>
      </c>
      <c r="N263">
        <v>3781</v>
      </c>
      <c r="O263">
        <v>31452</v>
      </c>
      <c r="P263">
        <v>17130</v>
      </c>
      <c r="Q263">
        <v>13499</v>
      </c>
      <c r="R263">
        <v>7093</v>
      </c>
      <c r="S263">
        <v>4313</v>
      </c>
      <c r="T263">
        <v>1524</v>
      </c>
      <c r="U263">
        <v>336</v>
      </c>
      <c r="V263">
        <v>201345</v>
      </c>
    </row>
    <row r="264" spans="1:22" x14ac:dyDescent="0.25">
      <c r="A264">
        <v>2025</v>
      </c>
      <c r="B264">
        <v>8</v>
      </c>
      <c r="C264" t="s">
        <v>80</v>
      </c>
      <c r="D264" t="s">
        <v>22</v>
      </c>
      <c r="E264" t="s">
        <v>80</v>
      </c>
      <c r="F264" t="s">
        <v>87</v>
      </c>
      <c r="G264" t="s">
        <v>24</v>
      </c>
      <c r="H264" t="s">
        <v>25</v>
      </c>
      <c r="I264" t="s">
        <v>25</v>
      </c>
      <c r="J264" t="s">
        <v>25</v>
      </c>
      <c r="K264">
        <v>4437</v>
      </c>
      <c r="L264">
        <v>186</v>
      </c>
      <c r="M264">
        <v>62</v>
      </c>
      <c r="N264">
        <v>248</v>
      </c>
      <c r="O264">
        <v>798</v>
      </c>
      <c r="P264">
        <v>428</v>
      </c>
      <c r="Q264">
        <v>333</v>
      </c>
      <c r="R264">
        <v>154</v>
      </c>
      <c r="S264">
        <v>75</v>
      </c>
      <c r="T264">
        <v>16</v>
      </c>
      <c r="U264">
        <v>5</v>
      </c>
      <c r="V264">
        <v>4205</v>
      </c>
    </row>
    <row r="265" spans="1:22" x14ac:dyDescent="0.25">
      <c r="A265">
        <v>2025</v>
      </c>
      <c r="B265">
        <v>8</v>
      </c>
      <c r="C265" t="s">
        <v>80</v>
      </c>
      <c r="D265" t="s">
        <v>22</v>
      </c>
      <c r="E265" t="s">
        <v>80</v>
      </c>
      <c r="F265" t="s">
        <v>87</v>
      </c>
      <c r="G265" t="s">
        <v>29</v>
      </c>
      <c r="H265" t="s">
        <v>25</v>
      </c>
      <c r="I265" t="s">
        <v>25</v>
      </c>
      <c r="J265" t="s">
        <v>25</v>
      </c>
      <c r="K265">
        <v>15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</row>
    <row r="266" spans="1:22" x14ac:dyDescent="0.25">
      <c r="A266">
        <v>2025</v>
      </c>
      <c r="B266">
        <v>9</v>
      </c>
      <c r="C266" t="s">
        <v>80</v>
      </c>
      <c r="D266" t="s">
        <v>22</v>
      </c>
      <c r="E266" t="s">
        <v>144</v>
      </c>
      <c r="F266" t="s">
        <v>36</v>
      </c>
      <c r="G266" t="s">
        <v>24</v>
      </c>
      <c r="H266" t="s">
        <v>25</v>
      </c>
      <c r="I266" t="s">
        <v>26</v>
      </c>
      <c r="J266" t="s">
        <v>25</v>
      </c>
      <c r="K266">
        <v>7</v>
      </c>
      <c r="L266">
        <v>0</v>
      </c>
      <c r="M266">
        <v>0</v>
      </c>
      <c r="N266">
        <v>0</v>
      </c>
      <c r="O266">
        <v>1</v>
      </c>
      <c r="P266">
        <v>1</v>
      </c>
      <c r="Q266">
        <v>1</v>
      </c>
      <c r="R266">
        <v>1</v>
      </c>
      <c r="S266">
        <v>1</v>
      </c>
      <c r="T266">
        <v>0</v>
      </c>
      <c r="U266">
        <v>0</v>
      </c>
      <c r="V266">
        <v>7</v>
      </c>
    </row>
    <row r="267" spans="1:22" x14ac:dyDescent="0.25">
      <c r="A267">
        <v>2025</v>
      </c>
      <c r="B267">
        <v>9</v>
      </c>
      <c r="C267" t="s">
        <v>80</v>
      </c>
      <c r="D267" t="s">
        <v>22</v>
      </c>
      <c r="E267" t="s">
        <v>154</v>
      </c>
      <c r="F267" t="s">
        <v>32</v>
      </c>
      <c r="G267" t="s">
        <v>24</v>
      </c>
      <c r="H267" t="s">
        <v>25</v>
      </c>
      <c r="I267" t="s">
        <v>25</v>
      </c>
      <c r="J267" t="s">
        <v>25</v>
      </c>
      <c r="K267">
        <v>16</v>
      </c>
      <c r="L267">
        <v>0</v>
      </c>
      <c r="M267">
        <v>0</v>
      </c>
      <c r="N267">
        <v>0</v>
      </c>
      <c r="O267">
        <v>15</v>
      </c>
      <c r="P267">
        <v>14</v>
      </c>
      <c r="Q267">
        <v>14</v>
      </c>
      <c r="R267">
        <v>13</v>
      </c>
      <c r="S267">
        <v>12</v>
      </c>
      <c r="T267">
        <v>3</v>
      </c>
      <c r="U267">
        <v>1</v>
      </c>
      <c r="V267">
        <v>16</v>
      </c>
    </row>
    <row r="268" spans="1:22" x14ac:dyDescent="0.25">
      <c r="A268">
        <v>2025</v>
      </c>
      <c r="B268">
        <v>9</v>
      </c>
      <c r="C268" t="s">
        <v>80</v>
      </c>
      <c r="D268" t="s">
        <v>22</v>
      </c>
      <c r="E268" t="s">
        <v>147</v>
      </c>
      <c r="F268" t="s">
        <v>32</v>
      </c>
      <c r="G268" t="s">
        <v>24</v>
      </c>
      <c r="H268" t="s">
        <v>25</v>
      </c>
      <c r="I268" t="s">
        <v>25</v>
      </c>
      <c r="J268" t="s">
        <v>25</v>
      </c>
      <c r="K268">
        <v>281</v>
      </c>
      <c r="L268">
        <v>0</v>
      </c>
      <c r="M268">
        <v>2</v>
      </c>
      <c r="N268">
        <v>2</v>
      </c>
      <c r="O268">
        <v>163</v>
      </c>
      <c r="P268">
        <v>135</v>
      </c>
      <c r="Q268">
        <v>128</v>
      </c>
      <c r="R268">
        <v>86</v>
      </c>
      <c r="S268">
        <v>68</v>
      </c>
      <c r="T268">
        <v>32</v>
      </c>
      <c r="U268">
        <v>12</v>
      </c>
      <c r="V268">
        <v>279</v>
      </c>
    </row>
    <row r="269" spans="1:22" x14ac:dyDescent="0.25">
      <c r="A269">
        <v>2025</v>
      </c>
      <c r="B269">
        <v>9</v>
      </c>
      <c r="C269" t="s">
        <v>80</v>
      </c>
      <c r="D269" t="s">
        <v>22</v>
      </c>
      <c r="E269" t="s">
        <v>147</v>
      </c>
      <c r="F269" t="s">
        <v>87</v>
      </c>
      <c r="G269" t="s">
        <v>24</v>
      </c>
      <c r="H269" t="s">
        <v>25</v>
      </c>
      <c r="I269" t="s">
        <v>25</v>
      </c>
      <c r="J269" t="s">
        <v>25</v>
      </c>
      <c r="K269">
        <v>1</v>
      </c>
      <c r="L269">
        <v>0</v>
      </c>
      <c r="M269">
        <v>0</v>
      </c>
      <c r="N269">
        <v>0</v>
      </c>
      <c r="O269">
        <v>1</v>
      </c>
      <c r="P269">
        <v>1</v>
      </c>
      <c r="Q269">
        <v>1</v>
      </c>
      <c r="R269">
        <v>1</v>
      </c>
      <c r="S269">
        <v>1</v>
      </c>
      <c r="T269">
        <v>0</v>
      </c>
      <c r="U269">
        <v>0</v>
      </c>
      <c r="V269">
        <v>1</v>
      </c>
    </row>
    <row r="270" spans="1:22" x14ac:dyDescent="0.25">
      <c r="A270">
        <v>2025</v>
      </c>
      <c r="B270">
        <v>9</v>
      </c>
      <c r="C270" t="s">
        <v>80</v>
      </c>
      <c r="D270" t="s">
        <v>22</v>
      </c>
      <c r="E270" t="s">
        <v>147</v>
      </c>
      <c r="F270" t="s">
        <v>36</v>
      </c>
      <c r="G270" t="s">
        <v>24</v>
      </c>
      <c r="H270" t="s">
        <v>25</v>
      </c>
      <c r="I270" t="s">
        <v>26</v>
      </c>
      <c r="J270" t="s">
        <v>25</v>
      </c>
      <c r="K270">
        <v>11</v>
      </c>
      <c r="L270">
        <v>0</v>
      </c>
      <c r="M270">
        <v>0</v>
      </c>
      <c r="N270">
        <v>0</v>
      </c>
      <c r="O270">
        <v>8</v>
      </c>
      <c r="P270">
        <v>5</v>
      </c>
      <c r="Q270">
        <v>5</v>
      </c>
      <c r="R270">
        <v>3</v>
      </c>
      <c r="S270">
        <v>2</v>
      </c>
      <c r="T270">
        <v>1</v>
      </c>
      <c r="U270">
        <v>1</v>
      </c>
      <c r="V270">
        <v>11</v>
      </c>
    </row>
    <row r="271" spans="1:22" x14ac:dyDescent="0.25">
      <c r="A271">
        <v>2025</v>
      </c>
      <c r="B271">
        <v>9</v>
      </c>
      <c r="C271" t="s">
        <v>80</v>
      </c>
      <c r="D271" t="s">
        <v>22</v>
      </c>
      <c r="E271" t="s">
        <v>149</v>
      </c>
      <c r="F271" t="s">
        <v>38</v>
      </c>
      <c r="G271" t="s">
        <v>24</v>
      </c>
      <c r="H271" t="s">
        <v>25</v>
      </c>
      <c r="I271" t="s">
        <v>26</v>
      </c>
      <c r="J271" t="s">
        <v>25</v>
      </c>
      <c r="K271">
        <v>3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3</v>
      </c>
    </row>
    <row r="272" spans="1:22" x14ac:dyDescent="0.25">
      <c r="A272">
        <v>2025</v>
      </c>
      <c r="B272">
        <v>9</v>
      </c>
      <c r="C272" t="s">
        <v>80</v>
      </c>
      <c r="D272" t="s">
        <v>22</v>
      </c>
      <c r="E272" t="s">
        <v>150</v>
      </c>
      <c r="F272" t="s">
        <v>32</v>
      </c>
      <c r="G272" t="s">
        <v>24</v>
      </c>
      <c r="H272" t="s">
        <v>25</v>
      </c>
      <c r="I272" t="s">
        <v>25</v>
      </c>
      <c r="J272" t="s">
        <v>25</v>
      </c>
      <c r="K272">
        <v>22</v>
      </c>
      <c r="L272">
        <v>0</v>
      </c>
      <c r="M272">
        <v>0</v>
      </c>
      <c r="N272">
        <v>0</v>
      </c>
      <c r="O272">
        <v>13</v>
      </c>
      <c r="P272">
        <v>11</v>
      </c>
      <c r="Q272">
        <v>10</v>
      </c>
      <c r="R272">
        <v>6</v>
      </c>
      <c r="S272">
        <v>2</v>
      </c>
      <c r="T272">
        <v>0</v>
      </c>
      <c r="U272">
        <v>0</v>
      </c>
      <c r="V272">
        <v>22</v>
      </c>
    </row>
    <row r="273" spans="1:22" x14ac:dyDescent="0.25">
      <c r="A273">
        <v>2025</v>
      </c>
      <c r="B273">
        <v>9</v>
      </c>
      <c r="C273" t="s">
        <v>80</v>
      </c>
      <c r="D273" t="s">
        <v>22</v>
      </c>
      <c r="E273" t="s">
        <v>61</v>
      </c>
      <c r="F273" t="s">
        <v>35</v>
      </c>
      <c r="G273" t="s">
        <v>28</v>
      </c>
      <c r="H273" t="s">
        <v>25</v>
      </c>
      <c r="I273" t="s">
        <v>26</v>
      </c>
      <c r="J273" t="s">
        <v>26</v>
      </c>
      <c r="K273">
        <v>2</v>
      </c>
      <c r="L273">
        <v>0</v>
      </c>
      <c r="M273">
        <v>0</v>
      </c>
      <c r="N273">
        <v>0</v>
      </c>
      <c r="O273">
        <v>2</v>
      </c>
      <c r="P273">
        <v>2</v>
      </c>
      <c r="Q273">
        <v>2</v>
      </c>
      <c r="R273">
        <v>2</v>
      </c>
      <c r="S273">
        <v>2</v>
      </c>
      <c r="T273">
        <v>2</v>
      </c>
      <c r="U273">
        <v>0</v>
      </c>
      <c r="V273">
        <v>2</v>
      </c>
    </row>
    <row r="274" spans="1:22" x14ac:dyDescent="0.25">
      <c r="A274">
        <v>2025</v>
      </c>
      <c r="B274">
        <v>9</v>
      </c>
      <c r="C274" t="s">
        <v>80</v>
      </c>
      <c r="D274" t="s">
        <v>22</v>
      </c>
      <c r="E274" t="s">
        <v>61</v>
      </c>
      <c r="F274" t="s">
        <v>35</v>
      </c>
      <c r="G274" t="s">
        <v>24</v>
      </c>
      <c r="H274" t="s">
        <v>25</v>
      </c>
      <c r="I274" t="s">
        <v>26</v>
      </c>
      <c r="J274" t="s">
        <v>26</v>
      </c>
      <c r="K274">
        <v>335</v>
      </c>
      <c r="L274">
        <v>0</v>
      </c>
      <c r="M274">
        <v>0</v>
      </c>
      <c r="N274">
        <v>0</v>
      </c>
      <c r="O274">
        <v>89</v>
      </c>
      <c r="P274">
        <v>83</v>
      </c>
      <c r="Q274">
        <v>82</v>
      </c>
      <c r="R274">
        <v>71</v>
      </c>
      <c r="S274">
        <v>57</v>
      </c>
      <c r="T274">
        <v>30</v>
      </c>
      <c r="U274">
        <v>18</v>
      </c>
      <c r="V274">
        <v>335</v>
      </c>
    </row>
    <row r="275" spans="1:22" x14ac:dyDescent="0.25">
      <c r="A275">
        <v>2025</v>
      </c>
      <c r="B275">
        <v>9</v>
      </c>
      <c r="C275" t="s">
        <v>80</v>
      </c>
      <c r="D275" t="s">
        <v>22</v>
      </c>
      <c r="E275" t="s">
        <v>61</v>
      </c>
      <c r="F275" t="s">
        <v>36</v>
      </c>
      <c r="G275" t="s">
        <v>24</v>
      </c>
      <c r="H275" t="s">
        <v>25</v>
      </c>
      <c r="I275" t="s">
        <v>26</v>
      </c>
      <c r="J275" t="s">
        <v>25</v>
      </c>
      <c r="K275">
        <v>119</v>
      </c>
      <c r="L275">
        <v>0</v>
      </c>
      <c r="M275">
        <v>0</v>
      </c>
      <c r="N275">
        <v>0</v>
      </c>
      <c r="O275">
        <v>27</v>
      </c>
      <c r="P275">
        <v>20</v>
      </c>
      <c r="Q275">
        <v>18</v>
      </c>
      <c r="R275">
        <v>12</v>
      </c>
      <c r="S275">
        <v>8</v>
      </c>
      <c r="T275">
        <v>4</v>
      </c>
      <c r="U275">
        <v>2</v>
      </c>
      <c r="V275">
        <v>119</v>
      </c>
    </row>
    <row r="276" spans="1:22" x14ac:dyDescent="0.25">
      <c r="A276">
        <v>2025</v>
      </c>
      <c r="B276">
        <v>9</v>
      </c>
      <c r="C276" t="s">
        <v>80</v>
      </c>
      <c r="D276" t="s">
        <v>22</v>
      </c>
      <c r="E276" t="s">
        <v>61</v>
      </c>
      <c r="F276" t="s">
        <v>41</v>
      </c>
      <c r="G276" t="s">
        <v>24</v>
      </c>
      <c r="H276" t="s">
        <v>26</v>
      </c>
      <c r="I276" t="s">
        <v>26</v>
      </c>
      <c r="J276" t="s">
        <v>25</v>
      </c>
      <c r="K276">
        <v>2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2</v>
      </c>
    </row>
    <row r="277" spans="1:22" x14ac:dyDescent="0.25">
      <c r="A277">
        <v>2025</v>
      </c>
      <c r="B277">
        <v>9</v>
      </c>
      <c r="C277" t="s">
        <v>80</v>
      </c>
      <c r="D277" t="s">
        <v>22</v>
      </c>
      <c r="E277" t="s">
        <v>157</v>
      </c>
      <c r="F277" t="s">
        <v>31</v>
      </c>
      <c r="G277" t="s">
        <v>24</v>
      </c>
      <c r="H277" t="s">
        <v>25</v>
      </c>
      <c r="I277" t="s">
        <v>25</v>
      </c>
      <c r="J277" t="s">
        <v>25</v>
      </c>
      <c r="K277">
        <v>120</v>
      </c>
      <c r="L277">
        <v>0</v>
      </c>
      <c r="M277">
        <v>0</v>
      </c>
      <c r="N277">
        <v>0</v>
      </c>
      <c r="O277">
        <v>19</v>
      </c>
      <c r="P277">
        <v>18</v>
      </c>
      <c r="Q277">
        <v>17</v>
      </c>
      <c r="R277">
        <v>13</v>
      </c>
      <c r="S277">
        <v>8</v>
      </c>
      <c r="T277">
        <v>5</v>
      </c>
      <c r="U277">
        <v>2</v>
      </c>
      <c r="V277">
        <v>120</v>
      </c>
    </row>
    <row r="278" spans="1:22" x14ac:dyDescent="0.25">
      <c r="A278">
        <v>2025</v>
      </c>
      <c r="B278">
        <v>9</v>
      </c>
      <c r="C278" t="s">
        <v>80</v>
      </c>
      <c r="D278" t="s">
        <v>22</v>
      </c>
      <c r="E278" t="s">
        <v>157</v>
      </c>
      <c r="F278" t="s">
        <v>32</v>
      </c>
      <c r="G278" t="s">
        <v>24</v>
      </c>
      <c r="H278" t="s">
        <v>25</v>
      </c>
      <c r="I278" t="s">
        <v>25</v>
      </c>
      <c r="J278" t="s">
        <v>25</v>
      </c>
      <c r="K278">
        <v>59</v>
      </c>
      <c r="L278">
        <v>0</v>
      </c>
      <c r="M278">
        <v>2</v>
      </c>
      <c r="N278">
        <v>2</v>
      </c>
      <c r="O278">
        <v>11</v>
      </c>
      <c r="P278">
        <v>11</v>
      </c>
      <c r="Q278">
        <v>10</v>
      </c>
      <c r="R278">
        <v>9</v>
      </c>
      <c r="S278">
        <v>8</v>
      </c>
      <c r="T278">
        <v>4</v>
      </c>
      <c r="U278">
        <v>1</v>
      </c>
      <c r="V278">
        <v>58</v>
      </c>
    </row>
    <row r="279" spans="1:22" x14ac:dyDescent="0.25">
      <c r="A279">
        <v>2025</v>
      </c>
      <c r="B279">
        <v>9</v>
      </c>
      <c r="C279" t="s">
        <v>80</v>
      </c>
      <c r="D279" t="s">
        <v>22</v>
      </c>
      <c r="E279" t="s">
        <v>157</v>
      </c>
      <c r="F279" t="s">
        <v>34</v>
      </c>
      <c r="G279" t="s">
        <v>24</v>
      </c>
      <c r="H279" t="s">
        <v>25</v>
      </c>
      <c r="I279" t="s">
        <v>26</v>
      </c>
      <c r="J279" t="s">
        <v>26</v>
      </c>
      <c r="K279">
        <v>27</v>
      </c>
      <c r="L279">
        <v>0</v>
      </c>
      <c r="M279">
        <v>0</v>
      </c>
      <c r="N279">
        <v>0</v>
      </c>
      <c r="O279">
        <v>2</v>
      </c>
      <c r="P279">
        <v>2</v>
      </c>
      <c r="Q279">
        <v>2</v>
      </c>
      <c r="R279">
        <v>2</v>
      </c>
      <c r="S279">
        <v>2</v>
      </c>
      <c r="T279">
        <v>2</v>
      </c>
      <c r="U279">
        <v>1</v>
      </c>
      <c r="V279">
        <v>27</v>
      </c>
    </row>
    <row r="280" spans="1:22" x14ac:dyDescent="0.25">
      <c r="A280">
        <v>2025</v>
      </c>
      <c r="B280">
        <v>9</v>
      </c>
      <c r="C280" t="s">
        <v>80</v>
      </c>
      <c r="D280" t="s">
        <v>22</v>
      </c>
      <c r="E280" t="s">
        <v>157</v>
      </c>
      <c r="F280" t="s">
        <v>23</v>
      </c>
      <c r="G280" t="s">
        <v>24</v>
      </c>
      <c r="H280" t="s">
        <v>25</v>
      </c>
      <c r="I280" t="s">
        <v>26</v>
      </c>
      <c r="J280" t="s">
        <v>25</v>
      </c>
      <c r="K280">
        <v>1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1</v>
      </c>
    </row>
    <row r="281" spans="1:22" x14ac:dyDescent="0.25">
      <c r="A281">
        <v>2025</v>
      </c>
      <c r="B281">
        <v>9</v>
      </c>
      <c r="C281" t="s">
        <v>80</v>
      </c>
      <c r="D281" t="s">
        <v>22</v>
      </c>
      <c r="E281" t="s">
        <v>69</v>
      </c>
      <c r="F281" t="s">
        <v>40</v>
      </c>
      <c r="G281" t="s">
        <v>24</v>
      </c>
      <c r="H281" t="s">
        <v>25</v>
      </c>
      <c r="I281" t="s">
        <v>26</v>
      </c>
      <c r="J281" t="s">
        <v>25</v>
      </c>
      <c r="K281">
        <v>50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50</v>
      </c>
    </row>
    <row r="282" spans="1:22" x14ac:dyDescent="0.25">
      <c r="A282">
        <v>2025</v>
      </c>
      <c r="B282">
        <v>9</v>
      </c>
      <c r="C282" t="s">
        <v>80</v>
      </c>
      <c r="D282" t="s">
        <v>22</v>
      </c>
      <c r="E282" t="s">
        <v>173</v>
      </c>
      <c r="F282" t="s">
        <v>32</v>
      </c>
      <c r="G282" t="s">
        <v>24</v>
      </c>
      <c r="H282" t="s">
        <v>25</v>
      </c>
      <c r="I282" t="s">
        <v>25</v>
      </c>
      <c r="J282" t="s">
        <v>25</v>
      </c>
      <c r="K282">
        <v>972</v>
      </c>
      <c r="L282">
        <v>24</v>
      </c>
      <c r="M282">
        <v>32</v>
      </c>
      <c r="N282">
        <v>56</v>
      </c>
      <c r="O282">
        <v>345</v>
      </c>
      <c r="P282">
        <v>272</v>
      </c>
      <c r="Q282">
        <v>226</v>
      </c>
      <c r="R282">
        <v>140</v>
      </c>
      <c r="S282">
        <v>78</v>
      </c>
      <c r="T282">
        <v>32</v>
      </c>
      <c r="U282">
        <v>5</v>
      </c>
      <c r="V282">
        <v>920</v>
      </c>
    </row>
    <row r="283" spans="1:22" x14ac:dyDescent="0.25">
      <c r="A283">
        <v>2025</v>
      </c>
      <c r="B283">
        <v>9</v>
      </c>
      <c r="C283" t="s">
        <v>80</v>
      </c>
      <c r="D283" t="s">
        <v>22</v>
      </c>
      <c r="E283" t="s">
        <v>80</v>
      </c>
      <c r="F283" t="s">
        <v>102</v>
      </c>
      <c r="G283" t="s">
        <v>28</v>
      </c>
      <c r="H283" t="s">
        <v>25</v>
      </c>
      <c r="I283" t="s">
        <v>25</v>
      </c>
      <c r="J283" t="s">
        <v>25</v>
      </c>
      <c r="K283">
        <v>1</v>
      </c>
      <c r="L283">
        <v>0</v>
      </c>
      <c r="M283">
        <v>0</v>
      </c>
      <c r="N283">
        <v>0</v>
      </c>
      <c r="O283">
        <v>1</v>
      </c>
      <c r="P283">
        <v>1</v>
      </c>
      <c r="Q283">
        <v>1</v>
      </c>
      <c r="R283">
        <v>1</v>
      </c>
      <c r="S283">
        <v>1</v>
      </c>
      <c r="T283">
        <v>0</v>
      </c>
      <c r="U283">
        <v>0</v>
      </c>
      <c r="V283">
        <v>1</v>
      </c>
    </row>
    <row r="284" spans="1:22" x14ac:dyDescent="0.25">
      <c r="A284">
        <v>2025</v>
      </c>
      <c r="B284">
        <v>9</v>
      </c>
      <c r="C284" t="s">
        <v>80</v>
      </c>
      <c r="D284" t="s">
        <v>22</v>
      </c>
      <c r="E284" t="s">
        <v>80</v>
      </c>
      <c r="F284" t="s">
        <v>32</v>
      </c>
      <c r="G284" t="s">
        <v>28</v>
      </c>
      <c r="H284" t="s">
        <v>25</v>
      </c>
      <c r="I284" t="s">
        <v>25</v>
      </c>
      <c r="J284" t="s">
        <v>25</v>
      </c>
      <c r="K284">
        <v>29</v>
      </c>
      <c r="L284">
        <v>0</v>
      </c>
      <c r="M284">
        <v>1</v>
      </c>
      <c r="N284">
        <v>1</v>
      </c>
      <c r="O284">
        <v>21</v>
      </c>
      <c r="P284">
        <v>17</v>
      </c>
      <c r="Q284">
        <v>17</v>
      </c>
      <c r="R284">
        <v>11</v>
      </c>
      <c r="S284">
        <v>9</v>
      </c>
      <c r="T284">
        <v>1</v>
      </c>
      <c r="U284">
        <v>1</v>
      </c>
      <c r="V284">
        <v>28</v>
      </c>
    </row>
    <row r="285" spans="1:22" x14ac:dyDescent="0.25">
      <c r="A285">
        <v>2025</v>
      </c>
      <c r="B285">
        <v>9</v>
      </c>
      <c r="C285" t="s">
        <v>80</v>
      </c>
      <c r="D285" t="s">
        <v>22</v>
      </c>
      <c r="E285" t="s">
        <v>80</v>
      </c>
      <c r="F285" t="s">
        <v>34</v>
      </c>
      <c r="G285" t="s">
        <v>28</v>
      </c>
      <c r="H285" t="s">
        <v>25</v>
      </c>
      <c r="I285" t="s">
        <v>26</v>
      </c>
      <c r="J285" t="s">
        <v>26</v>
      </c>
      <c r="K285">
        <v>1</v>
      </c>
      <c r="L285">
        <v>0</v>
      </c>
      <c r="M285">
        <v>0</v>
      </c>
      <c r="N285">
        <v>0</v>
      </c>
      <c r="O285">
        <v>1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1</v>
      </c>
    </row>
    <row r="286" spans="1:22" x14ac:dyDescent="0.25">
      <c r="A286">
        <v>2025</v>
      </c>
      <c r="B286">
        <v>9</v>
      </c>
      <c r="C286" t="s">
        <v>80</v>
      </c>
      <c r="D286" t="s">
        <v>22</v>
      </c>
      <c r="E286" t="s">
        <v>80</v>
      </c>
      <c r="F286" t="s">
        <v>76</v>
      </c>
      <c r="G286" t="s">
        <v>28</v>
      </c>
      <c r="H286" t="s">
        <v>25</v>
      </c>
      <c r="I286" t="s">
        <v>26</v>
      </c>
      <c r="J286" t="s">
        <v>25</v>
      </c>
      <c r="K286">
        <v>62</v>
      </c>
      <c r="L286">
        <v>0</v>
      </c>
      <c r="M286">
        <v>22</v>
      </c>
      <c r="N286">
        <v>22</v>
      </c>
      <c r="O286">
        <v>22</v>
      </c>
      <c r="P286">
        <v>19</v>
      </c>
      <c r="Q286">
        <v>18</v>
      </c>
      <c r="R286">
        <v>15</v>
      </c>
      <c r="S286">
        <v>15</v>
      </c>
      <c r="T286">
        <v>10</v>
      </c>
      <c r="U286">
        <v>4</v>
      </c>
      <c r="V286">
        <v>45</v>
      </c>
    </row>
    <row r="287" spans="1:22" x14ac:dyDescent="0.25">
      <c r="A287">
        <v>2025</v>
      </c>
      <c r="B287">
        <v>9</v>
      </c>
      <c r="C287" t="s">
        <v>80</v>
      </c>
      <c r="D287" t="s">
        <v>22</v>
      </c>
      <c r="E287" t="s">
        <v>80</v>
      </c>
      <c r="F287" t="s">
        <v>76</v>
      </c>
      <c r="G287" t="s">
        <v>29</v>
      </c>
      <c r="H287" t="s">
        <v>25</v>
      </c>
      <c r="I287" t="s">
        <v>26</v>
      </c>
      <c r="J287" t="s">
        <v>25</v>
      </c>
      <c r="K287">
        <v>3</v>
      </c>
      <c r="L287">
        <v>1</v>
      </c>
      <c r="M287">
        <v>0</v>
      </c>
      <c r="N287">
        <v>1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</row>
    <row r="288" spans="1:22" x14ac:dyDescent="0.25">
      <c r="A288">
        <v>2025</v>
      </c>
      <c r="B288">
        <v>9</v>
      </c>
      <c r="C288" t="s">
        <v>80</v>
      </c>
      <c r="D288" t="s">
        <v>22</v>
      </c>
      <c r="E288" t="s">
        <v>80</v>
      </c>
      <c r="F288" t="s">
        <v>81</v>
      </c>
      <c r="G288" t="s">
        <v>28</v>
      </c>
      <c r="H288" t="s">
        <v>25</v>
      </c>
      <c r="I288" t="s">
        <v>26</v>
      </c>
      <c r="J288" t="s">
        <v>25</v>
      </c>
      <c r="K288">
        <v>527</v>
      </c>
      <c r="L288">
        <v>0</v>
      </c>
      <c r="M288">
        <v>19</v>
      </c>
      <c r="N288">
        <v>19</v>
      </c>
      <c r="O288">
        <v>295</v>
      </c>
      <c r="P288">
        <v>248</v>
      </c>
      <c r="Q288">
        <v>234</v>
      </c>
      <c r="R288">
        <v>176</v>
      </c>
      <c r="S288">
        <v>117</v>
      </c>
      <c r="T288">
        <v>50</v>
      </c>
      <c r="U288">
        <v>21</v>
      </c>
      <c r="V288">
        <v>511</v>
      </c>
    </row>
    <row r="289" spans="1:22" x14ac:dyDescent="0.25">
      <c r="A289">
        <v>2025</v>
      </c>
      <c r="B289">
        <v>9</v>
      </c>
      <c r="C289" t="s">
        <v>80</v>
      </c>
      <c r="D289" t="s">
        <v>22</v>
      </c>
      <c r="E289" t="s">
        <v>80</v>
      </c>
      <c r="F289" t="s">
        <v>82</v>
      </c>
      <c r="G289" t="s">
        <v>28</v>
      </c>
      <c r="H289" t="s">
        <v>25</v>
      </c>
      <c r="I289" t="s">
        <v>26</v>
      </c>
      <c r="J289" t="s">
        <v>25</v>
      </c>
      <c r="K289">
        <v>221</v>
      </c>
      <c r="L289">
        <v>0</v>
      </c>
      <c r="M289">
        <v>5</v>
      </c>
      <c r="N289">
        <v>5</v>
      </c>
      <c r="O289">
        <v>165</v>
      </c>
      <c r="P289">
        <v>147</v>
      </c>
      <c r="Q289">
        <v>135</v>
      </c>
      <c r="R289">
        <v>109</v>
      </c>
      <c r="S289">
        <v>81</v>
      </c>
      <c r="T289">
        <v>24</v>
      </c>
      <c r="U289">
        <v>6</v>
      </c>
      <c r="V289">
        <v>216</v>
      </c>
    </row>
    <row r="290" spans="1:22" x14ac:dyDescent="0.25">
      <c r="A290">
        <v>2025</v>
      </c>
      <c r="B290">
        <v>9</v>
      </c>
      <c r="C290" t="s">
        <v>80</v>
      </c>
      <c r="D290" t="s">
        <v>22</v>
      </c>
      <c r="E290" t="s">
        <v>80</v>
      </c>
      <c r="F290" t="s">
        <v>83</v>
      </c>
      <c r="G290" t="s">
        <v>28</v>
      </c>
      <c r="H290" t="s">
        <v>26</v>
      </c>
      <c r="I290" t="s">
        <v>26</v>
      </c>
      <c r="J290" t="s">
        <v>25</v>
      </c>
      <c r="K290">
        <v>6788</v>
      </c>
      <c r="L290">
        <v>0</v>
      </c>
      <c r="M290">
        <v>178</v>
      </c>
      <c r="N290">
        <v>178</v>
      </c>
      <c r="O290">
        <v>3417</v>
      </c>
      <c r="P290">
        <v>2786</v>
      </c>
      <c r="Q290">
        <v>2546</v>
      </c>
      <c r="R290">
        <v>1834</v>
      </c>
      <c r="S290">
        <v>1341</v>
      </c>
      <c r="T290">
        <v>695</v>
      </c>
      <c r="U290">
        <v>239</v>
      </c>
      <c r="V290">
        <v>6650</v>
      </c>
    </row>
    <row r="291" spans="1:22" x14ac:dyDescent="0.25">
      <c r="A291">
        <v>2025</v>
      </c>
      <c r="B291">
        <v>9</v>
      </c>
      <c r="C291" t="s">
        <v>80</v>
      </c>
      <c r="D291" t="s">
        <v>22</v>
      </c>
      <c r="E291" t="s">
        <v>80</v>
      </c>
      <c r="F291" t="s">
        <v>23</v>
      </c>
      <c r="G291" t="s">
        <v>28</v>
      </c>
      <c r="H291" t="s">
        <v>25</v>
      </c>
      <c r="I291" t="s">
        <v>26</v>
      </c>
      <c r="J291" t="s">
        <v>25</v>
      </c>
      <c r="K291">
        <v>3130</v>
      </c>
      <c r="L291">
        <v>0</v>
      </c>
      <c r="M291">
        <v>98</v>
      </c>
      <c r="N291">
        <v>98</v>
      </c>
      <c r="O291">
        <v>1462</v>
      </c>
      <c r="P291">
        <v>1211</v>
      </c>
      <c r="Q291">
        <v>1118</v>
      </c>
      <c r="R291">
        <v>832</v>
      </c>
      <c r="S291">
        <v>604</v>
      </c>
      <c r="T291">
        <v>304</v>
      </c>
      <c r="U291">
        <v>107</v>
      </c>
      <c r="V291">
        <v>3051</v>
      </c>
    </row>
    <row r="292" spans="1:22" x14ac:dyDescent="0.25">
      <c r="A292">
        <v>2025</v>
      </c>
      <c r="B292">
        <v>9</v>
      </c>
      <c r="C292" t="s">
        <v>80</v>
      </c>
      <c r="D292" t="s">
        <v>22</v>
      </c>
      <c r="E292" t="s">
        <v>80</v>
      </c>
      <c r="F292" t="s">
        <v>84</v>
      </c>
      <c r="G292" t="s">
        <v>28</v>
      </c>
      <c r="H292" t="s">
        <v>25</v>
      </c>
      <c r="I292" t="s">
        <v>26</v>
      </c>
      <c r="J292" t="s">
        <v>26</v>
      </c>
      <c r="K292">
        <v>497</v>
      </c>
      <c r="L292">
        <v>0</v>
      </c>
      <c r="M292">
        <v>0</v>
      </c>
      <c r="N292">
        <v>0</v>
      </c>
      <c r="O292">
        <v>151</v>
      </c>
      <c r="P292">
        <v>116</v>
      </c>
      <c r="Q292">
        <v>104</v>
      </c>
      <c r="R292">
        <v>69</v>
      </c>
      <c r="S292">
        <v>56</v>
      </c>
      <c r="T292">
        <v>30</v>
      </c>
      <c r="U292">
        <v>17</v>
      </c>
      <c r="V292">
        <v>497</v>
      </c>
    </row>
    <row r="293" spans="1:22" x14ac:dyDescent="0.25">
      <c r="A293">
        <v>2025</v>
      </c>
      <c r="B293">
        <v>9</v>
      </c>
      <c r="C293" t="s">
        <v>80</v>
      </c>
      <c r="D293" t="s">
        <v>22</v>
      </c>
      <c r="E293" t="s">
        <v>80</v>
      </c>
      <c r="F293" t="s">
        <v>40</v>
      </c>
      <c r="G293" t="s">
        <v>28</v>
      </c>
      <c r="H293" t="s">
        <v>25</v>
      </c>
      <c r="I293" t="s">
        <v>26</v>
      </c>
      <c r="J293" t="s">
        <v>25</v>
      </c>
      <c r="K293">
        <v>5</v>
      </c>
      <c r="L293">
        <v>0</v>
      </c>
      <c r="M293">
        <v>2</v>
      </c>
      <c r="N293">
        <v>2</v>
      </c>
      <c r="O293">
        <v>3</v>
      </c>
      <c r="P293">
        <v>2</v>
      </c>
      <c r="Q293">
        <v>2</v>
      </c>
      <c r="R293">
        <v>2</v>
      </c>
      <c r="S293">
        <v>1</v>
      </c>
      <c r="T293">
        <v>0</v>
      </c>
      <c r="U293">
        <v>0</v>
      </c>
      <c r="V293">
        <v>3</v>
      </c>
    </row>
    <row r="294" spans="1:22" x14ac:dyDescent="0.25">
      <c r="A294">
        <v>2025</v>
      </c>
      <c r="B294">
        <v>9</v>
      </c>
      <c r="C294" t="s">
        <v>80</v>
      </c>
      <c r="D294" t="s">
        <v>22</v>
      </c>
      <c r="E294" t="s">
        <v>80</v>
      </c>
      <c r="F294" t="s">
        <v>85</v>
      </c>
      <c r="G294" t="s">
        <v>28</v>
      </c>
      <c r="H294" t="s">
        <v>25</v>
      </c>
      <c r="I294" t="s">
        <v>25</v>
      </c>
      <c r="J294" t="s">
        <v>25</v>
      </c>
      <c r="K294">
        <v>7389</v>
      </c>
      <c r="L294">
        <v>0</v>
      </c>
      <c r="M294">
        <v>655</v>
      </c>
      <c r="N294">
        <v>655</v>
      </c>
      <c r="O294">
        <v>576</v>
      </c>
      <c r="P294">
        <v>274</v>
      </c>
      <c r="Q294">
        <v>212</v>
      </c>
      <c r="R294">
        <v>90</v>
      </c>
      <c r="S294">
        <v>39</v>
      </c>
      <c r="T294">
        <v>10</v>
      </c>
      <c r="U294">
        <v>2</v>
      </c>
      <c r="V294">
        <v>6823</v>
      </c>
    </row>
    <row r="295" spans="1:22" x14ac:dyDescent="0.25">
      <c r="A295">
        <v>2025</v>
      </c>
      <c r="B295">
        <v>9</v>
      </c>
      <c r="C295" t="s">
        <v>80</v>
      </c>
      <c r="D295" t="s">
        <v>22</v>
      </c>
      <c r="E295" t="s">
        <v>80</v>
      </c>
      <c r="F295" t="s">
        <v>86</v>
      </c>
      <c r="G295" t="s">
        <v>28</v>
      </c>
      <c r="H295" t="s">
        <v>25</v>
      </c>
      <c r="I295" t="s">
        <v>25</v>
      </c>
      <c r="J295" t="s">
        <v>25</v>
      </c>
      <c r="K295">
        <v>13</v>
      </c>
      <c r="L295">
        <v>0</v>
      </c>
      <c r="M295">
        <v>1</v>
      </c>
      <c r="N295">
        <v>1</v>
      </c>
      <c r="O295">
        <v>6</v>
      </c>
      <c r="P295">
        <v>6</v>
      </c>
      <c r="Q295">
        <v>6</v>
      </c>
      <c r="R295">
        <v>5</v>
      </c>
      <c r="S295">
        <v>5</v>
      </c>
      <c r="T295">
        <v>4</v>
      </c>
      <c r="U295">
        <v>1</v>
      </c>
      <c r="V295">
        <v>13</v>
      </c>
    </row>
    <row r="296" spans="1:22" x14ac:dyDescent="0.25">
      <c r="A296">
        <v>2025</v>
      </c>
      <c r="B296">
        <v>9</v>
      </c>
      <c r="C296" t="s">
        <v>80</v>
      </c>
      <c r="D296" t="s">
        <v>22</v>
      </c>
      <c r="E296" t="s">
        <v>80</v>
      </c>
      <c r="F296" t="s">
        <v>86</v>
      </c>
      <c r="G296" t="s">
        <v>29</v>
      </c>
      <c r="H296" t="s">
        <v>25</v>
      </c>
      <c r="I296" t="s">
        <v>25</v>
      </c>
      <c r="J296" t="s">
        <v>25</v>
      </c>
      <c r="K296">
        <v>4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</row>
    <row r="297" spans="1:22" x14ac:dyDescent="0.25">
      <c r="A297">
        <v>2025</v>
      </c>
      <c r="B297">
        <v>9</v>
      </c>
      <c r="C297" t="s">
        <v>80</v>
      </c>
      <c r="D297" t="s">
        <v>22</v>
      </c>
      <c r="E297" t="s">
        <v>80</v>
      </c>
      <c r="F297" t="s">
        <v>87</v>
      </c>
      <c r="G297" t="s">
        <v>28</v>
      </c>
      <c r="H297" t="s">
        <v>25</v>
      </c>
      <c r="I297" t="s">
        <v>25</v>
      </c>
      <c r="J297" t="s">
        <v>25</v>
      </c>
      <c r="K297">
        <v>228685</v>
      </c>
      <c r="L297">
        <v>110</v>
      </c>
      <c r="M297">
        <v>9910</v>
      </c>
      <c r="N297">
        <v>10020</v>
      </c>
      <c r="O297">
        <v>48231</v>
      </c>
      <c r="P297">
        <v>28097</v>
      </c>
      <c r="Q297">
        <v>22320</v>
      </c>
      <c r="R297">
        <v>11503</v>
      </c>
      <c r="S297">
        <v>6671</v>
      </c>
      <c r="T297">
        <v>2235</v>
      </c>
      <c r="U297">
        <v>488</v>
      </c>
      <c r="V297">
        <v>220151</v>
      </c>
    </row>
    <row r="298" spans="1:22" x14ac:dyDescent="0.25">
      <c r="A298">
        <v>2025</v>
      </c>
      <c r="B298">
        <v>9</v>
      </c>
      <c r="C298" t="s">
        <v>80</v>
      </c>
      <c r="D298" t="s">
        <v>22</v>
      </c>
      <c r="E298" t="s">
        <v>80</v>
      </c>
      <c r="F298" t="s">
        <v>87</v>
      </c>
      <c r="G298" t="s">
        <v>24</v>
      </c>
      <c r="H298" t="s">
        <v>25</v>
      </c>
      <c r="I298" t="s">
        <v>25</v>
      </c>
      <c r="J298" t="s">
        <v>25</v>
      </c>
      <c r="K298">
        <v>5759</v>
      </c>
      <c r="L298">
        <v>279</v>
      </c>
      <c r="M298">
        <v>202</v>
      </c>
      <c r="N298">
        <v>481</v>
      </c>
      <c r="O298">
        <v>1266</v>
      </c>
      <c r="P298">
        <v>756</v>
      </c>
      <c r="Q298">
        <v>614</v>
      </c>
      <c r="R298">
        <v>285</v>
      </c>
      <c r="S298">
        <v>135</v>
      </c>
      <c r="T298">
        <v>29</v>
      </c>
      <c r="U298">
        <v>5</v>
      </c>
      <c r="V298">
        <v>5330</v>
      </c>
    </row>
    <row r="299" spans="1:22" x14ac:dyDescent="0.25">
      <c r="A299">
        <v>2025</v>
      </c>
      <c r="B299">
        <v>9</v>
      </c>
      <c r="C299" t="s">
        <v>80</v>
      </c>
      <c r="D299" t="s">
        <v>22</v>
      </c>
      <c r="E299" t="s">
        <v>80</v>
      </c>
      <c r="F299" t="s">
        <v>87</v>
      </c>
      <c r="G299" t="s">
        <v>29</v>
      </c>
      <c r="H299" t="s">
        <v>25</v>
      </c>
      <c r="I299" t="s">
        <v>25</v>
      </c>
      <c r="J299" t="s">
        <v>25</v>
      </c>
      <c r="K299">
        <v>1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</row>
    <row r="300" spans="1:22" x14ac:dyDescent="0.25">
      <c r="A300">
        <v>2025</v>
      </c>
      <c r="B300">
        <v>10</v>
      </c>
      <c r="C300" t="s">
        <v>80</v>
      </c>
      <c r="D300" t="s">
        <v>22</v>
      </c>
      <c r="E300" t="s">
        <v>37</v>
      </c>
      <c r="F300" t="s">
        <v>38</v>
      </c>
      <c r="G300" t="s">
        <v>24</v>
      </c>
      <c r="H300" t="s">
        <v>25</v>
      </c>
      <c r="I300" t="s">
        <v>26</v>
      </c>
      <c r="J300" t="s">
        <v>25</v>
      </c>
      <c r="K300">
        <v>2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2</v>
      </c>
    </row>
    <row r="301" spans="1:22" x14ac:dyDescent="0.25">
      <c r="A301">
        <v>2025</v>
      </c>
      <c r="B301">
        <v>10</v>
      </c>
      <c r="C301" t="s">
        <v>80</v>
      </c>
      <c r="D301" t="s">
        <v>22</v>
      </c>
      <c r="E301" t="s">
        <v>144</v>
      </c>
      <c r="F301" t="s">
        <v>36</v>
      </c>
      <c r="G301" t="s">
        <v>24</v>
      </c>
      <c r="H301" t="s">
        <v>25</v>
      </c>
      <c r="I301" t="s">
        <v>26</v>
      </c>
      <c r="J301" t="s">
        <v>25</v>
      </c>
      <c r="K301">
        <v>8</v>
      </c>
      <c r="L301">
        <v>0</v>
      </c>
      <c r="M301">
        <v>0</v>
      </c>
      <c r="N301">
        <v>0</v>
      </c>
      <c r="O301">
        <v>4</v>
      </c>
      <c r="P301">
        <v>3</v>
      </c>
      <c r="Q301">
        <v>3</v>
      </c>
      <c r="R301">
        <v>3</v>
      </c>
      <c r="S301">
        <v>3</v>
      </c>
      <c r="T301">
        <v>2</v>
      </c>
      <c r="U301">
        <v>1</v>
      </c>
      <c r="V301">
        <v>8</v>
      </c>
    </row>
    <row r="302" spans="1:22" x14ac:dyDescent="0.25">
      <c r="A302">
        <v>2025</v>
      </c>
      <c r="B302">
        <v>10</v>
      </c>
      <c r="C302" t="s">
        <v>80</v>
      </c>
      <c r="D302" t="s">
        <v>22</v>
      </c>
      <c r="E302" t="s">
        <v>154</v>
      </c>
      <c r="F302" t="s">
        <v>32</v>
      </c>
      <c r="G302" t="s">
        <v>24</v>
      </c>
      <c r="H302" t="s">
        <v>25</v>
      </c>
      <c r="I302" t="s">
        <v>25</v>
      </c>
      <c r="J302" t="s">
        <v>25</v>
      </c>
      <c r="K302">
        <v>11</v>
      </c>
      <c r="L302">
        <v>0</v>
      </c>
      <c r="M302">
        <v>0</v>
      </c>
      <c r="N302">
        <v>0</v>
      </c>
      <c r="O302">
        <v>5</v>
      </c>
      <c r="P302">
        <v>5</v>
      </c>
      <c r="Q302">
        <v>4</v>
      </c>
      <c r="R302">
        <v>4</v>
      </c>
      <c r="S302">
        <v>4</v>
      </c>
      <c r="T302">
        <v>2</v>
      </c>
      <c r="U302">
        <v>0</v>
      </c>
      <c r="V302">
        <v>11</v>
      </c>
    </row>
    <row r="303" spans="1:22" x14ac:dyDescent="0.25">
      <c r="A303">
        <v>2025</v>
      </c>
      <c r="B303">
        <v>10</v>
      </c>
      <c r="C303" t="s">
        <v>80</v>
      </c>
      <c r="D303" t="s">
        <v>22</v>
      </c>
      <c r="E303" t="s">
        <v>147</v>
      </c>
      <c r="F303" t="s">
        <v>32</v>
      </c>
      <c r="G303" t="s">
        <v>24</v>
      </c>
      <c r="H303" t="s">
        <v>25</v>
      </c>
      <c r="I303" t="s">
        <v>25</v>
      </c>
      <c r="J303" t="s">
        <v>25</v>
      </c>
      <c r="K303">
        <v>279</v>
      </c>
      <c r="L303">
        <v>0</v>
      </c>
      <c r="M303">
        <v>9</v>
      </c>
      <c r="N303">
        <v>9</v>
      </c>
      <c r="O303">
        <v>139</v>
      </c>
      <c r="P303">
        <v>123</v>
      </c>
      <c r="Q303">
        <v>111</v>
      </c>
      <c r="R303">
        <v>96</v>
      </c>
      <c r="S303">
        <v>70</v>
      </c>
      <c r="T303">
        <v>28</v>
      </c>
      <c r="U303">
        <v>9</v>
      </c>
      <c r="V303">
        <v>270</v>
      </c>
    </row>
    <row r="304" spans="1:22" x14ac:dyDescent="0.25">
      <c r="A304">
        <v>2025</v>
      </c>
      <c r="B304">
        <v>10</v>
      </c>
      <c r="C304" t="s">
        <v>80</v>
      </c>
      <c r="D304" t="s">
        <v>22</v>
      </c>
      <c r="E304" t="s">
        <v>147</v>
      </c>
      <c r="F304" t="s">
        <v>36</v>
      </c>
      <c r="G304" t="s">
        <v>24</v>
      </c>
      <c r="H304" t="s">
        <v>25</v>
      </c>
      <c r="I304" t="s">
        <v>26</v>
      </c>
      <c r="J304" t="s">
        <v>25</v>
      </c>
      <c r="K304">
        <v>23</v>
      </c>
      <c r="L304">
        <v>0</v>
      </c>
      <c r="M304">
        <v>0</v>
      </c>
      <c r="N304">
        <v>0</v>
      </c>
      <c r="O304">
        <v>21</v>
      </c>
      <c r="P304">
        <v>18</v>
      </c>
      <c r="Q304">
        <v>18</v>
      </c>
      <c r="R304">
        <v>16</v>
      </c>
      <c r="S304">
        <v>7</v>
      </c>
      <c r="T304">
        <v>4</v>
      </c>
      <c r="U304">
        <v>2</v>
      </c>
      <c r="V304">
        <v>23</v>
      </c>
    </row>
    <row r="305" spans="1:22" x14ac:dyDescent="0.25">
      <c r="A305">
        <v>2025</v>
      </c>
      <c r="B305">
        <v>10</v>
      </c>
      <c r="C305" t="s">
        <v>80</v>
      </c>
      <c r="D305" t="s">
        <v>22</v>
      </c>
      <c r="E305" t="s">
        <v>150</v>
      </c>
      <c r="F305" t="s">
        <v>32</v>
      </c>
      <c r="G305" t="s">
        <v>24</v>
      </c>
      <c r="H305" t="s">
        <v>25</v>
      </c>
      <c r="I305" t="s">
        <v>25</v>
      </c>
      <c r="J305" t="s">
        <v>25</v>
      </c>
      <c r="K305">
        <v>26</v>
      </c>
      <c r="L305">
        <v>0</v>
      </c>
      <c r="M305">
        <v>0</v>
      </c>
      <c r="N305">
        <v>0</v>
      </c>
      <c r="O305">
        <v>18</v>
      </c>
      <c r="P305">
        <v>18</v>
      </c>
      <c r="Q305">
        <v>18</v>
      </c>
      <c r="R305">
        <v>7</v>
      </c>
      <c r="S305">
        <v>4</v>
      </c>
      <c r="T305">
        <v>1</v>
      </c>
      <c r="U305">
        <v>0</v>
      </c>
      <c r="V305">
        <v>26</v>
      </c>
    </row>
    <row r="306" spans="1:22" x14ac:dyDescent="0.25">
      <c r="A306">
        <v>2025</v>
      </c>
      <c r="B306">
        <v>10</v>
      </c>
      <c r="C306" t="s">
        <v>80</v>
      </c>
      <c r="D306" t="s">
        <v>22</v>
      </c>
      <c r="E306" t="s">
        <v>61</v>
      </c>
      <c r="F306" t="s">
        <v>35</v>
      </c>
      <c r="G306" t="s">
        <v>28</v>
      </c>
      <c r="H306" t="s">
        <v>25</v>
      </c>
      <c r="I306" t="s">
        <v>26</v>
      </c>
      <c r="J306" t="s">
        <v>26</v>
      </c>
      <c r="K306">
        <v>2</v>
      </c>
      <c r="L306">
        <v>0</v>
      </c>
      <c r="M306">
        <v>0</v>
      </c>
      <c r="N306">
        <v>0</v>
      </c>
      <c r="O306">
        <v>1</v>
      </c>
      <c r="P306">
        <v>1</v>
      </c>
      <c r="Q306">
        <v>1</v>
      </c>
      <c r="R306">
        <v>1</v>
      </c>
      <c r="S306">
        <v>0</v>
      </c>
      <c r="T306">
        <v>0</v>
      </c>
      <c r="U306">
        <v>0</v>
      </c>
      <c r="V306">
        <v>2</v>
      </c>
    </row>
    <row r="307" spans="1:22" x14ac:dyDescent="0.25">
      <c r="A307">
        <v>2025</v>
      </c>
      <c r="B307">
        <v>10</v>
      </c>
      <c r="C307" t="s">
        <v>80</v>
      </c>
      <c r="D307" t="s">
        <v>22</v>
      </c>
      <c r="E307" t="s">
        <v>61</v>
      </c>
      <c r="F307" t="s">
        <v>35</v>
      </c>
      <c r="G307" t="s">
        <v>24</v>
      </c>
      <c r="H307" t="s">
        <v>25</v>
      </c>
      <c r="I307" t="s">
        <v>26</v>
      </c>
      <c r="J307" t="s">
        <v>26</v>
      </c>
      <c r="K307">
        <v>218</v>
      </c>
      <c r="L307">
        <v>0</v>
      </c>
      <c r="M307">
        <v>0</v>
      </c>
      <c r="N307">
        <v>0</v>
      </c>
      <c r="O307">
        <v>40</v>
      </c>
      <c r="P307">
        <v>28</v>
      </c>
      <c r="Q307">
        <v>24</v>
      </c>
      <c r="R307">
        <v>17</v>
      </c>
      <c r="S307">
        <v>12</v>
      </c>
      <c r="T307">
        <v>9</v>
      </c>
      <c r="U307">
        <v>6</v>
      </c>
      <c r="V307">
        <v>218</v>
      </c>
    </row>
    <row r="308" spans="1:22" x14ac:dyDescent="0.25">
      <c r="A308">
        <v>2025</v>
      </c>
      <c r="B308">
        <v>10</v>
      </c>
      <c r="C308" t="s">
        <v>80</v>
      </c>
      <c r="D308" t="s">
        <v>22</v>
      </c>
      <c r="E308" t="s">
        <v>61</v>
      </c>
      <c r="F308" t="s">
        <v>36</v>
      </c>
      <c r="G308" t="s">
        <v>28</v>
      </c>
      <c r="H308" t="s">
        <v>25</v>
      </c>
      <c r="I308" t="s">
        <v>26</v>
      </c>
      <c r="J308" t="s">
        <v>25</v>
      </c>
      <c r="K308">
        <v>1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1</v>
      </c>
    </row>
    <row r="309" spans="1:22" x14ac:dyDescent="0.25">
      <c r="A309">
        <v>2025</v>
      </c>
      <c r="B309">
        <v>10</v>
      </c>
      <c r="C309" t="s">
        <v>80</v>
      </c>
      <c r="D309" t="s">
        <v>22</v>
      </c>
      <c r="E309" t="s">
        <v>61</v>
      </c>
      <c r="F309" t="s">
        <v>36</v>
      </c>
      <c r="G309" t="s">
        <v>24</v>
      </c>
      <c r="H309" t="s">
        <v>25</v>
      </c>
      <c r="I309" t="s">
        <v>26</v>
      </c>
      <c r="J309" t="s">
        <v>25</v>
      </c>
      <c r="K309">
        <v>83</v>
      </c>
      <c r="L309">
        <v>0</v>
      </c>
      <c r="M309">
        <v>0</v>
      </c>
      <c r="N309">
        <v>0</v>
      </c>
      <c r="O309">
        <v>7</v>
      </c>
      <c r="P309">
        <v>6</v>
      </c>
      <c r="Q309">
        <v>5</v>
      </c>
      <c r="R309">
        <v>3</v>
      </c>
      <c r="S309">
        <v>2</v>
      </c>
      <c r="T309">
        <v>1</v>
      </c>
      <c r="U309">
        <v>0</v>
      </c>
      <c r="V309">
        <v>83</v>
      </c>
    </row>
    <row r="310" spans="1:22" x14ac:dyDescent="0.25">
      <c r="A310">
        <v>2025</v>
      </c>
      <c r="B310">
        <v>10</v>
      </c>
      <c r="C310" t="s">
        <v>80</v>
      </c>
      <c r="D310" t="s">
        <v>22</v>
      </c>
      <c r="E310" t="s">
        <v>61</v>
      </c>
      <c r="F310" t="s">
        <v>41</v>
      </c>
      <c r="G310" t="s">
        <v>24</v>
      </c>
      <c r="H310" t="s">
        <v>26</v>
      </c>
      <c r="I310" t="s">
        <v>26</v>
      </c>
      <c r="J310" t="s">
        <v>25</v>
      </c>
      <c r="K310">
        <v>2</v>
      </c>
      <c r="L310">
        <v>0</v>
      </c>
      <c r="M310">
        <v>0</v>
      </c>
      <c r="N310">
        <v>0</v>
      </c>
      <c r="O310">
        <v>1</v>
      </c>
      <c r="P310">
        <v>1</v>
      </c>
      <c r="Q310">
        <v>1</v>
      </c>
      <c r="R310">
        <v>1</v>
      </c>
      <c r="S310">
        <v>1</v>
      </c>
      <c r="T310">
        <v>1</v>
      </c>
      <c r="U310">
        <v>1</v>
      </c>
      <c r="V310">
        <v>2</v>
      </c>
    </row>
    <row r="311" spans="1:22" x14ac:dyDescent="0.25">
      <c r="A311">
        <v>2025</v>
      </c>
      <c r="B311">
        <v>10</v>
      </c>
      <c r="C311" t="s">
        <v>80</v>
      </c>
      <c r="D311" t="s">
        <v>22</v>
      </c>
      <c r="E311" t="s">
        <v>169</v>
      </c>
      <c r="F311" t="s">
        <v>32</v>
      </c>
      <c r="G311" t="s">
        <v>24</v>
      </c>
      <c r="H311" t="s">
        <v>25</v>
      </c>
      <c r="I311" t="s">
        <v>25</v>
      </c>
      <c r="J311" t="s">
        <v>25</v>
      </c>
      <c r="K311">
        <v>21</v>
      </c>
      <c r="L311">
        <v>0</v>
      </c>
      <c r="M311">
        <v>0</v>
      </c>
      <c r="N311">
        <v>0</v>
      </c>
      <c r="O311">
        <v>1</v>
      </c>
      <c r="P311">
        <v>1</v>
      </c>
      <c r="Q311">
        <v>1</v>
      </c>
      <c r="R311">
        <v>1</v>
      </c>
      <c r="S311">
        <v>1</v>
      </c>
      <c r="T311">
        <v>1</v>
      </c>
      <c r="U311">
        <v>1</v>
      </c>
      <c r="V311">
        <v>21</v>
      </c>
    </row>
    <row r="312" spans="1:22" x14ac:dyDescent="0.25">
      <c r="A312">
        <v>2025</v>
      </c>
      <c r="B312">
        <v>10</v>
      </c>
      <c r="C312" t="s">
        <v>80</v>
      </c>
      <c r="D312" t="s">
        <v>22</v>
      </c>
      <c r="E312" t="s">
        <v>157</v>
      </c>
      <c r="F312" t="s">
        <v>31</v>
      </c>
      <c r="G312" t="s">
        <v>24</v>
      </c>
      <c r="H312" t="s">
        <v>25</v>
      </c>
      <c r="I312" t="s">
        <v>25</v>
      </c>
      <c r="J312" t="s">
        <v>25</v>
      </c>
      <c r="K312">
        <v>84</v>
      </c>
      <c r="L312">
        <v>0</v>
      </c>
      <c r="M312">
        <v>0</v>
      </c>
      <c r="N312">
        <v>0</v>
      </c>
      <c r="O312">
        <v>11</v>
      </c>
      <c r="P312">
        <v>9</v>
      </c>
      <c r="Q312">
        <v>8</v>
      </c>
      <c r="R312">
        <v>4</v>
      </c>
      <c r="S312">
        <v>4</v>
      </c>
      <c r="T312">
        <v>1</v>
      </c>
      <c r="U312">
        <v>0</v>
      </c>
      <c r="V312">
        <v>84</v>
      </c>
    </row>
    <row r="313" spans="1:22" x14ac:dyDescent="0.25">
      <c r="A313">
        <v>2025</v>
      </c>
      <c r="B313">
        <v>10</v>
      </c>
      <c r="C313" t="s">
        <v>80</v>
      </c>
      <c r="D313" t="s">
        <v>22</v>
      </c>
      <c r="E313" t="s">
        <v>157</v>
      </c>
      <c r="F313" t="s">
        <v>32</v>
      </c>
      <c r="G313" t="s">
        <v>24</v>
      </c>
      <c r="H313" t="s">
        <v>25</v>
      </c>
      <c r="I313" t="s">
        <v>25</v>
      </c>
      <c r="J313" t="s">
        <v>25</v>
      </c>
      <c r="K313">
        <v>39</v>
      </c>
      <c r="L313">
        <v>0</v>
      </c>
      <c r="M313">
        <v>1</v>
      </c>
      <c r="N313">
        <v>1</v>
      </c>
      <c r="O313">
        <v>6</v>
      </c>
      <c r="P313">
        <v>5</v>
      </c>
      <c r="Q313">
        <v>4</v>
      </c>
      <c r="R313">
        <v>4</v>
      </c>
      <c r="S313">
        <v>2</v>
      </c>
      <c r="T313">
        <v>0</v>
      </c>
      <c r="U313">
        <v>0</v>
      </c>
      <c r="V313">
        <v>38</v>
      </c>
    </row>
    <row r="314" spans="1:22" x14ac:dyDescent="0.25">
      <c r="A314">
        <v>2025</v>
      </c>
      <c r="B314">
        <v>10</v>
      </c>
      <c r="C314" t="s">
        <v>80</v>
      </c>
      <c r="D314" t="s">
        <v>22</v>
      </c>
      <c r="E314" t="s">
        <v>157</v>
      </c>
      <c r="F314" t="s">
        <v>23</v>
      </c>
      <c r="G314" t="s">
        <v>24</v>
      </c>
      <c r="H314" t="s">
        <v>25</v>
      </c>
      <c r="I314" t="s">
        <v>26</v>
      </c>
      <c r="J314" t="s">
        <v>25</v>
      </c>
      <c r="K314">
        <v>1</v>
      </c>
      <c r="L314">
        <v>0</v>
      </c>
      <c r="M314">
        <v>0</v>
      </c>
      <c r="N314">
        <v>0</v>
      </c>
      <c r="O314">
        <v>1</v>
      </c>
      <c r="P314">
        <v>1</v>
      </c>
      <c r="Q314">
        <v>1</v>
      </c>
      <c r="R314">
        <v>1</v>
      </c>
      <c r="S314">
        <v>1</v>
      </c>
      <c r="T314">
        <v>1</v>
      </c>
      <c r="U314">
        <v>1</v>
      </c>
      <c r="V314">
        <v>1</v>
      </c>
    </row>
    <row r="315" spans="1:22" x14ac:dyDescent="0.25">
      <c r="A315">
        <v>2025</v>
      </c>
      <c r="B315">
        <v>10</v>
      </c>
      <c r="C315" t="s">
        <v>80</v>
      </c>
      <c r="D315" t="s">
        <v>22</v>
      </c>
      <c r="E315" t="s">
        <v>157</v>
      </c>
      <c r="F315" t="s">
        <v>35</v>
      </c>
      <c r="G315" t="s">
        <v>24</v>
      </c>
      <c r="H315" t="s">
        <v>25</v>
      </c>
      <c r="I315" t="s">
        <v>26</v>
      </c>
      <c r="J315" t="s">
        <v>26</v>
      </c>
      <c r="K315">
        <v>1</v>
      </c>
      <c r="L315">
        <v>0</v>
      </c>
      <c r="M315">
        <v>0</v>
      </c>
      <c r="N315">
        <v>0</v>
      </c>
      <c r="O315">
        <v>1</v>
      </c>
      <c r="P315">
        <v>1</v>
      </c>
      <c r="Q315">
        <v>1</v>
      </c>
      <c r="R315">
        <v>0</v>
      </c>
      <c r="S315">
        <v>0</v>
      </c>
      <c r="T315">
        <v>0</v>
      </c>
      <c r="U315">
        <v>0</v>
      </c>
      <c r="V315">
        <v>1</v>
      </c>
    </row>
    <row r="316" spans="1:22" x14ac:dyDescent="0.25">
      <c r="A316">
        <v>2025</v>
      </c>
      <c r="B316">
        <v>10</v>
      </c>
      <c r="C316" t="s">
        <v>80</v>
      </c>
      <c r="D316" t="s">
        <v>22</v>
      </c>
      <c r="E316" t="s">
        <v>69</v>
      </c>
      <c r="F316" t="s">
        <v>40</v>
      </c>
      <c r="G316" t="s">
        <v>24</v>
      </c>
      <c r="H316" t="s">
        <v>25</v>
      </c>
      <c r="I316" t="s">
        <v>26</v>
      </c>
      <c r="J316" t="s">
        <v>25</v>
      </c>
      <c r="K316">
        <v>36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36</v>
      </c>
    </row>
    <row r="317" spans="1:22" x14ac:dyDescent="0.25">
      <c r="A317">
        <v>2025</v>
      </c>
      <c r="B317">
        <v>10</v>
      </c>
      <c r="C317" t="s">
        <v>80</v>
      </c>
      <c r="D317" t="s">
        <v>22</v>
      </c>
      <c r="E317" t="s">
        <v>173</v>
      </c>
      <c r="F317" t="s">
        <v>32</v>
      </c>
      <c r="G317" t="s">
        <v>24</v>
      </c>
      <c r="H317" t="s">
        <v>25</v>
      </c>
      <c r="I317" t="s">
        <v>25</v>
      </c>
      <c r="J317" t="s">
        <v>25</v>
      </c>
      <c r="K317">
        <v>948</v>
      </c>
      <c r="L317">
        <v>10</v>
      </c>
      <c r="M317">
        <v>16</v>
      </c>
      <c r="N317">
        <v>26</v>
      </c>
      <c r="O317">
        <v>380</v>
      </c>
      <c r="P317">
        <v>297</v>
      </c>
      <c r="Q317">
        <v>250</v>
      </c>
      <c r="R317">
        <v>135</v>
      </c>
      <c r="S317">
        <v>83</v>
      </c>
      <c r="T317">
        <v>34</v>
      </c>
      <c r="U317">
        <v>9</v>
      </c>
      <c r="V317">
        <v>923</v>
      </c>
    </row>
    <row r="318" spans="1:22" x14ac:dyDescent="0.25">
      <c r="A318">
        <v>2025</v>
      </c>
      <c r="B318">
        <v>10</v>
      </c>
      <c r="C318" t="s">
        <v>80</v>
      </c>
      <c r="D318" t="s">
        <v>22</v>
      </c>
      <c r="E318" t="s">
        <v>173</v>
      </c>
      <c r="F318" t="s">
        <v>23</v>
      </c>
      <c r="G318" t="s">
        <v>24</v>
      </c>
      <c r="H318" t="s">
        <v>25</v>
      </c>
      <c r="I318" t="s">
        <v>26</v>
      </c>
      <c r="J318" t="s">
        <v>25</v>
      </c>
      <c r="K318">
        <v>1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1</v>
      </c>
    </row>
    <row r="319" spans="1:22" x14ac:dyDescent="0.25">
      <c r="A319">
        <v>2025</v>
      </c>
      <c r="B319">
        <v>10</v>
      </c>
      <c r="C319" t="s">
        <v>80</v>
      </c>
      <c r="D319" t="s">
        <v>22</v>
      </c>
      <c r="E319" t="s">
        <v>80</v>
      </c>
      <c r="F319" t="s">
        <v>102</v>
      </c>
      <c r="G319" t="s">
        <v>28</v>
      </c>
      <c r="H319" t="s">
        <v>25</v>
      </c>
      <c r="I319" t="s">
        <v>25</v>
      </c>
      <c r="J319" t="s">
        <v>25</v>
      </c>
      <c r="K319">
        <v>1</v>
      </c>
      <c r="L319">
        <v>0</v>
      </c>
      <c r="M319">
        <v>1</v>
      </c>
      <c r="N319">
        <v>1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</row>
    <row r="320" spans="1:22" x14ac:dyDescent="0.25">
      <c r="A320">
        <v>2025</v>
      </c>
      <c r="B320">
        <v>10</v>
      </c>
      <c r="C320" t="s">
        <v>80</v>
      </c>
      <c r="D320" t="s">
        <v>22</v>
      </c>
      <c r="E320" t="s">
        <v>80</v>
      </c>
      <c r="F320" t="s">
        <v>32</v>
      </c>
      <c r="G320" t="s">
        <v>28</v>
      </c>
      <c r="H320" t="s">
        <v>25</v>
      </c>
      <c r="I320" t="s">
        <v>25</v>
      </c>
      <c r="J320" t="s">
        <v>25</v>
      </c>
      <c r="K320">
        <v>149</v>
      </c>
      <c r="L320">
        <v>0</v>
      </c>
      <c r="M320">
        <v>3</v>
      </c>
      <c r="N320">
        <v>3</v>
      </c>
      <c r="O320">
        <v>62</v>
      </c>
      <c r="P320">
        <v>44</v>
      </c>
      <c r="Q320">
        <v>36</v>
      </c>
      <c r="R320">
        <v>10</v>
      </c>
      <c r="S320">
        <v>8</v>
      </c>
      <c r="T320">
        <v>3</v>
      </c>
      <c r="U320">
        <v>0</v>
      </c>
      <c r="V320">
        <v>147</v>
      </c>
    </row>
    <row r="321" spans="1:22" x14ac:dyDescent="0.25">
      <c r="A321">
        <v>2025</v>
      </c>
      <c r="B321">
        <v>10</v>
      </c>
      <c r="C321" t="s">
        <v>80</v>
      </c>
      <c r="D321" t="s">
        <v>22</v>
      </c>
      <c r="E321" t="s">
        <v>80</v>
      </c>
      <c r="F321" t="s">
        <v>34</v>
      </c>
      <c r="G321" t="s">
        <v>28</v>
      </c>
      <c r="H321" t="s">
        <v>25</v>
      </c>
      <c r="I321" t="s">
        <v>26</v>
      </c>
      <c r="J321" t="s">
        <v>26</v>
      </c>
      <c r="K321">
        <v>1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1</v>
      </c>
    </row>
    <row r="322" spans="1:22" x14ac:dyDescent="0.25">
      <c r="A322">
        <v>2025</v>
      </c>
      <c r="B322">
        <v>10</v>
      </c>
      <c r="C322" t="s">
        <v>80</v>
      </c>
      <c r="D322" t="s">
        <v>22</v>
      </c>
      <c r="E322" t="s">
        <v>80</v>
      </c>
      <c r="F322" t="s">
        <v>76</v>
      </c>
      <c r="G322" t="s">
        <v>28</v>
      </c>
      <c r="H322" t="s">
        <v>25</v>
      </c>
      <c r="I322" t="s">
        <v>26</v>
      </c>
      <c r="J322" t="s">
        <v>25</v>
      </c>
      <c r="K322">
        <v>48</v>
      </c>
      <c r="L322">
        <v>0</v>
      </c>
      <c r="M322">
        <v>5</v>
      </c>
      <c r="N322">
        <v>5</v>
      </c>
      <c r="O322">
        <v>11</v>
      </c>
      <c r="P322">
        <v>9</v>
      </c>
      <c r="Q322">
        <v>9</v>
      </c>
      <c r="R322">
        <v>8</v>
      </c>
      <c r="S322">
        <v>8</v>
      </c>
      <c r="T322">
        <v>5</v>
      </c>
      <c r="U322">
        <v>5</v>
      </c>
      <c r="V322">
        <v>43</v>
      </c>
    </row>
    <row r="323" spans="1:22" x14ac:dyDescent="0.25">
      <c r="A323">
        <v>2025</v>
      </c>
      <c r="B323">
        <v>10</v>
      </c>
      <c r="C323" t="s">
        <v>80</v>
      </c>
      <c r="D323" t="s">
        <v>22</v>
      </c>
      <c r="E323" t="s">
        <v>80</v>
      </c>
      <c r="F323" t="s">
        <v>81</v>
      </c>
      <c r="G323" t="s">
        <v>28</v>
      </c>
      <c r="H323" t="s">
        <v>25</v>
      </c>
      <c r="I323" t="s">
        <v>26</v>
      </c>
      <c r="J323" t="s">
        <v>25</v>
      </c>
      <c r="K323">
        <v>599</v>
      </c>
      <c r="L323">
        <v>0</v>
      </c>
      <c r="M323">
        <v>19</v>
      </c>
      <c r="N323">
        <v>19</v>
      </c>
      <c r="O323">
        <v>301</v>
      </c>
      <c r="P323">
        <v>253</v>
      </c>
      <c r="Q323">
        <v>226</v>
      </c>
      <c r="R323">
        <v>175</v>
      </c>
      <c r="S323">
        <v>131</v>
      </c>
      <c r="T323">
        <v>68</v>
      </c>
      <c r="U323">
        <v>24</v>
      </c>
      <c r="V323">
        <v>582</v>
      </c>
    </row>
    <row r="324" spans="1:22" x14ac:dyDescent="0.25">
      <c r="A324">
        <v>2025</v>
      </c>
      <c r="B324">
        <v>10</v>
      </c>
      <c r="C324" t="s">
        <v>80</v>
      </c>
      <c r="D324" t="s">
        <v>22</v>
      </c>
      <c r="E324" t="s">
        <v>80</v>
      </c>
      <c r="F324" t="s">
        <v>82</v>
      </c>
      <c r="G324" t="s">
        <v>28</v>
      </c>
      <c r="H324" t="s">
        <v>25</v>
      </c>
      <c r="I324" t="s">
        <v>26</v>
      </c>
      <c r="J324" t="s">
        <v>25</v>
      </c>
      <c r="K324">
        <v>206</v>
      </c>
      <c r="L324">
        <v>0</v>
      </c>
      <c r="M324">
        <v>7</v>
      </c>
      <c r="N324">
        <v>7</v>
      </c>
      <c r="O324">
        <v>130</v>
      </c>
      <c r="P324">
        <v>114</v>
      </c>
      <c r="Q324">
        <v>107</v>
      </c>
      <c r="R324">
        <v>84</v>
      </c>
      <c r="S324">
        <v>58</v>
      </c>
      <c r="T324">
        <v>23</v>
      </c>
      <c r="U324">
        <v>7</v>
      </c>
      <c r="V324">
        <v>199</v>
      </c>
    </row>
    <row r="325" spans="1:22" x14ac:dyDescent="0.25">
      <c r="A325">
        <v>2025</v>
      </c>
      <c r="B325">
        <v>10</v>
      </c>
      <c r="C325" t="s">
        <v>80</v>
      </c>
      <c r="D325" t="s">
        <v>22</v>
      </c>
      <c r="E325" t="s">
        <v>80</v>
      </c>
      <c r="F325" t="s">
        <v>83</v>
      </c>
      <c r="G325" t="s">
        <v>28</v>
      </c>
      <c r="H325" t="s">
        <v>26</v>
      </c>
      <c r="I325" t="s">
        <v>26</v>
      </c>
      <c r="J325" t="s">
        <v>25</v>
      </c>
      <c r="K325">
        <v>6841</v>
      </c>
      <c r="L325">
        <v>0</v>
      </c>
      <c r="M325">
        <v>127</v>
      </c>
      <c r="N325">
        <v>127</v>
      </c>
      <c r="O325">
        <v>3378</v>
      </c>
      <c r="P325">
        <v>2712</v>
      </c>
      <c r="Q325">
        <v>2447</v>
      </c>
      <c r="R325">
        <v>1758</v>
      </c>
      <c r="S325">
        <v>1242</v>
      </c>
      <c r="T325">
        <v>590</v>
      </c>
      <c r="U325">
        <v>178</v>
      </c>
      <c r="V325">
        <v>6728</v>
      </c>
    </row>
    <row r="326" spans="1:22" x14ac:dyDescent="0.25">
      <c r="A326">
        <v>2025</v>
      </c>
      <c r="B326">
        <v>10</v>
      </c>
      <c r="C326" t="s">
        <v>80</v>
      </c>
      <c r="D326" t="s">
        <v>22</v>
      </c>
      <c r="E326" t="s">
        <v>80</v>
      </c>
      <c r="F326" t="s">
        <v>23</v>
      </c>
      <c r="G326" t="s">
        <v>28</v>
      </c>
      <c r="H326" t="s">
        <v>25</v>
      </c>
      <c r="I326" t="s">
        <v>26</v>
      </c>
      <c r="J326" t="s">
        <v>25</v>
      </c>
      <c r="K326">
        <v>3302</v>
      </c>
      <c r="L326">
        <v>0</v>
      </c>
      <c r="M326">
        <v>132</v>
      </c>
      <c r="N326">
        <v>132</v>
      </c>
      <c r="O326">
        <v>1388</v>
      </c>
      <c r="P326">
        <v>1122</v>
      </c>
      <c r="Q326">
        <v>1031</v>
      </c>
      <c r="R326">
        <v>668</v>
      </c>
      <c r="S326">
        <v>457</v>
      </c>
      <c r="T326">
        <v>226</v>
      </c>
      <c r="U326">
        <v>86</v>
      </c>
      <c r="V326">
        <v>3180</v>
      </c>
    </row>
    <row r="327" spans="1:22" x14ac:dyDescent="0.25">
      <c r="A327">
        <v>2025</v>
      </c>
      <c r="B327">
        <v>10</v>
      </c>
      <c r="C327" t="s">
        <v>80</v>
      </c>
      <c r="D327" t="s">
        <v>22</v>
      </c>
      <c r="E327" t="s">
        <v>80</v>
      </c>
      <c r="F327" t="s">
        <v>84</v>
      </c>
      <c r="G327" t="s">
        <v>28</v>
      </c>
      <c r="H327" t="s">
        <v>25</v>
      </c>
      <c r="I327" t="s">
        <v>26</v>
      </c>
      <c r="J327" t="s">
        <v>26</v>
      </c>
      <c r="K327">
        <v>561</v>
      </c>
      <c r="L327">
        <v>0</v>
      </c>
      <c r="M327">
        <v>0</v>
      </c>
      <c r="N327">
        <v>0</v>
      </c>
      <c r="O327">
        <v>163</v>
      </c>
      <c r="P327">
        <v>118</v>
      </c>
      <c r="Q327">
        <v>105</v>
      </c>
      <c r="R327">
        <v>74</v>
      </c>
      <c r="S327">
        <v>51</v>
      </c>
      <c r="T327">
        <v>30</v>
      </c>
      <c r="U327">
        <v>11</v>
      </c>
      <c r="V327">
        <v>561</v>
      </c>
    </row>
    <row r="328" spans="1:22" x14ac:dyDescent="0.25">
      <c r="A328">
        <v>2025</v>
      </c>
      <c r="B328">
        <v>10</v>
      </c>
      <c r="C328" t="s">
        <v>80</v>
      </c>
      <c r="D328" t="s">
        <v>22</v>
      </c>
      <c r="E328" t="s">
        <v>80</v>
      </c>
      <c r="F328" t="s">
        <v>40</v>
      </c>
      <c r="G328" t="s">
        <v>28</v>
      </c>
      <c r="H328" t="s">
        <v>25</v>
      </c>
      <c r="I328" t="s">
        <v>26</v>
      </c>
      <c r="J328" t="s">
        <v>25</v>
      </c>
      <c r="K328">
        <v>5</v>
      </c>
      <c r="L328">
        <v>0</v>
      </c>
      <c r="M328">
        <v>2</v>
      </c>
      <c r="N328">
        <v>2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3</v>
      </c>
    </row>
    <row r="329" spans="1:22" x14ac:dyDescent="0.25">
      <c r="A329">
        <v>2025</v>
      </c>
      <c r="B329">
        <v>10</v>
      </c>
      <c r="C329" t="s">
        <v>80</v>
      </c>
      <c r="D329" t="s">
        <v>22</v>
      </c>
      <c r="E329" t="s">
        <v>80</v>
      </c>
      <c r="F329" t="s">
        <v>85</v>
      </c>
      <c r="G329" t="s">
        <v>28</v>
      </c>
      <c r="H329" t="s">
        <v>25</v>
      </c>
      <c r="I329" t="s">
        <v>25</v>
      </c>
      <c r="J329" t="s">
        <v>25</v>
      </c>
      <c r="K329">
        <v>8487</v>
      </c>
      <c r="L329">
        <v>0</v>
      </c>
      <c r="M329">
        <v>256</v>
      </c>
      <c r="N329">
        <v>256</v>
      </c>
      <c r="O329">
        <v>795</v>
      </c>
      <c r="P329">
        <v>421</v>
      </c>
      <c r="Q329">
        <v>338</v>
      </c>
      <c r="R329">
        <v>178</v>
      </c>
      <c r="S329">
        <v>97</v>
      </c>
      <c r="T329">
        <v>32</v>
      </c>
      <c r="U329">
        <v>2</v>
      </c>
      <c r="V329">
        <v>8287</v>
      </c>
    </row>
    <row r="330" spans="1:22" x14ac:dyDescent="0.25">
      <c r="A330">
        <v>2025</v>
      </c>
      <c r="B330">
        <v>10</v>
      </c>
      <c r="C330" t="s">
        <v>80</v>
      </c>
      <c r="D330" t="s">
        <v>22</v>
      </c>
      <c r="E330" t="s">
        <v>80</v>
      </c>
      <c r="F330" t="s">
        <v>86</v>
      </c>
      <c r="G330" t="s">
        <v>28</v>
      </c>
      <c r="H330" t="s">
        <v>25</v>
      </c>
      <c r="I330" t="s">
        <v>25</v>
      </c>
      <c r="J330" t="s">
        <v>25</v>
      </c>
      <c r="K330">
        <v>75</v>
      </c>
      <c r="L330">
        <v>0</v>
      </c>
      <c r="M330">
        <v>10</v>
      </c>
      <c r="N330">
        <v>10</v>
      </c>
      <c r="O330">
        <v>62</v>
      </c>
      <c r="P330">
        <v>62</v>
      </c>
      <c r="Q330">
        <v>62</v>
      </c>
      <c r="R330">
        <v>61</v>
      </c>
      <c r="S330">
        <v>57</v>
      </c>
      <c r="T330">
        <v>49</v>
      </c>
      <c r="U330">
        <v>30</v>
      </c>
      <c r="V330">
        <v>65</v>
      </c>
    </row>
    <row r="331" spans="1:22" x14ac:dyDescent="0.25">
      <c r="A331">
        <v>2025</v>
      </c>
      <c r="B331">
        <v>10</v>
      </c>
      <c r="C331" t="s">
        <v>80</v>
      </c>
      <c r="D331" t="s">
        <v>22</v>
      </c>
      <c r="E331" t="s">
        <v>80</v>
      </c>
      <c r="F331" t="s">
        <v>86</v>
      </c>
      <c r="G331" t="s">
        <v>29</v>
      </c>
      <c r="H331" t="s">
        <v>25</v>
      </c>
      <c r="I331" t="s">
        <v>25</v>
      </c>
      <c r="J331" t="s">
        <v>25</v>
      </c>
      <c r="K331">
        <v>8</v>
      </c>
      <c r="L331">
        <v>1</v>
      </c>
      <c r="M331">
        <v>0</v>
      </c>
      <c r="N331">
        <v>1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</row>
    <row r="332" spans="1:22" x14ac:dyDescent="0.25">
      <c r="A332">
        <v>2025</v>
      </c>
      <c r="B332">
        <v>10</v>
      </c>
      <c r="C332" t="s">
        <v>80</v>
      </c>
      <c r="D332" t="s">
        <v>22</v>
      </c>
      <c r="E332" t="s">
        <v>80</v>
      </c>
      <c r="F332" t="s">
        <v>87</v>
      </c>
      <c r="G332" t="s">
        <v>28</v>
      </c>
      <c r="H332" t="s">
        <v>25</v>
      </c>
      <c r="I332" t="s">
        <v>25</v>
      </c>
      <c r="J332" t="s">
        <v>25</v>
      </c>
      <c r="K332">
        <v>236502</v>
      </c>
      <c r="L332">
        <v>65</v>
      </c>
      <c r="M332">
        <v>8126</v>
      </c>
      <c r="N332">
        <v>8191</v>
      </c>
      <c r="O332">
        <v>51802</v>
      </c>
      <c r="P332">
        <v>29773</v>
      </c>
      <c r="Q332">
        <v>23444</v>
      </c>
      <c r="R332">
        <v>11566</v>
      </c>
      <c r="S332">
        <v>6612</v>
      </c>
      <c r="T332">
        <v>2246</v>
      </c>
      <c r="U332">
        <v>474</v>
      </c>
      <c r="V332">
        <v>229638</v>
      </c>
    </row>
    <row r="333" spans="1:22" x14ac:dyDescent="0.25">
      <c r="A333">
        <v>2025</v>
      </c>
      <c r="B333">
        <v>10</v>
      </c>
      <c r="C333" t="s">
        <v>80</v>
      </c>
      <c r="D333" t="s">
        <v>22</v>
      </c>
      <c r="E333" t="s">
        <v>80</v>
      </c>
      <c r="F333" t="s">
        <v>87</v>
      </c>
      <c r="G333" t="s">
        <v>24</v>
      </c>
      <c r="H333" t="s">
        <v>25</v>
      </c>
      <c r="I333" t="s">
        <v>25</v>
      </c>
      <c r="J333" t="s">
        <v>25</v>
      </c>
      <c r="K333">
        <v>5947</v>
      </c>
      <c r="L333">
        <v>121</v>
      </c>
      <c r="M333">
        <v>81</v>
      </c>
      <c r="N333">
        <v>202</v>
      </c>
      <c r="O333">
        <v>1427</v>
      </c>
      <c r="P333">
        <v>835</v>
      </c>
      <c r="Q333">
        <v>688</v>
      </c>
      <c r="R333">
        <v>311</v>
      </c>
      <c r="S333">
        <v>145</v>
      </c>
      <c r="T333">
        <v>29</v>
      </c>
      <c r="U333">
        <v>5</v>
      </c>
      <c r="V333">
        <v>5765</v>
      </c>
    </row>
    <row r="334" spans="1:22" x14ac:dyDescent="0.25">
      <c r="A334">
        <v>2025</v>
      </c>
      <c r="B334">
        <v>11</v>
      </c>
      <c r="C334" t="s">
        <v>80</v>
      </c>
      <c r="D334" t="s">
        <v>22</v>
      </c>
      <c r="E334" t="s">
        <v>37</v>
      </c>
      <c r="F334" t="s">
        <v>38</v>
      </c>
      <c r="G334" t="s">
        <v>24</v>
      </c>
      <c r="H334" t="s">
        <v>25</v>
      </c>
      <c r="I334" t="s">
        <v>26</v>
      </c>
      <c r="J334" t="s">
        <v>25</v>
      </c>
      <c r="K334">
        <v>1</v>
      </c>
      <c r="L334">
        <v>0</v>
      </c>
      <c r="M334">
        <v>0</v>
      </c>
      <c r="N334">
        <v>0</v>
      </c>
      <c r="O334">
        <v>1</v>
      </c>
      <c r="P334">
        <v>1</v>
      </c>
      <c r="Q334">
        <v>1</v>
      </c>
      <c r="R334">
        <v>1</v>
      </c>
      <c r="S334">
        <v>1</v>
      </c>
      <c r="T334">
        <v>1</v>
      </c>
      <c r="U334">
        <v>1</v>
      </c>
      <c r="V334">
        <v>1</v>
      </c>
    </row>
    <row r="335" spans="1:22" x14ac:dyDescent="0.25">
      <c r="A335">
        <v>2025</v>
      </c>
      <c r="B335">
        <v>11</v>
      </c>
      <c r="C335" t="s">
        <v>80</v>
      </c>
      <c r="D335" t="s">
        <v>22</v>
      </c>
      <c r="E335" t="s">
        <v>144</v>
      </c>
      <c r="F335" t="s">
        <v>36</v>
      </c>
      <c r="G335" t="s">
        <v>24</v>
      </c>
      <c r="H335" t="s">
        <v>25</v>
      </c>
      <c r="I335" t="s">
        <v>26</v>
      </c>
      <c r="J335" t="s">
        <v>25</v>
      </c>
      <c r="K335">
        <v>6</v>
      </c>
      <c r="L335">
        <v>0</v>
      </c>
      <c r="M335">
        <v>0</v>
      </c>
      <c r="N335">
        <v>0</v>
      </c>
      <c r="O335">
        <v>4</v>
      </c>
      <c r="P335">
        <v>4</v>
      </c>
      <c r="Q335">
        <v>4</v>
      </c>
      <c r="R335">
        <v>4</v>
      </c>
      <c r="S335">
        <v>3</v>
      </c>
      <c r="T335">
        <v>3</v>
      </c>
      <c r="U335">
        <v>1</v>
      </c>
      <c r="V335">
        <v>6</v>
      </c>
    </row>
    <row r="336" spans="1:22" x14ac:dyDescent="0.25">
      <c r="A336">
        <v>2025</v>
      </c>
      <c r="B336">
        <v>11</v>
      </c>
      <c r="C336" t="s">
        <v>80</v>
      </c>
      <c r="D336" t="s">
        <v>22</v>
      </c>
      <c r="E336" t="s">
        <v>147</v>
      </c>
      <c r="F336" t="s">
        <v>32</v>
      </c>
      <c r="G336" t="s">
        <v>24</v>
      </c>
      <c r="H336" t="s">
        <v>25</v>
      </c>
      <c r="I336" t="s">
        <v>25</v>
      </c>
      <c r="J336" t="s">
        <v>25</v>
      </c>
      <c r="K336">
        <v>250</v>
      </c>
      <c r="L336">
        <v>0</v>
      </c>
      <c r="M336">
        <v>10</v>
      </c>
      <c r="N336">
        <v>10</v>
      </c>
      <c r="O336">
        <v>139</v>
      </c>
      <c r="P336">
        <v>122</v>
      </c>
      <c r="Q336">
        <v>117</v>
      </c>
      <c r="R336">
        <v>91</v>
      </c>
      <c r="S336">
        <v>70</v>
      </c>
      <c r="T336">
        <v>27</v>
      </c>
      <c r="U336">
        <v>8</v>
      </c>
      <c r="V336">
        <v>242</v>
      </c>
    </row>
    <row r="337" spans="1:22" x14ac:dyDescent="0.25">
      <c r="A337">
        <v>2025</v>
      </c>
      <c r="B337">
        <v>11</v>
      </c>
      <c r="C337" t="s">
        <v>80</v>
      </c>
      <c r="D337" t="s">
        <v>22</v>
      </c>
      <c r="E337" t="s">
        <v>147</v>
      </c>
      <c r="F337" t="s">
        <v>36</v>
      </c>
      <c r="G337" t="s">
        <v>24</v>
      </c>
      <c r="H337" t="s">
        <v>25</v>
      </c>
      <c r="I337" t="s">
        <v>26</v>
      </c>
      <c r="J337" t="s">
        <v>25</v>
      </c>
      <c r="K337">
        <v>36</v>
      </c>
      <c r="L337">
        <v>0</v>
      </c>
      <c r="M337">
        <v>1</v>
      </c>
      <c r="N337">
        <v>1</v>
      </c>
      <c r="O337">
        <v>29</v>
      </c>
      <c r="P337">
        <v>28</v>
      </c>
      <c r="Q337">
        <v>28</v>
      </c>
      <c r="R337">
        <v>27</v>
      </c>
      <c r="S337">
        <v>20</v>
      </c>
      <c r="T337">
        <v>10</v>
      </c>
      <c r="U337">
        <v>4</v>
      </c>
      <c r="V337">
        <v>35</v>
      </c>
    </row>
    <row r="338" spans="1:22" x14ac:dyDescent="0.25">
      <c r="A338">
        <v>2025</v>
      </c>
      <c r="B338">
        <v>11</v>
      </c>
      <c r="C338" t="s">
        <v>80</v>
      </c>
      <c r="D338" t="s">
        <v>22</v>
      </c>
      <c r="E338" t="s">
        <v>149</v>
      </c>
      <c r="F338" t="s">
        <v>38</v>
      </c>
      <c r="G338" t="s">
        <v>24</v>
      </c>
      <c r="H338" t="s">
        <v>25</v>
      </c>
      <c r="I338" t="s">
        <v>26</v>
      </c>
      <c r="J338" t="s">
        <v>25</v>
      </c>
      <c r="K338">
        <v>2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2</v>
      </c>
    </row>
    <row r="339" spans="1:22" x14ac:dyDescent="0.25">
      <c r="A339">
        <v>2025</v>
      </c>
      <c r="B339">
        <v>11</v>
      </c>
      <c r="C339" t="s">
        <v>80</v>
      </c>
      <c r="D339" t="s">
        <v>22</v>
      </c>
      <c r="E339" t="s">
        <v>150</v>
      </c>
      <c r="F339" t="s">
        <v>32</v>
      </c>
      <c r="G339" t="s">
        <v>24</v>
      </c>
      <c r="H339" t="s">
        <v>25</v>
      </c>
      <c r="I339" t="s">
        <v>25</v>
      </c>
      <c r="J339" t="s">
        <v>25</v>
      </c>
      <c r="K339">
        <v>27</v>
      </c>
      <c r="L339">
        <v>0</v>
      </c>
      <c r="M339">
        <v>0</v>
      </c>
      <c r="N339">
        <v>0</v>
      </c>
      <c r="O339">
        <v>16</v>
      </c>
      <c r="P339">
        <v>13</v>
      </c>
      <c r="Q339">
        <v>9</v>
      </c>
      <c r="R339">
        <v>3</v>
      </c>
      <c r="S339">
        <v>1</v>
      </c>
      <c r="T339">
        <v>0</v>
      </c>
      <c r="U339">
        <v>0</v>
      </c>
      <c r="V339">
        <v>27</v>
      </c>
    </row>
    <row r="340" spans="1:22" x14ac:dyDescent="0.25">
      <c r="A340">
        <v>2025</v>
      </c>
      <c r="B340">
        <v>11</v>
      </c>
      <c r="C340" t="s">
        <v>80</v>
      </c>
      <c r="D340" t="s">
        <v>22</v>
      </c>
      <c r="E340" t="s">
        <v>61</v>
      </c>
      <c r="F340" t="s">
        <v>35</v>
      </c>
      <c r="G340" t="s">
        <v>28</v>
      </c>
      <c r="H340" t="s">
        <v>25</v>
      </c>
      <c r="I340" t="s">
        <v>26</v>
      </c>
      <c r="J340" t="s">
        <v>26</v>
      </c>
      <c r="K340">
        <v>1</v>
      </c>
      <c r="L340">
        <v>0</v>
      </c>
      <c r="M340">
        <v>0</v>
      </c>
      <c r="N340">
        <v>0</v>
      </c>
      <c r="O340">
        <v>1</v>
      </c>
      <c r="P340">
        <v>1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1</v>
      </c>
    </row>
    <row r="341" spans="1:22" x14ac:dyDescent="0.25">
      <c r="A341">
        <v>2025</v>
      </c>
      <c r="B341">
        <v>11</v>
      </c>
      <c r="C341" t="s">
        <v>80</v>
      </c>
      <c r="D341" t="s">
        <v>22</v>
      </c>
      <c r="E341" t="s">
        <v>61</v>
      </c>
      <c r="F341" t="s">
        <v>35</v>
      </c>
      <c r="G341" t="s">
        <v>24</v>
      </c>
      <c r="H341" t="s">
        <v>25</v>
      </c>
      <c r="I341" t="s">
        <v>26</v>
      </c>
      <c r="J341" t="s">
        <v>26</v>
      </c>
      <c r="K341">
        <v>233</v>
      </c>
      <c r="L341">
        <v>1</v>
      </c>
      <c r="M341">
        <v>0</v>
      </c>
      <c r="N341">
        <v>1</v>
      </c>
      <c r="O341">
        <v>48</v>
      </c>
      <c r="P341">
        <v>40</v>
      </c>
      <c r="Q341">
        <v>39</v>
      </c>
      <c r="R341">
        <v>32</v>
      </c>
      <c r="S341">
        <v>29</v>
      </c>
      <c r="T341">
        <v>22</v>
      </c>
      <c r="U341">
        <v>8</v>
      </c>
      <c r="V341">
        <v>232</v>
      </c>
    </row>
    <row r="342" spans="1:22" x14ac:dyDescent="0.25">
      <c r="A342">
        <v>2025</v>
      </c>
      <c r="B342">
        <v>11</v>
      </c>
      <c r="C342" t="s">
        <v>80</v>
      </c>
      <c r="D342" t="s">
        <v>22</v>
      </c>
      <c r="E342" t="s">
        <v>61</v>
      </c>
      <c r="F342" t="s">
        <v>36</v>
      </c>
      <c r="G342" t="s">
        <v>24</v>
      </c>
      <c r="H342" t="s">
        <v>25</v>
      </c>
      <c r="I342" t="s">
        <v>26</v>
      </c>
      <c r="J342" t="s">
        <v>25</v>
      </c>
      <c r="K342">
        <v>115</v>
      </c>
      <c r="L342">
        <v>0</v>
      </c>
      <c r="M342">
        <v>0</v>
      </c>
      <c r="N342">
        <v>0</v>
      </c>
      <c r="O342">
        <v>25</v>
      </c>
      <c r="P342">
        <v>15</v>
      </c>
      <c r="Q342">
        <v>13</v>
      </c>
      <c r="R342">
        <v>7</v>
      </c>
      <c r="S342">
        <v>6</v>
      </c>
      <c r="T342">
        <v>2</v>
      </c>
      <c r="U342">
        <v>0</v>
      </c>
      <c r="V342">
        <v>115</v>
      </c>
    </row>
    <row r="343" spans="1:22" x14ac:dyDescent="0.25">
      <c r="A343">
        <v>2025</v>
      </c>
      <c r="B343">
        <v>11</v>
      </c>
      <c r="C343" t="s">
        <v>80</v>
      </c>
      <c r="D343" t="s">
        <v>22</v>
      </c>
      <c r="E343" t="s">
        <v>61</v>
      </c>
      <c r="F343" t="s">
        <v>41</v>
      </c>
      <c r="G343" t="s">
        <v>24</v>
      </c>
      <c r="H343" t="s">
        <v>26</v>
      </c>
      <c r="I343" t="s">
        <v>26</v>
      </c>
      <c r="J343" t="s">
        <v>25</v>
      </c>
      <c r="K343">
        <v>2</v>
      </c>
      <c r="L343">
        <v>0</v>
      </c>
      <c r="M343">
        <v>0</v>
      </c>
      <c r="N343">
        <v>0</v>
      </c>
      <c r="O343">
        <v>1</v>
      </c>
      <c r="P343">
        <v>1</v>
      </c>
      <c r="Q343">
        <v>1</v>
      </c>
      <c r="R343">
        <v>0</v>
      </c>
      <c r="S343">
        <v>0</v>
      </c>
      <c r="T343">
        <v>0</v>
      </c>
      <c r="U343">
        <v>0</v>
      </c>
      <c r="V343">
        <v>2</v>
      </c>
    </row>
    <row r="344" spans="1:22" x14ac:dyDescent="0.25">
      <c r="A344">
        <v>2025</v>
      </c>
      <c r="B344">
        <v>11</v>
      </c>
      <c r="C344" t="s">
        <v>80</v>
      </c>
      <c r="D344" t="s">
        <v>22</v>
      </c>
      <c r="E344" t="s">
        <v>169</v>
      </c>
      <c r="F344" t="s">
        <v>32</v>
      </c>
      <c r="G344" t="s">
        <v>24</v>
      </c>
      <c r="H344" t="s">
        <v>25</v>
      </c>
      <c r="I344" t="s">
        <v>25</v>
      </c>
      <c r="J344" t="s">
        <v>25</v>
      </c>
      <c r="K344">
        <v>28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28</v>
      </c>
    </row>
    <row r="345" spans="1:22" x14ac:dyDescent="0.25">
      <c r="A345">
        <v>2025</v>
      </c>
      <c r="B345">
        <v>11</v>
      </c>
      <c r="C345" t="s">
        <v>80</v>
      </c>
      <c r="D345" t="s">
        <v>22</v>
      </c>
      <c r="E345" t="s">
        <v>157</v>
      </c>
      <c r="F345" t="s">
        <v>31</v>
      </c>
      <c r="G345" t="s">
        <v>24</v>
      </c>
      <c r="H345" t="s">
        <v>25</v>
      </c>
      <c r="I345" t="s">
        <v>25</v>
      </c>
      <c r="J345" t="s">
        <v>25</v>
      </c>
      <c r="K345">
        <v>115</v>
      </c>
      <c r="L345">
        <v>0</v>
      </c>
      <c r="M345">
        <v>0</v>
      </c>
      <c r="N345">
        <v>0</v>
      </c>
      <c r="O345">
        <v>13</v>
      </c>
      <c r="P345">
        <v>9</v>
      </c>
      <c r="Q345">
        <v>8</v>
      </c>
      <c r="R345">
        <v>7</v>
      </c>
      <c r="S345">
        <v>6</v>
      </c>
      <c r="T345">
        <v>6</v>
      </c>
      <c r="U345">
        <v>2</v>
      </c>
      <c r="V345">
        <v>115</v>
      </c>
    </row>
    <row r="346" spans="1:22" x14ac:dyDescent="0.25">
      <c r="A346">
        <v>2025</v>
      </c>
      <c r="B346">
        <v>11</v>
      </c>
      <c r="C346" t="s">
        <v>80</v>
      </c>
      <c r="D346" t="s">
        <v>22</v>
      </c>
      <c r="E346" t="s">
        <v>157</v>
      </c>
      <c r="F346" t="s">
        <v>32</v>
      </c>
      <c r="G346" t="s">
        <v>24</v>
      </c>
      <c r="H346" t="s">
        <v>25</v>
      </c>
      <c r="I346" t="s">
        <v>25</v>
      </c>
      <c r="J346" t="s">
        <v>25</v>
      </c>
      <c r="K346">
        <v>61</v>
      </c>
      <c r="L346">
        <v>0</v>
      </c>
      <c r="M346">
        <v>2</v>
      </c>
      <c r="N346">
        <v>2</v>
      </c>
      <c r="O346">
        <v>13</v>
      </c>
      <c r="P346">
        <v>11</v>
      </c>
      <c r="Q346">
        <v>11</v>
      </c>
      <c r="R346">
        <v>10</v>
      </c>
      <c r="S346">
        <v>6</v>
      </c>
      <c r="T346">
        <v>2</v>
      </c>
      <c r="U346">
        <v>0</v>
      </c>
      <c r="V346">
        <v>59</v>
      </c>
    </row>
    <row r="347" spans="1:22" x14ac:dyDescent="0.25">
      <c r="A347">
        <v>2025</v>
      </c>
      <c r="B347">
        <v>11</v>
      </c>
      <c r="C347" t="s">
        <v>80</v>
      </c>
      <c r="D347" t="s">
        <v>22</v>
      </c>
      <c r="E347" t="s">
        <v>69</v>
      </c>
      <c r="F347" t="s">
        <v>40</v>
      </c>
      <c r="G347" t="s">
        <v>24</v>
      </c>
      <c r="H347" t="s">
        <v>25</v>
      </c>
      <c r="I347" t="s">
        <v>26</v>
      </c>
      <c r="J347" t="s">
        <v>25</v>
      </c>
      <c r="K347">
        <v>50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50</v>
      </c>
    </row>
    <row r="348" spans="1:22" x14ac:dyDescent="0.25">
      <c r="A348">
        <v>2025</v>
      </c>
      <c r="B348">
        <v>11</v>
      </c>
      <c r="C348" t="s">
        <v>80</v>
      </c>
      <c r="D348" t="s">
        <v>22</v>
      </c>
      <c r="E348" t="s">
        <v>173</v>
      </c>
      <c r="F348" t="s">
        <v>32</v>
      </c>
      <c r="G348" t="s">
        <v>24</v>
      </c>
      <c r="H348" t="s">
        <v>25</v>
      </c>
      <c r="I348" t="s">
        <v>25</v>
      </c>
      <c r="J348" t="s">
        <v>25</v>
      </c>
      <c r="K348">
        <v>1048</v>
      </c>
      <c r="L348">
        <v>7</v>
      </c>
      <c r="M348">
        <v>14</v>
      </c>
      <c r="N348">
        <v>21</v>
      </c>
      <c r="O348">
        <v>366</v>
      </c>
      <c r="P348">
        <v>275</v>
      </c>
      <c r="Q348">
        <v>217</v>
      </c>
      <c r="R348">
        <v>113</v>
      </c>
      <c r="S348">
        <v>54</v>
      </c>
      <c r="T348">
        <v>14</v>
      </c>
      <c r="U348">
        <v>3</v>
      </c>
      <c r="V348">
        <v>1029</v>
      </c>
    </row>
    <row r="349" spans="1:22" x14ac:dyDescent="0.25">
      <c r="A349">
        <v>2025</v>
      </c>
      <c r="B349">
        <v>11</v>
      </c>
      <c r="C349" t="s">
        <v>80</v>
      </c>
      <c r="D349" t="s">
        <v>22</v>
      </c>
      <c r="E349" t="s">
        <v>80</v>
      </c>
      <c r="F349" t="s">
        <v>32</v>
      </c>
      <c r="G349" t="s">
        <v>28</v>
      </c>
      <c r="H349" t="s">
        <v>25</v>
      </c>
      <c r="I349" t="s">
        <v>25</v>
      </c>
      <c r="J349" t="s">
        <v>25</v>
      </c>
      <c r="K349">
        <v>26</v>
      </c>
      <c r="L349">
        <v>0</v>
      </c>
      <c r="M349">
        <v>0</v>
      </c>
      <c r="N349">
        <v>0</v>
      </c>
      <c r="O349">
        <v>12</v>
      </c>
      <c r="P349">
        <v>10</v>
      </c>
      <c r="Q349">
        <v>9</v>
      </c>
      <c r="R349">
        <v>8</v>
      </c>
      <c r="S349">
        <v>6</v>
      </c>
      <c r="T349">
        <v>4</v>
      </c>
      <c r="U349">
        <v>1</v>
      </c>
      <c r="V349">
        <v>26</v>
      </c>
    </row>
    <row r="350" spans="1:22" x14ac:dyDescent="0.25">
      <c r="A350">
        <v>2025</v>
      </c>
      <c r="B350">
        <v>11</v>
      </c>
      <c r="C350" t="s">
        <v>80</v>
      </c>
      <c r="D350" t="s">
        <v>22</v>
      </c>
      <c r="E350" t="s">
        <v>80</v>
      </c>
      <c r="F350" t="s">
        <v>34</v>
      </c>
      <c r="G350" t="s">
        <v>28</v>
      </c>
      <c r="H350" t="s">
        <v>25</v>
      </c>
      <c r="I350" t="s">
        <v>26</v>
      </c>
      <c r="J350" t="s">
        <v>26</v>
      </c>
      <c r="K350">
        <v>18</v>
      </c>
      <c r="L350">
        <v>0</v>
      </c>
      <c r="M350">
        <v>0</v>
      </c>
      <c r="N350">
        <v>0</v>
      </c>
      <c r="O350">
        <v>15</v>
      </c>
      <c r="P350">
        <v>14</v>
      </c>
      <c r="Q350">
        <v>10</v>
      </c>
      <c r="R350">
        <v>6</v>
      </c>
      <c r="S350">
        <v>4</v>
      </c>
      <c r="T350">
        <v>2</v>
      </c>
      <c r="U350">
        <v>1</v>
      </c>
      <c r="V350">
        <v>18</v>
      </c>
    </row>
    <row r="351" spans="1:22" x14ac:dyDescent="0.25">
      <c r="A351">
        <v>2025</v>
      </c>
      <c r="B351">
        <v>11</v>
      </c>
      <c r="C351" t="s">
        <v>80</v>
      </c>
      <c r="D351" t="s">
        <v>22</v>
      </c>
      <c r="E351" t="s">
        <v>80</v>
      </c>
      <c r="F351" t="s">
        <v>76</v>
      </c>
      <c r="G351" t="s">
        <v>28</v>
      </c>
      <c r="H351" t="s">
        <v>25</v>
      </c>
      <c r="I351" t="s">
        <v>26</v>
      </c>
      <c r="J351" t="s">
        <v>25</v>
      </c>
      <c r="K351">
        <v>40</v>
      </c>
      <c r="L351">
        <v>0</v>
      </c>
      <c r="M351">
        <v>2</v>
      </c>
      <c r="N351">
        <v>2</v>
      </c>
      <c r="O351">
        <v>19</v>
      </c>
      <c r="P351">
        <v>18</v>
      </c>
      <c r="Q351">
        <v>17</v>
      </c>
      <c r="R351">
        <v>16</v>
      </c>
      <c r="S351">
        <v>14</v>
      </c>
      <c r="T351">
        <v>9</v>
      </c>
      <c r="U351">
        <v>6</v>
      </c>
      <c r="V351">
        <v>40</v>
      </c>
    </row>
    <row r="352" spans="1:22" x14ac:dyDescent="0.25">
      <c r="A352">
        <v>2025</v>
      </c>
      <c r="B352">
        <v>11</v>
      </c>
      <c r="C352" t="s">
        <v>80</v>
      </c>
      <c r="D352" t="s">
        <v>22</v>
      </c>
      <c r="E352" t="s">
        <v>80</v>
      </c>
      <c r="F352" t="s">
        <v>76</v>
      </c>
      <c r="G352" t="s">
        <v>24</v>
      </c>
      <c r="H352" t="s">
        <v>25</v>
      </c>
      <c r="I352" t="s">
        <v>26</v>
      </c>
      <c r="J352" t="s">
        <v>25</v>
      </c>
      <c r="K352">
        <v>1</v>
      </c>
      <c r="L352">
        <v>0</v>
      </c>
      <c r="M352">
        <v>0</v>
      </c>
      <c r="N352">
        <v>0</v>
      </c>
      <c r="O352">
        <v>1</v>
      </c>
      <c r="P352">
        <v>1</v>
      </c>
      <c r="Q352">
        <v>1</v>
      </c>
      <c r="R352">
        <v>1</v>
      </c>
      <c r="S352">
        <v>0</v>
      </c>
      <c r="T352">
        <v>0</v>
      </c>
      <c r="U352">
        <v>0</v>
      </c>
      <c r="V352">
        <v>1</v>
      </c>
    </row>
    <row r="353" spans="1:22" x14ac:dyDescent="0.25">
      <c r="A353">
        <v>2025</v>
      </c>
      <c r="B353">
        <v>11</v>
      </c>
      <c r="C353" t="s">
        <v>80</v>
      </c>
      <c r="D353" t="s">
        <v>22</v>
      </c>
      <c r="E353" t="s">
        <v>80</v>
      </c>
      <c r="F353" t="s">
        <v>76</v>
      </c>
      <c r="G353" t="s">
        <v>29</v>
      </c>
      <c r="H353" t="s">
        <v>25</v>
      </c>
      <c r="I353" t="s">
        <v>26</v>
      </c>
      <c r="J353" t="s">
        <v>25</v>
      </c>
      <c r="K353">
        <v>1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</row>
    <row r="354" spans="1:22" x14ac:dyDescent="0.25">
      <c r="A354">
        <v>2025</v>
      </c>
      <c r="B354">
        <v>11</v>
      </c>
      <c r="C354" t="s">
        <v>80</v>
      </c>
      <c r="D354" t="s">
        <v>22</v>
      </c>
      <c r="E354" t="s">
        <v>80</v>
      </c>
      <c r="F354" t="s">
        <v>81</v>
      </c>
      <c r="G354" t="s">
        <v>28</v>
      </c>
      <c r="H354" t="s">
        <v>25</v>
      </c>
      <c r="I354" t="s">
        <v>26</v>
      </c>
      <c r="J354" t="s">
        <v>25</v>
      </c>
      <c r="K354">
        <v>555</v>
      </c>
      <c r="L354">
        <v>0</v>
      </c>
      <c r="M354">
        <v>7</v>
      </c>
      <c r="N354">
        <v>7</v>
      </c>
      <c r="O354">
        <v>273</v>
      </c>
      <c r="P354">
        <v>226</v>
      </c>
      <c r="Q354">
        <v>198</v>
      </c>
      <c r="R354">
        <v>141</v>
      </c>
      <c r="S354">
        <v>105</v>
      </c>
      <c r="T354">
        <v>56</v>
      </c>
      <c r="U354">
        <v>18</v>
      </c>
      <c r="V354">
        <v>549</v>
      </c>
    </row>
    <row r="355" spans="1:22" x14ac:dyDescent="0.25">
      <c r="A355">
        <v>2025</v>
      </c>
      <c r="B355">
        <v>11</v>
      </c>
      <c r="C355" t="s">
        <v>80</v>
      </c>
      <c r="D355" t="s">
        <v>22</v>
      </c>
      <c r="E355" t="s">
        <v>80</v>
      </c>
      <c r="F355" t="s">
        <v>82</v>
      </c>
      <c r="G355" t="s">
        <v>28</v>
      </c>
      <c r="H355" t="s">
        <v>25</v>
      </c>
      <c r="I355" t="s">
        <v>26</v>
      </c>
      <c r="J355" t="s">
        <v>25</v>
      </c>
      <c r="K355">
        <v>238</v>
      </c>
      <c r="L355">
        <v>0</v>
      </c>
      <c r="M355">
        <v>8</v>
      </c>
      <c r="N355">
        <v>8</v>
      </c>
      <c r="O355">
        <v>125</v>
      </c>
      <c r="P355">
        <v>108</v>
      </c>
      <c r="Q355">
        <v>98</v>
      </c>
      <c r="R355">
        <v>67</v>
      </c>
      <c r="S355">
        <v>48</v>
      </c>
      <c r="T355">
        <v>18</v>
      </c>
      <c r="U355">
        <v>7</v>
      </c>
      <c r="V355">
        <v>236</v>
      </c>
    </row>
    <row r="356" spans="1:22" x14ac:dyDescent="0.25">
      <c r="A356">
        <v>2025</v>
      </c>
      <c r="B356">
        <v>11</v>
      </c>
      <c r="C356" t="s">
        <v>80</v>
      </c>
      <c r="D356" t="s">
        <v>22</v>
      </c>
      <c r="E356" t="s">
        <v>80</v>
      </c>
      <c r="F356" t="s">
        <v>83</v>
      </c>
      <c r="G356" t="s">
        <v>28</v>
      </c>
      <c r="H356" t="s">
        <v>26</v>
      </c>
      <c r="I356" t="s">
        <v>26</v>
      </c>
      <c r="J356" t="s">
        <v>25</v>
      </c>
      <c r="K356">
        <v>6579</v>
      </c>
      <c r="L356">
        <v>0</v>
      </c>
      <c r="M356">
        <v>64</v>
      </c>
      <c r="N356">
        <v>64</v>
      </c>
      <c r="O356">
        <v>3326</v>
      </c>
      <c r="P356">
        <v>2745</v>
      </c>
      <c r="Q356">
        <v>2488</v>
      </c>
      <c r="R356">
        <v>1799</v>
      </c>
      <c r="S356">
        <v>1339</v>
      </c>
      <c r="T356">
        <v>715</v>
      </c>
      <c r="U356">
        <v>284</v>
      </c>
      <c r="V356">
        <v>6557</v>
      </c>
    </row>
    <row r="357" spans="1:22" x14ac:dyDescent="0.25">
      <c r="A357">
        <v>2025</v>
      </c>
      <c r="B357">
        <v>11</v>
      </c>
      <c r="C357" t="s">
        <v>80</v>
      </c>
      <c r="D357" t="s">
        <v>22</v>
      </c>
      <c r="E357" t="s">
        <v>80</v>
      </c>
      <c r="F357" t="s">
        <v>23</v>
      </c>
      <c r="G357" t="s">
        <v>28</v>
      </c>
      <c r="H357" t="s">
        <v>25</v>
      </c>
      <c r="I357" t="s">
        <v>26</v>
      </c>
      <c r="J357" t="s">
        <v>25</v>
      </c>
      <c r="K357">
        <v>3273</v>
      </c>
      <c r="L357">
        <v>0</v>
      </c>
      <c r="M357">
        <v>90</v>
      </c>
      <c r="N357">
        <v>90</v>
      </c>
      <c r="O357">
        <v>1284</v>
      </c>
      <c r="P357">
        <v>1010</v>
      </c>
      <c r="Q357">
        <v>929</v>
      </c>
      <c r="R357">
        <v>663</v>
      </c>
      <c r="S357">
        <v>482</v>
      </c>
      <c r="T357">
        <v>252</v>
      </c>
      <c r="U357">
        <v>90</v>
      </c>
      <c r="V357">
        <v>3200</v>
      </c>
    </row>
    <row r="358" spans="1:22" x14ac:dyDescent="0.25">
      <c r="A358">
        <v>2025</v>
      </c>
      <c r="B358">
        <v>11</v>
      </c>
      <c r="C358" t="s">
        <v>80</v>
      </c>
      <c r="D358" t="s">
        <v>22</v>
      </c>
      <c r="E358" t="s">
        <v>80</v>
      </c>
      <c r="F358" t="s">
        <v>84</v>
      </c>
      <c r="G358" t="s">
        <v>28</v>
      </c>
      <c r="H358" t="s">
        <v>25</v>
      </c>
      <c r="I358" t="s">
        <v>26</v>
      </c>
      <c r="J358" t="s">
        <v>26</v>
      </c>
      <c r="K358">
        <v>562</v>
      </c>
      <c r="L358">
        <v>0</v>
      </c>
      <c r="M358">
        <v>0</v>
      </c>
      <c r="N358">
        <v>0</v>
      </c>
      <c r="O358">
        <v>177</v>
      </c>
      <c r="P358">
        <v>144</v>
      </c>
      <c r="Q358">
        <v>126</v>
      </c>
      <c r="R358">
        <v>96</v>
      </c>
      <c r="S358">
        <v>73</v>
      </c>
      <c r="T358">
        <v>43</v>
      </c>
      <c r="U358">
        <v>19</v>
      </c>
      <c r="V358">
        <v>562</v>
      </c>
    </row>
    <row r="359" spans="1:22" x14ac:dyDescent="0.25">
      <c r="A359">
        <v>2025</v>
      </c>
      <c r="B359">
        <v>11</v>
      </c>
      <c r="C359" t="s">
        <v>80</v>
      </c>
      <c r="D359" t="s">
        <v>22</v>
      </c>
      <c r="E359" t="s">
        <v>80</v>
      </c>
      <c r="F359" t="s">
        <v>40</v>
      </c>
      <c r="G359" t="s">
        <v>28</v>
      </c>
      <c r="H359" t="s">
        <v>25</v>
      </c>
      <c r="I359" t="s">
        <v>26</v>
      </c>
      <c r="J359" t="s">
        <v>25</v>
      </c>
      <c r="K359">
        <v>10</v>
      </c>
      <c r="L359">
        <v>0</v>
      </c>
      <c r="M359">
        <v>5</v>
      </c>
      <c r="N359">
        <v>5</v>
      </c>
      <c r="O359">
        <v>3</v>
      </c>
      <c r="P359">
        <v>2</v>
      </c>
      <c r="Q359">
        <v>2</v>
      </c>
      <c r="R359">
        <v>1</v>
      </c>
      <c r="S359">
        <v>0</v>
      </c>
      <c r="T359">
        <v>0</v>
      </c>
      <c r="U359">
        <v>0</v>
      </c>
      <c r="V359">
        <v>7</v>
      </c>
    </row>
    <row r="360" spans="1:22" x14ac:dyDescent="0.25">
      <c r="A360">
        <v>2025</v>
      </c>
      <c r="B360">
        <v>11</v>
      </c>
      <c r="C360" t="s">
        <v>80</v>
      </c>
      <c r="D360" t="s">
        <v>22</v>
      </c>
      <c r="E360" t="s">
        <v>80</v>
      </c>
      <c r="F360" t="s">
        <v>85</v>
      </c>
      <c r="G360" t="s">
        <v>28</v>
      </c>
      <c r="H360" t="s">
        <v>25</v>
      </c>
      <c r="I360" t="s">
        <v>25</v>
      </c>
      <c r="J360" t="s">
        <v>25</v>
      </c>
      <c r="K360">
        <v>6517</v>
      </c>
      <c r="L360">
        <v>0</v>
      </c>
      <c r="M360">
        <v>132</v>
      </c>
      <c r="N360">
        <v>132</v>
      </c>
      <c r="O360">
        <v>598</v>
      </c>
      <c r="P360">
        <v>312</v>
      </c>
      <c r="Q360">
        <v>228</v>
      </c>
      <c r="R360">
        <v>101</v>
      </c>
      <c r="S360">
        <v>50</v>
      </c>
      <c r="T360">
        <v>12</v>
      </c>
      <c r="U360">
        <v>4</v>
      </c>
      <c r="V360">
        <v>6412</v>
      </c>
    </row>
    <row r="361" spans="1:22" x14ac:dyDescent="0.25">
      <c r="A361">
        <v>2025</v>
      </c>
      <c r="B361">
        <v>11</v>
      </c>
      <c r="C361" t="s">
        <v>80</v>
      </c>
      <c r="D361" t="s">
        <v>22</v>
      </c>
      <c r="E361" t="s">
        <v>80</v>
      </c>
      <c r="F361" t="s">
        <v>86</v>
      </c>
      <c r="G361" t="s">
        <v>28</v>
      </c>
      <c r="H361" t="s">
        <v>25</v>
      </c>
      <c r="I361" t="s">
        <v>25</v>
      </c>
      <c r="J361" t="s">
        <v>25</v>
      </c>
      <c r="K361">
        <v>230</v>
      </c>
      <c r="L361">
        <v>0</v>
      </c>
      <c r="M361">
        <v>97</v>
      </c>
      <c r="N361">
        <v>97</v>
      </c>
      <c r="O361">
        <v>113</v>
      </c>
      <c r="P361">
        <v>112</v>
      </c>
      <c r="Q361">
        <v>112</v>
      </c>
      <c r="R361">
        <v>109</v>
      </c>
      <c r="S361">
        <v>102</v>
      </c>
      <c r="T361">
        <v>82</v>
      </c>
      <c r="U361">
        <v>56</v>
      </c>
      <c r="V361">
        <v>133</v>
      </c>
    </row>
    <row r="362" spans="1:22" x14ac:dyDescent="0.25">
      <c r="A362">
        <v>2025</v>
      </c>
      <c r="B362">
        <v>11</v>
      </c>
      <c r="C362" t="s">
        <v>80</v>
      </c>
      <c r="D362" t="s">
        <v>22</v>
      </c>
      <c r="E362" t="s">
        <v>80</v>
      </c>
      <c r="F362" t="s">
        <v>86</v>
      </c>
      <c r="G362" t="s">
        <v>29</v>
      </c>
      <c r="H362" t="s">
        <v>25</v>
      </c>
      <c r="I362" t="s">
        <v>25</v>
      </c>
      <c r="J362" t="s">
        <v>25</v>
      </c>
      <c r="K362">
        <v>26</v>
      </c>
      <c r="L362">
        <v>5</v>
      </c>
      <c r="M362">
        <v>0</v>
      </c>
      <c r="N362">
        <v>5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</row>
    <row r="363" spans="1:22" x14ac:dyDescent="0.25">
      <c r="A363">
        <v>2025</v>
      </c>
      <c r="B363">
        <v>11</v>
      </c>
      <c r="C363" t="s">
        <v>80</v>
      </c>
      <c r="D363" t="s">
        <v>22</v>
      </c>
      <c r="E363" t="s">
        <v>80</v>
      </c>
      <c r="F363" t="s">
        <v>87</v>
      </c>
      <c r="G363" t="s">
        <v>28</v>
      </c>
      <c r="H363" t="s">
        <v>25</v>
      </c>
      <c r="I363" t="s">
        <v>25</v>
      </c>
      <c r="J363" t="s">
        <v>25</v>
      </c>
      <c r="K363">
        <v>223868</v>
      </c>
      <c r="L363">
        <v>100</v>
      </c>
      <c r="M363">
        <v>7908</v>
      </c>
      <c r="N363">
        <v>8008</v>
      </c>
      <c r="O363">
        <v>48188</v>
      </c>
      <c r="P363">
        <v>27395</v>
      </c>
      <c r="Q363">
        <v>21528</v>
      </c>
      <c r="R363">
        <v>10546</v>
      </c>
      <c r="S363">
        <v>5951</v>
      </c>
      <c r="T363">
        <v>1801</v>
      </c>
      <c r="U363">
        <v>334</v>
      </c>
      <c r="V363">
        <v>217218</v>
      </c>
    </row>
    <row r="364" spans="1:22" x14ac:dyDescent="0.25">
      <c r="A364">
        <v>2025</v>
      </c>
      <c r="B364">
        <v>11</v>
      </c>
      <c r="C364" t="s">
        <v>80</v>
      </c>
      <c r="D364" t="s">
        <v>22</v>
      </c>
      <c r="E364" t="s">
        <v>80</v>
      </c>
      <c r="F364" t="s">
        <v>87</v>
      </c>
      <c r="G364" t="s">
        <v>24</v>
      </c>
      <c r="H364" t="s">
        <v>25</v>
      </c>
      <c r="I364" t="s">
        <v>25</v>
      </c>
      <c r="J364" t="s">
        <v>25</v>
      </c>
      <c r="K364">
        <v>5693</v>
      </c>
      <c r="L364">
        <v>176</v>
      </c>
      <c r="M364">
        <v>120</v>
      </c>
      <c r="N364">
        <v>296</v>
      </c>
      <c r="O364">
        <v>1236</v>
      </c>
      <c r="P364">
        <v>699</v>
      </c>
      <c r="Q364">
        <v>540</v>
      </c>
      <c r="R364">
        <v>204</v>
      </c>
      <c r="S364">
        <v>82</v>
      </c>
      <c r="T364">
        <v>12</v>
      </c>
      <c r="U364">
        <v>1</v>
      </c>
      <c r="V364">
        <v>5425</v>
      </c>
    </row>
    <row r="365" spans="1:22" x14ac:dyDescent="0.25">
      <c r="A365">
        <v>2025</v>
      </c>
      <c r="B365">
        <v>12</v>
      </c>
      <c r="C365" t="s">
        <v>80</v>
      </c>
      <c r="D365" t="s">
        <v>22</v>
      </c>
      <c r="E365" t="s">
        <v>144</v>
      </c>
      <c r="F365" t="s">
        <v>36</v>
      </c>
      <c r="G365" t="s">
        <v>24</v>
      </c>
      <c r="H365" t="s">
        <v>25</v>
      </c>
      <c r="I365" t="s">
        <v>26</v>
      </c>
      <c r="J365" t="s">
        <v>25</v>
      </c>
      <c r="K365">
        <v>2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2</v>
      </c>
    </row>
    <row r="366" spans="1:22" x14ac:dyDescent="0.25">
      <c r="A366">
        <v>2025</v>
      </c>
      <c r="B366">
        <v>12</v>
      </c>
      <c r="C366" t="s">
        <v>80</v>
      </c>
      <c r="D366" t="s">
        <v>22</v>
      </c>
      <c r="E366" t="s">
        <v>147</v>
      </c>
      <c r="F366" t="s">
        <v>32</v>
      </c>
      <c r="G366" t="s">
        <v>24</v>
      </c>
      <c r="H366" t="s">
        <v>25</v>
      </c>
      <c r="I366" t="s">
        <v>25</v>
      </c>
      <c r="J366" t="s">
        <v>25</v>
      </c>
      <c r="K366">
        <v>274</v>
      </c>
      <c r="L366">
        <v>0</v>
      </c>
      <c r="M366">
        <v>8</v>
      </c>
      <c r="N366">
        <v>8</v>
      </c>
      <c r="O366">
        <v>119</v>
      </c>
      <c r="P366">
        <v>107</v>
      </c>
      <c r="Q366">
        <v>96</v>
      </c>
      <c r="R366">
        <v>76</v>
      </c>
      <c r="S366">
        <v>52</v>
      </c>
      <c r="T366">
        <v>23</v>
      </c>
      <c r="U366">
        <v>10</v>
      </c>
      <c r="V366">
        <v>268</v>
      </c>
    </row>
    <row r="367" spans="1:22" x14ac:dyDescent="0.25">
      <c r="A367">
        <v>2025</v>
      </c>
      <c r="B367">
        <v>12</v>
      </c>
      <c r="C367" t="s">
        <v>80</v>
      </c>
      <c r="D367" t="s">
        <v>22</v>
      </c>
      <c r="E367" t="s">
        <v>147</v>
      </c>
      <c r="F367" t="s">
        <v>36</v>
      </c>
      <c r="G367" t="s">
        <v>24</v>
      </c>
      <c r="H367" t="s">
        <v>25</v>
      </c>
      <c r="I367" t="s">
        <v>26</v>
      </c>
      <c r="J367" t="s">
        <v>25</v>
      </c>
      <c r="K367">
        <v>34</v>
      </c>
      <c r="L367">
        <v>0</v>
      </c>
      <c r="M367">
        <v>1</v>
      </c>
      <c r="N367">
        <v>1</v>
      </c>
      <c r="O367">
        <v>31</v>
      </c>
      <c r="P367">
        <v>31</v>
      </c>
      <c r="Q367">
        <v>30</v>
      </c>
      <c r="R367">
        <v>28</v>
      </c>
      <c r="S367">
        <v>20</v>
      </c>
      <c r="T367">
        <v>5</v>
      </c>
      <c r="U367">
        <v>1</v>
      </c>
      <c r="V367">
        <v>33</v>
      </c>
    </row>
    <row r="368" spans="1:22" x14ac:dyDescent="0.25">
      <c r="A368">
        <v>2025</v>
      </c>
      <c r="B368">
        <v>12</v>
      </c>
      <c r="C368" t="s">
        <v>80</v>
      </c>
      <c r="D368" t="s">
        <v>22</v>
      </c>
      <c r="E368" t="s">
        <v>149</v>
      </c>
      <c r="F368" t="s">
        <v>38</v>
      </c>
      <c r="G368" t="s">
        <v>24</v>
      </c>
      <c r="H368" t="s">
        <v>25</v>
      </c>
      <c r="I368" t="s">
        <v>26</v>
      </c>
      <c r="J368" t="s">
        <v>25</v>
      </c>
      <c r="K368">
        <v>1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1</v>
      </c>
    </row>
    <row r="369" spans="1:22" x14ac:dyDescent="0.25">
      <c r="A369">
        <v>2025</v>
      </c>
      <c r="B369">
        <v>12</v>
      </c>
      <c r="C369" t="s">
        <v>80</v>
      </c>
      <c r="D369" t="s">
        <v>22</v>
      </c>
      <c r="E369" t="s">
        <v>150</v>
      </c>
      <c r="F369" t="s">
        <v>32</v>
      </c>
      <c r="G369" t="s">
        <v>24</v>
      </c>
      <c r="H369" t="s">
        <v>25</v>
      </c>
      <c r="I369" t="s">
        <v>25</v>
      </c>
      <c r="J369" t="s">
        <v>25</v>
      </c>
      <c r="K369">
        <v>29</v>
      </c>
      <c r="L369">
        <v>0</v>
      </c>
      <c r="M369">
        <v>0</v>
      </c>
      <c r="N369">
        <v>0</v>
      </c>
      <c r="O369">
        <v>17</v>
      </c>
      <c r="P369">
        <v>11</v>
      </c>
      <c r="Q369">
        <v>6</v>
      </c>
      <c r="R369">
        <v>2</v>
      </c>
      <c r="S369">
        <v>0</v>
      </c>
      <c r="T369">
        <v>0</v>
      </c>
      <c r="U369">
        <v>0</v>
      </c>
      <c r="V369">
        <v>29</v>
      </c>
    </row>
    <row r="370" spans="1:22" x14ac:dyDescent="0.25">
      <c r="A370">
        <v>2025</v>
      </c>
      <c r="B370">
        <v>12</v>
      </c>
      <c r="C370" t="s">
        <v>80</v>
      </c>
      <c r="D370" t="s">
        <v>22</v>
      </c>
      <c r="E370" t="s">
        <v>61</v>
      </c>
      <c r="F370" t="s">
        <v>35</v>
      </c>
      <c r="G370" t="s">
        <v>28</v>
      </c>
      <c r="H370" t="s">
        <v>25</v>
      </c>
      <c r="I370" t="s">
        <v>26</v>
      </c>
      <c r="J370" t="s">
        <v>26</v>
      </c>
      <c r="K370">
        <v>2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2</v>
      </c>
    </row>
    <row r="371" spans="1:22" x14ac:dyDescent="0.25">
      <c r="A371">
        <v>2025</v>
      </c>
      <c r="B371">
        <v>12</v>
      </c>
      <c r="C371" t="s">
        <v>80</v>
      </c>
      <c r="D371" t="s">
        <v>22</v>
      </c>
      <c r="E371" t="s">
        <v>61</v>
      </c>
      <c r="F371" t="s">
        <v>35</v>
      </c>
      <c r="G371" t="s">
        <v>24</v>
      </c>
      <c r="H371" t="s">
        <v>25</v>
      </c>
      <c r="I371" t="s">
        <v>26</v>
      </c>
      <c r="J371" t="s">
        <v>26</v>
      </c>
      <c r="K371">
        <v>243</v>
      </c>
      <c r="L371">
        <v>2</v>
      </c>
      <c r="M371">
        <v>3</v>
      </c>
      <c r="N371">
        <v>5</v>
      </c>
      <c r="O371">
        <v>65</v>
      </c>
      <c r="P371">
        <v>61</v>
      </c>
      <c r="Q371">
        <v>55</v>
      </c>
      <c r="R371">
        <v>45</v>
      </c>
      <c r="S371">
        <v>40</v>
      </c>
      <c r="T371">
        <v>22</v>
      </c>
      <c r="U371">
        <v>13</v>
      </c>
      <c r="V371">
        <v>241</v>
      </c>
    </row>
    <row r="372" spans="1:22" x14ac:dyDescent="0.25">
      <c r="A372">
        <v>2025</v>
      </c>
      <c r="B372">
        <v>12</v>
      </c>
      <c r="C372" t="s">
        <v>80</v>
      </c>
      <c r="D372" t="s">
        <v>22</v>
      </c>
      <c r="E372" t="s">
        <v>61</v>
      </c>
      <c r="F372" t="s">
        <v>36</v>
      </c>
      <c r="G372" t="s">
        <v>24</v>
      </c>
      <c r="H372" t="s">
        <v>25</v>
      </c>
      <c r="I372" t="s">
        <v>26</v>
      </c>
      <c r="J372" t="s">
        <v>25</v>
      </c>
      <c r="K372">
        <v>52</v>
      </c>
      <c r="L372">
        <v>0</v>
      </c>
      <c r="M372">
        <v>0</v>
      </c>
      <c r="N372">
        <v>0</v>
      </c>
      <c r="O372">
        <v>11</v>
      </c>
      <c r="P372">
        <v>5</v>
      </c>
      <c r="Q372">
        <v>3</v>
      </c>
      <c r="R372">
        <v>1</v>
      </c>
      <c r="S372">
        <v>1</v>
      </c>
      <c r="T372">
        <v>0</v>
      </c>
      <c r="U372">
        <v>0</v>
      </c>
      <c r="V372">
        <v>52</v>
      </c>
    </row>
    <row r="373" spans="1:22" x14ac:dyDescent="0.25">
      <c r="A373">
        <v>2025</v>
      </c>
      <c r="B373">
        <v>12</v>
      </c>
      <c r="C373" t="s">
        <v>80</v>
      </c>
      <c r="D373" t="s">
        <v>22</v>
      </c>
      <c r="E373" t="s">
        <v>61</v>
      </c>
      <c r="F373" t="s">
        <v>41</v>
      </c>
      <c r="G373" t="s">
        <v>24</v>
      </c>
      <c r="H373" t="s">
        <v>26</v>
      </c>
      <c r="I373" t="s">
        <v>26</v>
      </c>
      <c r="J373" t="s">
        <v>25</v>
      </c>
      <c r="K373">
        <v>113</v>
      </c>
      <c r="L373">
        <v>0</v>
      </c>
      <c r="M373">
        <v>0</v>
      </c>
      <c r="N373">
        <v>0</v>
      </c>
      <c r="O373">
        <v>36</v>
      </c>
      <c r="P373">
        <v>27</v>
      </c>
      <c r="Q373">
        <v>22</v>
      </c>
      <c r="R373">
        <v>16</v>
      </c>
      <c r="S373">
        <v>11</v>
      </c>
      <c r="T373">
        <v>8</v>
      </c>
      <c r="U373">
        <v>3</v>
      </c>
      <c r="V373">
        <v>113</v>
      </c>
    </row>
    <row r="374" spans="1:22" x14ac:dyDescent="0.25">
      <c r="A374">
        <v>2025</v>
      </c>
      <c r="B374">
        <v>12</v>
      </c>
      <c r="C374" t="s">
        <v>80</v>
      </c>
      <c r="D374" t="s">
        <v>22</v>
      </c>
      <c r="E374" t="s">
        <v>169</v>
      </c>
      <c r="F374" t="s">
        <v>32</v>
      </c>
      <c r="G374" t="s">
        <v>24</v>
      </c>
      <c r="H374" t="s">
        <v>25</v>
      </c>
      <c r="I374" t="s">
        <v>25</v>
      </c>
      <c r="J374" t="s">
        <v>25</v>
      </c>
      <c r="K374">
        <v>13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13</v>
      </c>
    </row>
    <row r="375" spans="1:22" x14ac:dyDescent="0.25">
      <c r="A375">
        <v>2025</v>
      </c>
      <c r="B375">
        <v>12</v>
      </c>
      <c r="C375" t="s">
        <v>80</v>
      </c>
      <c r="D375" t="s">
        <v>22</v>
      </c>
      <c r="E375" t="s">
        <v>157</v>
      </c>
      <c r="F375" t="s">
        <v>31</v>
      </c>
      <c r="G375" t="s">
        <v>24</v>
      </c>
      <c r="H375" t="s">
        <v>25</v>
      </c>
      <c r="I375" t="s">
        <v>25</v>
      </c>
      <c r="J375" t="s">
        <v>25</v>
      </c>
      <c r="K375">
        <v>124</v>
      </c>
      <c r="L375">
        <v>0</v>
      </c>
      <c r="M375">
        <v>0</v>
      </c>
      <c r="N375">
        <v>0</v>
      </c>
      <c r="O375">
        <v>13</v>
      </c>
      <c r="P375">
        <v>9</v>
      </c>
      <c r="Q375">
        <v>9</v>
      </c>
      <c r="R375">
        <v>7</v>
      </c>
      <c r="S375">
        <v>6</v>
      </c>
      <c r="T375">
        <v>3</v>
      </c>
      <c r="U375">
        <v>1</v>
      </c>
      <c r="V375">
        <v>124</v>
      </c>
    </row>
    <row r="376" spans="1:22" x14ac:dyDescent="0.25">
      <c r="A376">
        <v>2025</v>
      </c>
      <c r="B376">
        <v>12</v>
      </c>
      <c r="C376" t="s">
        <v>80</v>
      </c>
      <c r="D376" t="s">
        <v>22</v>
      </c>
      <c r="E376" t="s">
        <v>157</v>
      </c>
      <c r="F376" t="s">
        <v>32</v>
      </c>
      <c r="G376" t="s">
        <v>24</v>
      </c>
      <c r="H376" t="s">
        <v>25</v>
      </c>
      <c r="I376" t="s">
        <v>25</v>
      </c>
      <c r="J376" t="s">
        <v>25</v>
      </c>
      <c r="K376">
        <v>59</v>
      </c>
      <c r="L376">
        <v>0</v>
      </c>
      <c r="M376">
        <v>3</v>
      </c>
      <c r="N376">
        <v>3</v>
      </c>
      <c r="O376">
        <v>15</v>
      </c>
      <c r="P376">
        <v>15</v>
      </c>
      <c r="Q376">
        <v>14</v>
      </c>
      <c r="R376">
        <v>11</v>
      </c>
      <c r="S376">
        <v>10</v>
      </c>
      <c r="T376">
        <v>2</v>
      </c>
      <c r="U376">
        <v>0</v>
      </c>
      <c r="V376">
        <v>56</v>
      </c>
    </row>
    <row r="377" spans="1:22" x14ac:dyDescent="0.25">
      <c r="A377">
        <v>2025</v>
      </c>
      <c r="B377">
        <v>12</v>
      </c>
      <c r="C377" t="s">
        <v>80</v>
      </c>
      <c r="D377" t="s">
        <v>22</v>
      </c>
      <c r="E377" t="s">
        <v>157</v>
      </c>
      <c r="F377" t="s">
        <v>35</v>
      </c>
      <c r="G377" t="s">
        <v>24</v>
      </c>
      <c r="H377" t="s">
        <v>25</v>
      </c>
      <c r="I377" t="s">
        <v>26</v>
      </c>
      <c r="J377" t="s">
        <v>26</v>
      </c>
      <c r="K377">
        <v>1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1</v>
      </c>
    </row>
    <row r="378" spans="1:22" x14ac:dyDescent="0.25">
      <c r="A378">
        <v>2025</v>
      </c>
      <c r="B378">
        <v>12</v>
      </c>
      <c r="C378" t="s">
        <v>80</v>
      </c>
      <c r="D378" t="s">
        <v>22</v>
      </c>
      <c r="E378" t="s">
        <v>69</v>
      </c>
      <c r="F378" t="s">
        <v>40</v>
      </c>
      <c r="G378" t="s">
        <v>24</v>
      </c>
      <c r="H378" t="s">
        <v>25</v>
      </c>
      <c r="I378" t="s">
        <v>26</v>
      </c>
      <c r="J378" t="s">
        <v>25</v>
      </c>
      <c r="K378">
        <v>22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22</v>
      </c>
    </row>
    <row r="379" spans="1:22" x14ac:dyDescent="0.25">
      <c r="A379">
        <v>2025</v>
      </c>
      <c r="B379">
        <v>12</v>
      </c>
      <c r="C379" t="s">
        <v>80</v>
      </c>
      <c r="D379" t="s">
        <v>22</v>
      </c>
      <c r="E379" t="s">
        <v>173</v>
      </c>
      <c r="F379" t="s">
        <v>32</v>
      </c>
      <c r="G379" t="s">
        <v>24</v>
      </c>
      <c r="H379" t="s">
        <v>25</v>
      </c>
      <c r="I379" t="s">
        <v>25</v>
      </c>
      <c r="J379" t="s">
        <v>25</v>
      </c>
      <c r="K379">
        <v>1122</v>
      </c>
      <c r="L379">
        <v>8</v>
      </c>
      <c r="M379">
        <v>14</v>
      </c>
      <c r="N379">
        <v>22</v>
      </c>
      <c r="O379">
        <v>380</v>
      </c>
      <c r="P379">
        <v>274</v>
      </c>
      <c r="Q379">
        <v>233</v>
      </c>
      <c r="R379">
        <v>143</v>
      </c>
      <c r="S379">
        <v>74</v>
      </c>
      <c r="T379">
        <v>21</v>
      </c>
      <c r="U379">
        <v>4</v>
      </c>
      <c r="V379">
        <v>1101</v>
      </c>
    </row>
    <row r="380" spans="1:22" x14ac:dyDescent="0.25">
      <c r="A380">
        <v>2025</v>
      </c>
      <c r="B380">
        <v>12</v>
      </c>
      <c r="C380" t="s">
        <v>80</v>
      </c>
      <c r="D380" t="s">
        <v>22</v>
      </c>
      <c r="E380" t="s">
        <v>80</v>
      </c>
      <c r="F380" t="s">
        <v>102</v>
      </c>
      <c r="G380" t="s">
        <v>28</v>
      </c>
      <c r="H380" t="s">
        <v>25</v>
      </c>
      <c r="I380" t="s">
        <v>25</v>
      </c>
      <c r="J380" t="s">
        <v>25</v>
      </c>
      <c r="K380">
        <v>1</v>
      </c>
      <c r="L380">
        <v>0</v>
      </c>
      <c r="M380">
        <v>1</v>
      </c>
      <c r="N380">
        <v>1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1</v>
      </c>
    </row>
    <row r="381" spans="1:22" x14ac:dyDescent="0.25">
      <c r="A381">
        <v>2025</v>
      </c>
      <c r="B381">
        <v>12</v>
      </c>
      <c r="C381" t="s">
        <v>80</v>
      </c>
      <c r="D381" t="s">
        <v>22</v>
      </c>
      <c r="E381" t="s">
        <v>80</v>
      </c>
      <c r="F381" t="s">
        <v>32</v>
      </c>
      <c r="G381" t="s">
        <v>28</v>
      </c>
      <c r="H381" t="s">
        <v>25</v>
      </c>
      <c r="I381" t="s">
        <v>25</v>
      </c>
      <c r="J381" t="s">
        <v>25</v>
      </c>
      <c r="K381">
        <v>12</v>
      </c>
      <c r="L381">
        <v>0</v>
      </c>
      <c r="M381">
        <v>0</v>
      </c>
      <c r="N381">
        <v>0</v>
      </c>
      <c r="O381">
        <v>8</v>
      </c>
      <c r="P381">
        <v>7</v>
      </c>
      <c r="Q381">
        <v>6</v>
      </c>
      <c r="R381">
        <v>4</v>
      </c>
      <c r="S381">
        <v>1</v>
      </c>
      <c r="T381">
        <v>1</v>
      </c>
      <c r="U381">
        <v>0</v>
      </c>
      <c r="V381">
        <v>12</v>
      </c>
    </row>
    <row r="382" spans="1:22" x14ac:dyDescent="0.25">
      <c r="A382">
        <v>2025</v>
      </c>
      <c r="B382">
        <v>12</v>
      </c>
      <c r="C382" t="s">
        <v>80</v>
      </c>
      <c r="D382" t="s">
        <v>22</v>
      </c>
      <c r="E382" t="s">
        <v>80</v>
      </c>
      <c r="F382" t="s">
        <v>34</v>
      </c>
      <c r="G382" t="s">
        <v>28</v>
      </c>
      <c r="H382" t="s">
        <v>25</v>
      </c>
      <c r="I382" t="s">
        <v>26</v>
      </c>
      <c r="J382" t="s">
        <v>26</v>
      </c>
      <c r="K382">
        <v>10</v>
      </c>
      <c r="L382">
        <v>0</v>
      </c>
      <c r="M382">
        <v>2</v>
      </c>
      <c r="N382">
        <v>2</v>
      </c>
      <c r="O382">
        <v>4</v>
      </c>
      <c r="P382">
        <v>4</v>
      </c>
      <c r="Q382">
        <v>4</v>
      </c>
      <c r="R382">
        <v>3</v>
      </c>
      <c r="S382">
        <v>2</v>
      </c>
      <c r="T382">
        <v>1</v>
      </c>
      <c r="U382">
        <v>0</v>
      </c>
      <c r="V382">
        <v>8</v>
      </c>
    </row>
    <row r="383" spans="1:22" x14ac:dyDescent="0.25">
      <c r="A383">
        <v>2025</v>
      </c>
      <c r="B383">
        <v>12</v>
      </c>
      <c r="C383" t="s">
        <v>80</v>
      </c>
      <c r="D383" t="s">
        <v>22</v>
      </c>
      <c r="E383" t="s">
        <v>80</v>
      </c>
      <c r="F383" t="s">
        <v>76</v>
      </c>
      <c r="G383" t="s">
        <v>28</v>
      </c>
      <c r="H383" t="s">
        <v>25</v>
      </c>
      <c r="I383" t="s">
        <v>26</v>
      </c>
      <c r="J383" t="s">
        <v>25</v>
      </c>
      <c r="K383">
        <v>33</v>
      </c>
      <c r="L383">
        <v>0</v>
      </c>
      <c r="M383">
        <v>4</v>
      </c>
      <c r="N383">
        <v>4</v>
      </c>
      <c r="O383">
        <v>14</v>
      </c>
      <c r="P383">
        <v>11</v>
      </c>
      <c r="Q383">
        <v>10</v>
      </c>
      <c r="R383">
        <v>5</v>
      </c>
      <c r="S383">
        <v>5</v>
      </c>
      <c r="T383">
        <v>1</v>
      </c>
      <c r="U383">
        <v>0</v>
      </c>
      <c r="V383">
        <v>29</v>
      </c>
    </row>
    <row r="384" spans="1:22" x14ac:dyDescent="0.25">
      <c r="A384">
        <v>2025</v>
      </c>
      <c r="B384">
        <v>12</v>
      </c>
      <c r="C384" t="s">
        <v>80</v>
      </c>
      <c r="D384" t="s">
        <v>22</v>
      </c>
      <c r="E384" t="s">
        <v>80</v>
      </c>
      <c r="F384" t="s">
        <v>76</v>
      </c>
      <c r="G384" t="s">
        <v>24</v>
      </c>
      <c r="H384" t="s">
        <v>25</v>
      </c>
      <c r="I384" t="s">
        <v>26</v>
      </c>
      <c r="J384" t="s">
        <v>25</v>
      </c>
      <c r="K384">
        <v>3</v>
      </c>
      <c r="L384">
        <v>1</v>
      </c>
      <c r="M384">
        <v>2</v>
      </c>
      <c r="N384">
        <v>3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</row>
    <row r="385" spans="1:22" x14ac:dyDescent="0.25">
      <c r="A385">
        <v>2025</v>
      </c>
      <c r="B385">
        <v>12</v>
      </c>
      <c r="C385" t="s">
        <v>80</v>
      </c>
      <c r="D385" t="s">
        <v>22</v>
      </c>
      <c r="E385" t="s">
        <v>80</v>
      </c>
      <c r="F385" t="s">
        <v>81</v>
      </c>
      <c r="G385" t="s">
        <v>28</v>
      </c>
      <c r="H385" t="s">
        <v>25</v>
      </c>
      <c r="I385" t="s">
        <v>26</v>
      </c>
      <c r="J385" t="s">
        <v>25</v>
      </c>
      <c r="K385">
        <v>511</v>
      </c>
      <c r="L385">
        <v>0</v>
      </c>
      <c r="M385">
        <v>8</v>
      </c>
      <c r="N385">
        <v>8</v>
      </c>
      <c r="O385">
        <v>231</v>
      </c>
      <c r="P385">
        <v>192</v>
      </c>
      <c r="Q385">
        <v>176</v>
      </c>
      <c r="R385">
        <v>119</v>
      </c>
      <c r="S385">
        <v>86</v>
      </c>
      <c r="T385">
        <v>41</v>
      </c>
      <c r="U385">
        <v>21</v>
      </c>
      <c r="V385">
        <v>505</v>
      </c>
    </row>
    <row r="386" spans="1:22" x14ac:dyDescent="0.25">
      <c r="A386">
        <v>2025</v>
      </c>
      <c r="B386">
        <v>12</v>
      </c>
      <c r="C386" t="s">
        <v>80</v>
      </c>
      <c r="D386" t="s">
        <v>22</v>
      </c>
      <c r="E386" t="s">
        <v>80</v>
      </c>
      <c r="F386" t="s">
        <v>82</v>
      </c>
      <c r="G386" t="s">
        <v>28</v>
      </c>
      <c r="H386" t="s">
        <v>25</v>
      </c>
      <c r="I386" t="s">
        <v>26</v>
      </c>
      <c r="J386" t="s">
        <v>25</v>
      </c>
      <c r="K386">
        <v>239</v>
      </c>
      <c r="L386">
        <v>0</v>
      </c>
      <c r="M386">
        <v>1</v>
      </c>
      <c r="N386">
        <v>1</v>
      </c>
      <c r="O386">
        <v>101</v>
      </c>
      <c r="P386">
        <v>82</v>
      </c>
      <c r="Q386">
        <v>76</v>
      </c>
      <c r="R386">
        <v>57</v>
      </c>
      <c r="S386">
        <v>40</v>
      </c>
      <c r="T386">
        <v>15</v>
      </c>
      <c r="U386">
        <v>8</v>
      </c>
      <c r="V386">
        <v>238</v>
      </c>
    </row>
    <row r="387" spans="1:22" x14ac:dyDescent="0.25">
      <c r="A387">
        <v>2025</v>
      </c>
      <c r="B387">
        <v>12</v>
      </c>
      <c r="C387" t="s">
        <v>80</v>
      </c>
      <c r="D387" t="s">
        <v>22</v>
      </c>
      <c r="E387" t="s">
        <v>80</v>
      </c>
      <c r="F387" t="s">
        <v>83</v>
      </c>
      <c r="G387" t="s">
        <v>28</v>
      </c>
      <c r="H387" t="s">
        <v>26</v>
      </c>
      <c r="I387" t="s">
        <v>26</v>
      </c>
      <c r="J387" t="s">
        <v>25</v>
      </c>
      <c r="K387">
        <v>6889</v>
      </c>
      <c r="L387">
        <v>0</v>
      </c>
      <c r="M387">
        <v>66</v>
      </c>
      <c r="N387">
        <v>66</v>
      </c>
      <c r="O387">
        <v>3447</v>
      </c>
      <c r="P387">
        <v>2764</v>
      </c>
      <c r="Q387">
        <v>2499</v>
      </c>
      <c r="R387">
        <v>1803</v>
      </c>
      <c r="S387">
        <v>1302</v>
      </c>
      <c r="T387">
        <v>671</v>
      </c>
      <c r="U387">
        <v>268</v>
      </c>
      <c r="V387">
        <v>6851</v>
      </c>
    </row>
    <row r="388" spans="1:22" x14ac:dyDescent="0.25">
      <c r="A388">
        <v>2025</v>
      </c>
      <c r="B388">
        <v>12</v>
      </c>
      <c r="C388" t="s">
        <v>80</v>
      </c>
      <c r="D388" t="s">
        <v>22</v>
      </c>
      <c r="E388" t="s">
        <v>80</v>
      </c>
      <c r="F388" t="s">
        <v>23</v>
      </c>
      <c r="G388" t="s">
        <v>28</v>
      </c>
      <c r="H388" t="s">
        <v>25</v>
      </c>
      <c r="I388" t="s">
        <v>26</v>
      </c>
      <c r="J388" t="s">
        <v>25</v>
      </c>
      <c r="K388">
        <v>3240</v>
      </c>
      <c r="L388">
        <v>0</v>
      </c>
      <c r="M388">
        <v>110</v>
      </c>
      <c r="N388">
        <v>110</v>
      </c>
      <c r="O388">
        <v>1109</v>
      </c>
      <c r="P388">
        <v>873</v>
      </c>
      <c r="Q388">
        <v>794</v>
      </c>
      <c r="R388">
        <v>573</v>
      </c>
      <c r="S388">
        <v>419</v>
      </c>
      <c r="T388">
        <v>228</v>
      </c>
      <c r="U388">
        <v>78</v>
      </c>
      <c r="V388">
        <v>3150</v>
      </c>
    </row>
    <row r="389" spans="1:22" x14ac:dyDescent="0.25">
      <c r="A389">
        <v>2025</v>
      </c>
      <c r="B389">
        <v>12</v>
      </c>
      <c r="C389" t="s">
        <v>80</v>
      </c>
      <c r="D389" t="s">
        <v>22</v>
      </c>
      <c r="E389" t="s">
        <v>80</v>
      </c>
      <c r="F389" t="s">
        <v>84</v>
      </c>
      <c r="G389" t="s">
        <v>28</v>
      </c>
      <c r="H389" t="s">
        <v>25</v>
      </c>
      <c r="I389" t="s">
        <v>26</v>
      </c>
      <c r="J389" t="s">
        <v>26</v>
      </c>
      <c r="K389">
        <v>618</v>
      </c>
      <c r="L389">
        <v>0</v>
      </c>
      <c r="M389">
        <v>0</v>
      </c>
      <c r="N389">
        <v>0</v>
      </c>
      <c r="O389">
        <v>162</v>
      </c>
      <c r="P389">
        <v>118</v>
      </c>
      <c r="Q389">
        <v>102</v>
      </c>
      <c r="R389">
        <v>70</v>
      </c>
      <c r="S389">
        <v>54</v>
      </c>
      <c r="T389">
        <v>37</v>
      </c>
      <c r="U389">
        <v>17</v>
      </c>
      <c r="V389">
        <v>618</v>
      </c>
    </row>
    <row r="390" spans="1:22" x14ac:dyDescent="0.25">
      <c r="A390">
        <v>2025</v>
      </c>
      <c r="B390">
        <v>12</v>
      </c>
      <c r="C390" t="s">
        <v>80</v>
      </c>
      <c r="D390" t="s">
        <v>22</v>
      </c>
      <c r="E390" t="s">
        <v>80</v>
      </c>
      <c r="F390" t="s">
        <v>40</v>
      </c>
      <c r="G390" t="s">
        <v>28</v>
      </c>
      <c r="H390" t="s">
        <v>25</v>
      </c>
      <c r="I390" t="s">
        <v>26</v>
      </c>
      <c r="J390" t="s">
        <v>25</v>
      </c>
      <c r="K390">
        <v>6</v>
      </c>
      <c r="L390">
        <v>0</v>
      </c>
      <c r="M390">
        <v>4</v>
      </c>
      <c r="N390">
        <v>4</v>
      </c>
      <c r="O390">
        <v>4</v>
      </c>
      <c r="P390">
        <v>3</v>
      </c>
      <c r="Q390">
        <v>3</v>
      </c>
      <c r="R390">
        <v>2</v>
      </c>
      <c r="S390">
        <v>2</v>
      </c>
      <c r="T390">
        <v>1</v>
      </c>
      <c r="U390">
        <v>0</v>
      </c>
      <c r="V390">
        <v>4</v>
      </c>
    </row>
    <row r="391" spans="1:22" x14ac:dyDescent="0.25">
      <c r="A391">
        <v>2025</v>
      </c>
      <c r="B391">
        <v>12</v>
      </c>
      <c r="C391" t="s">
        <v>80</v>
      </c>
      <c r="D391" t="s">
        <v>22</v>
      </c>
      <c r="E391" t="s">
        <v>80</v>
      </c>
      <c r="F391" t="s">
        <v>85</v>
      </c>
      <c r="G391" t="s">
        <v>28</v>
      </c>
      <c r="H391" t="s">
        <v>25</v>
      </c>
      <c r="I391" t="s">
        <v>25</v>
      </c>
      <c r="J391" t="s">
        <v>25</v>
      </c>
      <c r="K391">
        <v>6729</v>
      </c>
      <c r="L391">
        <v>0</v>
      </c>
      <c r="M391">
        <v>166</v>
      </c>
      <c r="N391">
        <v>166</v>
      </c>
      <c r="O391">
        <v>587</v>
      </c>
      <c r="P391">
        <v>290</v>
      </c>
      <c r="Q391">
        <v>220</v>
      </c>
      <c r="R391">
        <v>109</v>
      </c>
      <c r="S391">
        <v>60</v>
      </c>
      <c r="T391">
        <v>24</v>
      </c>
      <c r="U391">
        <v>4</v>
      </c>
      <c r="V391">
        <v>6610</v>
      </c>
    </row>
    <row r="392" spans="1:22" x14ac:dyDescent="0.25">
      <c r="A392">
        <v>2025</v>
      </c>
      <c r="B392">
        <v>12</v>
      </c>
      <c r="C392" t="s">
        <v>80</v>
      </c>
      <c r="D392" t="s">
        <v>22</v>
      </c>
      <c r="E392" t="s">
        <v>80</v>
      </c>
      <c r="F392" t="s">
        <v>86</v>
      </c>
      <c r="G392" t="s">
        <v>28</v>
      </c>
      <c r="H392" t="s">
        <v>25</v>
      </c>
      <c r="I392" t="s">
        <v>25</v>
      </c>
      <c r="J392" t="s">
        <v>25</v>
      </c>
      <c r="K392">
        <v>23</v>
      </c>
      <c r="L392">
        <v>0</v>
      </c>
      <c r="M392">
        <v>9</v>
      </c>
      <c r="N392">
        <v>9</v>
      </c>
      <c r="O392">
        <v>13</v>
      </c>
      <c r="P392">
        <v>13</v>
      </c>
      <c r="Q392">
        <v>13</v>
      </c>
      <c r="R392">
        <v>13</v>
      </c>
      <c r="S392">
        <v>11</v>
      </c>
      <c r="T392">
        <v>10</v>
      </c>
      <c r="U392">
        <v>7</v>
      </c>
      <c r="V392">
        <v>14</v>
      </c>
    </row>
    <row r="393" spans="1:22" x14ac:dyDescent="0.25">
      <c r="A393">
        <v>2025</v>
      </c>
      <c r="B393">
        <v>12</v>
      </c>
      <c r="C393" t="s">
        <v>80</v>
      </c>
      <c r="D393" t="s">
        <v>22</v>
      </c>
      <c r="E393" t="s">
        <v>80</v>
      </c>
      <c r="F393" t="s">
        <v>86</v>
      </c>
      <c r="G393" t="s">
        <v>29</v>
      </c>
      <c r="H393" t="s">
        <v>25</v>
      </c>
      <c r="I393" t="s">
        <v>25</v>
      </c>
      <c r="J393" t="s">
        <v>25</v>
      </c>
      <c r="K393">
        <v>12</v>
      </c>
      <c r="L393">
        <v>3</v>
      </c>
      <c r="M393">
        <v>0</v>
      </c>
      <c r="N393">
        <v>3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</row>
    <row r="394" spans="1:22" x14ac:dyDescent="0.25">
      <c r="A394">
        <v>2025</v>
      </c>
      <c r="B394">
        <v>12</v>
      </c>
      <c r="C394" t="s">
        <v>80</v>
      </c>
      <c r="D394" t="s">
        <v>22</v>
      </c>
      <c r="E394" t="s">
        <v>80</v>
      </c>
      <c r="F394" t="s">
        <v>87</v>
      </c>
      <c r="G394" t="s">
        <v>28</v>
      </c>
      <c r="H394" t="s">
        <v>25</v>
      </c>
      <c r="I394" t="s">
        <v>25</v>
      </c>
      <c r="J394" t="s">
        <v>25</v>
      </c>
      <c r="K394">
        <v>228028</v>
      </c>
      <c r="L394">
        <v>138</v>
      </c>
      <c r="M394">
        <v>7737</v>
      </c>
      <c r="N394">
        <v>7875</v>
      </c>
      <c r="O394">
        <v>45116</v>
      </c>
      <c r="P394">
        <v>25386</v>
      </c>
      <c r="Q394">
        <v>19845</v>
      </c>
      <c r="R394">
        <v>9733</v>
      </c>
      <c r="S394">
        <v>5498</v>
      </c>
      <c r="T394">
        <v>1773</v>
      </c>
      <c r="U394">
        <v>350</v>
      </c>
      <c r="V394">
        <v>221477</v>
      </c>
    </row>
    <row r="395" spans="1:22" x14ac:dyDescent="0.25">
      <c r="A395">
        <v>2025</v>
      </c>
      <c r="B395">
        <v>12</v>
      </c>
      <c r="C395" t="s">
        <v>80</v>
      </c>
      <c r="D395" t="s">
        <v>22</v>
      </c>
      <c r="E395" t="s">
        <v>80</v>
      </c>
      <c r="F395" t="s">
        <v>87</v>
      </c>
      <c r="G395" t="s">
        <v>24</v>
      </c>
      <c r="H395" t="s">
        <v>25</v>
      </c>
      <c r="I395" t="s">
        <v>25</v>
      </c>
      <c r="J395" t="s">
        <v>25</v>
      </c>
      <c r="K395">
        <v>5309</v>
      </c>
      <c r="L395">
        <v>193</v>
      </c>
      <c r="M395">
        <v>71</v>
      </c>
      <c r="N395">
        <v>264</v>
      </c>
      <c r="O395">
        <v>934</v>
      </c>
      <c r="P395">
        <v>511</v>
      </c>
      <c r="Q395">
        <v>376</v>
      </c>
      <c r="R395">
        <v>145</v>
      </c>
      <c r="S395">
        <v>62</v>
      </c>
      <c r="T395">
        <v>15</v>
      </c>
      <c r="U395">
        <v>0</v>
      </c>
      <c r="V395">
        <v>5054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Official data</vt:lpstr>
      <vt:lpstr>Pivot table</vt:lpstr>
      <vt:lpstr>Summary</vt:lpstr>
      <vt:lpstr>Comp_chuuchuu</vt:lpstr>
      <vt:lpstr>SNCF</vt:lpstr>
      <vt:lpstr>DB</vt:lpstr>
      <vt:lpstr>NS</vt:lpstr>
      <vt:lpstr>OEBB</vt:lpstr>
      <vt:lpstr>SBB</vt:lpstr>
      <vt:lpstr>SNCB</vt:lpstr>
      <vt:lpstr>Trenitalia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TE</cp:lastModifiedBy>
  <dcterms:created xsi:type="dcterms:W3CDTF">2026-10-05T08:36:51Z</dcterms:created>
  <dcterms:modified xsi:type="dcterms:W3CDTF">2026-10-06T16:31:55Z</dcterms:modified>
</cp:coreProperties>
</file>